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904" firstSheet="0" activeTab="0" autoFilterDateGrouping="1"/>
  </bookViews>
  <sheets>
    <sheet name="DRE" sheetId="1" state="visible" r:id="rId1"/>
    <sheet name="Aut_BlueMe_Sem_Pedido" sheetId="2" state="visible" r:id="rId2"/>
    <sheet name="Aut_BlueMe_Com_Pedido" sheetId="3" state="visible" r:id="rId3"/>
    <sheet name="Aut_Ajustes_Manuais" sheetId="4" state="visible" r:id="rId4"/>
    <sheet name="Aut_Faturamento_Zig" sheetId="5" state="visible" r:id="rId5"/>
    <sheet name="Aut_Consumo_Cartao_Black" sheetId="6" state="visible" r:id="rId6"/>
    <sheet name="Aut_Receitas_Extraord" sheetId="7" state="visible" r:id="rId7"/>
    <sheet name="BD_Eventos_Novo" sheetId="8" state="visible" r:id="rId8"/>
    <sheet name="CMV_Manual" sheetId="9" state="visible" r:id="rId9"/>
    <sheet name="Aut_Folha" sheetId="10" state="visible" r:id="rId10"/>
    <sheet name="Aut_Descontos" sheetId="11" state="visible" r:id="rId11"/>
    <sheet name="Aut_Promocoes_Utilizadas" sheetId="12" state="visible" r:id="rId12"/>
    <sheet name="Fiscal" sheetId="13" state="visible" r:id="rId13"/>
    <sheet name="Aut_Endividamentos" sheetId="14" state="visible" r:id="rId14"/>
    <sheet name="Aut_Contagem" sheetId="15" state="visible" r:id="rId15"/>
    <sheet name="Aut_Precos_Insumos" sheetId="16" state="visible" r:id="rId16"/>
    <sheet name="Aut_Valor_Estoque" sheetId="17" state="visible" r:id="rId17"/>
    <sheet name="Aut_Precos_Consolidados_Mes" sheetId="18" state="visible" r:id="rId18"/>
    <sheet name="Aut_Eventos_AeB" sheetId="19" state="visible" r:id="rId19"/>
    <sheet name="Aut_Transferencias" sheetId="20" state="visible" r:id="rId20"/>
    <sheet name="Aut_Consumo_Funcionarios" sheetId="21" state="visible" r:id="rId21"/>
    <sheet name="Aut_Insumos_Producao" sheetId="22" state="visible" r:id="rId22"/>
    <sheet name="T_ORCAMENTOS" sheetId="23" state="visible" r:id="rId23"/>
    <sheet name="T_HEADCOUNT" sheetId="24" state="visible" r:id="rId24"/>
    <sheet name="T_REAL" sheetId="25" state="hidden" r:id="rId25"/>
  </sheets>
  <definedNames>
    <definedName name="DadosExternos_1" localSheetId="24" hidden="1">T_REAL!$A$1:$E$9651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_-* #,##0_-;\-* #,##0_-;_-* &quot;-&quot;??_-;_-@_-"/>
    <numFmt numFmtId="165" formatCode="0.0%"/>
    <numFmt numFmtId="166" formatCode="_(* #,##0_);_(* \(#,##0\);_(* &quot;-&quot;??_);_(@_)"/>
    <numFmt numFmtId="167" formatCode="_-* #,##0.0000_-;\-* #,##0.0000_-;_-* &quot;-&quot;??_-;_-@_-"/>
    <numFmt numFmtId="168" formatCode="0.000%"/>
    <numFmt numFmtId="169" formatCode="_-&quot;R$&quot;\ * #,##0.00_-;\-&quot;R$&quot;\ * #,##0.00_-;_-&quot;R$&quot;\ * &quot;-&quot;??_-;_-@_-"/>
    <numFmt numFmtId="170" formatCode="_-* #,##0.00_-;\-* #,##0.00_-;_-* &quot;-&quot;??_-;_-@_-"/>
    <numFmt numFmtId="171" formatCode="_(&quot;R$ &quot;* #,##0.00_);_(&quot;R$ &quot;* \(#,##0.00\);_(&quot;R$ &quot;* &quot;-&quot;??_);_(@_)"/>
    <numFmt numFmtId="172" formatCode="#,##0.00;[Red]#,##0.00"/>
    <numFmt numFmtId="173" formatCode="&quot;R$&quot;\ #,##0.00"/>
    <numFmt numFmtId="174" formatCode="_-* #,##0.0_-;\-* #,##0.0_-;_-* &quot;-&quot;?_-;_-@_-"/>
    <numFmt numFmtId="175" formatCode="_-* #,##0.00_-;\-* #,##0.00_-;_-* &quot;-&quot;?_-;_-@_-"/>
    <numFmt numFmtId="176" formatCode="yyyy\-mm\-dd"/>
    <numFmt numFmtId="177" formatCode="yyyy\-mm\-dd\ h:mm:ss"/>
    <numFmt numFmtId="178" formatCode="yyyy-mm-dd"/>
    <numFmt numFmtId="179" formatCode="yyyy-mm-dd h:mm:ss"/>
  </numFmts>
  <fonts count="3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Verdana"/>
      <family val="2"/>
      <b val="1"/>
      <sz val="10"/>
    </font>
    <font>
      <name val="Verdana"/>
      <family val="2"/>
      <color theme="1"/>
      <sz val="10"/>
    </font>
    <font>
      <name val="Verdana"/>
      <family val="2"/>
      <b val="1"/>
      <color theme="0"/>
      <sz val="10"/>
    </font>
    <font>
      <name val="Calibri"/>
      <family val="2"/>
      <b val="1"/>
      <color theme="1"/>
      <sz val="10"/>
      <scheme val="minor"/>
    </font>
    <font>
      <name val="Verdana"/>
      <family val="2"/>
      <b val="1"/>
      <color theme="0"/>
      <sz val="20"/>
    </font>
    <font>
      <name val="Verdana"/>
      <family val="2"/>
      <b val="1"/>
      <color theme="8" tint="0.3999755851924192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Verdana"/>
      <family val="2"/>
      <b val="1"/>
      <color indexed="48"/>
      <sz val="10"/>
    </font>
    <font>
      <name val="Calibri"/>
      <family val="2"/>
      <b val="1"/>
      <color theme="0"/>
      <sz val="14"/>
      <scheme val="minor"/>
    </font>
    <font>
      <name val="Verdana"/>
      <family val="2"/>
      <sz val="10"/>
    </font>
    <font>
      <name val="Calibri"/>
      <family val="2"/>
      <b val="1"/>
      <color theme="0"/>
      <sz val="10"/>
      <scheme val="minor"/>
    </font>
    <font>
      <name val="Verdana"/>
      <family val="2"/>
      <b val="1"/>
      <color indexed="60"/>
      <sz val="10"/>
    </font>
    <font>
      <name val="Verdana"/>
      <family val="2"/>
      <b val="1"/>
      <color theme="1"/>
      <sz val="10"/>
    </font>
    <font>
      <name val="Verdana"/>
      <family val="2"/>
      <b val="1"/>
      <color indexed="10"/>
      <sz val="10"/>
    </font>
    <font>
      <name val="Calibri"/>
      <family val="2"/>
      <sz val="11"/>
      <scheme val="minor"/>
    </font>
    <font>
      <name val="Verdana"/>
      <family val="2"/>
      <sz val="9"/>
    </font>
    <font>
      <name val="Verdana"/>
      <family val="2"/>
      <sz val="8"/>
    </font>
    <font>
      <name val="Verdana"/>
      <family val="2"/>
      <color indexed="12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1"/>
      <scheme val="minor"/>
    </font>
    <font>
      <name val="Source Sans Pro"/>
      <family val="2"/>
      <color rgb="FF333333"/>
      <sz val="12"/>
    </font>
    <font>
      <name val="Calibri"/>
      <family val="2"/>
      <b val="1"/>
      <color theme="5" tint="-0.249977111117893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color rgb="FFFF0000"/>
      <sz val="11"/>
      <scheme val="minor"/>
    </font>
    <font>
      <name val="Verdana"/>
      <family val="2"/>
      <b val="1"/>
      <color theme="2" tint="-0.749992370372631"/>
      <sz val="10"/>
    </font>
    <font>
      <name val="Verdana"/>
      <family val="2"/>
      <color theme="2" tint="-0.749992370372631"/>
      <sz val="10"/>
    </font>
    <font>
      <name val="Calibri"/>
      <family val="2"/>
      <b val="1"/>
      <color theme="2" tint="-0.749992370372631"/>
      <sz val="11"/>
      <scheme val="minor"/>
    </font>
    <font>
      <name val="Calibri"/>
      <family val="2"/>
      <b val="1"/>
      <color theme="2" tint="-0.249977111117893"/>
      <sz val="11"/>
      <scheme val="minor"/>
    </font>
    <font>
      <name val="Verdana"/>
      <family val="2"/>
      <sz val="10"/>
      <u val="singleAccounting"/>
    </font>
  </fonts>
  <fills count="29">
    <fill>
      <patternFill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0.749992370372631"/>
        <bgColor theme="0" tint="-0.1499984740745262"/>
      </patternFill>
    </fill>
    <fill>
      <patternFill patternType="solid">
        <fgColor indexed="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lightUp">
        <bgColor theme="9" tint="0.7999816888943144"/>
      </patternFill>
    </fill>
    <fill>
      <patternFill patternType="solid">
        <fgColor theme="5" tint="0.5999938962981048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/>
      <bottom/>
      <diagonal/>
    </border>
  </borders>
  <cellStyleXfs count="8">
    <xf numFmtId="0" fontId="1" fillId="0" borderId="0"/>
    <xf numFmtId="43" fontId="1" fillId="0" borderId="0"/>
    <xf numFmtId="44" fontId="1" fillId="0" borderId="0"/>
    <xf numFmtId="9" fontId="1" fillId="0" borderId="0"/>
    <xf numFmtId="43" fontId="1" fillId="0" borderId="0"/>
    <xf numFmtId="9" fontId="1" fillId="0" borderId="0"/>
    <xf numFmtId="9" fontId="1" fillId="0" borderId="0"/>
    <xf numFmtId="43" fontId="1" fillId="0" borderId="0"/>
  </cellStyleXfs>
  <cellXfs count="594">
    <xf numFmtId="0" fontId="0" fillId="0" borderId="0" pivotButton="0" quotePrefix="0" xfId="0"/>
    <xf numFmtId="0" fontId="5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164" fontId="7" fillId="2" borderId="0" applyAlignment="1" pivotButton="0" quotePrefix="0" xfId="1">
      <alignment vertical="center"/>
    </xf>
    <xf numFmtId="0" fontId="8" fillId="3" borderId="0" applyAlignment="1" pivotButton="0" quotePrefix="0" xfId="0">
      <alignment vertical="center"/>
    </xf>
    <xf numFmtId="0" fontId="9" fillId="4" borderId="1" applyAlignment="1" pivotButton="0" quotePrefix="0" xfId="0">
      <alignment vertical="center" wrapText="1"/>
    </xf>
    <xf numFmtId="165" fontId="10" fillId="2" borderId="0" applyAlignment="1" pivotButton="0" quotePrefix="0" xfId="3">
      <alignment vertical="center"/>
    </xf>
    <xf numFmtId="0" fontId="3" fillId="3" borderId="0" applyAlignment="1" pivotButton="0" quotePrefix="0" xfId="0">
      <alignment vertical="center"/>
    </xf>
    <xf numFmtId="0" fontId="7" fillId="2" borderId="3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vertical="center" wrapText="1"/>
    </xf>
    <xf numFmtId="166" fontId="5" fillId="7" borderId="7" applyAlignment="1" pivotButton="0" quotePrefix="0" xfId="1">
      <alignment vertical="center"/>
    </xf>
    <xf numFmtId="166" fontId="5" fillId="7" borderId="8" applyAlignment="1" pivotButton="0" quotePrefix="0" xfId="1">
      <alignment vertical="center"/>
    </xf>
    <xf numFmtId="0" fontId="15" fillId="8" borderId="9" applyAlignment="1" pivotButton="0" quotePrefix="0" xfId="0">
      <alignment vertical="center" wrapText="1"/>
    </xf>
    <xf numFmtId="0" fontId="15" fillId="2" borderId="0" applyAlignment="1" pivotButton="0" quotePrefix="0" xfId="0">
      <alignment vertical="center"/>
    </xf>
    <xf numFmtId="166" fontId="6" fillId="8" borderId="10" applyAlignment="1" pivotButton="0" quotePrefix="0" xfId="1">
      <alignment vertical="center" wrapText="1"/>
    </xf>
    <xf numFmtId="166" fontId="6" fillId="8" borderId="10" applyAlignment="1" pivotButton="0" quotePrefix="0" xfId="1">
      <alignment vertical="center"/>
    </xf>
    <xf numFmtId="9" fontId="15" fillId="2" borderId="0" applyAlignment="1" pivotButton="0" quotePrefix="0" xfId="3">
      <alignment vertical="center"/>
    </xf>
    <xf numFmtId="166" fontId="15" fillId="8" borderId="10" applyAlignment="1" pivotButton="0" quotePrefix="0" xfId="1">
      <alignment vertical="center"/>
    </xf>
    <xf numFmtId="166" fontId="15" fillId="8" borderId="12" applyAlignment="1" pivotButton="0" quotePrefix="0" xfId="1">
      <alignment vertical="center"/>
    </xf>
    <xf numFmtId="0" fontId="0" fillId="3" borderId="0" applyAlignment="1" pivotButton="0" quotePrefix="0" xfId="0">
      <alignment vertical="center"/>
    </xf>
    <xf numFmtId="10" fontId="0" fillId="3" borderId="0" applyAlignment="1" pivotButton="0" quotePrefix="0" xfId="3">
      <alignment vertical="center"/>
    </xf>
    <xf numFmtId="166" fontId="6" fillId="8" borderId="13" applyAlignment="1" pivotButton="0" quotePrefix="0" xfId="1">
      <alignment vertical="center"/>
    </xf>
    <xf numFmtId="166" fontId="6" fillId="8" borderId="11" applyAlignment="1" pivotButton="0" quotePrefix="0" xfId="1">
      <alignment vertical="center" wrapText="1"/>
    </xf>
    <xf numFmtId="165" fontId="15" fillId="2" borderId="0" applyAlignment="1" pivotButton="0" quotePrefix="0" xfId="3">
      <alignment vertical="center"/>
    </xf>
    <xf numFmtId="0" fontId="7" fillId="2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166" fontId="7" fillId="2" borderId="0" applyAlignment="1" pivotButton="0" quotePrefix="0" xfId="3">
      <alignment horizontal="center" vertical="center"/>
    </xf>
    <xf numFmtId="0" fontId="16" fillId="3" borderId="0" applyAlignment="1" pivotButton="0" quotePrefix="0" xfId="0">
      <alignment vertical="center"/>
    </xf>
    <xf numFmtId="0" fontId="17" fillId="9" borderId="9" applyAlignment="1" pivotButton="0" quotePrefix="0" xfId="0">
      <alignment vertical="center" wrapText="1"/>
    </xf>
    <xf numFmtId="0" fontId="17" fillId="10" borderId="10" applyAlignment="1" pivotButton="0" quotePrefix="0" xfId="0">
      <alignment horizontal="center" vertical="center" wrapText="1"/>
    </xf>
    <xf numFmtId="166" fontId="5" fillId="2" borderId="0" applyAlignment="1" pivotButton="0" quotePrefix="0" xfId="1">
      <alignment vertical="center"/>
    </xf>
    <xf numFmtId="166" fontId="17" fillId="9" borderId="10" applyAlignment="1" pivotButton="0" quotePrefix="0" xfId="1">
      <alignment vertical="center"/>
    </xf>
    <xf numFmtId="166" fontId="17" fillId="9" borderId="12" applyAlignment="1" pivotButton="0" quotePrefix="0" xfId="1">
      <alignment vertical="center"/>
    </xf>
    <xf numFmtId="167" fontId="3" fillId="3" borderId="0" applyAlignment="1" pivotButton="0" quotePrefix="0" xfId="1">
      <alignment vertical="center"/>
    </xf>
    <xf numFmtId="10" fontId="6" fillId="10" borderId="10" applyAlignment="1" pivotButton="0" quotePrefix="0" xfId="3">
      <alignment vertical="center"/>
    </xf>
    <xf numFmtId="165" fontId="5" fillId="8" borderId="9" applyAlignment="1" pivotButton="0" quotePrefix="0" xfId="3">
      <alignment vertical="center" wrapText="1"/>
    </xf>
    <xf numFmtId="165" fontId="5" fillId="2" borderId="0" applyAlignment="1" pivotButton="0" quotePrefix="0" xfId="3">
      <alignment vertical="center"/>
    </xf>
    <xf numFmtId="165" fontId="18" fillId="8" borderId="10" applyAlignment="1" pivotButton="0" quotePrefix="0" xfId="3">
      <alignment vertical="center" wrapText="1"/>
    </xf>
    <xf numFmtId="165" fontId="18" fillId="8" borderId="10" applyAlignment="1" pivotButton="0" quotePrefix="0" xfId="3">
      <alignment vertical="center"/>
    </xf>
    <xf numFmtId="165" fontId="5" fillId="8" borderId="10" applyAlignment="1" pivotButton="0" quotePrefix="0" xfId="3">
      <alignment vertical="center"/>
    </xf>
    <xf numFmtId="165" fontId="5" fillId="8" borderId="12" applyAlignment="1" pivotButton="0" quotePrefix="0" xfId="3">
      <alignment vertical="center"/>
    </xf>
    <xf numFmtId="165" fontId="3" fillId="3" borderId="0" applyAlignment="1" pivotButton="0" quotePrefix="0" xfId="3">
      <alignment vertical="center"/>
    </xf>
    <xf numFmtId="10" fontId="5" fillId="2" borderId="0" applyAlignment="1" pivotButton="0" quotePrefix="0" xfId="3">
      <alignment horizontal="center" vertical="center"/>
    </xf>
    <xf numFmtId="10" fontId="5" fillId="2" borderId="2" applyAlignment="1" pivotButton="0" quotePrefix="0" xfId="3">
      <alignment horizontal="center" vertical="center"/>
    </xf>
    <xf numFmtId="10" fontId="6" fillId="8" borderId="10" applyAlignment="1" pivotButton="0" quotePrefix="0" xfId="3">
      <alignment vertical="center"/>
    </xf>
    <xf numFmtId="166" fontId="15" fillId="2" borderId="0" applyAlignment="1" pivotButton="0" quotePrefix="0" xfId="1">
      <alignment vertical="center"/>
    </xf>
    <xf numFmtId="0" fontId="5" fillId="2" borderId="2" applyAlignment="1" pivotButton="0" quotePrefix="0" xfId="0">
      <alignment horizontal="center" vertical="center"/>
    </xf>
    <xf numFmtId="0" fontId="5" fillId="7" borderId="9" applyAlignment="1" pivotButton="0" quotePrefix="0" xfId="0">
      <alignment vertical="center" wrapText="1"/>
    </xf>
    <xf numFmtId="0" fontId="19" fillId="2" borderId="0" applyAlignment="1" pivotButton="0" quotePrefix="0" xfId="0">
      <alignment vertical="center"/>
    </xf>
    <xf numFmtId="0" fontId="18" fillId="2" borderId="0" applyAlignment="1" pivotButton="0" quotePrefix="0" xfId="0">
      <alignment vertical="center" wrapText="1"/>
    </xf>
    <xf numFmtId="0" fontId="18" fillId="2" borderId="0" applyAlignment="1" pivotButton="0" quotePrefix="0" xfId="0">
      <alignment vertical="center"/>
    </xf>
    <xf numFmtId="166" fontId="18" fillId="2" borderId="0" applyAlignment="1" pivotButton="0" quotePrefix="0" xfId="1">
      <alignment vertical="center"/>
    </xf>
    <xf numFmtId="166" fontId="19" fillId="2" borderId="0" applyAlignment="1" pivotButton="0" quotePrefix="0" xfId="1">
      <alignment vertical="center"/>
    </xf>
    <xf numFmtId="166" fontId="5" fillId="7" borderId="10" applyAlignment="1" pivotButton="0" quotePrefix="0" xfId="1">
      <alignment vertical="center"/>
    </xf>
    <xf numFmtId="166" fontId="5" fillId="7" borderId="12" applyAlignment="1" pivotButton="0" quotePrefix="0" xfId="1">
      <alignment vertical="center"/>
    </xf>
    <xf numFmtId="10" fontId="7" fillId="2" borderId="0" applyAlignment="1" pivotButton="0" quotePrefix="0" xfId="3">
      <alignment horizontal="center" vertical="center"/>
    </xf>
    <xf numFmtId="166" fontId="17" fillId="9" borderId="14" applyAlignment="1" pivotButton="0" quotePrefix="0" xfId="1">
      <alignment vertical="center"/>
    </xf>
    <xf numFmtId="166" fontId="17" fillId="9" borderId="15" applyAlignment="1" pivotButton="0" quotePrefix="0" xfId="1">
      <alignment vertical="center"/>
    </xf>
    <xf numFmtId="166" fontId="6" fillId="10" borderId="10" applyAlignment="1" pivotButton="0" quotePrefix="0" xfId="1">
      <alignment vertical="center"/>
    </xf>
    <xf numFmtId="9" fontId="6" fillId="10" borderId="10" applyAlignment="1" pivotButton="0" quotePrefix="0" xfId="3">
      <alignment vertical="center"/>
    </xf>
    <xf numFmtId="0" fontId="5" fillId="8" borderId="9" applyAlignment="1" pivotButton="0" quotePrefix="0" xfId="0">
      <alignment vertical="center" wrapText="1"/>
    </xf>
    <xf numFmtId="9" fontId="5" fillId="2" borderId="0" applyAlignment="1" pivotButton="0" quotePrefix="0" xfId="3">
      <alignment vertical="center"/>
    </xf>
    <xf numFmtId="0" fontId="17" fillId="8" borderId="9" applyAlignment="1" pivotButton="0" quotePrefix="0" xfId="0">
      <alignment vertical="center" wrapText="1"/>
    </xf>
    <xf numFmtId="166" fontId="17" fillId="8" borderId="10" applyAlignment="1" pivotButton="0" quotePrefix="0" xfId="1">
      <alignment vertical="center"/>
    </xf>
    <xf numFmtId="166" fontId="17" fillId="8" borderId="13" applyAlignment="1" pivotButton="0" quotePrefix="0" xfId="1">
      <alignment vertical="center"/>
    </xf>
    <xf numFmtId="166" fontId="17" fillId="8" borderId="12" applyAlignment="1" pivotButton="0" quotePrefix="0" xfId="1">
      <alignment vertical="center"/>
    </xf>
    <xf numFmtId="168" fontId="6" fillId="10" borderId="10" applyAlignment="1" pivotButton="0" quotePrefix="0" xfId="3">
      <alignment vertical="center"/>
    </xf>
    <xf numFmtId="165" fontId="5" fillId="8" borderId="0" applyAlignment="1" pivotButton="0" quotePrefix="0" xfId="3">
      <alignment vertical="center"/>
    </xf>
    <xf numFmtId="165" fontId="5" fillId="8" borderId="2" applyAlignment="1" pivotButton="0" quotePrefix="0" xfId="3">
      <alignment vertical="center"/>
    </xf>
    <xf numFmtId="165" fontId="6" fillId="10" borderId="10" applyAlignment="1" pivotButton="0" quotePrefix="0" xfId="3">
      <alignment vertical="center"/>
    </xf>
    <xf numFmtId="166" fontId="15" fillId="8" borderId="10" applyAlignment="1" applyProtection="1" pivotButton="0" quotePrefix="0" xfId="1">
      <alignment vertical="center"/>
      <protection locked="0" hidden="0"/>
    </xf>
    <xf numFmtId="166" fontId="15" fillId="8" borderId="12" applyAlignment="1" applyProtection="1" pivotButton="0" quotePrefix="0" xfId="1">
      <alignment vertical="center"/>
      <protection locked="0" hidden="0"/>
    </xf>
    <xf numFmtId="165" fontId="5" fillId="8" borderId="10" applyAlignment="1" applyProtection="1" pivotButton="0" quotePrefix="0" xfId="3">
      <alignment vertical="center"/>
      <protection locked="0" hidden="0"/>
    </xf>
    <xf numFmtId="165" fontId="5" fillId="8" borderId="12" applyAlignment="1" applyProtection="1" pivotButton="0" quotePrefix="0" xfId="3">
      <alignment vertical="center"/>
      <protection locked="0" hidden="0"/>
    </xf>
    <xf numFmtId="165" fontId="5" fillId="2" borderId="2" applyAlignment="1" pivotButton="0" quotePrefix="0" xfId="0">
      <alignment horizontal="center" vertical="center"/>
    </xf>
    <xf numFmtId="166" fontId="7" fillId="2" borderId="0" applyAlignment="1" pivotButton="0" quotePrefix="0" xfId="0">
      <alignment vertical="center"/>
    </xf>
    <xf numFmtId="9" fontId="6" fillId="8" borderId="10" applyAlignment="1" pivotButton="0" quotePrefix="0" xfId="3">
      <alignment vertical="center"/>
    </xf>
    <xf numFmtId="166" fontId="5" fillId="2" borderId="0" applyAlignment="1" pivotButton="0" quotePrefix="0" xfId="0">
      <alignment vertical="center"/>
    </xf>
    <xf numFmtId="165" fontId="6" fillId="8" borderId="10" applyAlignment="1" pivotButton="0" quotePrefix="0" xfId="3">
      <alignment vertical="center"/>
    </xf>
    <xf numFmtId="0" fontId="7" fillId="2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166" fontId="7" fillId="2" borderId="0" applyAlignment="1" pivotButton="0" quotePrefix="0" xfId="1">
      <alignment vertical="center"/>
    </xf>
    <xf numFmtId="166" fontId="7" fillId="2" borderId="2" applyAlignment="1" pivotButton="0" quotePrefix="0" xfId="1">
      <alignment vertical="center"/>
    </xf>
    <xf numFmtId="0" fontId="20" fillId="3" borderId="0" applyAlignment="1" pivotButton="0" quotePrefix="0" xfId="0">
      <alignment vertical="center"/>
    </xf>
    <xf numFmtId="0" fontId="15" fillId="8" borderId="9" applyAlignment="1" pivotButton="0" quotePrefix="0" xfId="0">
      <alignment horizontal="left" vertical="center" wrapText="1"/>
    </xf>
    <xf numFmtId="9" fontId="6" fillId="8" borderId="10" applyAlignment="1" pivotButton="0" quotePrefix="0" xfId="3">
      <alignment horizontal="center" vertical="center"/>
    </xf>
    <xf numFmtId="10" fontId="6" fillId="8" borderId="10" applyAlignment="1" pivotButton="0" quotePrefix="0" xfId="3">
      <alignment horizontal="left" vertical="center"/>
    </xf>
    <xf numFmtId="165" fontId="6" fillId="8" borderId="10" applyAlignment="1" pivotButton="0" quotePrefix="0" xfId="3">
      <alignment horizontal="left" vertical="center"/>
    </xf>
    <xf numFmtId="10" fontId="6" fillId="8" borderId="10" applyAlignment="1" pivotButton="0" quotePrefix="0" xfId="3">
      <alignment horizontal="left" vertical="center" wrapText="1"/>
    </xf>
    <xf numFmtId="9" fontId="6" fillId="8" borderId="10" applyAlignment="1" pivotButton="0" quotePrefix="0" xfId="3">
      <alignment horizontal="left" vertical="center"/>
    </xf>
    <xf numFmtId="169" fontId="6" fillId="8" borderId="10" applyAlignment="1" pivotButton="0" quotePrefix="0" xfId="2">
      <alignment vertical="center"/>
    </xf>
    <xf numFmtId="169" fontId="15" fillId="2" borderId="0" applyAlignment="1" pivotButton="0" quotePrefix="0" xfId="2">
      <alignment vertical="center"/>
    </xf>
    <xf numFmtId="170" fontId="21" fillId="2" borderId="0" applyAlignment="1" pivotButton="0" quotePrefix="0" xfId="1">
      <alignment vertical="center"/>
    </xf>
    <xf numFmtId="169" fontId="22" fillId="2" borderId="0" applyAlignment="1" pivotButton="0" quotePrefix="0" xfId="2">
      <alignment vertical="center"/>
    </xf>
    <xf numFmtId="170" fontId="6" fillId="8" borderId="10" applyAlignment="1" pivotButton="0" quotePrefix="0" xfId="1">
      <alignment horizontal="left" vertical="center"/>
    </xf>
    <xf numFmtId="166" fontId="6" fillId="8" borderId="13" applyAlignment="1" pivotButton="0" quotePrefix="0" xfId="1">
      <alignment vertical="center" wrapText="1"/>
    </xf>
    <xf numFmtId="10" fontId="6" fillId="8" borderId="10" applyAlignment="1" pivotButton="0" quotePrefix="0" xfId="3">
      <alignment vertical="center" wrapText="1"/>
    </xf>
    <xf numFmtId="165" fontId="7" fillId="2" borderId="0" applyAlignment="1" pivotButton="0" quotePrefix="0" xfId="3">
      <alignment vertical="center"/>
    </xf>
    <xf numFmtId="166" fontId="6" fillId="8" borderId="10" applyAlignment="1" pivotButton="0" quotePrefix="0" xfId="1">
      <alignment horizontal="center" vertical="center" wrapText="1"/>
    </xf>
    <xf numFmtId="10" fontId="6" fillId="8" borderId="10" applyAlignment="1" pivotButton="0" quotePrefix="0" xfId="3">
      <alignment horizontal="center" vertical="center"/>
    </xf>
    <xf numFmtId="166" fontId="6" fillId="8" borderId="10" applyAlignment="1" pivotButton="0" quotePrefix="0" xfId="1">
      <alignment horizontal="right" vertical="center"/>
    </xf>
    <xf numFmtId="0" fontId="5" fillId="11" borderId="2" applyAlignment="1" pivotButton="0" quotePrefix="0" xfId="0">
      <alignment horizontal="center" vertical="center"/>
    </xf>
    <xf numFmtId="166" fontId="15" fillId="0" borderId="10" applyAlignment="1" applyProtection="1" pivotButton="0" quotePrefix="0" xfId="1">
      <alignment vertical="center"/>
      <protection locked="0" hidden="0"/>
    </xf>
    <xf numFmtId="10" fontId="6" fillId="0" borderId="10" applyAlignment="1" applyProtection="1" pivotButton="0" quotePrefix="0" xfId="3">
      <alignment vertical="center"/>
      <protection locked="0" hidden="0"/>
    </xf>
    <xf numFmtId="10" fontId="6" fillId="8" borderId="10" applyAlignment="1" applyProtection="1" pivotButton="0" quotePrefix="0" xfId="3">
      <alignment vertical="center"/>
      <protection locked="0" hidden="0"/>
    </xf>
    <xf numFmtId="166" fontId="6" fillId="8" borderId="10" applyAlignment="1" applyProtection="1" pivotButton="0" quotePrefix="0" xfId="1">
      <alignment vertical="center"/>
      <protection locked="0" hidden="0"/>
    </xf>
    <xf numFmtId="0" fontId="15" fillId="2" borderId="0" applyAlignment="1" pivotButton="0" quotePrefix="0" xfId="0">
      <alignment horizontal="center" vertical="center"/>
    </xf>
    <xf numFmtId="9" fontId="6" fillId="8" borderId="10" applyAlignment="1" applyProtection="1" pivotButton="0" quotePrefix="0" xfId="3">
      <alignment vertical="center"/>
      <protection locked="0" hidden="0"/>
    </xf>
    <xf numFmtId="10" fontId="6" fillId="8" borderId="10" applyAlignment="1" applyProtection="1" pivotButton="0" quotePrefix="0" xfId="2">
      <alignment vertical="center"/>
      <protection locked="0" hidden="0"/>
    </xf>
    <xf numFmtId="169" fontId="6" fillId="8" borderId="10" applyAlignment="1" applyProtection="1" pivotButton="0" quotePrefix="0" xfId="2">
      <alignment vertical="center"/>
      <protection locked="0" hidden="0"/>
    </xf>
    <xf numFmtId="166" fontId="6" fillId="0" borderId="10" applyAlignment="1" applyProtection="1" pivotButton="0" quotePrefix="0" xfId="1">
      <alignment vertical="center"/>
      <protection locked="0" hidden="0"/>
    </xf>
    <xf numFmtId="165" fontId="6" fillId="8" borderId="10" applyAlignment="1" applyProtection="1" pivotButton="0" quotePrefix="0" xfId="3">
      <alignment vertical="center"/>
      <protection locked="0" hidden="0"/>
    </xf>
    <xf numFmtId="165" fontId="6" fillId="0" borderId="10" applyAlignment="1" applyProtection="1" pivotButton="0" quotePrefix="0" xfId="3">
      <alignment vertical="center"/>
      <protection locked="0" hidden="0"/>
    </xf>
    <xf numFmtId="10" fontId="15" fillId="8" borderId="10" applyAlignment="1" pivotButton="0" quotePrefix="0" xfId="3">
      <alignment vertical="center"/>
    </xf>
    <xf numFmtId="166" fontId="18" fillId="2" borderId="0" applyAlignment="1" pivotButton="0" quotePrefix="0" xfId="0">
      <alignment vertical="center"/>
    </xf>
    <xf numFmtId="0" fontId="5" fillId="8" borderId="17" applyAlignment="1" pivotButton="0" quotePrefix="0" xfId="0">
      <alignment vertical="center" wrapText="1"/>
    </xf>
    <xf numFmtId="0" fontId="19" fillId="2" borderId="18" applyAlignment="1" pivotButton="0" quotePrefix="0" xfId="0">
      <alignment vertical="center"/>
    </xf>
    <xf numFmtId="0" fontId="18" fillId="2" borderId="18" applyAlignment="1" pivotButton="0" quotePrefix="0" xfId="0">
      <alignment vertical="center" wrapText="1"/>
    </xf>
    <xf numFmtId="0" fontId="18" fillId="2" borderId="18" applyAlignment="1" pivotButton="0" quotePrefix="0" xfId="0">
      <alignment vertical="center"/>
    </xf>
    <xf numFmtId="166" fontId="18" fillId="2" borderId="18" applyAlignment="1" pivotButton="0" quotePrefix="0" xfId="1">
      <alignment vertical="center"/>
    </xf>
    <xf numFmtId="166" fontId="19" fillId="2" borderId="18" applyAlignment="1" pivotButton="0" quotePrefix="0" xfId="1">
      <alignment vertical="center"/>
    </xf>
    <xf numFmtId="165" fontId="5" fillId="2" borderId="18" applyAlignment="1" pivotButton="0" quotePrefix="0" xfId="3">
      <alignment vertical="center"/>
    </xf>
    <xf numFmtId="165" fontId="5" fillId="8" borderId="19" applyAlignment="1" pivotButton="0" quotePrefix="0" xfId="3">
      <alignment vertical="center"/>
    </xf>
    <xf numFmtId="165" fontId="5" fillId="8" borderId="20" applyAlignment="1" pivotButton="0" quotePrefix="0" xfId="3">
      <alignment vertical="center"/>
    </xf>
    <xf numFmtId="9" fontId="6" fillId="8" borderId="10" applyAlignment="1" pivotButton="0" quotePrefix="0" xfId="3">
      <alignment vertical="center" wrapText="1"/>
    </xf>
    <xf numFmtId="166" fontId="18" fillId="8" borderId="10" applyAlignment="1" pivotButton="0" quotePrefix="0" xfId="1">
      <alignment vertical="center" wrapText="1"/>
    </xf>
    <xf numFmtId="10" fontId="18" fillId="8" borderId="10" applyAlignment="1" pivotButton="0" quotePrefix="0" xfId="3">
      <alignment vertical="center"/>
    </xf>
    <xf numFmtId="0" fontId="18" fillId="0" borderId="0" applyAlignment="1" applyProtection="1" pivotButton="0" quotePrefix="0" xfId="0">
      <alignment vertical="center" wrapText="1"/>
      <protection locked="0" hidden="0"/>
    </xf>
    <xf numFmtId="10" fontId="18" fillId="0" borderId="0" applyAlignment="1" applyProtection="1" pivotButton="0" quotePrefix="0" xfId="0">
      <alignment vertical="center"/>
      <protection locked="0" hidden="0"/>
    </xf>
    <xf numFmtId="166" fontId="17" fillId="0" borderId="10" applyAlignment="1" applyProtection="1" pivotButton="0" quotePrefix="0" xfId="1">
      <alignment vertical="center"/>
      <protection locked="0" hidden="0"/>
    </xf>
    <xf numFmtId="166" fontId="17" fillId="0" borderId="12" applyAlignment="1" applyProtection="1" pivotButton="0" quotePrefix="0" xfId="1">
      <alignment vertical="center"/>
      <protection locked="0" hidden="0"/>
    </xf>
    <xf numFmtId="164" fontId="7" fillId="2" borderId="0" applyAlignment="1" pivotButton="0" quotePrefix="0" xfId="1">
      <alignment horizontal="center" vertical="center"/>
    </xf>
    <xf numFmtId="0" fontId="15" fillId="8" borderId="1" applyAlignment="1" pivotButton="0" quotePrefix="0" xfId="0">
      <alignment vertical="center" wrapText="1"/>
    </xf>
    <xf numFmtId="166" fontId="6" fillId="8" borderId="0" applyAlignment="1" pivotButton="0" quotePrefix="0" xfId="1">
      <alignment vertical="center" wrapText="1"/>
    </xf>
    <xf numFmtId="166" fontId="6" fillId="8" borderId="0" applyAlignment="1" pivotButton="0" quotePrefix="0" xfId="1">
      <alignment vertical="center"/>
    </xf>
    <xf numFmtId="166" fontId="15" fillId="8" borderId="0" applyAlignment="1" pivotButton="0" quotePrefix="0" xfId="1">
      <alignment vertical="center"/>
    </xf>
    <xf numFmtId="166" fontId="15" fillId="8" borderId="2" applyAlignment="1" pivotButton="0" quotePrefix="0" xfId="1">
      <alignment vertical="center"/>
    </xf>
    <xf numFmtId="0" fontId="15" fillId="2" borderId="1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/>
    </xf>
    <xf numFmtId="0" fontId="5" fillId="12" borderId="9" applyAlignment="1" pivotButton="0" quotePrefix="0" xfId="0">
      <alignment vertical="center" wrapText="1"/>
    </xf>
    <xf numFmtId="166" fontId="15" fillId="12" borderId="10" applyAlignment="1" pivotButton="0" quotePrefix="0" xfId="1">
      <alignment vertical="center"/>
    </xf>
    <xf numFmtId="166" fontId="15" fillId="12" borderId="12" applyAlignment="1" pivotButton="0" quotePrefix="0" xfId="1">
      <alignment vertical="center"/>
    </xf>
    <xf numFmtId="0" fontId="5" fillId="2" borderId="21" applyAlignment="1" pivotButton="0" quotePrefix="0" xfId="0">
      <alignment vertical="center" wrapText="1"/>
    </xf>
    <xf numFmtId="0" fontId="5" fillId="2" borderId="22" applyAlignment="1" pivotButton="0" quotePrefix="0" xfId="0">
      <alignment vertical="center"/>
    </xf>
    <xf numFmtId="0" fontId="5" fillId="2" borderId="23" applyAlignment="1" pivotButton="0" quotePrefix="0" xfId="0">
      <alignment vertical="center"/>
    </xf>
    <xf numFmtId="0" fontId="7" fillId="13" borderId="24" applyAlignment="1" pivotButton="0" quotePrefix="0" xfId="0">
      <alignment vertical="center" wrapText="1"/>
    </xf>
    <xf numFmtId="166" fontId="7" fillId="13" borderId="25" applyAlignment="1" pivotButton="0" quotePrefix="0" xfId="1">
      <alignment vertical="center"/>
    </xf>
    <xf numFmtId="166" fontId="11" fillId="13" borderId="25" applyAlignment="1" pivotButton="0" quotePrefix="0" xfId="1">
      <alignment vertical="center" wrapText="1"/>
    </xf>
    <xf numFmtId="166" fontId="11" fillId="13" borderId="25" applyAlignment="1" pivotButton="0" quotePrefix="0" xfId="1">
      <alignment vertical="center"/>
    </xf>
    <xf numFmtId="0" fontId="11" fillId="13" borderId="25" applyAlignment="1" pivotButton="0" quotePrefix="0" xfId="0">
      <alignment vertical="center"/>
    </xf>
    <xf numFmtId="0" fontId="7" fillId="13" borderId="25" applyAlignment="1" pivotButton="0" quotePrefix="0" xfId="0">
      <alignment vertical="center"/>
    </xf>
    <xf numFmtId="0" fontId="7" fillId="13" borderId="26" applyAlignment="1" pivotButton="0" quotePrefix="0" xfId="0">
      <alignment vertical="center"/>
    </xf>
    <xf numFmtId="0" fontId="15" fillId="2" borderId="1" applyAlignment="1" pivotButton="0" quotePrefix="0" xfId="0">
      <alignment vertical="center" wrapText="1"/>
    </xf>
    <xf numFmtId="0" fontId="15" fillId="2" borderId="2" applyAlignment="1" pivotButton="0" quotePrefix="0" xfId="0">
      <alignment vertical="center"/>
    </xf>
    <xf numFmtId="0" fontId="12" fillId="14" borderId="9" applyAlignment="1" pivotButton="0" quotePrefix="0" xfId="0">
      <alignment vertical="center" wrapText="1"/>
    </xf>
    <xf numFmtId="0" fontId="5" fillId="8" borderId="10" applyAlignment="1" pivotButton="0" quotePrefix="0" xfId="0">
      <alignment horizontal="center" vertical="center"/>
    </xf>
    <xf numFmtId="166" fontId="15" fillId="8" borderId="14" applyAlignment="1" pivotButton="0" quotePrefix="0" xfId="1">
      <alignment vertical="center"/>
    </xf>
    <xf numFmtId="166" fontId="15" fillId="8" borderId="15" applyAlignment="1" pivotButton="0" quotePrefix="0" xfId="1">
      <alignment vertical="center"/>
    </xf>
    <xf numFmtId="10" fontId="23" fillId="8" borderId="10" applyAlignment="1" pivotButton="0" quotePrefix="0" xfId="3">
      <alignment vertical="center"/>
    </xf>
    <xf numFmtId="10" fontId="23" fillId="8" borderId="12" applyAlignment="1" pivotButton="0" quotePrefix="0" xfId="3">
      <alignment vertical="center"/>
    </xf>
    <xf numFmtId="0" fontId="12" fillId="14" borderId="1" applyAlignment="1" pivotButton="0" quotePrefix="0" xfId="0">
      <alignment vertical="center" wrapText="1"/>
    </xf>
    <xf numFmtId="0" fontId="12" fillId="14" borderId="0" applyAlignment="1" pivotButton="0" quotePrefix="0" xfId="0">
      <alignment vertical="center" wrapText="1"/>
    </xf>
    <xf numFmtId="0" fontId="12" fillId="14" borderId="2" applyAlignment="1" pivotButton="0" quotePrefix="0" xfId="0">
      <alignment vertical="center" wrapText="1"/>
    </xf>
    <xf numFmtId="10" fontId="15" fillId="8" borderId="12" applyAlignment="1" pivotButton="0" quotePrefix="0" xfId="3">
      <alignment vertical="center"/>
    </xf>
    <xf numFmtId="0" fontId="6" fillId="8" borderId="27" applyAlignment="1" pivotButton="0" quotePrefix="0" xfId="0">
      <alignment horizontal="center" vertical="center" wrapText="1"/>
    </xf>
    <xf numFmtId="166" fontId="18" fillId="15" borderId="28" applyAlignment="1" pivotButton="0" quotePrefix="0" xfId="1">
      <alignment horizontal="center" vertical="center"/>
    </xf>
    <xf numFmtId="0" fontId="6" fillId="8" borderId="9" applyAlignment="1" pivotButton="0" quotePrefix="0" xfId="0">
      <alignment vertical="center" wrapText="1"/>
    </xf>
    <xf numFmtId="0" fontId="6" fillId="8" borderId="29" applyAlignment="1" pivotButton="0" quotePrefix="0" xfId="0">
      <alignment horizontal="center" vertical="center" wrapText="1"/>
    </xf>
    <xf numFmtId="166" fontId="6" fillId="8" borderId="30" applyAlignment="1" pivotButton="0" quotePrefix="0" xfId="1">
      <alignment horizontal="center" vertical="center"/>
    </xf>
    <xf numFmtId="10" fontId="15" fillId="8" borderId="10" applyAlignment="1" pivotButton="0" quotePrefix="0" xfId="3">
      <alignment horizontal="center" vertical="center"/>
    </xf>
    <xf numFmtId="10" fontId="15" fillId="8" borderId="12" applyAlignment="1" pivotButton="0" quotePrefix="0" xfId="3">
      <alignment horizontal="center" vertical="center"/>
    </xf>
    <xf numFmtId="0" fontId="6" fillId="8" borderId="31" applyAlignment="1" pivotButton="0" quotePrefix="0" xfId="0">
      <alignment horizontal="center" vertical="center" wrapText="1"/>
    </xf>
    <xf numFmtId="166" fontId="18" fillId="15" borderId="32" applyAlignment="1" pivotButton="0" quotePrefix="0" xfId="1">
      <alignment horizontal="center" vertical="center"/>
    </xf>
    <xf numFmtId="166" fontId="15" fillId="2" borderId="2" applyAlignment="1" pivotButton="0" quotePrefix="0" xfId="1">
      <alignment vertical="center"/>
    </xf>
    <xf numFmtId="0" fontId="6" fillId="8" borderId="33" applyAlignment="1" pivotButton="0" quotePrefix="0" xfId="0">
      <alignment horizontal="left" vertical="center" wrapText="1"/>
    </xf>
    <xf numFmtId="0" fontId="6" fillId="8" borderId="34" applyAlignment="1" pivotButton="0" quotePrefix="0" xfId="0">
      <alignment vertical="center"/>
    </xf>
    <xf numFmtId="166" fontId="6" fillId="8" borderId="30" applyAlignment="1" pivotButton="0" quotePrefix="0" xfId="1">
      <alignment vertical="center"/>
    </xf>
    <xf numFmtId="0" fontId="15" fillId="8" borderId="2" applyAlignment="1" pivotButton="0" quotePrefix="0" xfId="0">
      <alignment vertical="center"/>
    </xf>
    <xf numFmtId="0" fontId="6" fillId="8" borderId="35" applyAlignment="1" pivotButton="0" quotePrefix="0" xfId="0">
      <alignment horizontal="left" vertical="center" wrapText="1"/>
    </xf>
    <xf numFmtId="0" fontId="6" fillId="8" borderId="11" applyAlignment="1" pivotButton="0" quotePrefix="0" xfId="0">
      <alignment vertical="center"/>
    </xf>
    <xf numFmtId="10" fontId="6" fillId="8" borderId="36" applyAlignment="1" pivotButton="0" quotePrefix="0" xfId="3">
      <alignment vertical="center"/>
    </xf>
    <xf numFmtId="0" fontId="6" fillId="8" borderId="37" applyAlignment="1" pivotButton="0" quotePrefix="0" xfId="0">
      <alignment horizontal="left" vertical="center" wrapText="1"/>
    </xf>
    <xf numFmtId="166" fontId="6" fillId="8" borderId="7" applyAlignment="1" pivotButton="0" quotePrefix="0" xfId="1">
      <alignment vertical="center"/>
    </xf>
    <xf numFmtId="166" fontId="6" fillId="8" borderId="38" applyAlignment="1" pivotButton="0" quotePrefix="0" xfId="1">
      <alignment vertical="center"/>
    </xf>
    <xf numFmtId="0" fontId="6" fillId="8" borderId="31" applyAlignment="1" pivotButton="0" quotePrefix="0" xfId="0">
      <alignment horizontal="left" vertical="center" wrapText="1"/>
    </xf>
    <xf numFmtId="0" fontId="6" fillId="8" borderId="39" applyAlignment="1" pivotButton="0" quotePrefix="0" xfId="0">
      <alignment vertical="center"/>
    </xf>
    <xf numFmtId="10" fontId="6" fillId="8" borderId="32" applyAlignment="1" pivotButton="0" quotePrefix="0" xfId="3">
      <alignment vertical="center"/>
    </xf>
    <xf numFmtId="166" fontId="6" fillId="2" borderId="0" applyAlignment="1" pivotButton="0" quotePrefix="0" xfId="1">
      <alignment vertical="center"/>
    </xf>
    <xf numFmtId="166" fontId="15" fillId="2" borderId="2" applyAlignment="1" pivotButton="0" quotePrefix="0" xfId="0">
      <alignment vertical="center"/>
    </xf>
    <xf numFmtId="0" fontId="5" fillId="16" borderId="9" applyAlignment="1" pivotButton="0" quotePrefix="0" xfId="0">
      <alignment vertical="center" wrapText="1"/>
    </xf>
    <xf numFmtId="166" fontId="5" fillId="2" borderId="0" applyAlignment="1" pivotButton="0" quotePrefix="0" xfId="1">
      <alignment vertical="center" wrapText="1"/>
    </xf>
    <xf numFmtId="166" fontId="5" fillId="16" borderId="10" applyAlignment="1" pivotButton="0" quotePrefix="0" xfId="1">
      <alignment vertical="center"/>
    </xf>
    <xf numFmtId="166" fontId="5" fillId="16" borderId="12" applyAlignment="1" pivotButton="0" quotePrefix="0" xfId="1">
      <alignment vertical="center"/>
    </xf>
    <xf numFmtId="0" fontId="15" fillId="8" borderId="9" applyAlignment="1" pivotButton="0" quotePrefix="1" xfId="0">
      <alignment vertical="center" wrapText="1"/>
    </xf>
    <xf numFmtId="166" fontId="6" fillId="2" borderId="1" applyAlignment="1" pivotButton="0" quotePrefix="0" xfId="1">
      <alignment vertical="center"/>
    </xf>
    <xf numFmtId="9" fontId="18" fillId="2" borderId="0" applyAlignment="1" pivotButton="0" quotePrefix="0" xfId="3">
      <alignment vertical="center"/>
    </xf>
    <xf numFmtId="166" fontId="15" fillId="16" borderId="10" applyAlignment="1" pivotButton="0" quotePrefix="0" xfId="1">
      <alignment vertical="center"/>
    </xf>
    <xf numFmtId="166" fontId="15" fillId="16" borderId="12" applyAlignment="1" pivotButton="0" quotePrefix="0" xfId="1">
      <alignment vertical="center"/>
    </xf>
    <xf numFmtId="166" fontId="23" fillId="8" borderId="10" applyAlignment="1" pivotButton="0" quotePrefix="0" xfId="1">
      <alignment vertical="center"/>
    </xf>
    <xf numFmtId="166" fontId="23" fillId="8" borderId="12" applyAlignment="1" pivotButton="0" quotePrefix="0" xfId="1">
      <alignment vertical="center"/>
    </xf>
    <xf numFmtId="166" fontId="5" fillId="16" borderId="9" applyAlignment="1" pivotButton="0" quotePrefix="0" xfId="1">
      <alignment vertical="center"/>
    </xf>
    <xf numFmtId="166" fontId="6" fillId="8" borderId="10" applyAlignment="1" pivotButton="0" quotePrefix="0" xfId="1">
      <alignment horizontal="center" vertical="center"/>
    </xf>
    <xf numFmtId="0" fontId="11" fillId="2" borderId="1" applyAlignment="1" pivotButton="0" quotePrefix="0" xfId="0">
      <alignment vertical="center" wrapText="1"/>
    </xf>
    <xf numFmtId="166" fontId="11" fillId="2" borderId="0" applyAlignment="1" pivotButton="0" quotePrefix="0" xfId="1">
      <alignment vertical="center"/>
    </xf>
    <xf numFmtId="0" fontId="11" fillId="2" borderId="2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166" fontId="12" fillId="14" borderId="10" applyAlignment="1" pivotButton="0" quotePrefix="0" xfId="1">
      <alignment vertical="center"/>
    </xf>
    <xf numFmtId="166" fontId="12" fillId="14" borderId="12" applyAlignment="1" pivotButton="0" quotePrefix="0" xfId="1">
      <alignment vertical="center"/>
    </xf>
    <xf numFmtId="166" fontId="15" fillId="0" borderId="10" applyAlignment="1" pivotButton="0" quotePrefix="0" xfId="1">
      <alignment horizontal="center" vertical="center"/>
    </xf>
    <xf numFmtId="166" fontId="15" fillId="0" borderId="12" applyAlignment="1" pivotButton="0" quotePrefix="0" xfId="1">
      <alignment horizontal="center" vertical="center"/>
    </xf>
    <xf numFmtId="171" fontId="15" fillId="0" borderId="10" applyAlignment="1" applyProtection="1" pivotButton="0" quotePrefix="0" xfId="2">
      <alignment horizontal="center" vertical="center"/>
      <protection locked="0" hidden="0"/>
    </xf>
    <xf numFmtId="171" fontId="15" fillId="0" borderId="12" applyAlignment="1" applyProtection="1" pivotButton="0" quotePrefix="0" xfId="2">
      <alignment horizontal="center" vertical="center"/>
      <protection locked="0" hidden="0"/>
    </xf>
    <xf numFmtId="10" fontId="15" fillId="0" borderId="10" applyAlignment="1" applyProtection="1" pivotButton="0" quotePrefix="0" xfId="3">
      <alignment horizontal="center" vertical="center"/>
      <protection locked="0" hidden="0"/>
    </xf>
    <xf numFmtId="10" fontId="15" fillId="0" borderId="12" applyAlignment="1" applyProtection="1" pivotButton="0" quotePrefix="0" xfId="3">
      <alignment horizontal="center" vertical="center"/>
      <protection locked="0" hidden="0"/>
    </xf>
    <xf numFmtId="10" fontId="6" fillId="2" borderId="0" applyAlignment="1" pivotButton="0" quotePrefix="0" xfId="0">
      <alignment vertical="center"/>
    </xf>
    <xf numFmtId="165" fontId="11" fillId="2" borderId="0" applyAlignment="1" pivotButton="0" quotePrefix="0" xfId="3">
      <alignment vertical="center"/>
    </xf>
    <xf numFmtId="10" fontId="7" fillId="2" borderId="2" applyAlignment="1" pivotButton="0" quotePrefix="0" xfId="0">
      <alignment horizontal="center" vertical="center"/>
    </xf>
    <xf numFmtId="1" fontId="15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 wrapText="1"/>
    </xf>
    <xf numFmtId="169" fontId="0" fillId="0" borderId="0" pivotButton="0" quotePrefix="0" xfId="2"/>
    <xf numFmtId="0" fontId="5" fillId="17" borderId="18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15" fillId="8" borderId="0" applyAlignment="1" pivotButton="0" quotePrefix="0" xfId="0">
      <alignment vertical="center"/>
    </xf>
    <xf numFmtId="166" fontId="15" fillId="2" borderId="0" applyAlignment="1" pivotButton="0" quotePrefix="0" xfId="0">
      <alignment vertical="center"/>
    </xf>
    <xf numFmtId="10" fontId="7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0" fontId="7" fillId="4" borderId="42" applyAlignment="1" pivotButton="0" quotePrefix="0" xfId="0">
      <alignment horizontal="center" vertical="center"/>
    </xf>
    <xf numFmtId="0" fontId="5" fillId="18" borderId="43" applyAlignment="1" pivotButton="0" quotePrefix="0" xfId="0">
      <alignment horizontal="center" vertical="center"/>
    </xf>
    <xf numFmtId="166" fontId="5" fillId="7" borderId="4" applyAlignment="1" pivotButton="0" quotePrefix="0" xfId="1">
      <alignment vertical="center"/>
    </xf>
    <xf numFmtId="166" fontId="15" fillId="8" borderId="9" applyAlignment="1" pivotButton="0" quotePrefix="0" xfId="1">
      <alignment vertical="center"/>
    </xf>
    <xf numFmtId="166" fontId="7" fillId="2" borderId="1" applyAlignment="1" pivotButton="0" quotePrefix="0" xfId="3">
      <alignment horizontal="center" vertical="center"/>
    </xf>
    <xf numFmtId="166" fontId="7" fillId="2" borderId="2" applyAlignment="1" pivotButton="0" quotePrefix="0" xfId="3">
      <alignment horizontal="center" vertical="center"/>
    </xf>
    <xf numFmtId="166" fontId="17" fillId="9" borderId="9" applyAlignment="1" pivotButton="0" quotePrefix="0" xfId="1">
      <alignment vertical="center"/>
    </xf>
    <xf numFmtId="165" fontId="5" fillId="8" borderId="9" applyAlignment="1" pivotButton="0" quotePrefix="0" xfId="3">
      <alignment vertical="center"/>
    </xf>
    <xf numFmtId="10" fontId="5" fillId="2" borderId="1" applyAlignment="1" pivotButton="0" quotePrefix="0" xfId="3">
      <alignment horizontal="center" vertical="center"/>
    </xf>
    <xf numFmtId="0" fontId="5" fillId="2" borderId="1" applyAlignment="1" pivotButton="0" quotePrefix="0" xfId="0">
      <alignment horizontal="center" vertical="center"/>
    </xf>
    <xf numFmtId="166" fontId="5" fillId="7" borderId="9" applyAlignment="1" pivotButton="0" quotePrefix="0" xfId="1">
      <alignment vertical="center"/>
    </xf>
    <xf numFmtId="10" fontId="7" fillId="2" borderId="1" applyAlignment="1" pivotButton="0" quotePrefix="0" xfId="3">
      <alignment horizontal="center" vertical="center"/>
    </xf>
    <xf numFmtId="10" fontId="7" fillId="2" borderId="2" applyAlignment="1" pivotButton="0" quotePrefix="0" xfId="3">
      <alignment horizontal="center" vertical="center"/>
    </xf>
    <xf numFmtId="166" fontId="17" fillId="9" borderId="44" applyAlignment="1" pivotButton="0" quotePrefix="0" xfId="1">
      <alignment vertical="center"/>
    </xf>
    <xf numFmtId="166" fontId="17" fillId="8" borderId="9" applyAlignment="1" pivotButton="0" quotePrefix="0" xfId="1">
      <alignment vertical="center"/>
    </xf>
    <xf numFmtId="165" fontId="5" fillId="8" borderId="1" applyAlignment="1" pivotButton="0" quotePrefix="0" xfId="3">
      <alignment vertical="center"/>
    </xf>
    <xf numFmtId="166" fontId="15" fillId="8" borderId="9" applyAlignment="1" applyProtection="1" pivotButton="0" quotePrefix="0" xfId="1">
      <alignment vertical="center"/>
      <protection locked="0" hidden="0"/>
    </xf>
    <xf numFmtId="165" fontId="5" fillId="8" borderId="9" applyAlignment="1" applyProtection="1" pivotButton="0" quotePrefix="0" xfId="3">
      <alignment vertical="center"/>
      <protection locked="0" hidden="0"/>
    </xf>
    <xf numFmtId="165" fontId="5" fillId="2" borderId="1" applyAlignment="1" pivotButton="0" quotePrefix="0" xfId="0">
      <alignment horizontal="center" vertical="center"/>
    </xf>
    <xf numFmtId="166" fontId="7" fillId="2" borderId="1" applyAlignment="1" pivotButton="0" quotePrefix="0" xfId="1">
      <alignment vertical="center"/>
    </xf>
    <xf numFmtId="166" fontId="17" fillId="8" borderId="45" applyAlignment="1" pivotButton="0" quotePrefix="0" xfId="1">
      <alignment vertical="center"/>
    </xf>
    <xf numFmtId="165" fontId="7" fillId="2" borderId="1" applyAlignment="1" pivotButton="0" quotePrefix="0" xfId="3">
      <alignment vertical="center"/>
    </xf>
    <xf numFmtId="165" fontId="7" fillId="2" borderId="2" applyAlignment="1" pivotButton="0" quotePrefix="0" xfId="3">
      <alignment vertical="center"/>
    </xf>
    <xf numFmtId="0" fontId="5" fillId="11" borderId="1" applyAlignment="1" pivotButton="0" quotePrefix="0" xfId="0">
      <alignment horizontal="center" vertical="center"/>
    </xf>
    <xf numFmtId="165" fontId="5" fillId="8" borderId="17" applyAlignment="1" pivotButton="0" quotePrefix="0" xfId="3">
      <alignment vertical="center"/>
    </xf>
    <xf numFmtId="166" fontId="17" fillId="0" borderId="9" applyAlignment="1" applyProtection="1" pivotButton="0" quotePrefix="0" xfId="1">
      <alignment vertical="center"/>
      <protection locked="0" hidden="0"/>
    </xf>
    <xf numFmtId="166" fontId="5" fillId="2" borderId="1" applyAlignment="1" pivotButton="0" quotePrefix="0" xfId="0">
      <alignment horizontal="center" vertical="center"/>
    </xf>
    <xf numFmtId="166" fontId="5" fillId="2" borderId="2" applyAlignment="1" pivotButton="0" quotePrefix="0" xfId="0">
      <alignment horizontal="center" vertical="center"/>
    </xf>
    <xf numFmtId="164" fontId="7" fillId="2" borderId="1" applyAlignment="1" pivotButton="0" quotePrefix="0" xfId="1">
      <alignment horizontal="center" vertical="center"/>
    </xf>
    <xf numFmtId="164" fontId="7" fillId="2" borderId="2" applyAlignment="1" pivotButton="0" quotePrefix="0" xfId="1">
      <alignment horizontal="center" vertical="center"/>
    </xf>
    <xf numFmtId="166" fontId="15" fillId="8" borderId="1" applyAlignment="1" pivotButton="0" quotePrefix="0" xfId="1">
      <alignment vertical="center"/>
    </xf>
    <xf numFmtId="0" fontId="15" fillId="2" borderId="1" applyAlignment="1" pivotButton="0" quotePrefix="0" xfId="0">
      <alignment horizontal="center" vertical="center"/>
    </xf>
    <xf numFmtId="166" fontId="15" fillId="12" borderId="9" applyAlignment="1" pivotButton="0" quotePrefix="0" xfId="1">
      <alignment vertical="center"/>
    </xf>
    <xf numFmtId="0" fontId="5" fillId="2" borderId="21" applyAlignment="1" pivotButton="0" quotePrefix="0" xfId="0">
      <alignment vertical="center"/>
    </xf>
    <xf numFmtId="0" fontId="7" fillId="13" borderId="24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5" fillId="8" borderId="9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166" fontId="15" fillId="8" borderId="44" applyAlignment="1" pivotButton="0" quotePrefix="0" xfId="1">
      <alignment vertical="center"/>
    </xf>
    <xf numFmtId="10" fontId="23" fillId="8" borderId="9" applyAlignment="1" pivotButton="0" quotePrefix="0" xfId="3">
      <alignment vertical="center"/>
    </xf>
    <xf numFmtId="10" fontId="15" fillId="8" borderId="9" applyAlignment="1" pivotButton="0" quotePrefix="0" xfId="3">
      <alignment vertical="center"/>
    </xf>
    <xf numFmtId="10" fontId="15" fillId="8" borderId="9" applyAlignment="1" pivotButton="0" quotePrefix="0" xfId="3">
      <alignment horizontal="center" vertical="center"/>
    </xf>
    <xf numFmtId="166" fontId="15" fillId="2" borderId="1" applyAlignment="1" pivotButton="0" quotePrefix="0" xfId="1">
      <alignment vertical="center"/>
    </xf>
    <xf numFmtId="0" fontId="15" fillId="8" borderId="1" applyAlignment="1" pivotButton="0" quotePrefix="0" xfId="0">
      <alignment vertical="center"/>
    </xf>
    <xf numFmtId="166" fontId="15" fillId="2" borderId="1" applyAlignment="1" pivotButton="0" quotePrefix="0" xfId="0">
      <alignment vertical="center"/>
    </xf>
    <xf numFmtId="166" fontId="15" fillId="16" borderId="9" applyAlignment="1" pivotButton="0" quotePrefix="0" xfId="1">
      <alignment vertical="center"/>
    </xf>
    <xf numFmtId="166" fontId="23" fillId="8" borderId="9" applyAlignment="1" pivotButton="0" quotePrefix="0" xfId="1">
      <alignment vertical="center"/>
    </xf>
    <xf numFmtId="0" fontId="11" fillId="2" borderId="1" applyAlignment="1" pivotButton="0" quotePrefix="0" xfId="0">
      <alignment horizontal="center" vertical="center"/>
    </xf>
    <xf numFmtId="166" fontId="12" fillId="14" borderId="9" applyAlignment="1" pivotButton="0" quotePrefix="0" xfId="1">
      <alignment vertical="center"/>
    </xf>
    <xf numFmtId="166" fontId="15" fillId="0" borderId="9" applyAlignment="1" pivotButton="0" quotePrefix="0" xfId="1">
      <alignment horizontal="center" vertical="center"/>
    </xf>
    <xf numFmtId="171" fontId="15" fillId="0" borderId="9" applyAlignment="1" applyProtection="1" pivotButton="0" quotePrefix="0" xfId="2">
      <alignment horizontal="center" vertical="center"/>
      <protection locked="0" hidden="0"/>
    </xf>
    <xf numFmtId="10" fontId="15" fillId="0" borderId="9" applyAlignment="1" applyProtection="1" pivotButton="0" quotePrefix="0" xfId="3">
      <alignment horizontal="center" vertical="center"/>
      <protection locked="0" hidden="0"/>
    </xf>
    <xf numFmtId="10" fontId="7" fillId="2" borderId="1" applyAlignment="1" pivotButton="0" quotePrefix="0" xfId="0">
      <alignment horizontal="center" vertical="center"/>
    </xf>
    <xf numFmtId="9" fontId="15" fillId="8" borderId="17" applyAlignment="1" pivotButton="0" quotePrefix="0" xfId="3">
      <alignment horizontal="center" vertical="center"/>
    </xf>
    <xf numFmtId="9" fontId="15" fillId="8" borderId="19" applyAlignment="1" pivotButton="0" quotePrefix="0" xfId="3">
      <alignment horizontal="center" vertical="center"/>
    </xf>
    <xf numFmtId="9" fontId="15" fillId="8" borderId="20" applyAlignment="1" pivotButton="0" quotePrefix="0" xfId="3">
      <alignment horizontal="center" vertical="center"/>
    </xf>
    <xf numFmtId="166" fontId="5" fillId="12" borderId="9" applyAlignment="1" pivotButton="0" quotePrefix="0" xfId="1">
      <alignment vertical="center"/>
    </xf>
    <xf numFmtId="166" fontId="5" fillId="12" borderId="10" applyAlignment="1" pivotButton="0" quotePrefix="0" xfId="1">
      <alignment vertical="center"/>
    </xf>
    <xf numFmtId="166" fontId="5" fillId="12" borderId="12" applyAlignment="1" pivotButton="0" quotePrefix="0" xfId="1">
      <alignment vertical="center"/>
    </xf>
    <xf numFmtId="4" fontId="0" fillId="0" borderId="0" pivotButton="0" quotePrefix="0" xfId="0"/>
    <xf numFmtId="170" fontId="0" fillId="0" borderId="0" pivotButton="0" quotePrefix="0" xfId="1"/>
    <xf numFmtId="170" fontId="24" fillId="0" borderId="0" pivotButton="0" quotePrefix="0" xfId="1"/>
    <xf numFmtId="0" fontId="3" fillId="10" borderId="0" applyAlignment="1" pivotButton="0" quotePrefix="0" xfId="0">
      <alignment horizontal="center" vertical="center"/>
    </xf>
    <xf numFmtId="0" fontId="25" fillId="20" borderId="46" applyAlignment="1" pivotButton="0" quotePrefix="0" xfId="0">
      <alignment horizontal="center" vertical="center"/>
    </xf>
    <xf numFmtId="49" fontId="3" fillId="20" borderId="47" applyAlignment="1" pivotButton="0" quotePrefix="0" xfId="0">
      <alignment horizontal="center" vertical="center" wrapText="1"/>
    </xf>
    <xf numFmtId="49" fontId="3" fillId="20" borderId="48" applyAlignment="1" pivotButton="0" quotePrefix="0" xfId="0">
      <alignment horizontal="center" vertical="center" wrapText="1"/>
    </xf>
    <xf numFmtId="0" fontId="3" fillId="20" borderId="49" applyAlignment="1" pivotButton="0" quotePrefix="0" xfId="0">
      <alignment horizontal="center" vertical="center"/>
    </xf>
    <xf numFmtId="172" fontId="3" fillId="20" borderId="0" applyAlignment="1" pivotButton="0" quotePrefix="0" xfId="0">
      <alignment horizontal="center" vertical="center"/>
    </xf>
    <xf numFmtId="172" fontId="3" fillId="20" borderId="38" applyAlignment="1" pivotButton="0" quotePrefix="0" xfId="0">
      <alignment horizontal="center" vertical="center"/>
    </xf>
    <xf numFmtId="170" fontId="24" fillId="0" borderId="0" applyAlignment="1" pivotButton="0" quotePrefix="0" xfId="1">
      <alignment horizontal="center"/>
    </xf>
    <xf numFmtId="0" fontId="3" fillId="10" borderId="50" applyAlignment="1" pivotButton="0" quotePrefix="0" xfId="0">
      <alignment horizontal="center" vertical="center"/>
    </xf>
    <xf numFmtId="0" fontId="0" fillId="0" borderId="38" pivotButton="0" quotePrefix="0" xfId="0"/>
    <xf numFmtId="14" fontId="0" fillId="10" borderId="0" pivotButton="0" quotePrefix="0" xfId="0"/>
    <xf numFmtId="0" fontId="0" fillId="0" borderId="49" applyAlignment="1" pivotButton="0" quotePrefix="0" xfId="0">
      <alignment vertical="center"/>
    </xf>
    <xf numFmtId="169" fontId="3" fillId="21" borderId="51" applyAlignment="1" pivotButton="0" quotePrefix="0" xfId="2">
      <alignment horizontal="center" vertical="center"/>
    </xf>
    <xf numFmtId="169" fontId="3" fillId="21" borderId="52" applyAlignment="1" pivotButton="0" quotePrefix="0" xfId="2">
      <alignment horizontal="center" vertical="center"/>
    </xf>
    <xf numFmtId="17" fontId="0" fillId="10" borderId="0" pivotButton="0" quotePrefix="0" xfId="0"/>
    <xf numFmtId="169" fontId="26" fillId="21" borderId="51" applyAlignment="1" pivotButton="0" quotePrefix="0" xfId="2">
      <alignment horizontal="center" vertical="center"/>
    </xf>
    <xf numFmtId="169" fontId="26" fillId="21" borderId="52" applyAlignment="1" pivotButton="0" quotePrefix="0" xfId="2">
      <alignment horizontal="center" vertical="center"/>
    </xf>
    <xf numFmtId="170" fontId="0" fillId="0" borderId="0" applyAlignment="1" pivotButton="0" quotePrefix="0" xfId="1">
      <alignment vertical="center" wrapText="1"/>
    </xf>
    <xf numFmtId="170" fontId="27" fillId="0" borderId="0" pivotButton="0" quotePrefix="0" xfId="1"/>
    <xf numFmtId="169" fontId="20" fillId="0" borderId="0" pivotButton="0" quotePrefix="0" xfId="2"/>
    <xf numFmtId="170" fontId="20" fillId="0" borderId="0" pivotButton="0" quotePrefix="0" xfId="1"/>
    <xf numFmtId="169" fontId="3" fillId="19" borderId="51" applyAlignment="1" pivotButton="0" quotePrefix="0" xfId="2">
      <alignment horizontal="center" vertical="center"/>
    </xf>
    <xf numFmtId="0" fontId="0" fillId="10" borderId="53" applyAlignment="1" pivotButton="0" quotePrefix="0" xfId="0">
      <alignment vertical="center"/>
    </xf>
    <xf numFmtId="173" fontId="3" fillId="10" borderId="22" applyAlignment="1" pivotButton="0" quotePrefix="0" xfId="0">
      <alignment horizontal="center" vertical="center"/>
    </xf>
    <xf numFmtId="173" fontId="3" fillId="10" borderId="54" applyAlignment="1" pivotButton="0" quotePrefix="0" xfId="0">
      <alignment horizontal="center" vertical="center"/>
    </xf>
    <xf numFmtId="0" fontId="3" fillId="23" borderId="49" applyAlignment="1" pivotButton="0" quotePrefix="0" xfId="0">
      <alignment vertical="center"/>
    </xf>
    <xf numFmtId="173" fontId="0" fillId="0" borderId="0" pivotButton="0" quotePrefix="0" xfId="1"/>
    <xf numFmtId="0" fontId="3" fillId="23" borderId="53" applyAlignment="1" pivotButton="0" quotePrefix="0" xfId="0">
      <alignment vertical="center"/>
    </xf>
    <xf numFmtId="0" fontId="0" fillId="0" borderId="49" applyAlignment="1" pivotButton="0" quotePrefix="0" xfId="0">
      <alignment horizontal="left" vertical="center"/>
    </xf>
    <xf numFmtId="173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2">
      <alignment horizontal="center" vertical="center"/>
    </xf>
    <xf numFmtId="169" fontId="0" fillId="0" borderId="38" applyAlignment="1" pivotButton="0" quotePrefix="0" xfId="2">
      <alignment horizontal="center" vertical="center"/>
    </xf>
    <xf numFmtId="170" fontId="20" fillId="0" borderId="0" applyAlignment="1" pivotButton="0" quotePrefix="0" xfId="1">
      <alignment horizontal="center"/>
    </xf>
    <xf numFmtId="173" fontId="0" fillId="0" borderId="38" applyAlignment="1" pivotButton="0" quotePrefix="0" xfId="0">
      <alignment horizontal="center" vertical="center"/>
    </xf>
    <xf numFmtId="0" fontId="28" fillId="0" borderId="49" applyAlignment="1" pivotButton="0" quotePrefix="0" xfId="0">
      <alignment horizontal="left" vertical="center"/>
    </xf>
    <xf numFmtId="173" fontId="28" fillId="0" borderId="0" applyAlignment="1" pivotButton="0" quotePrefix="0" xfId="0">
      <alignment horizontal="center" vertical="center"/>
    </xf>
    <xf numFmtId="173" fontId="28" fillId="0" borderId="38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10" fontId="3" fillId="0" borderId="0" applyAlignment="1" pivotButton="0" quotePrefix="0" xfId="5">
      <alignment horizontal="center" vertical="center"/>
    </xf>
    <xf numFmtId="10" fontId="3" fillId="0" borderId="38" applyAlignment="1" pivotButton="0" quotePrefix="0" xfId="5">
      <alignment horizontal="center" vertical="center"/>
    </xf>
    <xf numFmtId="10" fontId="3" fillId="0" borderId="0" applyAlignment="1" pivotButton="0" quotePrefix="0" xfId="6">
      <alignment horizontal="center" vertical="center"/>
    </xf>
    <xf numFmtId="10" fontId="3" fillId="0" borderId="38" applyAlignment="1" pivotButton="0" quotePrefix="0" xfId="6">
      <alignment horizontal="center" vertical="center"/>
    </xf>
    <xf numFmtId="10" fontId="0" fillId="0" borderId="0" applyAlignment="1" pivotButton="0" quotePrefix="0" xfId="3">
      <alignment horizontal="center" vertical="center"/>
    </xf>
    <xf numFmtId="9" fontId="0" fillId="0" borderId="0" applyAlignment="1" pivotButton="0" quotePrefix="0" xfId="5">
      <alignment horizontal="center" vertical="center"/>
    </xf>
    <xf numFmtId="9" fontId="0" fillId="0" borderId="38" applyAlignment="1" pivotButton="0" quotePrefix="0" xfId="5">
      <alignment horizontal="center" vertical="center"/>
    </xf>
    <xf numFmtId="10" fontId="0" fillId="0" borderId="0" applyAlignment="1" pivotButton="0" quotePrefix="0" xfId="5">
      <alignment horizontal="center" vertical="center"/>
    </xf>
    <xf numFmtId="10" fontId="3" fillId="23" borderId="22" applyAlignment="1" pivotButton="0" quotePrefix="0" xfId="5">
      <alignment horizontal="center" vertical="center"/>
    </xf>
    <xf numFmtId="10" fontId="3" fillId="23" borderId="54" applyAlignment="1" pivotButton="0" quotePrefix="0" xfId="5">
      <alignment horizontal="center" vertical="center"/>
    </xf>
    <xf numFmtId="170" fontId="0" fillId="0" borderId="0" applyAlignment="1" pivotButton="0" quotePrefix="0" xfId="7">
      <alignment vertical="center"/>
    </xf>
    <xf numFmtId="169" fontId="0" fillId="19" borderId="0" pivotButton="0" quotePrefix="0" xfId="2"/>
    <xf numFmtId="169" fontId="26" fillId="23" borderId="0" applyAlignment="1" pivotButton="0" quotePrefix="0" xfId="2">
      <alignment horizontal="center" vertical="center"/>
    </xf>
    <xf numFmtId="169" fontId="26" fillId="23" borderId="38" applyAlignment="1" pivotButton="0" quotePrefix="0" xfId="2">
      <alignment horizontal="center" vertical="center"/>
    </xf>
    <xf numFmtId="169" fontId="26" fillId="23" borderId="22" applyAlignment="1" pivotButton="0" quotePrefix="0" xfId="2">
      <alignment horizontal="center" vertical="center"/>
    </xf>
    <xf numFmtId="169" fontId="26" fillId="23" borderId="54" applyAlignment="1" pivotButton="0" quotePrefix="0" xfId="2">
      <alignment horizontal="center" vertical="center"/>
    </xf>
    <xf numFmtId="164" fontId="0" fillId="0" borderId="0" pivotButton="0" quotePrefix="0" xfId="1"/>
    <xf numFmtId="0" fontId="30" fillId="0" borderId="0" pivotButton="0" quotePrefix="0" xfId="0"/>
    <xf numFmtId="0" fontId="2" fillId="24" borderId="59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0" pivotButton="0" quotePrefix="0" xfId="0"/>
    <xf numFmtId="164" fontId="3" fillId="0" borderId="0" pivotButton="0" quotePrefix="0" xfId="1"/>
    <xf numFmtId="170" fontId="3" fillId="25" borderId="0" pivotButton="0" quotePrefix="0" xfId="1"/>
    <xf numFmtId="170" fontId="3" fillId="0" borderId="0" pivotButton="0" quotePrefix="0" xfId="1"/>
    <xf numFmtId="170" fontId="3" fillId="0" borderId="2" pivotButton="0" quotePrefix="0" xfId="1"/>
    <xf numFmtId="0" fontId="0" fillId="0" borderId="1" pivotButton="0" quotePrefix="0" xfId="0"/>
    <xf numFmtId="170" fontId="0" fillId="25" borderId="0" pivotButton="0" quotePrefix="0" xfId="1"/>
    <xf numFmtId="170" fontId="1" fillId="0" borderId="2" pivotButton="0" quotePrefix="0" xfId="1"/>
    <xf numFmtId="164" fontId="3" fillId="0" borderId="0" pivotButton="0" quotePrefix="1" xfId="1"/>
    <xf numFmtId="0" fontId="3" fillId="0" borderId="42" pivotButton="0" quotePrefix="0" xfId="0"/>
    <xf numFmtId="0" fontId="3" fillId="0" borderId="18" pivotButton="0" quotePrefix="0" xfId="0"/>
    <xf numFmtId="170" fontId="3" fillId="0" borderId="18" pivotButton="0" quotePrefix="0" xfId="1"/>
    <xf numFmtId="170" fontId="3" fillId="25" borderId="18" pivotButton="0" quotePrefix="0" xfId="1"/>
    <xf numFmtId="170" fontId="3" fillId="0" borderId="43" pivotButton="0" quotePrefix="0" xfId="1"/>
    <xf numFmtId="0" fontId="0" fillId="0" borderId="55" pivotButton="0" quotePrefix="0" xfId="0"/>
    <xf numFmtId="10" fontId="0" fillId="0" borderId="56" pivotButton="0" quotePrefix="0" xfId="3"/>
    <xf numFmtId="170" fontId="0" fillId="0" borderId="56" pivotButton="0" quotePrefix="0" xfId="1"/>
    <xf numFmtId="170" fontId="0" fillId="25" borderId="56" pivotButton="0" quotePrefix="0" xfId="1"/>
    <xf numFmtId="170" fontId="0" fillId="0" borderId="58" pivotButton="0" quotePrefix="0" xfId="1"/>
    <xf numFmtId="10" fontId="0" fillId="0" borderId="0" pivotButton="0" quotePrefix="0" xfId="3"/>
    <xf numFmtId="170" fontId="0" fillId="0" borderId="2" pivotButton="0" quotePrefix="0" xfId="1"/>
    <xf numFmtId="0" fontId="0" fillId="0" borderId="42" pivotButton="0" quotePrefix="0" xfId="0"/>
    <xf numFmtId="10" fontId="0" fillId="0" borderId="18" pivotButton="0" quotePrefix="0" xfId="3"/>
    <xf numFmtId="170" fontId="0" fillId="0" borderId="18" pivotButton="0" quotePrefix="0" xfId="1"/>
    <xf numFmtId="170" fontId="0" fillId="25" borderId="18" pivotButton="0" quotePrefix="0" xfId="1"/>
    <xf numFmtId="170" fontId="0" fillId="0" borderId="43" pivotButton="0" quotePrefix="0" xfId="1"/>
    <xf numFmtId="170" fontId="3" fillId="0" borderId="56" pivotButton="0" quotePrefix="0" xfId="1"/>
    <xf numFmtId="10" fontId="3" fillId="0" borderId="18" pivotButton="0" quotePrefix="0" xfId="3"/>
    <xf numFmtId="0" fontId="3" fillId="26" borderId="55" pivotButton="0" quotePrefix="0" xfId="0"/>
    <xf numFmtId="0" fontId="3" fillId="26" borderId="56" pivotButton="0" quotePrefix="0" xfId="0"/>
    <xf numFmtId="170" fontId="3" fillId="26" borderId="56" pivotButton="0" quotePrefix="0" xfId="1"/>
    <xf numFmtId="170" fontId="3" fillId="26" borderId="58" pivotButton="0" quotePrefix="0" xfId="1"/>
    <xf numFmtId="0" fontId="3" fillId="26" borderId="1" pivotButton="0" quotePrefix="0" xfId="0"/>
    <xf numFmtId="0" fontId="3" fillId="26" borderId="0" pivotButton="0" quotePrefix="0" xfId="0"/>
    <xf numFmtId="170" fontId="3" fillId="26" borderId="0" pivotButton="0" quotePrefix="0" xfId="1"/>
    <xf numFmtId="170" fontId="3" fillId="26" borderId="2" pivotButton="0" quotePrefix="0" xfId="1"/>
    <xf numFmtId="0" fontId="3" fillId="26" borderId="42" pivotButton="0" quotePrefix="0" xfId="0"/>
    <xf numFmtId="0" fontId="3" fillId="26" borderId="18" pivotButton="0" quotePrefix="0" xfId="0"/>
    <xf numFmtId="170" fontId="3" fillId="27" borderId="18" pivotButton="0" quotePrefix="0" xfId="1"/>
    <xf numFmtId="170" fontId="3" fillId="26" borderId="18" pivotButton="0" quotePrefix="0" xfId="1"/>
    <xf numFmtId="170" fontId="3" fillId="26" borderId="43" pivotButton="0" quotePrefix="0" xfId="1"/>
    <xf numFmtId="0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1">
      <alignment horizontal="center" vertical="center"/>
    </xf>
    <xf numFmtId="0" fontId="2" fillId="24" borderId="0" applyAlignment="1" pivotButton="0" quotePrefix="0" xfId="0">
      <alignment horizontal="center" vertical="center"/>
    </xf>
    <xf numFmtId="164" fontId="2" fillId="24" borderId="0" applyAlignment="1" pivotButton="0" quotePrefix="0" xfId="1">
      <alignment horizontal="center" vertical="center"/>
    </xf>
    <xf numFmtId="170" fontId="2" fillId="24" borderId="0" applyAlignment="1" pivotButton="0" quotePrefix="0" xfId="1">
      <alignment horizontal="center" vertical="center"/>
    </xf>
    <xf numFmtId="17" fontId="0" fillId="26" borderId="0" applyAlignment="1" pivotButton="0" quotePrefix="0" xfId="0">
      <alignment horizontal="left"/>
    </xf>
    <xf numFmtId="164" fontId="0" fillId="26" borderId="0" pivotButton="0" quotePrefix="0" xfId="1"/>
    <xf numFmtId="0" fontId="0" fillId="26" borderId="0" pivotButton="0" quotePrefix="0" xfId="0"/>
    <xf numFmtId="17" fontId="0" fillId="0" borderId="0" applyAlignment="1" pivotButton="0" quotePrefix="0" xfId="0">
      <alignment horizontal="left"/>
    </xf>
    <xf numFmtId="164" fontId="0" fillId="22" borderId="0" pivotButton="0" quotePrefix="0" xfId="1"/>
    <xf numFmtId="164" fontId="0" fillId="0" borderId="0" pivotButton="0" quotePrefix="0" xfId="0"/>
    <xf numFmtId="170" fontId="0" fillId="22" borderId="0" applyAlignment="1" pivotButton="0" quotePrefix="0" xfId="0">
      <alignment horizontal="center" vertical="center"/>
    </xf>
    <xf numFmtId="10" fontId="0" fillId="2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22" borderId="0" applyAlignment="1" pivotButton="0" quotePrefix="0" xfId="1">
      <alignment horizontal="center" vertical="center"/>
    </xf>
    <xf numFmtId="170" fontId="3" fillId="0" borderId="0" applyAlignment="1" pivotButton="0" quotePrefix="0" xfId="1">
      <alignment horizontal="center" vertical="center"/>
    </xf>
    <xf numFmtId="10" fontId="3" fillId="0" borderId="0" applyAlignment="1" pivotButton="0" quotePrefix="0" xfId="3">
      <alignment horizontal="center" vertical="center"/>
    </xf>
    <xf numFmtId="10" fontId="3" fillId="17" borderId="0" applyAlignment="1" pivotButton="0" quotePrefix="0" xfId="3">
      <alignment horizontal="right" vertical="center"/>
    </xf>
    <xf numFmtId="169" fontId="0" fillId="0" borderId="0" applyAlignment="1" pivotButton="0" quotePrefix="0" xfId="2">
      <alignment horizontal="center"/>
    </xf>
    <xf numFmtId="9" fontId="0" fillId="0" borderId="0" applyAlignment="1" pivotButton="0" quotePrefix="0" xfId="0">
      <alignment horizontal="center"/>
    </xf>
    <xf numFmtId="10" fontId="0" fillId="0" borderId="0" applyAlignment="1" pivotButton="0" quotePrefix="0" xfId="1">
      <alignment horizontal="center"/>
    </xf>
    <xf numFmtId="165" fontId="0" fillId="0" borderId="0" applyAlignment="1" pivotButton="0" quotePrefix="0" xfId="1">
      <alignment horizontal="center"/>
    </xf>
    <xf numFmtId="166" fontId="17" fillId="28" borderId="12" applyAlignment="1" pivotButton="0" quotePrefix="0" xfId="1">
      <alignment vertical="center"/>
    </xf>
    <xf numFmtId="10" fontId="5" fillId="8" borderId="9" applyAlignment="1" pivotButton="0" quotePrefix="0" xfId="3">
      <alignment vertical="center" wrapText="1"/>
    </xf>
    <xf numFmtId="10" fontId="19" fillId="2" borderId="0" applyAlignment="1" pivotButton="0" quotePrefix="0" xfId="3">
      <alignment vertical="center"/>
    </xf>
    <xf numFmtId="10" fontId="18" fillId="8" borderId="10" applyAlignment="1" pivotButton="0" quotePrefix="0" xfId="3">
      <alignment vertical="center" wrapText="1"/>
    </xf>
    <xf numFmtId="10" fontId="5" fillId="2" borderId="0" applyAlignment="1" pivotButton="0" quotePrefix="0" xfId="3">
      <alignment vertical="center"/>
    </xf>
    <xf numFmtId="10" fontId="5" fillId="8" borderId="9" applyAlignment="1" applyProtection="1" pivotButton="0" quotePrefix="0" xfId="3">
      <alignment vertical="center"/>
      <protection locked="0" hidden="0"/>
    </xf>
    <xf numFmtId="10" fontId="5" fillId="8" borderId="10" applyAlignment="1" applyProtection="1" pivotButton="0" quotePrefix="0" xfId="3">
      <alignment vertical="center"/>
      <protection locked="0" hidden="0"/>
    </xf>
    <xf numFmtId="10" fontId="5" fillId="8" borderId="12" applyAlignment="1" applyProtection="1" pivotButton="0" quotePrefix="0" xfId="3">
      <alignment vertical="center"/>
      <protection locked="0" hidden="0"/>
    </xf>
    <xf numFmtId="10" fontId="3" fillId="3" borderId="0" applyAlignment="1" pivotButton="0" quotePrefix="0" xfId="3">
      <alignment vertical="center"/>
    </xf>
    <xf numFmtId="9" fontId="7" fillId="2" borderId="2" applyAlignment="1" pivotButton="0" quotePrefix="0" xfId="3">
      <alignment horizontal="center" vertical="center"/>
    </xf>
    <xf numFmtId="166" fontId="11" fillId="2" borderId="0" applyAlignment="1" pivotButton="0" quotePrefix="0" xfId="3">
      <alignment vertical="center"/>
    </xf>
    <xf numFmtId="174" fontId="5" fillId="2" borderId="1" applyAlignment="1" pivotButton="0" quotePrefix="0" xfId="0">
      <alignment horizontal="center" vertical="center"/>
    </xf>
    <xf numFmtId="174" fontId="7" fillId="2" borderId="1" applyAlignment="1" pivotButton="0" quotePrefix="0" xfId="0">
      <alignment horizontal="center" vertical="center"/>
    </xf>
    <xf numFmtId="10" fontId="7" fillId="11" borderId="0" applyAlignment="1" pivotButton="0" quotePrefix="0" xfId="3">
      <alignment horizontal="center" vertical="center"/>
    </xf>
    <xf numFmtId="170" fontId="7" fillId="11" borderId="0" applyAlignment="1" pivotButton="0" quotePrefix="0" xfId="1">
      <alignment horizontal="center" vertical="center"/>
    </xf>
    <xf numFmtId="170" fontId="5" fillId="11" borderId="1" applyAlignment="1" pivotButton="0" quotePrefix="0" xfId="0">
      <alignment horizontal="center" vertical="center"/>
    </xf>
    <xf numFmtId="174" fontId="5" fillId="2" borderId="2" applyAlignment="1" pivotButton="0" quotePrefix="0" xfId="0">
      <alignment horizontal="center" vertical="center"/>
    </xf>
    <xf numFmtId="166" fontId="7" fillId="2" borderId="0" applyAlignment="1" pivotButton="0" quotePrefix="0" xfId="0">
      <alignment horizontal="center" vertical="center"/>
    </xf>
    <xf numFmtId="170" fontId="5" fillId="2" borderId="1" applyAlignment="1" pivotButton="0" quotePrefix="0" xfId="0">
      <alignment horizontal="center" vertical="center"/>
    </xf>
    <xf numFmtId="165" fontId="7" fillId="2" borderId="0" applyAlignment="1" pivotButton="0" quotePrefix="0" xfId="3">
      <alignment horizontal="center" vertical="center"/>
    </xf>
    <xf numFmtId="169" fontId="31" fillId="0" borderId="0" pivotButton="0" quotePrefix="0" xfId="2"/>
    <xf numFmtId="169" fontId="3" fillId="20" borderId="47" applyAlignment="1" pivotButton="0" quotePrefix="0" xfId="2">
      <alignment horizontal="center" vertical="center" wrapText="1"/>
    </xf>
    <xf numFmtId="169" fontId="20" fillId="0" borderId="0" applyAlignment="1" pivotButton="0" quotePrefix="0" xfId="2">
      <alignment horizontal="center"/>
    </xf>
    <xf numFmtId="164" fontId="7" fillId="2" borderId="1" applyAlignment="1" pivotButton="0" quotePrefix="0" xfId="1">
      <alignment vertical="center"/>
    </xf>
    <xf numFmtId="170" fontId="26" fillId="0" borderId="0" pivotButton="0" quotePrefix="0" xfId="1"/>
    <xf numFmtId="164" fontId="26" fillId="0" borderId="0" pivotButton="0" quotePrefix="0" xfId="1"/>
    <xf numFmtId="169" fontId="3" fillId="25" borderId="51" applyAlignment="1" pivotButton="0" quotePrefix="0" xfId="2">
      <alignment horizontal="center" vertical="center"/>
    </xf>
    <xf numFmtId="173" fontId="3" fillId="25" borderId="51" applyAlignment="1" pivotButton="0" quotePrefix="0" xfId="1">
      <alignment horizontal="center" vertical="center"/>
    </xf>
    <xf numFmtId="173" fontId="3" fillId="25" borderId="52" applyAlignment="1" pivotButton="0" quotePrefix="0" xfId="1">
      <alignment horizontal="center" vertical="center"/>
    </xf>
    <xf numFmtId="166" fontId="7" fillId="2" borderId="2" applyAlignment="1" pivotButton="0" quotePrefix="0" xfId="0">
      <alignment horizontal="center" vertical="center"/>
    </xf>
    <xf numFmtId="169" fontId="3" fillId="19" borderId="52" applyAlignment="1" pivotButton="0" quotePrefix="0" xfId="2">
      <alignment horizontal="center" vertical="center"/>
    </xf>
    <xf numFmtId="9" fontId="5" fillId="2" borderId="2" applyAlignment="1" pivotButton="0" quotePrefix="0" xfId="3">
      <alignment horizontal="center" vertical="center"/>
    </xf>
    <xf numFmtId="14" fontId="32" fillId="2" borderId="1" applyAlignment="1" pivotButton="0" quotePrefix="0" xfId="0">
      <alignment horizontal="center" vertical="center" wrapText="1"/>
    </xf>
    <xf numFmtId="14" fontId="32" fillId="2" borderId="0" applyAlignment="1" pivotButton="0" quotePrefix="0" xfId="0">
      <alignment horizontal="center" vertical="center"/>
    </xf>
    <xf numFmtId="14" fontId="33" fillId="2" borderId="0" applyAlignment="1" pivotButton="0" quotePrefix="0" xfId="0">
      <alignment horizontal="center" vertical="center" wrapText="1"/>
    </xf>
    <xf numFmtId="14" fontId="33" fillId="2" borderId="0" applyAlignment="1" pivotButton="0" quotePrefix="0" xfId="0">
      <alignment horizontal="center" vertical="center"/>
    </xf>
    <xf numFmtId="166" fontId="32" fillId="2" borderId="0" applyAlignment="1" pivotButton="0" quotePrefix="0" xfId="0">
      <alignment horizontal="center" vertical="center"/>
    </xf>
    <xf numFmtId="14" fontId="32" fillId="2" borderId="1" applyAlignment="1" pivotButton="0" quotePrefix="0" xfId="0">
      <alignment horizontal="center" vertical="center"/>
    </xf>
    <xf numFmtId="14" fontId="32" fillId="2" borderId="2" applyAlignment="1" pivotButton="0" quotePrefix="0" xfId="0">
      <alignment horizontal="center" vertical="center"/>
    </xf>
    <xf numFmtId="14" fontId="34" fillId="3" borderId="0" applyAlignment="1" pivotButton="0" quotePrefix="0" xfId="0">
      <alignment horizontal="center" vertical="center"/>
    </xf>
    <xf numFmtId="10" fontId="10" fillId="2" borderId="0" applyAlignment="1" pivotButton="0" quotePrefix="0" xfId="3">
      <alignment vertical="center"/>
    </xf>
    <xf numFmtId="170" fontId="7" fillId="2" borderId="0" applyAlignment="1" pivotButton="0" quotePrefix="0" xfId="1">
      <alignment horizontal="center" vertical="center"/>
    </xf>
    <xf numFmtId="164" fontId="5" fillId="2" borderId="1" applyAlignment="1" pivotButton="0" quotePrefix="0" xfId="0">
      <alignment horizontal="center" vertical="center"/>
    </xf>
    <xf numFmtId="174" fontId="7" fillId="2" borderId="0" applyAlignment="1" pivotButton="0" quotePrefix="0" xfId="0">
      <alignment horizontal="center" vertical="center"/>
    </xf>
    <xf numFmtId="174" fontId="7" fillId="2" borderId="2" applyAlignment="1" pivotButton="0" quotePrefix="0" xfId="0">
      <alignment horizontal="center" vertical="center"/>
    </xf>
    <xf numFmtId="175" fontId="7" fillId="2" borderId="2" applyAlignment="1" pivotButton="0" quotePrefix="0" xfId="0">
      <alignment horizontal="center" vertical="center"/>
    </xf>
    <xf numFmtId="164" fontId="7" fillId="2" borderId="2" applyAlignment="1" pivotButton="0" quotePrefix="0" xfId="1">
      <alignment vertical="center"/>
    </xf>
    <xf numFmtId="170" fontId="7" fillId="2" borderId="2" applyAlignment="1" pivotButton="0" quotePrefix="0" xfId="0">
      <alignment horizontal="center" vertical="center"/>
    </xf>
    <xf numFmtId="174" fontId="7" fillId="2" borderId="2" applyAlignment="1" pivotButton="0" quotePrefix="0" xfId="3">
      <alignment horizontal="center" vertical="center"/>
    </xf>
    <xf numFmtId="14" fontId="35" fillId="3" borderId="0" applyAlignment="1" pivotButton="0" quotePrefix="0" xfId="0">
      <alignment horizontal="center" vertical="center"/>
    </xf>
    <xf numFmtId="0" fontId="12" fillId="5" borderId="18" applyAlignment="1" pivotButton="0" quotePrefix="0" xfId="0">
      <alignment horizontal="center" wrapText="1"/>
    </xf>
    <xf numFmtId="3" fontId="14" fillId="6" borderId="43" applyAlignment="1" pivotButton="0" quotePrefix="0" xfId="0">
      <alignment horizontal="center"/>
    </xf>
    <xf numFmtId="176" fontId="0" fillId="0" borderId="0" pivotButton="0" quotePrefix="0" xfId="0"/>
    <xf numFmtId="3" fontId="14" fillId="6" borderId="42" applyAlignment="1" pivotButton="0" quotePrefix="0" xfId="0">
      <alignment horizontal="center"/>
    </xf>
    <xf numFmtId="3" fontId="14" fillId="6" borderId="18" applyAlignment="1" pivotButton="0" quotePrefix="0" xfId="0">
      <alignment horizontal="center"/>
    </xf>
    <xf numFmtId="166" fontId="17" fillId="0" borderId="11" applyAlignment="1" applyProtection="1" pivotButton="0" quotePrefix="0" xfId="1">
      <alignment vertical="center"/>
      <protection locked="0" hidden="0"/>
    </xf>
    <xf numFmtId="166" fontId="17" fillId="0" borderId="45" applyAlignment="1" applyProtection="1" pivotButton="0" quotePrefix="0" xfId="1">
      <alignment vertical="center"/>
      <protection locked="0" hidden="0"/>
    </xf>
    <xf numFmtId="10" fontId="0" fillId="10" borderId="0" applyAlignment="1" pivotButton="0" quotePrefix="0" xfId="3">
      <alignment horizontal="center" vertical="center"/>
    </xf>
    <xf numFmtId="165" fontId="0" fillId="10" borderId="0" applyAlignment="1" pivotButton="0" quotePrefix="0" xfId="3">
      <alignment horizontal="center" vertical="center"/>
    </xf>
    <xf numFmtId="10" fontId="0" fillId="10" borderId="0" applyAlignment="1" pivotButton="0" quotePrefix="0" xfId="5">
      <alignment horizontal="center" vertical="center"/>
    </xf>
    <xf numFmtId="165" fontId="0" fillId="10" borderId="0" applyAlignment="1" pivotButton="0" quotePrefix="0" xfId="5">
      <alignment horizontal="center" vertical="center"/>
    </xf>
    <xf numFmtId="177" fontId="0" fillId="0" borderId="0" pivotButton="0" quotePrefix="0" xfId="0"/>
    <xf numFmtId="166" fontId="36" fillId="8" borderId="9" applyAlignment="1" pivotButton="0" quotePrefix="0" xfId="1">
      <alignment vertical="center"/>
    </xf>
    <xf numFmtId="166" fontId="6" fillId="8" borderId="10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7" pivotButton="0" quotePrefix="0" xfId="0"/>
    <xf numFmtId="165" fontId="7" fillId="2" borderId="0" applyAlignment="1" pivotButton="0" quotePrefix="0" xfId="3">
      <alignment horizontal="center" vertical="center"/>
    </xf>
    <xf numFmtId="0" fontId="5" fillId="2" borderId="0" applyAlignment="1" pivotButton="0" quotePrefix="0" xfId="0">
      <alignment vertical="center"/>
    </xf>
    <xf numFmtId="17" fontId="14" fillId="6" borderId="57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12" fillId="5" borderId="62" applyAlignment="1" pivotButton="0" quotePrefix="0" xfId="0">
      <alignment horizontal="center" wrapText="1"/>
    </xf>
    <xf numFmtId="0" fontId="0" fillId="0" borderId="40" pivotButton="0" quotePrefix="0" xfId="0"/>
    <xf numFmtId="0" fontId="0" fillId="0" borderId="41" pivotButton="0" quotePrefix="0" xfId="0"/>
    <xf numFmtId="0" fontId="5" fillId="0" borderId="5" applyAlignment="1" pivotButton="0" quotePrefix="0" xfId="0">
      <alignment horizontal="center" vertical="center"/>
    </xf>
    <xf numFmtId="0" fontId="0" fillId="0" borderId="6" pivotButton="0" quotePrefix="0" xfId="0"/>
    <xf numFmtId="165" fontId="5" fillId="2" borderId="0" applyAlignment="1" pivotButton="0" quotePrefix="0" xfId="3">
      <alignment horizontal="center" vertical="center"/>
    </xf>
    <xf numFmtId="0" fontId="0" fillId="3" borderId="0" applyAlignment="1" pivotButton="0" quotePrefix="0" xfId="0">
      <alignment vertical="center"/>
    </xf>
    <xf numFmtId="0" fontId="29" fillId="24" borderId="0" applyAlignment="1" pivotButton="0" quotePrefix="0" xfId="0">
      <alignment horizontal="center" vertical="center"/>
    </xf>
    <xf numFmtId="0" fontId="30" fillId="0" borderId="0" pivotButton="0" quotePrefix="0" xfId="0"/>
    <xf numFmtId="0" fontId="24" fillId="0" borderId="63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174" fontId="7" fillId="2" borderId="1" applyAlignment="1" pivotButton="0" quotePrefix="0" xfId="0">
      <alignment horizontal="center" vertical="center"/>
    </xf>
    <xf numFmtId="174" fontId="7" fillId="2" borderId="0" applyAlignment="1" pivotButton="0" quotePrefix="0" xfId="0">
      <alignment horizontal="center" vertical="center"/>
    </xf>
    <xf numFmtId="175" fontId="7" fillId="2" borderId="2" applyAlignment="1" pivotButton="0" quotePrefix="0" xfId="0">
      <alignment horizontal="center" vertical="center"/>
    </xf>
    <xf numFmtId="174" fontId="7" fillId="2" borderId="2" applyAlignment="1" pivotButton="0" quotePrefix="0" xfId="0">
      <alignment horizontal="center" vertical="center"/>
    </xf>
    <xf numFmtId="170" fontId="7" fillId="2" borderId="0" applyAlignment="1" pivotButton="0" quotePrefix="0" xfId="1">
      <alignment horizontal="center" vertical="center"/>
    </xf>
    <xf numFmtId="169" fontId="6" fillId="8" borderId="10" applyAlignment="1" pivotButton="0" quotePrefix="0" xfId="2">
      <alignment vertical="center"/>
    </xf>
    <xf numFmtId="169" fontId="15" fillId="2" borderId="0" applyAlignment="1" pivotButton="0" quotePrefix="0" xfId="2">
      <alignment vertical="center"/>
    </xf>
    <xf numFmtId="170" fontId="21" fillId="2" borderId="0" applyAlignment="1" pivotButton="0" quotePrefix="0" xfId="1">
      <alignment vertical="center"/>
    </xf>
    <xf numFmtId="169" fontId="22" fillId="2" borderId="0" applyAlignment="1" pivotButton="0" quotePrefix="0" xfId="2">
      <alignment vertical="center"/>
    </xf>
    <xf numFmtId="170" fontId="6" fillId="8" borderId="10" applyAlignment="1" pivotButton="0" quotePrefix="0" xfId="1">
      <alignment horizontal="left" vertical="center"/>
    </xf>
    <xf numFmtId="170" fontId="7" fillId="11" borderId="0" applyAlignment="1" pivotButton="0" quotePrefix="0" xfId="1">
      <alignment horizontal="center" vertical="center"/>
    </xf>
    <xf numFmtId="170" fontId="5" fillId="11" borderId="1" applyAlignment="1" pivotButton="0" quotePrefix="0" xfId="0">
      <alignment horizontal="center" vertical="center"/>
    </xf>
    <xf numFmtId="174" fontId="5" fillId="2" borderId="1" applyAlignment="1" pivotButton="0" quotePrefix="0" xfId="0">
      <alignment horizontal="center" vertical="center"/>
    </xf>
    <xf numFmtId="170" fontId="7" fillId="2" borderId="2" applyAlignment="1" pivotButton="0" quotePrefix="0" xfId="0">
      <alignment horizontal="center" vertical="center"/>
    </xf>
    <xf numFmtId="169" fontId="6" fillId="8" borderId="10" applyAlignment="1" applyProtection="1" pivotButton="0" quotePrefix="0" xfId="2">
      <alignment vertical="center"/>
      <protection locked="0" hidden="0"/>
    </xf>
    <xf numFmtId="170" fontId="5" fillId="2" borderId="1" applyAlignment="1" pivotButton="0" quotePrefix="0" xfId="0">
      <alignment horizontal="center" vertical="center"/>
    </xf>
    <xf numFmtId="174" fontId="5" fillId="2" borderId="2" applyAlignment="1" pivotButton="0" quotePrefix="0" xfId="0">
      <alignment horizontal="center" vertical="center"/>
    </xf>
    <xf numFmtId="174" fontId="7" fillId="2" borderId="2" applyAlignment="1" pivotButton="0" quotePrefix="0" xfId="3">
      <alignment horizontal="center" vertical="center"/>
    </xf>
    <xf numFmtId="171" fontId="15" fillId="0" borderId="9" applyAlignment="1" applyProtection="1" pivotButton="0" quotePrefix="0" xfId="2">
      <alignment horizontal="center" vertical="center"/>
      <protection locked="0" hidden="0"/>
    </xf>
    <xf numFmtId="171" fontId="15" fillId="0" borderId="10" applyAlignment="1" applyProtection="1" pivotButton="0" quotePrefix="0" xfId="2">
      <alignment horizontal="center" vertical="center"/>
      <protection locked="0" hidden="0"/>
    </xf>
    <xf numFmtId="171" fontId="15" fillId="0" borderId="12" applyAlignment="1" applyProtection="1" pivotButton="0" quotePrefix="0" xfId="2">
      <alignment horizontal="center" vertical="center"/>
      <protection locked="0" hidden="0"/>
    </xf>
    <xf numFmtId="178" fontId="0" fillId="0" borderId="0" pivotButton="0" quotePrefix="0" xfId="0"/>
    <xf numFmtId="179" fontId="0" fillId="0" borderId="0" pivotButton="0" quotePrefix="0" xfId="0"/>
    <xf numFmtId="170" fontId="0" fillId="0" borderId="0" pivotButton="0" quotePrefix="0" xfId="1"/>
    <xf numFmtId="170" fontId="24" fillId="0" borderId="0" pivotButton="0" quotePrefix="0" xfId="1"/>
    <xf numFmtId="169" fontId="0" fillId="0" borderId="0" pivotButton="0" quotePrefix="0" xfId="2"/>
    <xf numFmtId="172" fontId="3" fillId="20" borderId="0" applyAlignment="1" pivotButton="0" quotePrefix="0" xfId="0">
      <alignment horizontal="center" vertical="center"/>
    </xf>
    <xf numFmtId="172" fontId="3" fillId="20" borderId="38" applyAlignment="1" pivotButton="0" quotePrefix="0" xfId="0">
      <alignment horizontal="center" vertical="center"/>
    </xf>
    <xf numFmtId="170" fontId="24" fillId="0" borderId="0" applyAlignment="1" pivotButton="0" quotePrefix="0" xfId="1">
      <alignment horizontal="center"/>
    </xf>
    <xf numFmtId="169" fontId="3" fillId="20" borderId="47" applyAlignment="1" pivotButton="0" quotePrefix="0" xfId="2">
      <alignment horizontal="center" vertical="center" wrapText="1"/>
    </xf>
    <xf numFmtId="169" fontId="3" fillId="21" borderId="51" applyAlignment="1" pivotButton="0" quotePrefix="0" xfId="2">
      <alignment horizontal="center" vertical="center"/>
    </xf>
    <xf numFmtId="169" fontId="3" fillId="21" borderId="52" applyAlignment="1" pivotButton="0" quotePrefix="0" xfId="2">
      <alignment horizontal="center" vertical="center"/>
    </xf>
    <xf numFmtId="170" fontId="26" fillId="0" borderId="0" pivotButton="0" quotePrefix="0" xfId="1"/>
    <xf numFmtId="169" fontId="31" fillId="0" borderId="0" pivotButton="0" quotePrefix="0" xfId="2"/>
    <xf numFmtId="169" fontId="26" fillId="21" borderId="51" applyAlignment="1" pivotButton="0" quotePrefix="0" xfId="2">
      <alignment horizontal="center" vertical="center"/>
    </xf>
    <xf numFmtId="169" fontId="26" fillId="21" borderId="52" applyAlignment="1" pivotButton="0" quotePrefix="0" xfId="2">
      <alignment horizontal="center" vertical="center"/>
    </xf>
    <xf numFmtId="170" fontId="0" fillId="0" borderId="0" applyAlignment="1" pivotButton="0" quotePrefix="0" xfId="1">
      <alignment vertical="center" wrapText="1"/>
    </xf>
    <xf numFmtId="170" fontId="27" fillId="0" borderId="0" pivotButton="0" quotePrefix="0" xfId="1"/>
    <xf numFmtId="169" fontId="0" fillId="19" borderId="0" pivotButton="0" quotePrefix="0" xfId="2"/>
    <xf numFmtId="169" fontId="20" fillId="0" borderId="0" pivotButton="0" quotePrefix="0" xfId="2"/>
    <xf numFmtId="169" fontId="3" fillId="19" borderId="51" applyAlignment="1" pivotButton="0" quotePrefix="0" xfId="2">
      <alignment horizontal="center" vertical="center"/>
    </xf>
    <xf numFmtId="169" fontId="3" fillId="19" borderId="52" applyAlignment="1" pivotButton="0" quotePrefix="0" xfId="2">
      <alignment horizontal="center" vertical="center"/>
    </xf>
    <xf numFmtId="169" fontId="3" fillId="25" borderId="51" applyAlignment="1" pivotButton="0" quotePrefix="0" xfId="2">
      <alignment horizontal="center" vertical="center"/>
    </xf>
    <xf numFmtId="173" fontId="3" fillId="25" borderId="51" applyAlignment="1" pivotButton="0" quotePrefix="0" xfId="1">
      <alignment horizontal="center" vertical="center"/>
    </xf>
    <xf numFmtId="173" fontId="3" fillId="25" borderId="52" applyAlignment="1" pivotButton="0" quotePrefix="0" xfId="1">
      <alignment horizontal="center" vertical="center"/>
    </xf>
    <xf numFmtId="173" fontId="3" fillId="10" borderId="22" applyAlignment="1" pivotButton="0" quotePrefix="0" xfId="0">
      <alignment horizontal="center" vertical="center"/>
    </xf>
    <xf numFmtId="173" fontId="3" fillId="10" borderId="54" applyAlignment="1" pivotButton="0" quotePrefix="0" xfId="0">
      <alignment horizontal="center" vertical="center"/>
    </xf>
    <xf numFmtId="169" fontId="26" fillId="23" borderId="0" applyAlignment="1" pivotButton="0" quotePrefix="0" xfId="2">
      <alignment horizontal="center" vertical="center"/>
    </xf>
    <xf numFmtId="169" fontId="26" fillId="23" borderId="38" applyAlignment="1" pivotButton="0" quotePrefix="0" xfId="2">
      <alignment horizontal="center" vertical="center"/>
    </xf>
    <xf numFmtId="173" fontId="0" fillId="0" borderId="0" pivotButton="0" quotePrefix="0" xfId="1"/>
    <xf numFmtId="169" fontId="26" fillId="23" borderId="22" applyAlignment="1" pivotButton="0" quotePrefix="0" xfId="2">
      <alignment horizontal="center" vertical="center"/>
    </xf>
    <xf numFmtId="169" fontId="26" fillId="23" borderId="54" applyAlignment="1" pivotButton="0" quotePrefix="0" xfId="2">
      <alignment horizontal="center" vertical="center"/>
    </xf>
    <xf numFmtId="169" fontId="0" fillId="0" borderId="0" applyAlignment="1" pivotButton="0" quotePrefix="0" xfId="2">
      <alignment horizontal="center" vertical="center"/>
    </xf>
    <xf numFmtId="169" fontId="0" fillId="0" borderId="38" applyAlignment="1" pivotButton="0" quotePrefix="0" xfId="2">
      <alignment horizontal="center" vertical="center"/>
    </xf>
    <xf numFmtId="170" fontId="20" fillId="0" borderId="0" applyAlignment="1" pivotButton="0" quotePrefix="0" xfId="1">
      <alignment horizontal="center"/>
    </xf>
    <xf numFmtId="169" fontId="20" fillId="0" borderId="0" applyAlignment="1" pivotButton="0" quotePrefix="0" xfId="2">
      <alignment horizontal="center"/>
    </xf>
    <xf numFmtId="170" fontId="20" fillId="0" borderId="0" pivotButton="0" quotePrefix="0" xfId="1"/>
    <xf numFmtId="173" fontId="0" fillId="0" borderId="0" applyAlignment="1" pivotButton="0" quotePrefix="0" xfId="0">
      <alignment horizontal="center" vertical="center"/>
    </xf>
    <xf numFmtId="173" fontId="0" fillId="0" borderId="38" applyAlignment="1" pivotButton="0" quotePrefix="0" xfId="0">
      <alignment horizontal="center" vertical="center"/>
    </xf>
    <xf numFmtId="173" fontId="28" fillId="0" borderId="0" applyAlignment="1" pivotButton="0" quotePrefix="0" xfId="0">
      <alignment horizontal="center" vertical="center"/>
    </xf>
    <xf numFmtId="173" fontId="28" fillId="0" borderId="38" applyAlignment="1" pivotButton="0" quotePrefix="0" xfId="0">
      <alignment horizontal="center" vertical="center"/>
    </xf>
    <xf numFmtId="170" fontId="0" fillId="0" borderId="0" applyAlignment="1" pivotButton="0" quotePrefix="0" xfId="7">
      <alignment vertical="center"/>
    </xf>
    <xf numFmtId="170" fontId="3" fillId="25" borderId="0" pivotButton="0" quotePrefix="0" xfId="1"/>
    <xf numFmtId="170" fontId="3" fillId="0" borderId="0" pivotButton="0" quotePrefix="0" xfId="1"/>
    <xf numFmtId="170" fontId="3" fillId="0" borderId="2" pivotButton="0" quotePrefix="0" xfId="1"/>
    <xf numFmtId="170" fontId="0" fillId="25" borderId="0" pivotButton="0" quotePrefix="0" xfId="1"/>
    <xf numFmtId="170" fontId="1" fillId="0" borderId="2" pivotButton="0" quotePrefix="0" xfId="1"/>
    <xf numFmtId="170" fontId="3" fillId="0" borderId="18" pivotButton="0" quotePrefix="0" xfId="1"/>
    <xf numFmtId="170" fontId="3" fillId="25" borderId="18" pivotButton="0" quotePrefix="0" xfId="1"/>
    <xf numFmtId="170" fontId="3" fillId="0" borderId="43" pivotButton="0" quotePrefix="0" xfId="1"/>
    <xf numFmtId="170" fontId="0" fillId="0" borderId="56" pivotButton="0" quotePrefix="0" xfId="1"/>
    <xf numFmtId="170" fontId="0" fillId="25" borderId="56" pivotButton="0" quotePrefix="0" xfId="1"/>
    <xf numFmtId="170" fontId="0" fillId="0" borderId="58" pivotButton="0" quotePrefix="0" xfId="1"/>
    <xf numFmtId="170" fontId="0" fillId="0" borderId="2" pivotButton="0" quotePrefix="0" xfId="1"/>
    <xf numFmtId="170" fontId="0" fillId="0" borderId="18" pivotButton="0" quotePrefix="0" xfId="1"/>
    <xf numFmtId="170" fontId="0" fillId="25" borderId="18" pivotButton="0" quotePrefix="0" xfId="1"/>
    <xf numFmtId="170" fontId="0" fillId="0" borderId="43" pivotButton="0" quotePrefix="0" xfId="1"/>
    <xf numFmtId="170" fontId="3" fillId="0" borderId="56" pivotButton="0" quotePrefix="0" xfId="1"/>
    <xf numFmtId="170" fontId="3" fillId="26" borderId="56" pivotButton="0" quotePrefix="0" xfId="1"/>
    <xf numFmtId="170" fontId="3" fillId="26" borderId="58" pivotButton="0" quotePrefix="0" xfId="1"/>
    <xf numFmtId="170" fontId="3" fillId="26" borderId="0" pivotButton="0" quotePrefix="0" xfId="1"/>
    <xf numFmtId="170" fontId="3" fillId="26" borderId="2" pivotButton="0" quotePrefix="0" xfId="1"/>
    <xf numFmtId="170" fontId="3" fillId="27" borderId="18" pivotButton="0" quotePrefix="0" xfId="1"/>
    <xf numFmtId="170" fontId="3" fillId="26" borderId="18" pivotButton="0" quotePrefix="0" xfId="1"/>
    <xf numFmtId="170" fontId="3" fillId="26" borderId="43" pivotButton="0" quotePrefix="0" xfId="1"/>
    <xf numFmtId="170" fontId="0" fillId="0" borderId="0" applyAlignment="1" pivotButton="0" quotePrefix="0" xfId="1">
      <alignment horizontal="center" vertical="center"/>
    </xf>
    <xf numFmtId="170" fontId="2" fillId="24" borderId="0" applyAlignment="1" pivotButton="0" quotePrefix="0" xfId="1">
      <alignment horizontal="center" vertical="center"/>
    </xf>
    <xf numFmtId="170" fontId="0" fillId="22" borderId="0" applyAlignment="1" pivotButton="0" quotePrefix="0" xfId="0">
      <alignment horizontal="center" vertical="center"/>
    </xf>
    <xf numFmtId="170" fontId="3" fillId="0" borderId="0" applyAlignment="1" pivotButton="0" quotePrefix="0" xfId="1">
      <alignment horizontal="center" vertical="center"/>
    </xf>
    <xf numFmtId="169" fontId="0" fillId="0" borderId="0" applyAlignment="1" pivotButton="0" quotePrefix="0" xfId="2">
      <alignment horizontal="center"/>
    </xf>
  </cellXfs>
  <cellStyles count="8">
    <cellStyle name="Normal" xfId="0" builtinId="0"/>
    <cellStyle name="Vírgula" xfId="1" builtinId="3"/>
    <cellStyle name="Moeda" xfId="2" builtinId="4"/>
    <cellStyle name="Porcentagem" xfId="3" builtinId="5"/>
    <cellStyle name="Vírgula 2 3" xfId="4"/>
    <cellStyle name="Porcentagem 2" xfId="5"/>
    <cellStyle name="Porcentagem 3" xfId="6"/>
    <cellStyle name="Vírgula 3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Beatriz Lima</author>
  </authors>
  <commentList>
    <comment ref="A30" authorId="0" shapeId="0">
      <text>
        <t xml:space="preserve">Beatriz Lima:
Fatura de Locação 
Não paga o ISS  </t>
      </text>
    </comment>
    <comment ref="D305" authorId="0" shapeId="0">
      <text>
        <t>Beatriz Lima:
Gerente Fin 3k
Compras 1.125k 
Analista Fin 1,8k 
Analista Fin 1,250K
Total R$ 7. 175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BR588"/>
  <sheetViews>
    <sheetView tabSelected="1" zoomScale="94" zoomScaleNormal="94" zoomScaleSheetLayoutView="50" workbookViewId="0">
      <pane xSplit="1" ySplit="8" topLeftCell="AB9" activePane="bottomRight" state="frozen"/>
      <selection pane="topRight" activeCell="B3" sqref="B3"/>
      <selection pane="bottomLeft" activeCell="A8" sqref="A8"/>
      <selection pane="bottomRight" activeCell="AG17" sqref="AG17"/>
    </sheetView>
  </sheetViews>
  <sheetFormatPr baseColWidth="8" defaultColWidth="9.109375" defaultRowHeight="14.4" outlineLevelRow="2"/>
  <cols>
    <col width="52.5546875" customWidth="1" style="229" min="1" max="1"/>
    <col width="3.109375" customWidth="1" style="488" min="2" max="2"/>
    <col hidden="1" width="35.6640625" customWidth="1" style="3" min="3" max="3"/>
    <col hidden="1" width="56" customWidth="1" style="4" min="4" max="4"/>
    <col hidden="1" width="21.33203125" customWidth="1" style="4" min="5" max="5"/>
    <col collapsed="1" width="5" customWidth="1" style="488" min="6" max="6"/>
    <col width="5" customWidth="1" style="488" min="7" max="7"/>
    <col width="14.77734375" bestFit="1" customWidth="1" style="488" min="8" max="22"/>
    <col width="16.109375" customWidth="1" style="488" min="23" max="24"/>
    <col width="14.33203125" customWidth="1" style="488" min="25" max="25"/>
    <col width="16.109375" customWidth="1" style="488" min="26" max="27"/>
    <col width="13.21875" customWidth="1" style="488" min="28" max="28"/>
    <col width="16.109375" customWidth="1" style="488" min="29" max="30"/>
    <col width="10.33203125" customWidth="1" style="488" min="31" max="31"/>
    <col width="16.109375" customWidth="1" style="488" min="32" max="33"/>
    <col width="10.33203125" customWidth="1" style="488" min="34" max="34"/>
    <col width="16.109375" customWidth="1" style="488" min="35" max="36"/>
    <col width="10.33203125" customWidth="1" style="488" min="37" max="37"/>
    <col width="16.109375" customWidth="1" style="488" min="38" max="39"/>
    <col width="13.21875" customWidth="1" style="488" min="40" max="40"/>
    <col width="16.109375" customWidth="1" style="488" min="41" max="42"/>
    <col width="10.33203125" customWidth="1" style="488" min="43" max="43"/>
    <col width="16.44140625" bestFit="1" customWidth="1" style="488" min="44" max="46"/>
    <col width="17.5546875" customWidth="1" style="488" min="47" max="47"/>
    <col width="17.5546875" bestFit="1" customWidth="1" style="488" min="48" max="48"/>
    <col width="16.109375" bestFit="1" customWidth="1" style="488" min="49" max="49"/>
    <col width="16.109375" customWidth="1" style="488" min="50" max="50"/>
    <col width="16.6640625" customWidth="1" style="488" min="51" max="51"/>
    <col width="16.109375" customWidth="1" style="488" min="52" max="53"/>
    <col width="16.6640625" customWidth="1" style="488" min="54" max="54"/>
    <col width="15.6640625" customWidth="1" style="488" min="55" max="55"/>
    <col width="16.109375" customWidth="1" style="488" min="56" max="56"/>
    <col width="16.6640625" customWidth="1" style="488" min="57" max="57"/>
    <col width="10.33203125" customWidth="1" style="488" min="58" max="58"/>
    <col width="16.109375" customWidth="1" style="488" min="59" max="59"/>
    <col width="16.6640625" customWidth="1" style="488" min="60" max="60"/>
    <col width="10.33203125" customWidth="1" style="488" min="61" max="61"/>
    <col width="15.44140625" customWidth="1" style="10" min="62" max="67"/>
    <col width="9.109375" customWidth="1" style="10" min="68" max="68"/>
    <col width="15.44140625" customWidth="1" style="10" min="69" max="72"/>
    <col width="10.109375" customWidth="1" style="10" min="73" max="73"/>
    <col width="15.44140625" customWidth="1" style="10" min="74" max="75"/>
    <col width="11.44140625" customWidth="1" style="10" min="76" max="76"/>
    <col width="9.6640625" customWidth="1" style="10" min="77" max="77"/>
    <col width="15.44140625" customWidth="1" style="10" min="78" max="78"/>
    <col width="9.109375" customWidth="1" style="10" min="79" max="79"/>
    <col width="15.44140625" customWidth="1" style="10" min="80" max="81"/>
    <col width="9.6640625" customWidth="1" style="10" min="82" max="82"/>
    <col width="10.109375" customWidth="1" style="10" min="83" max="83"/>
    <col width="15.44140625" customWidth="1" style="10" min="84" max="84"/>
    <col width="9.109375" customWidth="1" style="10" min="85" max="85"/>
    <col width="16.109375" customWidth="1" style="10" min="86" max="86"/>
    <col width="15.44140625" customWidth="1" style="10" min="87" max="87"/>
    <col width="9.109375" customWidth="1" style="10" min="88" max="88"/>
    <col width="9.6640625" customWidth="1" style="10" min="89" max="89"/>
    <col width="15.44140625" customWidth="1" style="10" min="90" max="90"/>
    <col width="12.6640625" customWidth="1" style="10" min="91" max="91"/>
    <col width="11.44140625" customWidth="1" style="10" min="92" max="92"/>
    <col width="9.33203125" customWidth="1" style="10" min="93" max="93"/>
    <col width="11.44140625" customWidth="1" style="10" min="94" max="94"/>
    <col width="14.109375" customWidth="1" style="10" min="95" max="95"/>
    <col width="12.6640625" customWidth="1" style="10" min="96" max="98"/>
    <col width="11.44140625" customWidth="1" style="10" min="99" max="100"/>
    <col width="9.109375" customWidth="1" style="10" min="101" max="101"/>
    <col width="8.33203125" customWidth="1" style="10" min="102" max="102"/>
    <col width="9.6640625" customWidth="1" style="10" min="103" max="103"/>
    <col width="11.44140625" customWidth="1" style="10" min="104" max="104"/>
    <col width="12.6640625" customWidth="1" style="10" min="105" max="106"/>
    <col width="11.44140625" customWidth="1" style="10" min="107" max="107"/>
    <col width="9.6640625" customWidth="1" style="10" min="108" max="108"/>
    <col width="11.44140625" customWidth="1" style="10" min="109" max="110"/>
    <col width="12.6640625" customWidth="1" style="10" min="111" max="111"/>
    <col width="11.44140625" customWidth="1" style="10" min="112" max="113"/>
    <col width="10" customWidth="1" style="10" min="114" max="116"/>
    <col width="9" customWidth="1" style="10" min="117" max="117"/>
    <col width="9.44140625" customWidth="1" style="10" min="118" max="118"/>
    <col width="15.44140625" customWidth="1" style="10" min="119" max="125"/>
    <col width="10.33203125" customWidth="1" style="10" min="126" max="126"/>
    <col width="15.44140625" customWidth="1" style="10" min="127" max="130"/>
    <col width="10.109375" customWidth="1" style="10" min="131" max="131"/>
    <col width="10.33203125" customWidth="1" style="10" min="132" max="132"/>
    <col width="15.44140625" customWidth="1" style="10" min="133" max="133"/>
    <col width="12.6640625" customWidth="1" style="10" min="134" max="134"/>
    <col width="15.44140625" customWidth="1" style="10" min="135" max="135"/>
    <col width="12.6640625" customWidth="1" style="10" min="136" max="136"/>
    <col width="11.44140625" customWidth="1" style="10" min="137" max="137"/>
    <col width="9.6640625" customWidth="1" style="10" min="138" max="139"/>
    <col width="10.109375" customWidth="1" style="10" min="140" max="140"/>
    <col width="12.6640625" customWidth="1" style="10" min="141" max="141"/>
    <col width="11.44140625" customWidth="1" style="10" min="142" max="142"/>
    <col width="10.33203125" customWidth="1" style="10" min="143" max="143"/>
    <col width="12.6640625" customWidth="1" style="10" min="144" max="144"/>
    <col width="9.109375" customWidth="1" style="10" min="145" max="145"/>
    <col width="15.44140625" customWidth="1" style="10" min="146" max="146"/>
    <col width="9.109375" customWidth="1" style="10" min="147" max="147"/>
    <col width="14" customWidth="1" style="10" min="148" max="149"/>
    <col width="10" customWidth="1" style="10" min="150" max="150"/>
    <col width="11.44140625" customWidth="1" style="10" min="151" max="151"/>
    <col width="9.6640625" customWidth="1" style="10" min="152" max="152"/>
    <col width="9" customWidth="1" style="10" min="153" max="153"/>
    <col width="15.44140625" customWidth="1" style="10" min="154" max="154"/>
    <col width="9.109375" customWidth="1" style="10" min="155" max="155"/>
    <col width="14.33203125" customWidth="1" style="10" min="156" max="156"/>
    <col width="12.6640625" customWidth="1" style="10" min="157" max="160"/>
    <col width="11.44140625" customWidth="1" style="10" min="161" max="161"/>
    <col width="9.6640625" customWidth="1" style="10" min="162" max="162"/>
    <col width="12.6640625" customWidth="1" style="10" min="163" max="163"/>
    <col width="9.6640625" customWidth="1" style="10" min="164" max="165"/>
    <col width="11.44140625" customWidth="1" style="10" min="166" max="167"/>
    <col width="10" customWidth="1" style="10" min="168" max="168"/>
    <col width="9.6640625" customWidth="1" style="10" min="169" max="169"/>
    <col width="9.33203125" customWidth="1" style="10" min="170" max="170"/>
    <col width="2.44140625" customWidth="1" style="10" min="171" max="172"/>
    <col width="15.33203125" customWidth="1" style="10" min="173" max="173"/>
    <col width="9.109375" customWidth="1" style="10" min="174" max="174"/>
    <col width="11.44140625" customWidth="1" style="10" min="175" max="175"/>
    <col width="9.6640625" customWidth="1" style="10" min="176" max="177"/>
    <col width="11.44140625" customWidth="1" style="10" min="178" max="178"/>
    <col width="9.6640625" customWidth="1" style="10" min="179" max="179"/>
    <col width="15.44140625" customWidth="1" style="10" min="180" max="180"/>
    <col width="9.109375" customWidth="1" style="10" min="181" max="181"/>
    <col width="15.44140625" customWidth="1" style="10" min="182" max="182"/>
    <col width="11.44140625" customWidth="1" style="10" min="183" max="183"/>
    <col width="15.44140625" customWidth="1" style="10" min="184" max="184"/>
    <col width="6.33203125" customWidth="1" style="10" min="185" max="185"/>
    <col width="15.44140625" customWidth="1" style="10" min="186" max="186"/>
    <col width="9.109375" customWidth="1" style="10" min="187" max="187"/>
    <col width="15.44140625" customWidth="1" style="10" min="188" max="188"/>
    <col width="10.33203125" customWidth="1" style="10" min="189" max="189"/>
    <col width="9.6640625" customWidth="1" style="10" min="190" max="190"/>
    <col width="9.33203125" customWidth="1" style="10" min="191" max="191"/>
    <col width="9.6640625" customWidth="1" style="10" min="192" max="192"/>
    <col width="15.44140625" customWidth="1" style="10" min="193" max="193"/>
    <col width="10.33203125" customWidth="1" style="10" min="194" max="194"/>
    <col width="6.33203125" customWidth="1" style="10" min="195" max="195"/>
    <col width="15.44140625" customWidth="1" style="10" min="196" max="196"/>
    <col width="9.109375" customWidth="1" style="10" min="197" max="197"/>
    <col width="15.44140625" customWidth="1" style="10" min="198" max="198"/>
    <col width="11.44140625" customWidth="1" style="10" min="199" max="199"/>
    <col width="10.33203125" customWidth="1" style="10" min="200" max="200"/>
    <col width="11.44140625" customWidth="1" style="10" min="201" max="201"/>
    <col width="15.44140625" customWidth="1" style="10" min="202" max="202"/>
    <col width="6.33203125" customWidth="1" style="10" min="203" max="203"/>
    <col width="15.44140625" customWidth="1" style="10" min="204" max="204"/>
    <col width="9.109375" customWidth="1" style="10" min="205" max="205"/>
    <col width="11.44140625" customWidth="1" style="10" min="206" max="207"/>
    <col width="9.6640625" customWidth="1" style="10" min="208" max="208"/>
    <col width="15.44140625" customWidth="1" style="10" min="209" max="209"/>
    <col width="9.109375" customWidth="1" style="10" min="210" max="210"/>
    <col width="15.44140625" customWidth="1" style="10" min="211" max="212"/>
    <col width="9.109375" customWidth="1" style="10" min="213" max="213"/>
    <col width="15.44140625" customWidth="1" style="10" min="214" max="214"/>
    <col width="9.109375" customWidth="1" style="10" min="215" max="215"/>
    <col width="15.44140625" customWidth="1" style="10" min="216" max="216"/>
    <col width="10.33203125" customWidth="1" style="10" min="217" max="217"/>
    <col width="9.6640625" customWidth="1" style="10" min="218" max="218"/>
    <col width="15.44140625" customWidth="1" style="10" min="219" max="220"/>
    <col width="9.109375" customWidth="1" style="10" min="221" max="221"/>
    <col width="15.44140625" customWidth="1" style="10" min="222" max="223"/>
    <col width="9.109375" customWidth="1" style="10" min="224" max="224"/>
    <col width="15.44140625" customWidth="1" style="10" min="225" max="226"/>
    <col width="9.109375" customWidth="1" style="10" min="227" max="227"/>
    <col width="9.33203125" customWidth="1" style="10" min="228" max="228"/>
    <col width="9.109375" customWidth="1" style="10" min="229" max="229"/>
    <col width="14.109375" customWidth="1" style="10" min="230" max="230"/>
    <col width="9.109375" customWidth="1" style="10" min="231" max="231"/>
    <col width="9.33203125" customWidth="1" style="10" min="232" max="232"/>
    <col width="9.109375" customWidth="1" style="10" min="233" max="233"/>
    <col width="14.109375" customWidth="1" style="10" min="234" max="234"/>
    <col width="9.109375" customWidth="1" style="10" min="235" max="235"/>
    <col width="12.6640625" customWidth="1" style="10" min="236" max="236"/>
    <col width="9.33203125" customWidth="1" style="10" min="237" max="237"/>
    <col width="12.6640625" customWidth="1" style="10" min="238" max="240"/>
    <col width="9.109375" customWidth="1" style="10" min="241" max="252"/>
    <col width="9.109375" customWidth="1" style="10" min="253" max="16384"/>
  </cols>
  <sheetData>
    <row r="1" hidden="1" ht="26.7" customFormat="1" customHeight="1" s="7">
      <c r="A1" s="1" t="n"/>
      <c r="B1" s="488" t="n"/>
      <c r="C1" s="3" t="n"/>
      <c r="D1" s="4" t="n"/>
      <c r="E1" s="4" t="n"/>
      <c r="F1" s="488" t="n"/>
      <c r="G1" s="5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</row>
    <row r="2" hidden="1" ht="13.8" customFormat="1" customHeight="1" s="7">
      <c r="A2" s="1" t="n"/>
      <c r="B2" s="488" t="n"/>
      <c r="C2" s="3" t="n"/>
      <c r="D2" s="4" t="n"/>
      <c r="E2" s="4" t="n"/>
      <c r="F2" s="488" t="n"/>
      <c r="G2" s="5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</row>
    <row r="3" ht="25.2" customHeight="1" thickBot="1">
      <c r="A3" s="8" t="inlineStr">
        <is>
          <t>NUV GASTROBAR</t>
        </is>
      </c>
      <c r="H3" s="9">
        <f>J8/H8</f>
        <v/>
      </c>
      <c r="I3" s="9" t="n"/>
      <c r="J3" s="9">
        <f>J8/I8</f>
        <v/>
      </c>
      <c r="K3" s="9">
        <f>M8/K8</f>
        <v/>
      </c>
      <c r="L3" s="9" t="n"/>
      <c r="M3" s="9">
        <f>M8/L8</f>
        <v/>
      </c>
      <c r="N3" s="9">
        <f>P8/N8</f>
        <v/>
      </c>
      <c r="O3" s="9" t="n"/>
      <c r="P3" s="9">
        <f>P8/O8</f>
        <v/>
      </c>
      <c r="Q3" s="9">
        <f>S8/Q8</f>
        <v/>
      </c>
      <c r="R3" s="9" t="n"/>
      <c r="S3" s="9">
        <f>S8/R8</f>
        <v/>
      </c>
      <c r="T3" s="9">
        <f>V8/T8</f>
        <v/>
      </c>
      <c r="U3" s="9" t="n"/>
      <c r="V3" s="9">
        <f>V8/U8</f>
        <v/>
      </c>
      <c r="W3" s="9">
        <f>Y8/W8</f>
        <v/>
      </c>
      <c r="X3" s="9" t="n"/>
      <c r="Y3" s="9">
        <f>Y8/X8</f>
        <v/>
      </c>
      <c r="Z3" s="9">
        <f>AB8/Z8</f>
        <v/>
      </c>
      <c r="AA3" s="9" t="n"/>
      <c r="AB3" s="9">
        <f>AB8/AA8</f>
        <v/>
      </c>
      <c r="AC3" s="9">
        <f>AE8/AC8</f>
        <v/>
      </c>
      <c r="AD3" s="9" t="n"/>
      <c r="AE3" s="9">
        <f>AE8/AD8</f>
        <v/>
      </c>
      <c r="AF3" s="9">
        <f>AH8/AF8</f>
        <v/>
      </c>
      <c r="AG3" s="9" t="n"/>
      <c r="AH3" s="9">
        <f>AH8/AG8</f>
        <v/>
      </c>
      <c r="AI3" s="9">
        <f>AK8/AI8</f>
        <v/>
      </c>
      <c r="AJ3" s="9" t="n"/>
      <c r="AK3" s="9">
        <f>AK8/AJ8</f>
        <v/>
      </c>
      <c r="AL3" s="9">
        <f>AN8/AL8</f>
        <v/>
      </c>
      <c r="AM3" s="9" t="n"/>
      <c r="AN3" s="9">
        <f>AN8/AM8</f>
        <v/>
      </c>
      <c r="AO3" s="9">
        <f>AQ8/AO8</f>
        <v/>
      </c>
      <c r="AP3" s="9" t="n"/>
      <c r="AQ3" s="9">
        <f>AQ8/AP8</f>
        <v/>
      </c>
      <c r="AR3" s="9">
        <f>AT8/AR8</f>
        <v/>
      </c>
      <c r="AS3" s="9" t="n"/>
      <c r="AT3" s="461">
        <f>AT8/AS8</f>
        <v/>
      </c>
      <c r="AU3" s="9">
        <f>AW8/AU8</f>
        <v/>
      </c>
      <c r="AV3" s="9" t="n"/>
      <c r="AW3" s="9">
        <f>AW8/AV8</f>
        <v/>
      </c>
      <c r="AX3" s="9">
        <f>AZ8/AX8</f>
        <v/>
      </c>
      <c r="AY3" s="9" t="n"/>
      <c r="AZ3" s="9">
        <f>AZ8/AY8</f>
        <v/>
      </c>
      <c r="BA3" s="9">
        <f>BC8/BA8</f>
        <v/>
      </c>
      <c r="BB3" s="9" t="n"/>
      <c r="BC3" s="9">
        <f>BC8/BB8</f>
        <v/>
      </c>
      <c r="BD3" s="9">
        <f>BF8/BD8</f>
        <v/>
      </c>
      <c r="BE3" s="9" t="n"/>
      <c r="BF3" s="9">
        <f>BF8/BE8</f>
        <v/>
      </c>
      <c r="BG3" s="9">
        <f>BI8/BG8</f>
        <v/>
      </c>
      <c r="BH3" s="9" t="n"/>
      <c r="BI3" s="9">
        <f>BI8/BH8</f>
        <v/>
      </c>
    </row>
    <row r="4" ht="18.6" customFormat="1" customHeight="1" s="14" thickBot="1">
      <c r="A4" s="11" t="n"/>
      <c r="B4" s="5" t="n"/>
      <c r="C4" s="12" t="n"/>
      <c r="D4" s="13" t="n"/>
      <c r="E4" s="13" t="n"/>
      <c r="F4" s="5" t="n"/>
      <c r="G4" s="5" t="n"/>
      <c r="H4" s="489" t="n">
        <v>46023</v>
      </c>
      <c r="I4" s="490" t="n"/>
      <c r="J4" s="491" t="n"/>
      <c r="K4" s="489" t="n">
        <v>46054</v>
      </c>
      <c r="L4" s="490" t="n"/>
      <c r="M4" s="491" t="n"/>
      <c r="N4" s="489" t="n">
        <v>46082</v>
      </c>
      <c r="O4" s="490" t="n"/>
      <c r="P4" s="491" t="n"/>
      <c r="Q4" s="489" t="n">
        <v>46113</v>
      </c>
      <c r="R4" s="490" t="n"/>
      <c r="S4" s="491" t="n"/>
      <c r="T4" s="489" t="n">
        <v>46143</v>
      </c>
      <c r="U4" s="490" t="n"/>
      <c r="V4" s="491" t="n"/>
      <c r="W4" s="489" t="n">
        <v>46174</v>
      </c>
      <c r="X4" s="490" t="n"/>
      <c r="Y4" s="491" t="n"/>
      <c r="Z4" s="489" t="n">
        <v>46204</v>
      </c>
      <c r="AA4" s="490" t="n"/>
      <c r="AB4" s="491" t="n"/>
      <c r="AC4" s="489" t="n">
        <v>46235</v>
      </c>
      <c r="AD4" s="490" t="n"/>
      <c r="AE4" s="491" t="n"/>
      <c r="AF4" s="489" t="n">
        <v>46266</v>
      </c>
      <c r="AG4" s="490" t="n"/>
      <c r="AH4" s="491" t="n"/>
      <c r="AI4" s="489" t="n">
        <v>46296</v>
      </c>
      <c r="AJ4" s="490" t="n"/>
      <c r="AK4" s="491" t="n"/>
      <c r="AL4" s="489" t="n">
        <v>46327</v>
      </c>
      <c r="AM4" s="490" t="n"/>
      <c r="AN4" s="491" t="n"/>
      <c r="AO4" s="489" t="n">
        <v>46357</v>
      </c>
      <c r="AP4" s="490" t="n"/>
      <c r="AQ4" s="491" t="n"/>
      <c r="AR4" s="492" t="inlineStr">
        <is>
          <t xml:space="preserve">Acumulado </t>
        </is>
      </c>
      <c r="AS4" s="493" t="n"/>
      <c r="AT4" s="494" t="n"/>
      <c r="AU4" s="492" t="inlineStr">
        <is>
          <t>ANO</t>
        </is>
      </c>
      <c r="AV4" s="493" t="n"/>
      <c r="AW4" s="494" t="n"/>
      <c r="AX4" s="492" t="inlineStr">
        <is>
          <t>1º TRIMESTRE</t>
        </is>
      </c>
      <c r="AY4" s="493" t="n"/>
      <c r="AZ4" s="494" t="n"/>
      <c r="BA4" s="492" t="inlineStr">
        <is>
          <t>2º TRIMESTRE</t>
        </is>
      </c>
      <c r="BB4" s="493" t="n"/>
      <c r="BC4" s="494" t="n"/>
      <c r="BD4" s="492" t="inlineStr">
        <is>
          <t>3º TRIMESTRE</t>
        </is>
      </c>
      <c r="BE4" s="493" t="n"/>
      <c r="BF4" s="494" t="n"/>
      <c r="BG4" s="492" t="inlineStr">
        <is>
          <t>4º TRIMESTRE</t>
        </is>
      </c>
      <c r="BH4" s="493" t="n"/>
      <c r="BI4" s="494" t="n"/>
    </row>
    <row r="5" hidden="1" ht="18.6" customFormat="1" customHeight="1" s="14" thickBot="1">
      <c r="A5" s="90" t="n"/>
      <c r="B5" s="5" t="n"/>
      <c r="C5" s="12" t="n"/>
      <c r="D5" s="13" t="n"/>
      <c r="E5" s="13" t="n"/>
      <c r="F5" s="5" t="n"/>
      <c r="G5" s="5" t="n"/>
      <c r="H5" s="474" t="n">
        <v>1</v>
      </c>
      <c r="I5" s="475" t="n">
        <v>1</v>
      </c>
      <c r="J5" s="472">
        <f>MONTH(H4)</f>
        <v/>
      </c>
      <c r="K5" s="474" t="n">
        <v>2</v>
      </c>
      <c r="L5" s="475" t="n">
        <v>2</v>
      </c>
      <c r="M5" s="472">
        <f>MONTH(K4)</f>
        <v/>
      </c>
      <c r="N5" s="474" t="n">
        <v>3</v>
      </c>
      <c r="O5" s="475" t="n">
        <v>3</v>
      </c>
      <c r="P5" s="472">
        <f>MONTH(N4)</f>
        <v/>
      </c>
      <c r="Q5" s="474" t="n">
        <v>4</v>
      </c>
      <c r="R5" s="475" t="n">
        <v>4</v>
      </c>
      <c r="S5" s="472">
        <f>MONTH(Q4)</f>
        <v/>
      </c>
      <c r="T5" s="474" t="n">
        <v>5</v>
      </c>
      <c r="U5" s="475" t="n">
        <v>5</v>
      </c>
      <c r="V5" s="472">
        <f>MONTH(T4)</f>
        <v/>
      </c>
      <c r="W5" s="474" t="n">
        <v>6</v>
      </c>
      <c r="X5" s="475" t="n">
        <v>6</v>
      </c>
      <c r="Y5" s="472" t="n">
        <v>6</v>
      </c>
      <c r="Z5" s="474" t="n">
        <v>7</v>
      </c>
      <c r="AA5" s="475" t="n">
        <v>7</v>
      </c>
      <c r="AB5" s="472">
        <f>MONTH(Z4)</f>
        <v/>
      </c>
      <c r="AC5" s="474" t="n">
        <v>8</v>
      </c>
      <c r="AD5" s="475" t="n">
        <v>8</v>
      </c>
      <c r="AE5" s="472">
        <f>MONTH(AC4)</f>
        <v/>
      </c>
      <c r="AF5" s="474" t="n">
        <v>9</v>
      </c>
      <c r="AG5" s="475" t="n">
        <v>9</v>
      </c>
      <c r="AH5" s="472">
        <f>MONTH(AF4)</f>
        <v/>
      </c>
      <c r="AI5" s="474" t="n">
        <v>10</v>
      </c>
      <c r="AJ5" s="475" t="n">
        <v>10</v>
      </c>
      <c r="AK5" s="472">
        <f>MONTH(AI4)</f>
        <v/>
      </c>
      <c r="AL5" s="474" t="n">
        <v>11</v>
      </c>
      <c r="AM5" s="475" t="n">
        <v>11</v>
      </c>
      <c r="AN5" s="472">
        <f>MONTH(AL4)</f>
        <v/>
      </c>
      <c r="AO5" s="474" t="n">
        <v>12</v>
      </c>
      <c r="AP5" s="475" t="n">
        <v>12</v>
      </c>
      <c r="AQ5" s="472">
        <f>MONTH(AO4)</f>
        <v/>
      </c>
      <c r="AR5" s="471" t="n"/>
      <c r="AS5" s="471" t="n"/>
      <c r="AT5" s="471" t="n"/>
      <c r="AU5" s="471" t="n"/>
      <c r="AV5" s="471" t="n"/>
      <c r="AW5" s="471" t="n"/>
      <c r="AX5" s="471" t="n"/>
      <c r="AY5" s="471" t="n"/>
      <c r="AZ5" s="471" t="n"/>
      <c r="BA5" s="471" t="n"/>
      <c r="BB5" s="471" t="n"/>
      <c r="BC5" s="471" t="n"/>
      <c r="BD5" s="471" t="n"/>
      <c r="BE5" s="471" t="n"/>
      <c r="BF5" s="471" t="n"/>
      <c r="BG5" s="471" t="n"/>
      <c r="BH5" s="471" t="n"/>
      <c r="BI5" s="471" t="n"/>
    </row>
    <row r="6" ht="18.6" customHeight="1" thickBot="1">
      <c r="A6" s="15" t="n"/>
      <c r="E6" s="16" t="n"/>
      <c r="F6" s="17" t="n"/>
      <c r="G6" s="108" t="n"/>
      <c r="H6" s="238" t="inlineStr">
        <is>
          <t>REAL 25</t>
        </is>
      </c>
      <c r="I6" s="231" t="inlineStr">
        <is>
          <t xml:space="preserve">ORÇADO </t>
        </is>
      </c>
      <c r="J6" s="239" t="inlineStr">
        <is>
          <t>REAL 26</t>
        </is>
      </c>
      <c r="K6" s="238" t="inlineStr">
        <is>
          <t>REAL 25</t>
        </is>
      </c>
      <c r="L6" s="231" t="inlineStr">
        <is>
          <t xml:space="preserve">ORÇADO </t>
        </is>
      </c>
      <c r="M6" s="239" t="inlineStr">
        <is>
          <t>REAL 26</t>
        </is>
      </c>
      <c r="N6" s="238" t="inlineStr">
        <is>
          <t>REAL 25</t>
        </is>
      </c>
      <c r="O6" s="231" t="inlineStr">
        <is>
          <t xml:space="preserve">ORÇADO </t>
        </is>
      </c>
      <c r="P6" s="239" t="inlineStr">
        <is>
          <t>REAL 26</t>
        </is>
      </c>
      <c r="Q6" s="238" t="inlineStr">
        <is>
          <t>REAL 25</t>
        </is>
      </c>
      <c r="R6" s="231" t="inlineStr">
        <is>
          <t xml:space="preserve">ORÇADO </t>
        </is>
      </c>
      <c r="S6" s="239" t="inlineStr">
        <is>
          <t>REAL 26</t>
        </is>
      </c>
      <c r="T6" s="238" t="inlineStr">
        <is>
          <t>REAL 25</t>
        </is>
      </c>
      <c r="U6" s="231" t="inlineStr">
        <is>
          <t xml:space="preserve">ORÇADO </t>
        </is>
      </c>
      <c r="V6" s="239" t="inlineStr">
        <is>
          <t>REAL 26</t>
        </is>
      </c>
      <c r="W6" s="238" t="inlineStr">
        <is>
          <t>REAL 25</t>
        </is>
      </c>
      <c r="X6" s="231" t="inlineStr">
        <is>
          <t xml:space="preserve">ORÇADO </t>
        </is>
      </c>
      <c r="Y6" s="239" t="inlineStr">
        <is>
          <t>REAL 26</t>
        </is>
      </c>
      <c r="Z6" s="238" t="inlineStr">
        <is>
          <t>REAL 25</t>
        </is>
      </c>
      <c r="AA6" s="231" t="inlineStr">
        <is>
          <t xml:space="preserve">ORÇADO </t>
        </is>
      </c>
      <c r="AB6" s="239" t="inlineStr">
        <is>
          <t>REAL 26</t>
        </is>
      </c>
      <c r="AC6" s="238" t="inlineStr">
        <is>
          <t>REAL 25</t>
        </is>
      </c>
      <c r="AD6" s="231" t="inlineStr">
        <is>
          <t xml:space="preserve">ORÇADO </t>
        </is>
      </c>
      <c r="AE6" s="239" t="inlineStr">
        <is>
          <t>REAL 26</t>
        </is>
      </c>
      <c r="AF6" s="238" t="inlineStr">
        <is>
          <t>REAL 25</t>
        </is>
      </c>
      <c r="AG6" s="231" t="inlineStr">
        <is>
          <t xml:space="preserve">ORÇADO </t>
        </is>
      </c>
      <c r="AH6" s="239" t="inlineStr">
        <is>
          <t>REAL 26</t>
        </is>
      </c>
      <c r="AI6" s="238" t="inlineStr">
        <is>
          <t>REAL 25</t>
        </is>
      </c>
      <c r="AJ6" s="231" t="inlineStr">
        <is>
          <t xml:space="preserve">ORÇADO </t>
        </is>
      </c>
      <c r="AK6" s="239" t="inlineStr">
        <is>
          <t>REAL 26</t>
        </is>
      </c>
      <c r="AL6" s="238" t="inlineStr">
        <is>
          <t>REAL 25</t>
        </is>
      </c>
      <c r="AM6" s="231" t="inlineStr">
        <is>
          <t xml:space="preserve">ORÇADO </t>
        </is>
      </c>
      <c r="AN6" s="239" t="inlineStr">
        <is>
          <t>REAL 26</t>
        </is>
      </c>
      <c r="AO6" s="238" t="inlineStr">
        <is>
          <t>REAL 25</t>
        </is>
      </c>
      <c r="AP6" s="231" t="inlineStr">
        <is>
          <t xml:space="preserve">ORÇADO </t>
        </is>
      </c>
      <c r="AQ6" s="239" t="inlineStr">
        <is>
          <t>REAL 26</t>
        </is>
      </c>
      <c r="AR6" s="238" t="n">
        <v>2025</v>
      </c>
      <c r="AS6" s="231" t="inlineStr">
        <is>
          <t xml:space="preserve">ORÇADO </t>
        </is>
      </c>
      <c r="AT6" s="239" t="inlineStr">
        <is>
          <t>REAL 2026</t>
        </is>
      </c>
      <c r="AU6" s="238" t="n">
        <v>2025</v>
      </c>
      <c r="AV6" s="231" t="inlineStr">
        <is>
          <t xml:space="preserve">ORÇADO </t>
        </is>
      </c>
      <c r="AW6" s="239" t="inlineStr">
        <is>
          <t>REAL 2026</t>
        </is>
      </c>
      <c r="AX6" s="238" t="inlineStr">
        <is>
          <t>REAL 25</t>
        </is>
      </c>
      <c r="AY6" s="231" t="inlineStr">
        <is>
          <t xml:space="preserve">ORÇADO </t>
        </is>
      </c>
      <c r="AZ6" s="239" t="inlineStr">
        <is>
          <t>REAL 26</t>
        </is>
      </c>
      <c r="BA6" s="238" t="inlineStr">
        <is>
          <t>REAL 25</t>
        </is>
      </c>
      <c r="BB6" s="231" t="inlineStr">
        <is>
          <t xml:space="preserve">ORÇADO </t>
        </is>
      </c>
      <c r="BC6" s="239" t="inlineStr">
        <is>
          <t>REAL 26</t>
        </is>
      </c>
      <c r="BD6" s="238" t="inlineStr">
        <is>
          <t>REAL 25</t>
        </is>
      </c>
      <c r="BE6" s="231" t="inlineStr">
        <is>
          <t xml:space="preserve">ORÇADO </t>
        </is>
      </c>
      <c r="BF6" s="239" t="inlineStr">
        <is>
          <t>REAL 26</t>
        </is>
      </c>
      <c r="BG6" s="238" t="inlineStr">
        <is>
          <t>REAL 25</t>
        </is>
      </c>
      <c r="BH6" s="231" t="inlineStr">
        <is>
          <t xml:space="preserve">ORÇADO </t>
        </is>
      </c>
      <c r="BI6" s="239" t="inlineStr">
        <is>
          <t>REAL 26</t>
        </is>
      </c>
    </row>
    <row r="7" ht="18" customFormat="1" customHeight="1" s="460">
      <c r="A7" s="453" t="n"/>
      <c r="B7" s="454" t="n"/>
      <c r="C7" s="455" t="n"/>
      <c r="D7" s="456" t="n"/>
      <c r="E7" s="456" t="n"/>
      <c r="F7" s="454" t="n"/>
      <c r="G7" s="457" t="n"/>
      <c r="H7" s="458" t="n">
        <v>45658</v>
      </c>
      <c r="I7" s="454" t="n">
        <v>46023</v>
      </c>
      <c r="J7" s="459" t="n"/>
      <c r="K7" s="458" t="n">
        <v>45689</v>
      </c>
      <c r="L7" s="454" t="n">
        <v>46054</v>
      </c>
      <c r="M7" s="459" t="n"/>
      <c r="N7" s="458" t="n">
        <v>45717</v>
      </c>
      <c r="O7" s="454" t="n">
        <v>46082</v>
      </c>
      <c r="P7" s="459" t="n"/>
      <c r="Q7" s="458" t="n">
        <v>45748</v>
      </c>
      <c r="R7" s="454" t="n"/>
      <c r="S7" s="459" t="n"/>
      <c r="T7" s="458" t="n">
        <v>45778</v>
      </c>
      <c r="U7" s="454" t="n"/>
      <c r="V7" s="459" t="n"/>
      <c r="W7" s="458" t="n">
        <v>45809</v>
      </c>
      <c r="X7" s="454" t="n"/>
      <c r="Y7" s="459" t="n"/>
      <c r="Z7" s="458" t="n">
        <v>45839</v>
      </c>
      <c r="AA7" s="454" t="n"/>
      <c r="AB7" s="459" t="n"/>
      <c r="AC7" s="458" t="n">
        <v>45870</v>
      </c>
      <c r="AD7" s="454" t="n"/>
      <c r="AE7" s="459" t="n"/>
      <c r="AF7" s="458" t="n">
        <v>45901</v>
      </c>
      <c r="AG7" s="454" t="n"/>
      <c r="AH7" s="459" t="n"/>
      <c r="AI7" s="458" t="n">
        <v>45931</v>
      </c>
      <c r="AJ7" s="454" t="n"/>
      <c r="AK7" s="459" t="n"/>
      <c r="AL7" s="458" t="n">
        <v>45962</v>
      </c>
      <c r="AM7" s="454" t="n"/>
      <c r="AN7" s="459" t="n"/>
      <c r="AO7" s="458" t="n">
        <v>45992</v>
      </c>
      <c r="AP7" s="454" t="n"/>
      <c r="AQ7" s="459" t="n"/>
      <c r="AR7" s="458" t="n"/>
      <c r="AS7" s="454" t="n"/>
      <c r="AT7" s="450" t="n"/>
      <c r="AU7" s="458" t="n"/>
      <c r="AV7" s="454" t="n"/>
      <c r="AW7" s="459" t="n"/>
      <c r="AX7" s="458" t="n"/>
      <c r="AY7" s="454" t="n"/>
      <c r="AZ7" s="459" t="n"/>
      <c r="BA7" s="458" t="n"/>
      <c r="BB7" s="454" t="n"/>
      <c r="BC7" s="459" t="n"/>
      <c r="BD7" s="458" t="n"/>
      <c r="BE7" s="454" t="n"/>
      <c r="BF7" s="459" t="n"/>
      <c r="BG7" s="458" t="n"/>
      <c r="BH7" s="454" t="n"/>
      <c r="BI7" s="459" t="n"/>
      <c r="BJ7" s="470" t="n"/>
    </row>
    <row r="8" ht="16.95" customHeight="1">
      <c r="A8" s="19" t="inlineStr">
        <is>
          <t>FATURAMENTO BRUTO</t>
        </is>
      </c>
      <c r="C8" s="495" t="inlineStr">
        <is>
          <t>PARÂMETROS UTILIZADOS</t>
        </is>
      </c>
      <c r="D8" s="496" t="n"/>
      <c r="E8" s="496" t="n"/>
      <c r="F8" s="17" t="n"/>
      <c r="G8" s="36" t="n"/>
      <c r="H8" s="240" t="n"/>
      <c r="I8" s="20">
        <f>SUM(I9:I19)</f>
        <v/>
      </c>
      <c r="J8" s="21">
        <f>SUM(J9:J19)</f>
        <v/>
      </c>
      <c r="K8" s="240" t="n"/>
      <c r="L8" s="20">
        <f>SUM(L9:L19)</f>
        <v/>
      </c>
      <c r="M8" s="21">
        <f>SUM(M9:M19)+SUMIFS(Aut_Ajustes_Manuais!$G:$G,Aut_Ajustes_Manuais!$I:$I,DRE!K$4,Aut_Ajustes_Manuais!$F:$F,"FATURAMENTO BRUTO")</f>
        <v/>
      </c>
      <c r="N8" s="240" t="n"/>
      <c r="O8" s="20">
        <f>SUM(O9:O19)</f>
        <v/>
      </c>
      <c r="P8" s="21">
        <f>SUM(P9:P19)+SUMIFS(Aut_Ajustes_Manuais!$G:$G,Aut_Ajustes_Manuais!$I:$I,DRE!N$4,Aut_Ajustes_Manuais!$F:$F,"FATURAMENTO BRUTO")</f>
        <v/>
      </c>
      <c r="Q8" s="240" t="n"/>
      <c r="R8" s="20">
        <f>SUM(R9:R19)</f>
        <v/>
      </c>
      <c r="S8" s="21">
        <f>SUM(S9:S19)+SUMIFS(Aut_Ajustes_Manuais!$G:$G,Aut_Ajustes_Manuais!$I:$I,DRE!Q$4,Aut_Ajustes_Manuais!$F:$F,"FATURAMENTO BRUTO")</f>
        <v/>
      </c>
      <c r="T8" s="240" t="n"/>
      <c r="U8" s="20">
        <f>SUM(U9:U19)</f>
        <v/>
      </c>
      <c r="V8" s="21">
        <f>SUM(V9:V19)+SUMIFS(Aut_Ajustes_Manuais!$G:$G,Aut_Ajustes_Manuais!$I:$I,DRE!T$4,Aut_Ajustes_Manuais!$F:$F,"FATURAMENTO BRUTO")</f>
        <v/>
      </c>
      <c r="W8" s="240" t="n"/>
      <c r="X8" s="20">
        <f>SUM(X9:X19)</f>
        <v/>
      </c>
      <c r="Y8" s="21">
        <f>SUM(Y9:Y19)+SUMIFS(Aut_Ajustes_Manuais!$G:$G,Aut_Ajustes_Manuais!$I:$I,DRE!W$4,Aut_Ajustes_Manuais!$F:$F,"FATURAMENTO BRUTO")</f>
        <v/>
      </c>
      <c r="Z8" s="240" t="n"/>
      <c r="AA8" s="20">
        <f>SUM(AA9:AA19)</f>
        <v/>
      </c>
      <c r="AB8" s="21">
        <f>SUM(AB9:AB19)+SUMIFS(Aut_Ajustes_Manuais!$G:$G,Aut_Ajustes_Manuais!$I:$I,DRE!Z$4,Aut_Ajustes_Manuais!$F:$F,"FATURAMENTO BRUTO")</f>
        <v/>
      </c>
      <c r="AC8" s="240" t="n"/>
      <c r="AD8" s="20">
        <f>SUM(AD9:AD19)</f>
        <v/>
      </c>
      <c r="AE8" s="21">
        <f>SUM(AE9:AE19)+SUMIFS(Aut_Ajustes_Manuais!$G:$G,Aut_Ajustes_Manuais!$I:$I,DRE!AC$4,Aut_Ajustes_Manuais!$F:$F,"FATURAMENTO BRUTO")</f>
        <v/>
      </c>
      <c r="AF8" s="240" t="n"/>
      <c r="AG8" s="20">
        <f>SUM(AG9:AG19)</f>
        <v/>
      </c>
      <c r="AH8" s="21">
        <f>SUM(AH9:AH19)+SUMIFS(Aut_Ajustes_Manuais!$G:$G,Aut_Ajustes_Manuais!$I:$I,DRE!AF$4,Aut_Ajustes_Manuais!$F:$F,"FATURAMENTO BRUTO")</f>
        <v/>
      </c>
      <c r="AI8" s="240" t="n"/>
      <c r="AJ8" s="20">
        <f>SUM(AJ9:AJ19)</f>
        <v/>
      </c>
      <c r="AK8" s="21">
        <f>SUM(AK9:AK19)+SUMIFS(Aut_Ajustes_Manuais!$G:$G,Aut_Ajustes_Manuais!$I:$I,DRE!AI$4,Aut_Ajustes_Manuais!$F:$F,"FATURAMENTO BRUTO")</f>
        <v/>
      </c>
      <c r="AL8" s="240" t="n"/>
      <c r="AM8" s="20">
        <f>SUM(AM9:AM19)</f>
        <v/>
      </c>
      <c r="AN8" s="21">
        <f>SUM(AN9:AN19)+SUMIFS(Aut_Ajustes_Manuais!$G:$G,Aut_Ajustes_Manuais!$I:$I,DRE!AL$4,Aut_Ajustes_Manuais!$F:$F,"FATURAMENTO BRUTO")</f>
        <v/>
      </c>
      <c r="AO8" s="240" t="n"/>
      <c r="AP8" s="20">
        <f>SUM(AP9:AP19)</f>
        <v/>
      </c>
      <c r="AQ8" s="21">
        <f>SUM(AQ9:AQ19)+SUMIFS(Aut_Ajustes_Manuais!$G:$G,Aut_Ajustes_Manuais!$I:$I,DRE!AO$4,Aut_Ajustes_Manuais!$F:$F,"FATURAMENTO BRUTO")</f>
        <v/>
      </c>
      <c r="AR8" s="240">
        <f>SUM(AR9:AR19)</f>
        <v/>
      </c>
      <c r="AS8" s="20">
        <f>SUM(AS9:AS19)</f>
        <v/>
      </c>
      <c r="AT8" s="21">
        <f>SUM(AT9:AT19)</f>
        <v/>
      </c>
      <c r="AU8" s="240">
        <f>SUM(AU9:AU19)</f>
        <v/>
      </c>
      <c r="AV8" s="20">
        <f>SUM(AV9:AV19)</f>
        <v/>
      </c>
      <c r="AW8" s="21">
        <f>SUM(AW9:AW19)</f>
        <v/>
      </c>
      <c r="AX8" s="240">
        <f>SUM(AX9:AX19)</f>
        <v/>
      </c>
      <c r="AY8" s="20">
        <f>SUM(AY9:AY19)</f>
        <v/>
      </c>
      <c r="AZ8" s="21">
        <f>SUM(AZ9:AZ19)</f>
        <v/>
      </c>
      <c r="BA8" s="240">
        <f>SUM(BA9:BA19)</f>
        <v/>
      </c>
      <c r="BB8" s="20">
        <f>SUM(BB9:BB19)</f>
        <v/>
      </c>
      <c r="BC8" s="21">
        <f>SUM(BC9:BC19)</f>
        <v/>
      </c>
      <c r="BD8" s="240">
        <f>SUM(BD9:BD19)</f>
        <v/>
      </c>
      <c r="BE8" s="20">
        <f>SUM(BE9:BE19)</f>
        <v/>
      </c>
      <c r="BF8" s="21">
        <f>SUM(BF9:BF19)</f>
        <v/>
      </c>
      <c r="BG8" s="240">
        <f>SUM(BG9:BG19)</f>
        <v/>
      </c>
      <c r="BH8" s="20">
        <f>SUM(BH9:BH19)</f>
        <v/>
      </c>
      <c r="BI8" s="21">
        <f>SUM(BI9:BI19)</f>
        <v/>
      </c>
    </row>
    <row r="9" outlineLevel="1" customFormat="1" s="498">
      <c r="A9" s="22" t="inlineStr">
        <is>
          <t>Alimentação</t>
        </is>
      </c>
      <c r="B9" s="23" t="n"/>
      <c r="C9" s="24" t="inlineStr">
        <is>
          <t xml:space="preserve">Estim. Mensal </t>
        </is>
      </c>
      <c r="D9" s="24" t="inlineStr">
        <is>
          <t>Preencher base de Faturamento A&amp;B&amp;C</t>
        </is>
      </c>
      <c r="E9" s="25" t="n"/>
      <c r="F9" s="431" t="n"/>
      <c r="G9" s="431" t="n"/>
      <c r="H9" s="241" t="n"/>
      <c r="I9" s="27">
        <f>SUMIFS(T_ORCAMENTOS!$E:$E,T_ORCAMENTOS!$C:$C,"Alimentação",T_ORCAMENTOS!$H:$H,"1/2026")</f>
        <v/>
      </c>
      <c r="J9" s="28">
        <f>SUMIFS(Aut_Faturamento_Zig!$F:$F,Aut_Faturamento_Zig!$E:$E,"Alimentos",Aut_Faturamento_Zig!$D:$D,DRE!H$4)-SUMIFS(Aut_Promocoes_Utilizadas!$G:$G,Aut_Promocoes_Utilizadas!$J:$J,DRE!H$4,Aut_Promocoes_Utilizadas!$H:$H,"A",Aut_Promocoes_Utilizadas!$I:$I,"Eventos")-SUMIFS(Aut_Descontos!$I:$I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Antecipado")*50%)+SUMIFS(Aut_Ajustes_Manuais!$G:$G,Aut_Ajustes_Manuais!$I:$I,DRE!H$4,Aut_Ajustes_Manuais!$F:$F,"Alimentação")</f>
        <v/>
      </c>
      <c r="K9" s="241" t="n"/>
      <c r="L9" s="27">
        <f>SUMIFS(T_ORCAMENTOS!$E:$E,T_ORCAMENTOS!$C:$C,"Alimentação",T_ORCAMENTOS!$H:$H,"2/2026")</f>
        <v/>
      </c>
      <c r="M9" s="28">
        <f>SUMIFS(Aut_Faturamento_Zig!$F:$F,Aut_Faturamento_Zig!$E:$E,"Alimentos",Aut_Faturamento_Zig!$D:$D,DRE!K$4)-SUMIFS(Aut_Promocoes_Utilizadas!$G:$G,Aut_Promocoes_Utilizadas!$J:$J,DRE!K$4,Aut_Promocoes_Utilizadas!$H:$H,"A",Aut_Promocoes_Utilizadas!$I:$I,"Eventos")-SUMIFS(Aut_Descontos!$I:$I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Antecipado")*50%)+SUMIFS(Aut_Ajustes_Manuais!$G:$G,Aut_Ajustes_Manuais!$I:$I,DRE!K$4,Aut_Ajustes_Manuais!$F:$F,"Alimentação")</f>
        <v/>
      </c>
      <c r="N9" s="241" t="n"/>
      <c r="O9" s="27">
        <f>SUMIFS(T_ORCAMENTOS!$E:$E,T_ORCAMENTOS!$C:$C,"Alimentação",T_ORCAMENTOS!$H:$H,"3/2026")</f>
        <v/>
      </c>
      <c r="P9" s="28">
        <f>SUMIFS(Aut_Faturamento_Zig!$F:$F,Aut_Faturamento_Zig!$E:$E,"Alimentos",Aut_Faturamento_Zig!$D:$D,DRE!N$4)-SUMIFS(Aut_Promocoes_Utilizadas!$G:$G,Aut_Promocoes_Utilizadas!$J:$J,DRE!N$4,Aut_Promocoes_Utilizadas!$H:$H,"A",Aut_Promocoes_Utilizadas!$I:$I,"Eventos")-SUMIFS(Aut_Descontos!$I:$I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Antecipado")*50%)+SUMIFS(Aut_Ajustes_Manuais!$G:$G,Aut_Ajustes_Manuais!$I:$I,DRE!N$4,Aut_Ajustes_Manuais!$F:$F,"Alimentação")</f>
        <v/>
      </c>
      <c r="Q9" s="241" t="n"/>
      <c r="R9" s="27">
        <f>SUMIFS(T_ORCAMENTOS!$E:$E,T_ORCAMENTOS!$C:$C,"Alimentação",T_ORCAMENTOS!$H:$H,"4/2026")</f>
        <v/>
      </c>
      <c r="S9" s="28">
        <f>SUMIFS(Aut_Faturamento_Zig!$F:$F,Aut_Faturamento_Zig!$E:$E,"Alimentos",Aut_Faturamento_Zig!$D:$D,DRE!Q$4)-SUMIFS(Aut_Promocoes_Utilizadas!$G:$G,Aut_Promocoes_Utilizadas!$J:$J,DRE!Q$4,Aut_Promocoes_Utilizadas!$H:$H,"A",Aut_Promocoes_Utilizadas!$I:$I,"Eventos")-SUMIFS(Aut_Descontos!$I:$I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Antecipado")*50%)+SUMIFS(Aut_Ajustes_Manuais!$G:$G,Aut_Ajustes_Manuais!$I:$I,DRE!Q$4,Aut_Ajustes_Manuais!$F:$F,"Alimentação")</f>
        <v/>
      </c>
      <c r="T9" s="241" t="n"/>
      <c r="U9" s="27">
        <f>SUMIFS(T_ORCAMENTOS!$E:$E,T_ORCAMENTOS!$C:$C,"Alimentação",T_ORCAMENTOS!$H:$H,"5/2026")</f>
        <v/>
      </c>
      <c r="V9" s="28">
        <f>SUMIFS(Aut_Faturamento_Zig!$F:$F,Aut_Faturamento_Zig!$E:$E,"Alimentos",Aut_Faturamento_Zig!$D:$D,DRE!T$4)-SUMIFS(Aut_Promocoes_Utilizadas!$G:$G,Aut_Promocoes_Utilizadas!$J:$J,DRE!T$4,Aut_Promocoes_Utilizadas!$H:$H,"A",Aut_Promocoes_Utilizadas!$I:$I,"Eventos")-SUMIFS(Aut_Descontos!$I:$I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Antecipado")*50%)+SUMIFS(Aut_Ajustes_Manuais!$G:$G,Aut_Ajustes_Manuais!$I:$I,DRE!T$4,Aut_Ajustes_Manuais!$F:$F,"Alimentação")</f>
        <v/>
      </c>
      <c r="W9" s="241" t="n"/>
      <c r="X9" s="27">
        <f>SUMIFS(T_ORCAMENTOS!$E:$E,T_ORCAMENTOS!$C:$C,"Alimentação",T_ORCAMENTOS!$H:$H,"6/2026")</f>
        <v/>
      </c>
      <c r="Y9" s="28">
        <f>SUMIFS(Aut_Faturamento_Zig!$F:$F,Aut_Faturamento_Zig!$E:$E,"Alimentos",Aut_Faturamento_Zig!$D:$D,DRE!W$4)-SUMIFS(Aut_Promocoes_Utilizadas!$G:$G,Aut_Promocoes_Utilizadas!$J:$J,DRE!W$4,Aut_Promocoes_Utilizadas!$H:$H,"A",Aut_Promocoes_Utilizadas!$I:$I,"Eventos")-SUMIFS(Aut_Descontos!$I:$I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Antecipado")*50%)+SUMIFS(Aut_Ajustes_Manuais!$G:$G,Aut_Ajustes_Manuais!$I:$I,DRE!W$4,Aut_Ajustes_Manuais!$F:$F,"Alimentação")</f>
        <v/>
      </c>
      <c r="Z9" s="241" t="n"/>
      <c r="AA9" s="27">
        <f>SUMIFS(T_ORCAMENTOS!$E:$E,T_ORCAMENTOS!$C:$C,"Alimentação",T_ORCAMENTOS!$H:$H,"7/2026")</f>
        <v/>
      </c>
      <c r="AB9" s="28">
        <f>SUMIFS(Aut_Faturamento_Zig!$F:$F,Aut_Faturamento_Zig!$E:$E,"Alimentos",Aut_Faturamento_Zig!$D:$D,DRE!Z$4)-SUMIFS(Aut_Promocoes_Utilizadas!$G:$G,Aut_Promocoes_Utilizadas!$J:$J,DRE!Z$4,Aut_Promocoes_Utilizadas!$H:$H,"A",Aut_Promocoes_Utilizadas!$I:$I,"Eventos")-SUMIFS(Aut_Descontos!$I:$I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Antecipado")*50%)+SUMIFS(Aut_Ajustes_Manuais!$G:$G,Aut_Ajustes_Manuais!$I:$I,DRE!Z$4,Aut_Ajustes_Manuais!$F:$F,"Alimentação")</f>
        <v/>
      </c>
      <c r="AC9" s="241" t="n"/>
      <c r="AD9" s="27">
        <f>SUMIFS(T_ORCAMENTOS!$E:$E,T_ORCAMENTOS!$C:$C,"Alimentação",T_ORCAMENTOS!$H:$H,"8/2026")</f>
        <v/>
      </c>
      <c r="AE9" s="28">
        <f>SUMIFS(Aut_Faturamento_Zig!$F:$F,Aut_Faturamento_Zig!$E:$E,"Alimentos",Aut_Faturamento_Zig!$D:$D,DRE!AC$4)-SUMIFS(Aut_Promocoes_Utilizadas!$G:$G,Aut_Promocoes_Utilizadas!$J:$J,DRE!AC$4,Aut_Promocoes_Utilizadas!$H:$H,"A",Aut_Promocoes_Utilizadas!$I:$I,"Eventos")-SUMIFS(Aut_Descontos!$I:$I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Antecipado")*50%)+SUMIFS(Aut_Ajustes_Manuais!$G:$G,Aut_Ajustes_Manuais!$I:$I,DRE!AC$4,Aut_Ajustes_Manuais!$F:$F,"Alimentação")</f>
        <v/>
      </c>
      <c r="AF9" s="241" t="n"/>
      <c r="AG9" s="27">
        <f>SUMIFS(T_ORCAMENTOS!$E:$E,T_ORCAMENTOS!$C:$C,"Alimentação",T_ORCAMENTOS!$H:$H,"9/2026")</f>
        <v/>
      </c>
      <c r="AH9" s="28">
        <f>SUMIFS(Aut_Faturamento_Zig!$F:$F,Aut_Faturamento_Zig!$E:$E,"Alimentos",Aut_Faturamento_Zig!$D:$D,DRE!AF$4)-SUMIFS(Aut_Promocoes_Utilizadas!$G:$G,Aut_Promocoes_Utilizadas!$J:$J,DRE!AF$4,Aut_Promocoes_Utilizadas!$H:$H,"A",Aut_Promocoes_Utilizadas!$I:$I,"Eventos")-SUMIFS(Aut_Descontos!$I:$I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Antecipado")*50%)+SUMIFS(Aut_Ajustes_Manuais!$G:$G,Aut_Ajustes_Manuais!$I:$I,DRE!AF$4,Aut_Ajustes_Manuais!$F:$F,"Alimentação")</f>
        <v/>
      </c>
      <c r="AI9" s="241" t="n"/>
      <c r="AJ9" s="27">
        <f>SUMIFS(T_ORCAMENTOS!$E:$E,T_ORCAMENTOS!$C:$C,"Alimentação",T_ORCAMENTOS!$H:$H,"10/2026")</f>
        <v/>
      </c>
      <c r="AK9" s="28">
        <f>SUMIFS(Aut_Faturamento_Zig!$F:$F,Aut_Faturamento_Zig!$E:$E,"Alimentos",Aut_Faturamento_Zig!$D:$D,DRE!AI$4)-SUMIFS(Aut_Promocoes_Utilizadas!$G:$G,Aut_Promocoes_Utilizadas!$J:$J,DRE!AI$4,Aut_Promocoes_Utilizadas!$H:$H,"A",Aut_Promocoes_Utilizadas!$I:$I,"Eventos")-SUMIFS(Aut_Descontos!$I:$I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Antecipado")*50%)+SUMIFS(Aut_Ajustes_Manuais!$G:$G,Aut_Ajustes_Manuais!$I:$I,DRE!AI$4,Aut_Ajustes_Manuais!$F:$F,"Alimentação")</f>
        <v/>
      </c>
      <c r="AL9" s="241" t="n"/>
      <c r="AM9" s="27">
        <f>SUMIFS(T_ORCAMENTOS!$E:$E,T_ORCAMENTOS!$C:$C,"Alimentação",T_ORCAMENTOS!$H:$H,"11/2026")</f>
        <v/>
      </c>
      <c r="AN9" s="28">
        <f>SUMIFS(Aut_Faturamento_Zig!$F:$F,Aut_Faturamento_Zig!$E:$E,"Alimentos",Aut_Faturamento_Zig!$D:$D,DRE!AL$4)-SUMIFS(Aut_Promocoes_Utilizadas!$G:$G,Aut_Promocoes_Utilizadas!$J:$J,DRE!AL$4,Aut_Promocoes_Utilizadas!$H:$H,"A",Aut_Promocoes_Utilizadas!$I:$I,"Eventos")-SUMIFS(Aut_Descontos!$I:$I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Antecipado")*50%)+SUMIFS(Aut_Ajustes_Manuais!$G:$G,Aut_Ajustes_Manuais!$I:$I,DRE!AL$4,Aut_Ajustes_Manuais!$F:$F,"Alimentação")</f>
        <v/>
      </c>
      <c r="AO9" s="241" t="n"/>
      <c r="AP9" s="27">
        <f>SUMIFS(T_ORCAMENTOS!$E:$E,T_ORCAMENTOS!$C:$C,"Alimentação",T_ORCAMENTOS!$H:$H,"12/2026")</f>
        <v/>
      </c>
      <c r="AQ9" s="28">
        <f>SUMIFS(Aut_Faturamento_Zig!$F:$F,Aut_Faturamento_Zig!$E:$E,"Alimentos",Aut_Faturamento_Zig!$D:$D,DRE!AO$4)-SUMIFS(Aut_Promocoes_Utilizadas!$G:$G,Aut_Promocoes_Utilizadas!$J:$J,DRE!AO$4,Aut_Promocoes_Utilizadas!$H:$H,"A",Aut_Promocoes_Utilizadas!$I:$I,"Eventos")-SUMIFS(Aut_Descontos!$I:$I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Antecipado")*50%)+SUMIFS(Aut_Ajustes_Manuais!$G:$G,Aut_Ajustes_Manuais!$I:$I,DRE!AO$4,Aut_Ajustes_Manuais!$F:$F,"Alimentação")</f>
        <v/>
      </c>
      <c r="AR9" s="241">
        <f>SUMIFS($H9:$AO9,$H$5:$AO$5,"&lt;"&amp;MONTH(TODAY()),$H$6:$AO$6,"REAL 25")</f>
        <v/>
      </c>
      <c r="AS9" s="27">
        <f>SUMIFS($I9:$AP9,$I$5:$AP$5,"&lt;"&amp;MONTH(TODAY()),$I$6:$AP$6,"ORÇADO ")</f>
        <v/>
      </c>
      <c r="AT9" s="28">
        <f>SUMIFS($J9:$AQ9,$J$5:$AQ$5,"&lt;"&amp;MONTH(TODAY()),$J$6:$AQ$6,"REAL 26")</f>
        <v/>
      </c>
      <c r="AU9" s="241">
        <f>SUM(H9,K9,N9,Q9,T9,W9,Z9,AC9,AF9,AI9,AL9,AO9)</f>
        <v/>
      </c>
      <c r="AV9" s="27">
        <f>SUM(I9,L9,O9,R9,U9,X9,AA9,AD9,AG9,AJ9,AM9,AP9)</f>
        <v/>
      </c>
      <c r="AW9" s="28">
        <f>SUM(J9,M9,P9,S9,V9,Y9,AB9,AE9,AH9,AK9,AN9,AQ9)</f>
        <v/>
      </c>
      <c r="AX9" s="241">
        <f>SUM(H9,K9,N9)</f>
        <v/>
      </c>
      <c r="AY9" s="27">
        <f>SUM(I9,L9,O9)</f>
        <v/>
      </c>
      <c r="AZ9" s="28">
        <f>SUM(J9,M9,P9)</f>
        <v/>
      </c>
      <c r="BA9" s="241">
        <f>SUM(Q9,T9,W9)</f>
        <v/>
      </c>
      <c r="BB9" s="27">
        <f>SUM(R9,U9,X9)</f>
        <v/>
      </c>
      <c r="BC9" s="28">
        <f>SUM(S9,V9,Y9)</f>
        <v/>
      </c>
      <c r="BD9" s="241">
        <f>SUM(Z9,AC9,AF9)</f>
        <v/>
      </c>
      <c r="BE9" s="27">
        <f>SUM(AA9,AD9,AG9)</f>
        <v/>
      </c>
      <c r="BF9" s="28">
        <f>SUM(AB9,AE9,AH9)</f>
        <v/>
      </c>
      <c r="BG9" s="241">
        <f>SUM(AI9,AL9,AO9)</f>
        <v/>
      </c>
      <c r="BH9" s="27">
        <f>SUM(AJ9,AM9,AP9)</f>
        <v/>
      </c>
      <c r="BI9" s="28">
        <f>SUM(AK9,AN9,AQ9)</f>
        <v/>
      </c>
      <c r="BJ9" s="30" t="n"/>
      <c r="BK9" s="30" t="n"/>
      <c r="BL9" s="30" t="n"/>
      <c r="BM9" s="30" t="n"/>
      <c r="BN9" s="30" t="n"/>
      <c r="BO9" s="30" t="n"/>
      <c r="BP9" s="30" t="n"/>
      <c r="BQ9" s="30" t="n"/>
      <c r="BR9" s="30" t="n"/>
    </row>
    <row r="10" outlineLevel="1" customFormat="1" s="498">
      <c r="A10" s="22" t="inlineStr">
        <is>
          <t>Bebida</t>
        </is>
      </c>
      <c r="B10" s="23" t="n"/>
      <c r="C10" s="24" t="inlineStr">
        <is>
          <t xml:space="preserve">Estim. Mensal </t>
        </is>
      </c>
      <c r="D10" s="24" t="inlineStr">
        <is>
          <t>Preencher base de Faturamento A&amp;B&amp;C</t>
        </is>
      </c>
      <c r="E10" s="25" t="n"/>
      <c r="F10" s="431" t="n"/>
      <c r="G10" s="431" t="n"/>
      <c r="H10" s="241" t="n"/>
      <c r="I10" s="27">
        <f>SUMIFS(T_ORCAMENTOS!$E:$E,T_ORCAMENTOS!$C:$C,"Bebida",T_ORCAMENTOS!$H:$H,"1/2026")</f>
        <v/>
      </c>
      <c r="J10" s="28">
        <f>SUMIFS(Aut_Faturamento_Zig!$F:$F,Aut_Faturamento_Zig!$E:$E,"Bebidas",Aut_Faturamento_Zig!$D:$D,DRE!H$4)-SUMIFS(Aut_Promocoes_Utilizadas!$G:$G,Aut_Promocoes_Utilizadas!$J:$J,DRE!H$4,Aut_Promocoes_Utilizadas!$H:$H,"B",Aut_Promocoes_Utilizadas!$I:$I,"Eventos")-SUMIFS(Aut_Descontos!$J:$J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Antecipado")*50%)+SUMIFS(Aut_Ajustes_Manuais!$G:$G,Aut_Ajustes_Manuais!$I:$I,DRE!H$4,Aut_Ajustes_Manuais!$F:$F,"Bebida")</f>
        <v/>
      </c>
      <c r="K10" s="241" t="n"/>
      <c r="L10" s="27">
        <f>SUMIFS(T_ORCAMENTOS!$E:$E,T_ORCAMENTOS!$C:$C,"Bebida",T_ORCAMENTOS!$H:$H,"2/2026")</f>
        <v/>
      </c>
      <c r="M10" s="28">
        <f>SUMIFS(Aut_Faturamento_Zig!$F:$F,Aut_Faturamento_Zig!$E:$E,"Bebidas",Aut_Faturamento_Zig!$D:$D,DRE!K$4)-SUMIFS(Aut_Promocoes_Utilizadas!$G:$G,Aut_Promocoes_Utilizadas!$J:$J,DRE!K$4,Aut_Promocoes_Utilizadas!$H:$H,"B",Aut_Promocoes_Utilizadas!$I:$I,"Eventos")-SUMIFS(Aut_Descontos!$J:$J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Antecipado")*50%)+SUMIFS(Aut_Ajustes_Manuais!$G:$G,Aut_Ajustes_Manuais!$I:$I,DRE!K$4,Aut_Ajustes_Manuais!$F:$F,"Bebida")</f>
        <v/>
      </c>
      <c r="N10" s="241" t="n"/>
      <c r="O10" s="27">
        <f>SUMIFS(T_ORCAMENTOS!$E:$E,T_ORCAMENTOS!$C:$C,"Bebida",T_ORCAMENTOS!$H:$H,"3/2026")</f>
        <v/>
      </c>
      <c r="P10" s="28">
        <f>SUMIFS(Aut_Faturamento_Zig!$F:$F,Aut_Faturamento_Zig!$E:$E,"Bebidas",Aut_Faturamento_Zig!$D:$D,DRE!N$4)-SUMIFS(Aut_Promocoes_Utilizadas!$G:$G,Aut_Promocoes_Utilizadas!$J:$J,DRE!N$4,Aut_Promocoes_Utilizadas!$H:$H,"B",Aut_Promocoes_Utilizadas!$I:$I,"Eventos")-SUMIFS(Aut_Descontos!$J:$J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Antecipado")*50%)+SUMIFS(Aut_Ajustes_Manuais!$G:$G,Aut_Ajustes_Manuais!$I:$I,DRE!N$4,Aut_Ajustes_Manuais!$F:$F,"Bebida")</f>
        <v/>
      </c>
      <c r="Q10" s="241" t="n"/>
      <c r="R10" s="27">
        <f>SUMIFS(T_ORCAMENTOS!$E:$E,T_ORCAMENTOS!$C:$C,"Bebida",T_ORCAMENTOS!$H:$H,"4/2026")</f>
        <v/>
      </c>
      <c r="S10" s="28">
        <f>SUMIFS(Aut_Faturamento_Zig!$F:$F,Aut_Faturamento_Zig!$E:$E,"Bebidas",Aut_Faturamento_Zig!$D:$D,DRE!Q$4)-SUMIFS(Aut_Promocoes_Utilizadas!$G:$G,Aut_Promocoes_Utilizadas!$J:$J,DRE!Q$4,Aut_Promocoes_Utilizadas!$H:$H,"B",Aut_Promocoes_Utilizadas!$I:$I,"Eventos")-SUMIFS(Aut_Descontos!$J:$J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Antecipado")*50%)+SUMIFS(Aut_Ajustes_Manuais!$G:$G,Aut_Ajustes_Manuais!$I:$I,DRE!Q$4,Aut_Ajustes_Manuais!$F:$F,"Bebida")</f>
        <v/>
      </c>
      <c r="T10" s="241" t="n"/>
      <c r="U10" s="27">
        <f>SUMIFS(T_ORCAMENTOS!$E:$E,T_ORCAMENTOS!$C:$C,"Bebida",T_ORCAMENTOS!$H:$H,"5/2026")</f>
        <v/>
      </c>
      <c r="V10" s="28">
        <f>SUMIFS(Aut_Faturamento_Zig!$F:$F,Aut_Faturamento_Zig!$E:$E,"Bebidas",Aut_Faturamento_Zig!$D:$D,DRE!T$4)-SUMIFS(Aut_Promocoes_Utilizadas!$G:$G,Aut_Promocoes_Utilizadas!$J:$J,DRE!T$4,Aut_Promocoes_Utilizadas!$H:$H,"B",Aut_Promocoes_Utilizadas!$I:$I,"Eventos")-SUMIFS(Aut_Descontos!$J:$J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Antecipado")*50%)+SUMIFS(Aut_Ajustes_Manuais!$G:$G,Aut_Ajustes_Manuais!$I:$I,DRE!T$4,Aut_Ajustes_Manuais!$F:$F,"Bebida")</f>
        <v/>
      </c>
      <c r="W10" s="241" t="n"/>
      <c r="X10" s="27">
        <f>SUMIFS(T_ORCAMENTOS!$E:$E,T_ORCAMENTOS!$C:$C,"Bebida",T_ORCAMENTOS!$H:$H,"6/2026")</f>
        <v/>
      </c>
      <c r="Y10" s="28">
        <f>SUMIFS(Aut_Faturamento_Zig!$F:$F,Aut_Faturamento_Zig!$E:$E,"Bebidas",Aut_Faturamento_Zig!$D:$D,DRE!W$4)-SUMIFS(Aut_Promocoes_Utilizadas!$G:$G,Aut_Promocoes_Utilizadas!$J:$J,DRE!W$4,Aut_Promocoes_Utilizadas!$H:$H,"B",Aut_Promocoes_Utilizadas!$I:$I,"Eventos")-SUMIFS(Aut_Descontos!$J:$J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Antecipado")*50%)+SUMIFS(Aut_Ajustes_Manuais!$G:$G,Aut_Ajustes_Manuais!$I:$I,DRE!W$4,Aut_Ajustes_Manuais!$F:$F,"Bebida")</f>
        <v/>
      </c>
      <c r="Z10" s="241" t="n"/>
      <c r="AA10" s="27">
        <f>SUMIFS(T_ORCAMENTOS!$E:$E,T_ORCAMENTOS!$C:$C,"Bebida",T_ORCAMENTOS!$H:$H,"7/2026")</f>
        <v/>
      </c>
      <c r="AB10" s="28">
        <f>SUMIFS(Aut_Faturamento_Zig!$F:$F,Aut_Faturamento_Zig!$E:$E,"Bebidas",Aut_Faturamento_Zig!$D:$D,DRE!Z$4)-SUMIFS(Aut_Promocoes_Utilizadas!$G:$G,Aut_Promocoes_Utilizadas!$J:$J,DRE!Z$4,Aut_Promocoes_Utilizadas!$H:$H,"B",Aut_Promocoes_Utilizadas!$I:$I,"Eventos")-SUMIFS(Aut_Descontos!$J:$J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Antecipado")*50%)+SUMIFS(Aut_Ajustes_Manuais!$G:$G,Aut_Ajustes_Manuais!$I:$I,DRE!Z$4,Aut_Ajustes_Manuais!$F:$F,"Bebida")</f>
        <v/>
      </c>
      <c r="AC10" s="241" t="n"/>
      <c r="AD10" s="27">
        <f>SUMIFS(T_ORCAMENTOS!$E:$E,T_ORCAMENTOS!$C:$C,"Bebida",T_ORCAMENTOS!$H:$H,"8/2026")</f>
        <v/>
      </c>
      <c r="AE10" s="28">
        <f>SUMIFS(Aut_Faturamento_Zig!$F:$F,Aut_Faturamento_Zig!$E:$E,"Bebidas",Aut_Faturamento_Zig!$D:$D,DRE!AC$4)-SUMIFS(Aut_Promocoes_Utilizadas!$G:$G,Aut_Promocoes_Utilizadas!$J:$J,DRE!AC$4,Aut_Promocoes_Utilizadas!$H:$H,"B",Aut_Promocoes_Utilizadas!$I:$I,"Eventos")-SUMIFS(Aut_Descontos!$J:$J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Antecipado")*50%)+SUMIFS(Aut_Ajustes_Manuais!$G:$G,Aut_Ajustes_Manuais!$I:$I,DRE!AC$4,Aut_Ajustes_Manuais!$F:$F,"Bebida")</f>
        <v/>
      </c>
      <c r="AF10" s="241" t="n"/>
      <c r="AG10" s="27">
        <f>SUMIFS(T_ORCAMENTOS!$E:$E,T_ORCAMENTOS!$C:$C,"Bebida",T_ORCAMENTOS!$H:$H,"9/2026")</f>
        <v/>
      </c>
      <c r="AH10" s="28">
        <f>SUMIFS(Aut_Faturamento_Zig!$F:$F,Aut_Faturamento_Zig!$E:$E,"Bebidas",Aut_Faturamento_Zig!$D:$D,DRE!AF$4)-SUMIFS(Aut_Promocoes_Utilizadas!$G:$G,Aut_Promocoes_Utilizadas!$J:$J,DRE!AF$4,Aut_Promocoes_Utilizadas!$H:$H,"B",Aut_Promocoes_Utilizadas!$I:$I,"Eventos")-SUMIFS(Aut_Descontos!$J:$J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Antecipado")*50%)+SUMIFS(Aut_Ajustes_Manuais!$G:$G,Aut_Ajustes_Manuais!$I:$I,DRE!AF$4,Aut_Ajustes_Manuais!$F:$F,"Bebida")</f>
        <v/>
      </c>
      <c r="AI10" s="241" t="n"/>
      <c r="AJ10" s="27">
        <f>SUMIFS(T_ORCAMENTOS!$E:$E,T_ORCAMENTOS!$C:$C,"Bebida",T_ORCAMENTOS!$H:$H,"10/2026")</f>
        <v/>
      </c>
      <c r="AK10" s="28">
        <f>SUMIFS(Aut_Faturamento_Zig!$F:$F,Aut_Faturamento_Zig!$E:$E,"Bebidas",Aut_Faturamento_Zig!$D:$D,DRE!AI$4)-SUMIFS(Aut_Promocoes_Utilizadas!$G:$G,Aut_Promocoes_Utilizadas!$J:$J,DRE!AI$4,Aut_Promocoes_Utilizadas!$H:$H,"B",Aut_Promocoes_Utilizadas!$I:$I,"Eventos")-SUMIFS(Aut_Descontos!$J:$J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Antecipado")*50%)+SUMIFS(Aut_Ajustes_Manuais!$G:$G,Aut_Ajustes_Manuais!$I:$I,DRE!AI$4,Aut_Ajustes_Manuais!$F:$F,"Bebida")</f>
        <v/>
      </c>
      <c r="AL10" s="241" t="n"/>
      <c r="AM10" s="27">
        <f>SUMIFS(T_ORCAMENTOS!$E:$E,T_ORCAMENTOS!$C:$C,"Bebida",T_ORCAMENTOS!$H:$H,"11/2026")</f>
        <v/>
      </c>
      <c r="AN10" s="28">
        <f>SUMIFS(Aut_Faturamento_Zig!$F:$F,Aut_Faturamento_Zig!$E:$E,"Bebidas",Aut_Faturamento_Zig!$D:$D,DRE!AL$4)-SUMIFS(Aut_Promocoes_Utilizadas!$G:$G,Aut_Promocoes_Utilizadas!$J:$J,DRE!AL$4,Aut_Promocoes_Utilizadas!$H:$H,"B",Aut_Promocoes_Utilizadas!$I:$I,"Eventos")-SUMIFS(Aut_Descontos!$J:$J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Antecipado")*50%)+SUMIFS(Aut_Ajustes_Manuais!$G:$G,Aut_Ajustes_Manuais!$I:$I,DRE!AL$4,Aut_Ajustes_Manuais!$F:$F,"Bebida")</f>
        <v/>
      </c>
      <c r="AO10" s="241" t="n"/>
      <c r="AP10" s="27">
        <f>SUMIFS(T_ORCAMENTOS!$E:$E,T_ORCAMENTOS!$C:$C,"Bebida",T_ORCAMENTOS!$H:$H,"12/2026")</f>
        <v/>
      </c>
      <c r="AQ10" s="28">
        <f>SUMIFS(Aut_Faturamento_Zig!$F:$F,Aut_Faturamento_Zig!$E:$E,"Bebidas",Aut_Faturamento_Zig!$D:$D,DRE!AO$4)-SUMIFS(Aut_Promocoes_Utilizadas!$G:$G,Aut_Promocoes_Utilizadas!$J:$J,DRE!AO$4,Aut_Promocoes_Utilizadas!$H:$H,"B",Aut_Promocoes_Utilizadas!$I:$I,"Eventos")-SUMIFS(Aut_Descontos!$J:$J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Antecipado")*50%)+SUMIFS(Aut_Ajustes_Manuais!$G:$G,Aut_Ajustes_Manuais!$I:$I,DRE!AO$4,Aut_Ajustes_Manuais!$F:$F,"Bebida")</f>
        <v/>
      </c>
      <c r="AR10" s="241">
        <f>SUMIFS($H10:$AO10,$H$5:$AO$5,"&lt;"&amp;MONTH(TODAY()),$H$6:$AO$6,"REAL 25")</f>
        <v/>
      </c>
      <c r="AS10" s="27">
        <f>SUMIFS($I10:$AP10,$I$5:$AP$5,"&lt;"&amp;MONTH(TODAY()),$I$6:$AP$6,"ORÇADO ")</f>
        <v/>
      </c>
      <c r="AT10" s="28">
        <f>SUMIFS($J10:$AQ10,$J$5:$AQ$5,"&lt;"&amp;MONTH(TODAY()),$J$6:$AQ$6,"REAL 26")</f>
        <v/>
      </c>
      <c r="AU10" s="241">
        <f>SUM(H10,K10,N10,Q10,T10,W10,Z10,AC10,AF10,AI10,AL10,AO10)</f>
        <v/>
      </c>
      <c r="AV10" s="27">
        <f>SUM(I10,L10,O10,R10,U10,X10,AA10,AD10,AG10,AJ10,AM10,AP10)</f>
        <v/>
      </c>
      <c r="AW10" s="28">
        <f>SUM(J10,M10,P10,S10,V10,Y10,AB10,AE10,AH10,AK10,AN10,AQ10)</f>
        <v/>
      </c>
      <c r="AX10" s="241">
        <f>SUM(H10,K10,N10)</f>
        <v/>
      </c>
      <c r="AY10" s="27">
        <f>SUM(I10,L10,O10)</f>
        <v/>
      </c>
      <c r="AZ10" s="28">
        <f>SUM(J10,M10,P10)</f>
        <v/>
      </c>
      <c r="BA10" s="241">
        <f>SUM(Q10,T10,W10)</f>
        <v/>
      </c>
      <c r="BB10" s="27">
        <f>SUM(R10,U10,X10)</f>
        <v/>
      </c>
      <c r="BC10" s="28">
        <f>SUM(S10,V10,Y10)</f>
        <v/>
      </c>
      <c r="BD10" s="241">
        <f>SUM(Z10,AC10,AF10)</f>
        <v/>
      </c>
      <c r="BE10" s="27">
        <f>SUM(AA10,AD10,AG10)</f>
        <v/>
      </c>
      <c r="BF10" s="28">
        <f>SUM(AB10,AE10,AH10)</f>
        <v/>
      </c>
      <c r="BG10" s="241">
        <f>SUM(AI10,AL10,AO10)</f>
        <v/>
      </c>
      <c r="BH10" s="27">
        <f>SUM(AJ10,AM10,AP10)</f>
        <v/>
      </c>
      <c r="BI10" s="28">
        <f>SUM(AK10,AN10,AQ10)</f>
        <v/>
      </c>
      <c r="BJ10" s="30" t="n"/>
      <c r="BK10" s="30" t="n"/>
      <c r="BL10" s="30" t="n"/>
      <c r="BM10" s="30" t="n"/>
      <c r="BN10" s="30" t="n"/>
      <c r="BO10" s="30" t="n"/>
      <c r="BP10" s="30" t="n"/>
      <c r="BQ10" s="30" t="n"/>
      <c r="BR10" s="30" t="n"/>
    </row>
    <row r="11" outlineLevel="1" customFormat="1" s="498">
      <c r="A11" s="22" t="inlineStr">
        <is>
          <t>Artístico (couvert/shows)</t>
        </is>
      </c>
      <c r="B11" s="23" t="n"/>
      <c r="C11" s="24" t="inlineStr">
        <is>
          <t xml:space="preserve">Estim. Mensal </t>
        </is>
      </c>
      <c r="D11" s="24" t="inlineStr">
        <is>
          <t>Preencher base de Faturamento A&amp;B&amp;C</t>
        </is>
      </c>
      <c r="E11" s="25" t="n"/>
      <c r="F11" s="431" t="n"/>
      <c r="G11" s="431" t="n"/>
      <c r="H11" s="241" t="n"/>
      <c r="I11" s="27">
        <f>SUMIFS(T_ORCAMENTOS!$E:$E,T_ORCAMENTOS!$C:$C,"Artístico (couvert/shows)",T_ORCAMENTOS!$H:$H,"1/2026")</f>
        <v/>
      </c>
      <c r="J11" s="28">
        <f>SUMIFS(Aut_Faturamento_Zig!$F:$F,Aut_Faturamento_Zig!$E:$E,"Couvert",Aut_Faturamento_Zig!$D:$D,DRE!H$4)+SUMIFS(Aut_Ajustes_Manuais!$G:$G,Aut_Ajustes_Manuais!$I:$I,DRE!H$4,Aut_Ajustes_Manuais!$F:$F,"Artístico (couvert/shows)")</f>
        <v/>
      </c>
      <c r="K11" s="241" t="n"/>
      <c r="L11" s="27">
        <f>SUMIFS(T_ORCAMENTOS!$E:$E,T_ORCAMENTOS!$C:$C,"Artístico (couvert/shows)",T_ORCAMENTOS!$H:$H,"2/2026")</f>
        <v/>
      </c>
      <c r="M11" s="28">
        <f>SUMIFS(Aut_Faturamento_Zig!$F:$F,Aut_Faturamento_Zig!$E:$E,"Couvert",Aut_Faturamento_Zig!$D:$D,DRE!K$4)+SUMIFS(Aut_Ajustes_Manuais!$G:$G,Aut_Ajustes_Manuais!$I:$I,DRE!K$4,Aut_Ajustes_Manuais!$F:$F,"Artístico (couvert/shows)")</f>
        <v/>
      </c>
      <c r="N11" s="241" t="n"/>
      <c r="O11" s="27">
        <f>SUMIFS(T_ORCAMENTOS!$E:$E,T_ORCAMENTOS!$C:$C,"Artístico (couvert/shows)",T_ORCAMENTOS!$H:$H,"3/2026")</f>
        <v/>
      </c>
      <c r="P11" s="28">
        <f>SUMIFS(Aut_Faturamento_Zig!$F:$F,Aut_Faturamento_Zig!$E:$E,"Couvert",Aut_Faturamento_Zig!$D:$D,DRE!N$4)+SUMIFS(Aut_Ajustes_Manuais!$G:$G,Aut_Ajustes_Manuais!$I:$I,DRE!N$4,Aut_Ajustes_Manuais!$F:$F,"Artístico (couvert/shows)")</f>
        <v/>
      </c>
      <c r="Q11" s="241" t="n"/>
      <c r="R11" s="27">
        <f>SUMIFS(T_ORCAMENTOS!$E:$E,T_ORCAMENTOS!$C:$C,"Artístico (couvert/shows)",T_ORCAMENTOS!$H:$H,"4/2026")</f>
        <v/>
      </c>
      <c r="S11" s="28">
        <f>SUMIFS(Aut_Faturamento_Zig!$F:$F,Aut_Faturamento_Zig!$E:$E,"Couvert",Aut_Faturamento_Zig!$D:$D,DRE!Q$4)+SUMIFS(Aut_Ajustes_Manuais!$G:$G,Aut_Ajustes_Manuais!$I:$I,DRE!Q$4,Aut_Ajustes_Manuais!$F:$F,"Artístico (couvert/shows)")</f>
        <v/>
      </c>
      <c r="T11" s="241" t="n"/>
      <c r="U11" s="27">
        <f>SUMIFS(T_ORCAMENTOS!$E:$E,T_ORCAMENTOS!$C:$C,"Artístico (couvert/shows)",T_ORCAMENTOS!$H:$H,"5/2026")</f>
        <v/>
      </c>
      <c r="V11" s="28">
        <f>SUMIFS(Aut_Faturamento_Zig!$F:$F,Aut_Faturamento_Zig!$E:$E,"Couvert",Aut_Faturamento_Zig!$D:$D,DRE!T$4)+SUMIFS(Aut_Ajustes_Manuais!$G:$G,Aut_Ajustes_Manuais!$I:$I,DRE!T$4,Aut_Ajustes_Manuais!$F:$F,"Artístico (couvert/shows)")</f>
        <v/>
      </c>
      <c r="W11" s="241" t="n"/>
      <c r="X11" s="27">
        <f>SUMIFS(T_ORCAMENTOS!$E:$E,T_ORCAMENTOS!$C:$C,"Artístico (couvert/shows)",T_ORCAMENTOS!$H:$H,"6/2026")</f>
        <v/>
      </c>
      <c r="Y11" s="28">
        <f>SUMIFS(Aut_Faturamento_Zig!$F:$F,Aut_Faturamento_Zig!$E:$E,"Couvert",Aut_Faturamento_Zig!$D:$D,DRE!W$4)+SUMIFS(Aut_Ajustes_Manuais!$G:$G,Aut_Ajustes_Manuais!$I:$I,DRE!W$4,Aut_Ajustes_Manuais!$F:$F,"Artístico (couvert/shows)")</f>
        <v/>
      </c>
      <c r="Z11" s="241" t="n"/>
      <c r="AA11" s="27">
        <f>SUMIFS(T_ORCAMENTOS!$E:$E,T_ORCAMENTOS!$C:$C,"Artístico (couvert/shows)",T_ORCAMENTOS!$H:$H,"7/2026")</f>
        <v/>
      </c>
      <c r="AB11" s="28">
        <f>SUMIFS(Aut_Faturamento_Zig!$F:$F,Aut_Faturamento_Zig!$E:$E,"Couvert",Aut_Faturamento_Zig!$D:$D,DRE!Z$4)+SUMIFS(Aut_Ajustes_Manuais!$G:$G,Aut_Ajustes_Manuais!$I:$I,DRE!Z$4,Aut_Ajustes_Manuais!$F:$F,"Artístico (couvert/shows)")</f>
        <v/>
      </c>
      <c r="AC11" s="241" t="n"/>
      <c r="AD11" s="27">
        <f>SUMIFS(T_ORCAMENTOS!$E:$E,T_ORCAMENTOS!$C:$C,"Artístico (couvert/shows)",T_ORCAMENTOS!$H:$H,"8/2026")</f>
        <v/>
      </c>
      <c r="AE11" s="28">
        <f>SUMIFS(Aut_Faturamento_Zig!$F:$F,Aut_Faturamento_Zig!$E:$E,"Couvert",Aut_Faturamento_Zig!$D:$D,DRE!AC$4)+SUMIFS(Aut_Ajustes_Manuais!$G:$G,Aut_Ajustes_Manuais!$I:$I,DRE!AC$4,Aut_Ajustes_Manuais!$F:$F,"Artístico (couvert/shows)")</f>
        <v/>
      </c>
      <c r="AF11" s="241" t="n"/>
      <c r="AG11" s="27">
        <f>SUMIFS(T_ORCAMENTOS!$E:$E,T_ORCAMENTOS!$C:$C,"Artístico (couvert/shows)",T_ORCAMENTOS!$H:$H,"9/2026")</f>
        <v/>
      </c>
      <c r="AH11" s="28">
        <f>SUMIFS(Aut_Faturamento_Zig!$F:$F,Aut_Faturamento_Zig!$E:$E,"Couvert",Aut_Faturamento_Zig!$D:$D,DRE!AF$4)+SUMIFS(Aut_Ajustes_Manuais!$G:$G,Aut_Ajustes_Manuais!$I:$I,DRE!AF$4,Aut_Ajustes_Manuais!$F:$F,"Artístico (couvert/shows)")</f>
        <v/>
      </c>
      <c r="AI11" s="241" t="n"/>
      <c r="AJ11" s="27">
        <f>SUMIFS(T_ORCAMENTOS!$E:$E,T_ORCAMENTOS!$C:$C,"Artístico (couvert/shows)",T_ORCAMENTOS!$H:$H,"10/2026")</f>
        <v/>
      </c>
      <c r="AK11" s="28">
        <f>SUMIFS(Aut_Faturamento_Zig!$F:$F,Aut_Faturamento_Zig!$E:$E,"Couvert",Aut_Faturamento_Zig!$D:$D,DRE!AI$4)+SUMIFS(Aut_Ajustes_Manuais!$G:$G,Aut_Ajustes_Manuais!$I:$I,DRE!AI$4,Aut_Ajustes_Manuais!$F:$F,"Artístico (couvert/shows)")</f>
        <v/>
      </c>
      <c r="AL11" s="241" t="n"/>
      <c r="AM11" s="27">
        <f>SUMIFS(T_ORCAMENTOS!$E:$E,T_ORCAMENTOS!$C:$C,"Artístico (couvert/shows)",T_ORCAMENTOS!$H:$H,"11/2026")</f>
        <v/>
      </c>
      <c r="AN11" s="28">
        <f>SUMIFS(Aut_Faturamento_Zig!$F:$F,Aut_Faturamento_Zig!$E:$E,"Couvert",Aut_Faturamento_Zig!$D:$D,DRE!AL$4)+SUMIFS(Aut_Ajustes_Manuais!$G:$G,Aut_Ajustes_Manuais!$I:$I,DRE!AL$4,Aut_Ajustes_Manuais!$F:$F,"Artístico (couvert/shows)")</f>
        <v/>
      </c>
      <c r="AO11" s="241" t="n"/>
      <c r="AP11" s="27">
        <f>SUMIFS(T_ORCAMENTOS!$E:$E,T_ORCAMENTOS!$C:$C,"Artístico (couvert/shows)",T_ORCAMENTOS!$H:$H,"12/2026")</f>
        <v/>
      </c>
      <c r="AQ11" s="28">
        <f>SUMIFS(Aut_Faturamento_Zig!$F:$F,Aut_Faturamento_Zig!$E:$E,"Couvert",Aut_Faturamento_Zig!$D:$D,DRE!AO$4)+SUMIFS(Aut_Ajustes_Manuais!$G:$G,Aut_Ajustes_Manuais!$I:$I,DRE!AO$4,Aut_Ajustes_Manuais!$F:$F,"Artístico (couvert/shows)")</f>
        <v/>
      </c>
      <c r="AR11" s="241">
        <f>SUMIFS($H11:$AO11,$H$5:$AO$5,"&lt;"&amp;MONTH(TODAY()),$H$6:$AO$6,"REAL 25")</f>
        <v/>
      </c>
      <c r="AS11" s="27">
        <f>SUMIFS($I11:$AP11,$I$5:$AP$5,"&lt;"&amp;MONTH(TODAY()),$I$6:$AP$6,"ORÇADO ")</f>
        <v/>
      </c>
      <c r="AT11" s="28">
        <f>SUMIFS($J11:$AQ11,$J$5:$AQ$5,"&lt;"&amp;MONTH(TODAY()),$J$6:$AQ$6,"REAL 26")</f>
        <v/>
      </c>
      <c r="AU11" s="241">
        <f>SUM(H11,K11,N11,Q11,T11,W11,Z11,AC11,AF11,AI11,AL11,AO11)</f>
        <v/>
      </c>
      <c r="AV11" s="27">
        <f>SUM(I11,L11,O11,R11,U11,X11,AA11,AD11,AG11,AJ11,AM11,AP11)</f>
        <v/>
      </c>
      <c r="AW11" s="28">
        <f>SUM(J11,M11,P11,S11,V11,Y11,AB11,AE11,AH11,AK11,AN11,AQ11)</f>
        <v/>
      </c>
      <c r="AX11" s="241">
        <f>SUM(H11,K11,N11)</f>
        <v/>
      </c>
      <c r="AY11" s="27">
        <f>SUM(I11,L11,O11)</f>
        <v/>
      </c>
      <c r="AZ11" s="28">
        <f>SUM(J11,M11,P11)</f>
        <v/>
      </c>
      <c r="BA11" s="241">
        <f>SUM(Q11,T11,W11)</f>
        <v/>
      </c>
      <c r="BB11" s="27">
        <f>SUM(R11,U11,X11)</f>
        <v/>
      </c>
      <c r="BC11" s="28">
        <f>SUM(S11,V11,Y11)</f>
        <v/>
      </c>
      <c r="BD11" s="241">
        <f>SUM(Z11,AC11,AF11)</f>
        <v/>
      </c>
      <c r="BE11" s="27">
        <f>SUM(AA11,AD11,AG11)</f>
        <v/>
      </c>
      <c r="BF11" s="28">
        <f>SUM(AB11,AE11,AH11)</f>
        <v/>
      </c>
      <c r="BG11" s="241">
        <f>SUM(AI11,AL11,AO11)</f>
        <v/>
      </c>
      <c r="BH11" s="27">
        <f>SUM(AJ11,AM11,AP11)</f>
        <v/>
      </c>
      <c r="BI11" s="28">
        <f>SUM(AK11,AN11,AQ11)</f>
        <v/>
      </c>
      <c r="BJ11" s="30" t="n"/>
      <c r="BK11" s="30" t="n"/>
      <c r="BL11" s="30" t="n"/>
      <c r="BM11" s="30" t="n"/>
      <c r="BN11" s="30" t="n"/>
      <c r="BO11" s="30" t="n"/>
      <c r="BP11" s="30" t="n"/>
      <c r="BQ11" s="30" t="n"/>
      <c r="BR11" s="30" t="n"/>
    </row>
    <row r="12" outlineLevel="1" customFormat="1" s="498">
      <c r="A12" s="22" t="inlineStr">
        <is>
          <t>Gifts</t>
        </is>
      </c>
      <c r="B12" s="23" t="n"/>
      <c r="C12" s="24" t="inlineStr">
        <is>
          <t xml:space="preserve">Estim. Mensal </t>
        </is>
      </c>
      <c r="D12" s="24" t="inlineStr">
        <is>
          <t>Vendas Lojinha</t>
        </is>
      </c>
      <c r="E12" s="25" t="n"/>
      <c r="F12" s="431" t="n"/>
      <c r="G12" s="431" t="n"/>
      <c r="H12" s="241" t="n"/>
      <c r="I12" s="27">
        <f>SUMIFS(T_ORCAMENTOS!$E:$E,T_ORCAMENTOS!$C:$C,"Gifts",T_ORCAMENTOS!$H:$H,"1/2026")</f>
        <v/>
      </c>
      <c r="J12" s="28">
        <f>SUMIFS(Aut_Faturamento_Zig!$F:$F,Aut_Faturamento_Zig!$E:$E,"Gifts",Aut_Faturamento_Zig!$D:$D,DRE!H$4)+SUMIFS(Aut_Receitas_Extraord!$L:$L,Aut_Receitas_Extraord!$U:$U,DRE!H$4,Aut_Receitas_Extraord!$D:$D,"Lojinha")+SUMIFS(Aut_Ajustes_Manuais!$G:$G,Aut_Ajustes_Manuais!$I:$I,DRE!H$4,Aut_Ajustes_Manuais!$F:$F,"Gifts")</f>
        <v/>
      </c>
      <c r="K12" s="241" t="n"/>
      <c r="L12" s="27">
        <f>SUMIFS(T_ORCAMENTOS!$E:$E,T_ORCAMENTOS!$C:$C,"Gifts",T_ORCAMENTOS!$H:$H,"2/2026")</f>
        <v/>
      </c>
      <c r="M12" s="28">
        <f>SUMIFS(Aut_Faturamento_Zig!$F:$F,Aut_Faturamento_Zig!$E:$E,"Gifts",Aut_Faturamento_Zig!$D:$D,DRE!K$4)+SUMIFS(Aut_Receitas_Extraord!$L:$L,Aut_Receitas_Extraord!$U:$U,DRE!K$4,Aut_Receitas_Extraord!$D:$D,"Lojinha")+SUMIFS(Aut_Ajustes_Manuais!$G:$G,Aut_Ajustes_Manuais!$I:$I,DRE!K$4,Aut_Ajustes_Manuais!$F:$F,"Gifts")</f>
        <v/>
      </c>
      <c r="N12" s="241" t="n"/>
      <c r="O12" s="27">
        <f>SUMIFS(T_ORCAMENTOS!$E:$E,T_ORCAMENTOS!$C:$C,"Gifts",T_ORCAMENTOS!$H:$H,"3/2026")</f>
        <v/>
      </c>
      <c r="P12" s="28">
        <f>SUMIFS(Aut_Faturamento_Zig!$F:$F,Aut_Faturamento_Zig!$E:$E,"Gifts",Aut_Faturamento_Zig!$D:$D,DRE!N$4)+SUMIFS(Aut_Receitas_Extraord!$L:$L,Aut_Receitas_Extraord!$U:$U,DRE!N$4,Aut_Receitas_Extraord!$D:$D,"Lojinha")+SUMIFS(Aut_Ajustes_Manuais!$G:$G,Aut_Ajustes_Manuais!$I:$I,DRE!N$4,Aut_Ajustes_Manuais!$F:$F,"Gifts")</f>
        <v/>
      </c>
      <c r="Q12" s="241" t="n"/>
      <c r="R12" s="27">
        <f>SUMIFS(T_ORCAMENTOS!$E:$E,T_ORCAMENTOS!$C:$C,"Gifts",T_ORCAMENTOS!$H:$H,"4/2026")</f>
        <v/>
      </c>
      <c r="S12" s="28">
        <f>SUMIFS(Aut_Faturamento_Zig!$F:$F,Aut_Faturamento_Zig!$E:$E,"Gifts",Aut_Faturamento_Zig!$D:$D,DRE!Q$4)+SUMIFS(Aut_Receitas_Extraord!$L:$L,Aut_Receitas_Extraord!$U:$U,DRE!Q$4,Aut_Receitas_Extraord!$D:$D,"Lojinha")+SUMIFS(Aut_Ajustes_Manuais!$G:$G,Aut_Ajustes_Manuais!$I:$I,DRE!Q$4,Aut_Ajustes_Manuais!$F:$F,"Gifts")</f>
        <v/>
      </c>
      <c r="T12" s="241" t="n"/>
      <c r="U12" s="27">
        <f>SUMIFS(T_ORCAMENTOS!$E:$E,T_ORCAMENTOS!$C:$C,"Gifts",T_ORCAMENTOS!$H:$H,"5/2026")</f>
        <v/>
      </c>
      <c r="V12" s="28">
        <f>SUMIFS(Aut_Faturamento_Zig!$F:$F,Aut_Faturamento_Zig!$E:$E,"Gifts",Aut_Faturamento_Zig!$D:$D,DRE!T$4)+SUMIFS(Aut_Receitas_Extraord!$L:$L,Aut_Receitas_Extraord!$U:$U,DRE!T$4,Aut_Receitas_Extraord!$D:$D,"Lojinha")+SUMIFS(Aut_Ajustes_Manuais!$G:$G,Aut_Ajustes_Manuais!$I:$I,DRE!T$4,Aut_Ajustes_Manuais!$F:$F,"Gifts")</f>
        <v/>
      </c>
      <c r="W12" s="241" t="n"/>
      <c r="X12" s="27">
        <f>SUMIFS(T_ORCAMENTOS!$E:$E,T_ORCAMENTOS!$C:$C,"Gifts",T_ORCAMENTOS!$H:$H,"6/2026")</f>
        <v/>
      </c>
      <c r="Y12" s="28">
        <f>SUMIFS(Aut_Faturamento_Zig!$F:$F,Aut_Faturamento_Zig!$E:$E,"Gifts",Aut_Faturamento_Zig!$D:$D,DRE!W$4)+SUMIFS(Aut_Receitas_Extraord!$L:$L,Aut_Receitas_Extraord!$U:$U,DRE!W$4,Aut_Receitas_Extraord!$D:$D,"Lojinha")+SUMIFS(Aut_Ajustes_Manuais!$G:$G,Aut_Ajustes_Manuais!$I:$I,DRE!W$4,Aut_Ajustes_Manuais!$F:$F,"Gifts")</f>
        <v/>
      </c>
      <c r="Z12" s="241" t="n"/>
      <c r="AA12" s="27">
        <f>SUMIFS(T_ORCAMENTOS!$E:$E,T_ORCAMENTOS!$C:$C,"Gifts",T_ORCAMENTOS!$H:$H,"7/2026")</f>
        <v/>
      </c>
      <c r="AB12" s="28">
        <f>SUMIFS(Aut_Faturamento_Zig!$F:$F,Aut_Faturamento_Zig!$E:$E,"Gifts",Aut_Faturamento_Zig!$D:$D,DRE!Z$4)+SUMIFS(Aut_Receitas_Extraord!$L:$L,Aut_Receitas_Extraord!$U:$U,DRE!Z$4,Aut_Receitas_Extraord!$D:$D,"Lojinha")+SUMIFS(Aut_Ajustes_Manuais!$G:$G,Aut_Ajustes_Manuais!$I:$I,DRE!Z$4,Aut_Ajustes_Manuais!$F:$F,"Gifts")</f>
        <v/>
      </c>
      <c r="AC12" s="241" t="n"/>
      <c r="AD12" s="27">
        <f>SUMIFS(T_ORCAMENTOS!$E:$E,T_ORCAMENTOS!$C:$C,"Gifts",T_ORCAMENTOS!$H:$H,"8/2026")</f>
        <v/>
      </c>
      <c r="AE12" s="28">
        <f>SUMIFS(Aut_Faturamento_Zig!$F:$F,Aut_Faturamento_Zig!$E:$E,"Gifts",Aut_Faturamento_Zig!$D:$D,DRE!AC$4)+SUMIFS(Aut_Receitas_Extraord!$L:$L,Aut_Receitas_Extraord!$U:$U,DRE!AC$4,Aut_Receitas_Extraord!$D:$D,"Lojinha")+SUMIFS(Aut_Ajustes_Manuais!$G:$G,Aut_Ajustes_Manuais!$I:$I,DRE!AC$4,Aut_Ajustes_Manuais!$F:$F,"Gifts")</f>
        <v/>
      </c>
      <c r="AF12" s="241" t="n"/>
      <c r="AG12" s="27">
        <f>SUMIFS(T_ORCAMENTOS!$E:$E,T_ORCAMENTOS!$C:$C,"Gifts",T_ORCAMENTOS!$H:$H,"9/2026")</f>
        <v/>
      </c>
      <c r="AH12" s="28">
        <f>SUMIFS(Aut_Faturamento_Zig!$F:$F,Aut_Faturamento_Zig!$E:$E,"Gifts",Aut_Faturamento_Zig!$D:$D,DRE!AF$4)+SUMIFS(Aut_Receitas_Extraord!$L:$L,Aut_Receitas_Extraord!$U:$U,DRE!AF$4,Aut_Receitas_Extraord!$D:$D,"Lojinha")+SUMIFS(Aut_Ajustes_Manuais!$G:$G,Aut_Ajustes_Manuais!$I:$I,DRE!AF$4,Aut_Ajustes_Manuais!$F:$F,"Gifts")</f>
        <v/>
      </c>
      <c r="AI12" s="241" t="n"/>
      <c r="AJ12" s="27">
        <f>SUMIFS(T_ORCAMENTOS!$E:$E,T_ORCAMENTOS!$C:$C,"Gifts",T_ORCAMENTOS!$H:$H,"10/2026")</f>
        <v/>
      </c>
      <c r="AK12" s="28">
        <f>SUMIFS(Aut_Faturamento_Zig!$F:$F,Aut_Faturamento_Zig!$E:$E,"Gifts",Aut_Faturamento_Zig!$D:$D,DRE!AI$4)+SUMIFS(Aut_Receitas_Extraord!$L:$L,Aut_Receitas_Extraord!$U:$U,DRE!AI$4,Aut_Receitas_Extraord!$D:$D,"Lojinha")+SUMIFS(Aut_Ajustes_Manuais!$G:$G,Aut_Ajustes_Manuais!$I:$I,DRE!AI$4,Aut_Ajustes_Manuais!$F:$F,"Gifts")</f>
        <v/>
      </c>
      <c r="AL12" s="241" t="n"/>
      <c r="AM12" s="27">
        <f>SUMIFS(T_ORCAMENTOS!$E:$E,T_ORCAMENTOS!$C:$C,"Gifts",T_ORCAMENTOS!$H:$H,"11/2026")</f>
        <v/>
      </c>
      <c r="AN12" s="28">
        <f>SUMIFS(Aut_Faturamento_Zig!$F:$F,Aut_Faturamento_Zig!$E:$E,"Gifts",Aut_Faturamento_Zig!$D:$D,DRE!AL$4)+SUMIFS(Aut_Receitas_Extraord!$L:$L,Aut_Receitas_Extraord!$U:$U,DRE!AL$4,Aut_Receitas_Extraord!$D:$D,"Lojinha")+SUMIFS(Aut_Ajustes_Manuais!$G:$G,Aut_Ajustes_Manuais!$I:$I,DRE!AL$4,Aut_Ajustes_Manuais!$F:$F,"Gifts")</f>
        <v/>
      </c>
      <c r="AO12" s="241" t="n"/>
      <c r="AP12" s="27">
        <f>SUMIFS(T_ORCAMENTOS!$E:$E,T_ORCAMENTOS!$C:$C,"Gifts",T_ORCAMENTOS!$H:$H,"12/2026")</f>
        <v/>
      </c>
      <c r="AQ12" s="28">
        <f>SUMIFS(Aut_Faturamento_Zig!$F:$F,Aut_Faturamento_Zig!$E:$E,"Gifts",Aut_Faturamento_Zig!$D:$D,DRE!AO$4)+SUMIFS(Aut_Receitas_Extraord!$L:$L,Aut_Receitas_Extraord!$U:$U,DRE!AO$4,Aut_Receitas_Extraord!$D:$D,"Lojinha")+SUMIFS(Aut_Ajustes_Manuais!$G:$G,Aut_Ajustes_Manuais!$I:$I,DRE!AO$4,Aut_Ajustes_Manuais!$F:$F,"Gifts")</f>
        <v/>
      </c>
      <c r="AR12" s="241">
        <f>SUMIFS($H12:$AO12,$H$5:$AO$5,"&lt;"&amp;MONTH(TODAY()),$H$6:$AO$6,"REAL 25")</f>
        <v/>
      </c>
      <c r="AS12" s="27">
        <f>SUMIFS($I12:$AP12,$I$5:$AP$5,"&lt;"&amp;MONTH(TODAY()),$I$6:$AP$6,"ORÇADO ")</f>
        <v/>
      </c>
      <c r="AT12" s="28">
        <f>SUMIFS($J12:$AQ12,$J$5:$AQ$5,"&lt;"&amp;MONTH(TODAY()),$J$6:$AQ$6,"REAL 26")</f>
        <v/>
      </c>
      <c r="AU12" s="241">
        <f>SUM(H12,K12,N12,Q12,T12,W12,Z12,AC12,AF12,AI12,AL12,AO12)</f>
        <v/>
      </c>
      <c r="AV12" s="27">
        <f>SUM(I12,L12,O12,R12,U12,X12,AA12,AD12,AG12,AJ12,AM12,AP12)</f>
        <v/>
      </c>
      <c r="AW12" s="28">
        <f>SUM(J12,M12,P12,S12,V12,Y12,AB12,AE12,AH12,AK12,AN12,AQ12)</f>
        <v/>
      </c>
      <c r="AX12" s="241">
        <f>SUM(H12,K12,N12)</f>
        <v/>
      </c>
      <c r="AY12" s="27">
        <f>SUM(I12,L12,O12)</f>
        <v/>
      </c>
      <c r="AZ12" s="28">
        <f>SUM(J12,M12,P12)</f>
        <v/>
      </c>
      <c r="BA12" s="241">
        <f>SUM(Q12,T12,W12)</f>
        <v/>
      </c>
      <c r="BB12" s="27">
        <f>SUM(R12,U12,X12)</f>
        <v/>
      </c>
      <c r="BC12" s="28">
        <f>SUM(S12,V12,Y12)</f>
        <v/>
      </c>
      <c r="BD12" s="241">
        <f>SUM(Z12,AC12,AF12)</f>
        <v/>
      </c>
      <c r="BE12" s="27">
        <f>SUM(AA12,AD12,AG12)</f>
        <v/>
      </c>
      <c r="BF12" s="28">
        <f>SUM(AB12,AE12,AH12)</f>
        <v/>
      </c>
      <c r="BG12" s="241">
        <f>SUM(AI12,AL12,AO12)</f>
        <v/>
      </c>
      <c r="BH12" s="27">
        <f>SUM(AJ12,AM12,AP12)</f>
        <v/>
      </c>
      <c r="BI12" s="28">
        <f>SUM(AK12,AN12,AQ12)</f>
        <v/>
      </c>
    </row>
    <row r="13" outlineLevel="1" customFormat="1" s="498">
      <c r="A13" s="22" t="inlineStr">
        <is>
          <t>Serviço</t>
        </is>
      </c>
      <c r="B13" s="23" t="n"/>
      <c r="C13" s="24" t="inlineStr">
        <is>
          <t xml:space="preserve">Estim. Mensal </t>
        </is>
      </c>
      <c r="D13" s="24" t="inlineStr">
        <is>
          <t xml:space="preserve">Gorjeta Fórmula </t>
        </is>
      </c>
      <c r="E13" s="25" t="inlineStr">
        <is>
          <t>13% sobre A&amp;B&amp;C</t>
        </is>
      </c>
      <c r="F13" s="431" t="n"/>
      <c r="G13" s="431" t="n"/>
      <c r="H13" s="241" t="n"/>
      <c r="I13" s="27">
        <f>SUMIFS(T_ORCAMENTOS!$E:$E,T_ORCAMENTOS!$C:$C,"Serviço",T_ORCAMENTOS!$H:$H,"1/2026")</f>
        <v/>
      </c>
      <c r="J13" s="28">
        <f>SUMIFS(Aut_Faturamento_Zig!$F:$F,Aut_Faturamento_Zig!$E:$E,"Serviço",Aut_Faturamento_Zig!$D:$D,DRE!H$4)+SUMIFS(Aut_Ajustes_Manuais!$G:$G,Aut_Ajustes_Manuais!$I:$I,DRE!H$4,Aut_Ajustes_Manuais!$F:$F,"Serviço")</f>
        <v/>
      </c>
      <c r="K13" s="241" t="n"/>
      <c r="L13" s="27">
        <f>SUMIFS(T_ORCAMENTOS!$E:$E,T_ORCAMENTOS!$C:$C,"Serviço",T_ORCAMENTOS!$H:$H,"2/2026")</f>
        <v/>
      </c>
      <c r="M13" s="28">
        <f>SUMIFS(Aut_Faturamento_Zig!$F:$F,Aut_Faturamento_Zig!$E:$E,"Serviço",Aut_Faturamento_Zig!$D:$D,DRE!K$4)+SUMIFS(Aut_Ajustes_Manuais!$G:$G,Aut_Ajustes_Manuais!$I:$I,DRE!K$4,Aut_Ajustes_Manuais!$F:$F,"Serviço")</f>
        <v/>
      </c>
      <c r="N13" s="483" t="n"/>
      <c r="O13" s="27">
        <f>SUMIFS(T_ORCAMENTOS!$E:$E,T_ORCAMENTOS!$C:$C,"Serviço",T_ORCAMENTOS!$H:$H,"3/2026")</f>
        <v/>
      </c>
      <c r="P13" s="28">
        <f>SUMIFS(Aut_Faturamento_Zig!$F:$F,Aut_Faturamento_Zig!$E:$E,"Serviço",Aut_Faturamento_Zig!$D:$D,DRE!N$4)+SUMIFS(Aut_Ajustes_Manuais!$G:$G,Aut_Ajustes_Manuais!$I:$I,DRE!N$4,Aut_Ajustes_Manuais!$F:$F,"Serviço")</f>
        <v/>
      </c>
      <c r="Q13" s="241" t="n"/>
      <c r="R13" s="27">
        <f>SUMIFS(T_ORCAMENTOS!$E:$E,T_ORCAMENTOS!$C:$C,"Serviço",T_ORCAMENTOS!$H:$H,"4/2026")</f>
        <v/>
      </c>
      <c r="S13" s="28">
        <f>SUMIFS(Aut_Faturamento_Zig!$F:$F,Aut_Faturamento_Zig!$E:$E,"Serviço",Aut_Faturamento_Zig!$D:$D,DRE!Q$4)+SUMIFS(Aut_Ajustes_Manuais!$G:$G,Aut_Ajustes_Manuais!$I:$I,DRE!Q$4,Aut_Ajustes_Manuais!$F:$F,"Serviço")</f>
        <v/>
      </c>
      <c r="T13" s="241" t="n"/>
      <c r="U13" s="27">
        <f>SUMIFS(T_ORCAMENTOS!$E:$E,T_ORCAMENTOS!$C:$C,"Serviço",T_ORCAMENTOS!$H:$H,"5/2026")</f>
        <v/>
      </c>
      <c r="V13" s="28">
        <f>SUMIFS(Aut_Faturamento_Zig!$F:$F,Aut_Faturamento_Zig!$E:$E,"Serviço",Aut_Faturamento_Zig!$D:$D,DRE!T$4)+SUMIFS(Aut_Ajustes_Manuais!$G:$G,Aut_Ajustes_Manuais!$I:$I,DRE!T$4,Aut_Ajustes_Manuais!$F:$F,"Serviço")</f>
        <v/>
      </c>
      <c r="W13" s="241" t="n"/>
      <c r="X13" s="27">
        <f>SUMIFS(T_ORCAMENTOS!$E:$E,T_ORCAMENTOS!$C:$C,"Serviço",T_ORCAMENTOS!$H:$H,"6/2026")</f>
        <v/>
      </c>
      <c r="Y13" s="28">
        <f>SUMIFS(Aut_Faturamento_Zig!$F:$F,Aut_Faturamento_Zig!$E:$E,"Serviço",Aut_Faturamento_Zig!$D:$D,DRE!W$4)+SUMIFS(Aut_Ajustes_Manuais!$G:$G,Aut_Ajustes_Manuais!$I:$I,DRE!W$4,Aut_Ajustes_Manuais!$F:$F,"Serviço")</f>
        <v/>
      </c>
      <c r="Z13" s="241" t="n"/>
      <c r="AA13" s="27">
        <f>SUMIFS(T_ORCAMENTOS!$E:$E,T_ORCAMENTOS!$C:$C,"Serviço",T_ORCAMENTOS!$H:$H,"7/2026")</f>
        <v/>
      </c>
      <c r="AB13" s="28">
        <f>SUMIFS(Aut_Faturamento_Zig!$F:$F,Aut_Faturamento_Zig!$E:$E,"Serviço",Aut_Faturamento_Zig!$D:$D,DRE!Z$4)+SUMIFS(Aut_Ajustes_Manuais!$G:$G,Aut_Ajustes_Manuais!$I:$I,DRE!Z$4,Aut_Ajustes_Manuais!$F:$F,"Serviço")</f>
        <v/>
      </c>
      <c r="AC13" s="241" t="n"/>
      <c r="AD13" s="27">
        <f>SUMIFS(T_ORCAMENTOS!$E:$E,T_ORCAMENTOS!$C:$C,"Serviço",T_ORCAMENTOS!$H:$H,"8/2026")</f>
        <v/>
      </c>
      <c r="AE13" s="28">
        <f>SUMIFS(Aut_Faturamento_Zig!$F:$F,Aut_Faturamento_Zig!$E:$E,"Serviço",Aut_Faturamento_Zig!$D:$D,DRE!AC$4)+SUMIFS(Aut_Ajustes_Manuais!$G:$G,Aut_Ajustes_Manuais!$I:$I,DRE!AC$4,Aut_Ajustes_Manuais!$F:$F,"Serviço")</f>
        <v/>
      </c>
      <c r="AF13" s="241" t="n"/>
      <c r="AG13" s="27">
        <f>SUMIFS(T_ORCAMENTOS!$E:$E,T_ORCAMENTOS!$C:$C,"Serviço",T_ORCAMENTOS!$H:$H,"9/2026")</f>
        <v/>
      </c>
      <c r="AH13" s="28">
        <f>SUMIFS(Aut_Faturamento_Zig!$F:$F,Aut_Faturamento_Zig!$E:$E,"Serviço",Aut_Faturamento_Zig!$D:$D,DRE!AF$4)+SUMIFS(Aut_Ajustes_Manuais!$G:$G,Aut_Ajustes_Manuais!$I:$I,DRE!AF$4,Aut_Ajustes_Manuais!$F:$F,"Serviço")</f>
        <v/>
      </c>
      <c r="AI13" s="241" t="n"/>
      <c r="AJ13" s="27">
        <f>SUMIFS(T_ORCAMENTOS!$E:$E,T_ORCAMENTOS!$C:$C,"Serviço",T_ORCAMENTOS!$H:$H,"10/2026")</f>
        <v/>
      </c>
      <c r="AK13" s="28">
        <f>SUMIFS(Aut_Faturamento_Zig!$F:$F,Aut_Faturamento_Zig!$E:$E,"Serviço",Aut_Faturamento_Zig!$D:$D,DRE!AI$4)+SUMIFS(Aut_Ajustes_Manuais!$G:$G,Aut_Ajustes_Manuais!$I:$I,DRE!AI$4,Aut_Ajustes_Manuais!$F:$F,"Serviço")</f>
        <v/>
      </c>
      <c r="AL13" s="241" t="n"/>
      <c r="AM13" s="27">
        <f>SUMIFS(T_ORCAMENTOS!$E:$E,T_ORCAMENTOS!$C:$C,"Serviço",T_ORCAMENTOS!$H:$H,"11/2026")</f>
        <v/>
      </c>
      <c r="AN13" s="28">
        <f>SUMIFS(Aut_Faturamento_Zig!$F:$F,Aut_Faturamento_Zig!$E:$E,"Serviço",Aut_Faturamento_Zig!$D:$D,DRE!AL$4)+SUMIFS(Aut_Ajustes_Manuais!$G:$G,Aut_Ajustes_Manuais!$I:$I,DRE!AL$4,Aut_Ajustes_Manuais!$F:$F,"Serviço")</f>
        <v/>
      </c>
      <c r="AO13" s="241" t="n"/>
      <c r="AP13" s="27">
        <f>SUMIFS(T_ORCAMENTOS!$E:$E,T_ORCAMENTOS!$C:$C,"Serviço",T_ORCAMENTOS!$H:$H,"12/2026")</f>
        <v/>
      </c>
      <c r="AQ13" s="28">
        <f>SUMIFS(Aut_Faturamento_Zig!$F:$F,Aut_Faturamento_Zig!$E:$E,"Serviço",Aut_Faturamento_Zig!$D:$D,DRE!AO$4)+SUMIFS(Aut_Ajustes_Manuais!$G:$G,Aut_Ajustes_Manuais!$I:$I,DRE!AO$4,Aut_Ajustes_Manuais!$F:$F,"Serviço")</f>
        <v/>
      </c>
      <c r="AR13" s="241">
        <f>SUMIFS($H13:$AO13,$H$5:$AO$5,"&lt;"&amp;MONTH(TODAY()),$H$6:$AO$6,"REAL 25")</f>
        <v/>
      </c>
      <c r="AS13" s="27">
        <f>SUMIFS($I13:$AP13,$I$5:$AP$5,"&lt;"&amp;MONTH(TODAY()),$I$6:$AP$6,"ORÇADO ")</f>
        <v/>
      </c>
      <c r="AT13" s="28">
        <f>SUMIFS($J13:$AQ13,$J$5:$AQ$5,"&lt;"&amp;MONTH(TODAY()),$J$6:$AQ$6,"REAL 26")</f>
        <v/>
      </c>
      <c r="AU13" s="241">
        <f>SUM(H13,K13,N13,Q13,T13,W13,Z13,AC13,AF13,AI13,AL13,AO13)</f>
        <v/>
      </c>
      <c r="AV13" s="27">
        <f>SUM(I13,L13,O13,R13,U13,X13,AA13,AD13,AG13,AJ13,AM13,AP13)</f>
        <v/>
      </c>
      <c r="AW13" s="28">
        <f>SUM(J13,M13,P13,S13,V13,Y13,AB13,AE13,AH13,AK13,AN13,AQ13)</f>
        <v/>
      </c>
      <c r="AX13" s="241">
        <f>SUM(H13,K13,N13)</f>
        <v/>
      </c>
      <c r="AY13" s="27">
        <f>SUM(I13,L13,O13)</f>
        <v/>
      </c>
      <c r="AZ13" s="28">
        <f>SUM(J13,M13,P13)</f>
        <v/>
      </c>
      <c r="BA13" s="241">
        <f>SUM(Q13,T13,W13)</f>
        <v/>
      </c>
      <c r="BB13" s="27">
        <f>SUM(R13,U13,X13)</f>
        <v/>
      </c>
      <c r="BC13" s="28">
        <f>SUM(S13,V13,Y13)</f>
        <v/>
      </c>
      <c r="BD13" s="241">
        <f>SUM(Z13,AC13,AF13)</f>
        <v/>
      </c>
      <c r="BE13" s="27">
        <f>SUM(AA13,AD13,AG13)</f>
        <v/>
      </c>
      <c r="BF13" s="28">
        <f>SUM(AB13,AE13,AH13)</f>
        <v/>
      </c>
      <c r="BG13" s="241">
        <f>SUM(AI13,AL13,AO13)</f>
        <v/>
      </c>
      <c r="BH13" s="27">
        <f>SUM(AJ13,AM13,AP13)</f>
        <v/>
      </c>
      <c r="BI13" s="28">
        <f>SUM(AK13,AN13,AQ13)</f>
        <v/>
      </c>
    </row>
    <row r="14" outlineLevel="1" customFormat="1" s="498">
      <c r="A14" s="22" t="inlineStr">
        <is>
          <t>Eventos A&amp;B</t>
        </is>
      </c>
      <c r="B14" s="23" t="n"/>
      <c r="C14" s="24" t="inlineStr">
        <is>
          <t xml:space="preserve">Estim. Mensal </t>
        </is>
      </c>
      <c r="D14" s="24" t="inlineStr">
        <is>
          <t>Preencher base de Eventos</t>
        </is>
      </c>
      <c r="E14" s="25" t="n"/>
      <c r="F14" s="431" t="n"/>
      <c r="G14" s="431" t="n"/>
      <c r="H14" s="241" t="n"/>
      <c r="I14" s="27">
        <f>SUMIFS(T_ORCAMENTOS!$E:$E,T_ORCAMENTOS!$C:$C,"Eventos A&amp;B",T_ORCAMENTOS!$H:$H,"1/2026")</f>
        <v/>
      </c>
      <c r="J14" s="28">
        <f>SUMIFS(BD_Eventos_Novo!$J:$J,BD_Eventos_Novo!$AB:$AB,DRE!H$4)+SUMIFS(BD_Eventos_Novo!$K:$K,BD_Eventos_Novo!$AB:$AB,DRE!H$4)+SUMIFS(Aut_Ajustes_Manuais!$G:$G,Aut_Ajustes_Manuais!$I:$I,DRE!H$4,Aut_Ajustes_Manuais!$F:$F,"Eventos A&amp;B")</f>
        <v/>
      </c>
      <c r="K14" s="241" t="n"/>
      <c r="L14" s="27">
        <f>SUMIFS(T_ORCAMENTOS!$E:$E,T_ORCAMENTOS!$C:$C,"Eventos A&amp;B",T_ORCAMENTOS!$H:$H,"2/2026")</f>
        <v/>
      </c>
      <c r="M14" s="28">
        <f>SUMIFS(BD_Eventos_Novo!$J:$J,BD_Eventos_Novo!$AB:$AB,DRE!K$4)+SUMIFS(BD_Eventos_Novo!$K:$K,BD_Eventos_Novo!$AB:$AB,DRE!K$4)+SUMIFS(Aut_Ajustes_Manuais!$G:$G,Aut_Ajustes_Manuais!$I:$I,DRE!K$4,Aut_Ajustes_Manuais!$F:$F,"Eventos A&amp;B")</f>
        <v/>
      </c>
      <c r="N14" s="241" t="n"/>
      <c r="O14" s="27">
        <f>SUMIFS(T_ORCAMENTOS!$E:$E,T_ORCAMENTOS!$C:$C,"Eventos A&amp;B",T_ORCAMENTOS!$H:$H,"3/2026")</f>
        <v/>
      </c>
      <c r="P14" s="28">
        <f>SUMIFS(BD_Eventos_Novo!$J:$J,BD_Eventos_Novo!$AB:$AB,DRE!N$4)+SUMIFS(BD_Eventos_Novo!$K:$K,BD_Eventos_Novo!$AB:$AB,DRE!N$4)+SUMIFS(Aut_Ajustes_Manuais!$G:$G,Aut_Ajustes_Manuais!$I:$I,DRE!N$4,Aut_Ajustes_Manuais!$F:$F,"Eventos A&amp;B")</f>
        <v/>
      </c>
      <c r="Q14" s="241" t="n"/>
      <c r="R14" s="27">
        <f>SUMIFS(T_ORCAMENTOS!$E:$E,T_ORCAMENTOS!$C:$C,"Eventos A&amp;B",T_ORCAMENTOS!$H:$H,"4/2026")</f>
        <v/>
      </c>
      <c r="S14" s="28">
        <f>SUMIFS(BD_Eventos_Novo!$J:$J,BD_Eventos_Novo!$AB:$AB,DRE!Q$4)+SUMIFS(BD_Eventos_Novo!$K:$K,BD_Eventos_Novo!$AB:$AB,DRE!Q$4)+SUMIFS(Aut_Ajustes_Manuais!$G:$G,Aut_Ajustes_Manuais!$I:$I,DRE!Q$4,Aut_Ajustes_Manuais!$F:$F,"Eventos A&amp;B")</f>
        <v/>
      </c>
      <c r="T14" s="241" t="n"/>
      <c r="U14" s="27">
        <f>SUMIFS(T_ORCAMENTOS!$E:$E,T_ORCAMENTOS!$C:$C,"Eventos A&amp;B",T_ORCAMENTOS!$H:$H,"5/2026")</f>
        <v/>
      </c>
      <c r="V14" s="28">
        <f>SUMIFS(BD_Eventos_Novo!$J:$J,BD_Eventos_Novo!$AB:$AB,DRE!T$4)+SUMIFS(BD_Eventos_Novo!$K:$K,BD_Eventos_Novo!$AB:$AB,DRE!T$4)+SUMIFS(Aut_Ajustes_Manuais!$G:$G,Aut_Ajustes_Manuais!$I:$I,DRE!T$4,Aut_Ajustes_Manuais!$F:$F,"Eventos A&amp;B")</f>
        <v/>
      </c>
      <c r="W14" s="241" t="n"/>
      <c r="X14" s="27">
        <f>SUMIFS(T_ORCAMENTOS!$E:$E,T_ORCAMENTOS!$C:$C,"Eventos A&amp;B",T_ORCAMENTOS!$H:$H,"6/2026")</f>
        <v/>
      </c>
      <c r="Y14" s="28">
        <f>SUMIFS(BD_Eventos_Novo!$J:$J,BD_Eventos_Novo!$AB:$AB,DRE!W$4)+SUMIFS(BD_Eventos_Novo!$K:$K,BD_Eventos_Novo!$AB:$AB,DRE!W$4)+SUMIFS(Aut_Ajustes_Manuais!$G:$G,Aut_Ajustes_Manuais!$I:$I,DRE!W$4,Aut_Ajustes_Manuais!$F:$F,"Eventos A&amp;B")</f>
        <v/>
      </c>
      <c r="Z14" s="241" t="n"/>
      <c r="AA14" s="27">
        <f>SUMIFS(T_ORCAMENTOS!$E:$E,T_ORCAMENTOS!$C:$C,"Eventos A&amp;B",T_ORCAMENTOS!$H:$H,"7/2026")</f>
        <v/>
      </c>
      <c r="AB14" s="28">
        <f>SUMIFS(BD_Eventos_Novo!$J:$J,BD_Eventos_Novo!$AB:$AB,DRE!Z$4)+SUMIFS(BD_Eventos_Novo!$K:$K,BD_Eventos_Novo!$AB:$AB,DRE!Z$4)+SUMIFS(Aut_Ajustes_Manuais!$G:$G,Aut_Ajustes_Manuais!$I:$I,DRE!Z$4,Aut_Ajustes_Manuais!$F:$F,"Eventos A&amp;B")</f>
        <v/>
      </c>
      <c r="AC14" s="241" t="n"/>
      <c r="AD14" s="27">
        <f>SUMIFS(T_ORCAMENTOS!$E:$E,T_ORCAMENTOS!$C:$C,"Eventos A&amp;B",T_ORCAMENTOS!$H:$H,"8/2026")</f>
        <v/>
      </c>
      <c r="AE14" s="28">
        <f>SUMIFS(BD_Eventos_Novo!$J:$J,BD_Eventos_Novo!$AB:$AB,DRE!AC$4)+SUMIFS(BD_Eventos_Novo!$K:$K,BD_Eventos_Novo!$AB:$AB,DRE!AC$4)+SUMIFS(Aut_Ajustes_Manuais!$G:$G,Aut_Ajustes_Manuais!$I:$I,DRE!AC$4,Aut_Ajustes_Manuais!$F:$F,"Eventos A&amp;B")</f>
        <v/>
      </c>
      <c r="AF14" s="241" t="n"/>
      <c r="AG14" s="27">
        <f>SUMIFS(T_ORCAMENTOS!$E:$E,T_ORCAMENTOS!$C:$C,"Eventos A&amp;B",T_ORCAMENTOS!$H:$H,"9/2026")</f>
        <v/>
      </c>
      <c r="AH14" s="28">
        <f>SUMIFS(BD_Eventos_Novo!$J:$J,BD_Eventos_Novo!$AB:$AB,DRE!AF$4)+SUMIFS(BD_Eventos_Novo!$K:$K,BD_Eventos_Novo!$AB:$AB,DRE!AF$4)+SUMIFS(Aut_Ajustes_Manuais!$G:$G,Aut_Ajustes_Manuais!$I:$I,DRE!AF$4,Aut_Ajustes_Manuais!$F:$F,"Eventos A&amp;B")</f>
        <v/>
      </c>
      <c r="AI14" s="241" t="n"/>
      <c r="AJ14" s="27">
        <f>SUMIFS(T_ORCAMENTOS!$E:$E,T_ORCAMENTOS!$C:$C,"Eventos A&amp;B",T_ORCAMENTOS!$H:$H,"10/2026")</f>
        <v/>
      </c>
      <c r="AK14" s="28">
        <f>SUMIFS(BD_Eventos_Novo!$J:$J,BD_Eventos_Novo!$AB:$AB,DRE!AI$4)+SUMIFS(BD_Eventos_Novo!$K:$K,BD_Eventos_Novo!$AB:$AB,DRE!AI$4)+SUMIFS(Aut_Ajustes_Manuais!$G:$G,Aut_Ajustes_Manuais!$I:$I,DRE!AI$4,Aut_Ajustes_Manuais!$F:$F,"Eventos A&amp;B")</f>
        <v/>
      </c>
      <c r="AL14" s="241" t="n"/>
      <c r="AM14" s="27">
        <f>SUMIFS(T_ORCAMENTOS!$E:$E,T_ORCAMENTOS!$C:$C,"Eventos A&amp;B",T_ORCAMENTOS!$H:$H,"11/2026")</f>
        <v/>
      </c>
      <c r="AN14" s="28">
        <f>SUMIFS(BD_Eventos_Novo!$J:$J,BD_Eventos_Novo!$AB:$AB,DRE!AL$4)+SUMIFS(BD_Eventos_Novo!$K:$K,BD_Eventos_Novo!$AB:$AB,DRE!AL$4)+SUMIFS(Aut_Ajustes_Manuais!$G:$G,Aut_Ajustes_Manuais!$I:$I,DRE!AL$4,Aut_Ajustes_Manuais!$F:$F,"Eventos A&amp;B")</f>
        <v/>
      </c>
      <c r="AO14" s="241" t="n"/>
      <c r="AP14" s="27">
        <f>SUMIFS(T_ORCAMENTOS!$E:$E,T_ORCAMENTOS!$C:$C,"Eventos A&amp;B",T_ORCAMENTOS!$H:$H,"12/2026")</f>
        <v/>
      </c>
      <c r="AQ14" s="28">
        <f>SUMIFS(BD_Eventos_Novo!$J:$J,BD_Eventos_Novo!$AB:$AB,DRE!AO$4)+SUMIFS(BD_Eventos_Novo!$K:$K,BD_Eventos_Novo!$AB:$AB,DRE!AO$4)+SUMIFS(Aut_Ajustes_Manuais!$G:$G,Aut_Ajustes_Manuais!$I:$I,DRE!AO$4,Aut_Ajustes_Manuais!$F:$F,"Eventos A&amp;B")</f>
        <v/>
      </c>
      <c r="AR14" s="241">
        <f>SUMIFS($H14:$AO14,$H$5:$AO$5,"&lt;"&amp;MONTH(TODAY()),$H$6:$AO$6,"REAL 25")</f>
        <v/>
      </c>
      <c r="AS14" s="27">
        <f>SUMIFS($I14:$AP14,$I$5:$AP$5,"&lt;"&amp;MONTH(TODAY()),$I$6:$AP$6,"ORÇADO ")</f>
        <v/>
      </c>
      <c r="AT14" s="28">
        <f>SUMIFS($J14:$AQ14,$J$5:$AQ$5,"&lt;"&amp;MONTH(TODAY()),$J$6:$AQ$6,"REAL 26")</f>
        <v/>
      </c>
      <c r="AU14" s="241">
        <f>SUM(H14,K14,N14,Q14,T14,W14,Z14,AC14,AF14,AI14,AL14,AO14)</f>
        <v/>
      </c>
      <c r="AV14" s="27">
        <f>SUM(I14,L14,O14,R14,U14,X14,AA14,AD14,AG14,AJ14,AM14,AP14)</f>
        <v/>
      </c>
      <c r="AW14" s="28">
        <f>SUM(J14,M14,P14,S14,V14,Y14,AB14,AE14,AH14,AK14,AN14,AQ14)</f>
        <v/>
      </c>
      <c r="AX14" s="241">
        <f>SUM(H14,K14,N14)</f>
        <v/>
      </c>
      <c r="AY14" s="27">
        <f>SUM(I14,L14,O14)</f>
        <v/>
      </c>
      <c r="AZ14" s="28">
        <f>SUM(J14,M14,P14)</f>
        <v/>
      </c>
      <c r="BA14" s="241">
        <f>SUM(Q14,T14,W14)</f>
        <v/>
      </c>
      <c r="BB14" s="27">
        <f>SUM(R14,U14,X14)</f>
        <v/>
      </c>
      <c r="BC14" s="28">
        <f>SUM(S14,V14,Y14)</f>
        <v/>
      </c>
      <c r="BD14" s="241">
        <f>SUM(Z14,AC14,AF14)</f>
        <v/>
      </c>
      <c r="BE14" s="27">
        <f>SUM(AA14,AD14,AG14)</f>
        <v/>
      </c>
      <c r="BF14" s="28">
        <f>SUM(AB14,AE14,AH14)</f>
        <v/>
      </c>
      <c r="BG14" s="241">
        <f>SUM(AI14,AL14,AO14)</f>
        <v/>
      </c>
      <c r="BH14" s="27">
        <f>SUM(AJ14,AM14,AP14)</f>
        <v/>
      </c>
      <c r="BI14" s="28">
        <f>SUM(AK14,AN14,AQ14)</f>
        <v/>
      </c>
    </row>
    <row r="15" outlineLevel="1" customFormat="1" s="498">
      <c r="A15" s="22" t="inlineStr">
        <is>
          <t>Eventos Couvert</t>
        </is>
      </c>
      <c r="B15" s="23" t="n"/>
      <c r="C15" s="24" t="inlineStr">
        <is>
          <t xml:space="preserve">Estim. Mensal </t>
        </is>
      </c>
      <c r="D15" s="24" t="inlineStr">
        <is>
          <t>Preencher base de Eventos</t>
        </is>
      </c>
      <c r="E15" s="25" t="n"/>
      <c r="F15" s="431" t="n"/>
      <c r="G15" s="431" t="n"/>
      <c r="H15" s="241" t="n"/>
      <c r="I15" s="27">
        <f>SUMIFS(T_ORCAMENTOS!$E:$E,T_ORCAMENTOS!$C:$C,"Eventos Couvert",T_ORCAMENTOS!$H:$H,"1/2026")</f>
        <v/>
      </c>
      <c r="J15" s="28">
        <f>SUMIFS(BD_Eventos_Novo!$M:$M,BD_Eventos_Novo!$AB:$AB,DRE!H$4)+SUMIFS(BD_Eventos_Novo!$N:$N,BD_Eventos_Novo!$AB:$AB,DRE!H$4)+SUMIFS(BD_Eventos_Novo!$O:$O,BD_Eventos_Novo!$AB:$AB,DRE!H$4)+SUMIFS(Aut_Ajustes_Manuais!$G:$G,Aut_Ajustes_Manuais!$I:$I,DRE!H$4,Aut_Ajustes_Manuais!$F:$F,"Eventos Couvert")</f>
        <v/>
      </c>
      <c r="K15" s="241" t="n"/>
      <c r="L15" s="27">
        <f>SUMIFS(T_ORCAMENTOS!$E:$E,T_ORCAMENTOS!$C:$C,"Eventos Couvert",T_ORCAMENTOS!$H:$H,"2/2026")</f>
        <v/>
      </c>
      <c r="M15" s="28">
        <f>SUMIFS(BD_Eventos_Novo!$M:$M,BD_Eventos_Novo!$AB:$AB,DRE!K$4)+SUMIFS(BD_Eventos_Novo!$N:$N,BD_Eventos_Novo!$AB:$AB,DRE!K$4)+SUMIFS(BD_Eventos_Novo!$O:$O,BD_Eventos_Novo!$AB:$AB,DRE!K$4)+SUMIFS(Aut_Ajustes_Manuais!$G:$G,Aut_Ajustes_Manuais!$I:$I,DRE!K$4,Aut_Ajustes_Manuais!$F:$F,"Eventos Couvert")</f>
        <v/>
      </c>
      <c r="N15" s="241" t="n"/>
      <c r="O15" s="27">
        <f>SUMIFS(T_ORCAMENTOS!$E:$E,T_ORCAMENTOS!$C:$C,"Eventos Couvert",T_ORCAMENTOS!$H:$H,"3/2026")</f>
        <v/>
      </c>
      <c r="P15" s="28">
        <f>SUMIFS(BD_Eventos_Novo!$M:$M,BD_Eventos_Novo!$AB:$AB,DRE!N$4)+SUMIFS(BD_Eventos_Novo!$N:$N,BD_Eventos_Novo!$AB:$AB,DRE!N$4)+SUMIFS(BD_Eventos_Novo!$O:$O,BD_Eventos_Novo!$AB:$AB,DRE!N$4)+SUMIFS(Aut_Ajustes_Manuais!$G:$G,Aut_Ajustes_Manuais!$I:$I,DRE!N$4,Aut_Ajustes_Manuais!$F:$F,"Eventos Couvert")</f>
        <v/>
      </c>
      <c r="Q15" s="241" t="n"/>
      <c r="R15" s="27">
        <f>SUMIFS(T_ORCAMENTOS!$E:$E,T_ORCAMENTOS!$C:$C,"Eventos Couvert",T_ORCAMENTOS!$H:$H,"4/2026")</f>
        <v/>
      </c>
      <c r="S15" s="28">
        <f>SUMIFS(BD_Eventos_Novo!$M:$M,BD_Eventos_Novo!$AB:$AB,DRE!Q$4)+SUMIFS(BD_Eventos_Novo!$N:$N,BD_Eventos_Novo!$AB:$AB,DRE!Q$4)+SUMIFS(BD_Eventos_Novo!$O:$O,BD_Eventos_Novo!$AB:$AB,DRE!Q$4)+SUMIFS(Aut_Ajustes_Manuais!$G:$G,Aut_Ajustes_Manuais!$I:$I,DRE!Q$4,Aut_Ajustes_Manuais!$F:$F,"Eventos Couvert")</f>
        <v/>
      </c>
      <c r="T15" s="241" t="n"/>
      <c r="U15" s="27">
        <f>SUMIFS(T_ORCAMENTOS!$E:$E,T_ORCAMENTOS!$C:$C,"Eventos Couvert",T_ORCAMENTOS!$H:$H,"5/2026")</f>
        <v/>
      </c>
      <c r="V15" s="28">
        <f>SUMIFS(BD_Eventos_Novo!$M:$M,BD_Eventos_Novo!$AB:$AB,DRE!T$4)+SUMIFS(BD_Eventos_Novo!$N:$N,BD_Eventos_Novo!$AB:$AB,DRE!T$4)+SUMIFS(BD_Eventos_Novo!$O:$O,BD_Eventos_Novo!$AB:$AB,DRE!T$4)+SUMIFS(Aut_Ajustes_Manuais!$G:$G,Aut_Ajustes_Manuais!$I:$I,DRE!T$4,Aut_Ajustes_Manuais!$F:$F,"Eventos Couvert")</f>
        <v/>
      </c>
      <c r="W15" s="241" t="n"/>
      <c r="X15" s="27">
        <f>SUMIFS(T_ORCAMENTOS!$E:$E,T_ORCAMENTOS!$C:$C,"Eventos Couvert",T_ORCAMENTOS!$H:$H,"6/2026")</f>
        <v/>
      </c>
      <c r="Y15" s="28">
        <f>SUMIFS(BD_Eventos_Novo!$M:$M,BD_Eventos_Novo!$AB:$AB,DRE!W$4)+SUMIFS(BD_Eventos_Novo!$N:$N,BD_Eventos_Novo!$AB:$AB,DRE!W$4)+SUMIFS(BD_Eventos_Novo!$O:$O,BD_Eventos_Novo!$AB:$AB,DRE!W$4)+SUMIFS(Aut_Ajustes_Manuais!$G:$G,Aut_Ajustes_Manuais!$I:$I,DRE!W$4,Aut_Ajustes_Manuais!$F:$F,"Eventos Couvert")</f>
        <v/>
      </c>
      <c r="Z15" s="241" t="n"/>
      <c r="AA15" s="27">
        <f>SUMIFS(T_ORCAMENTOS!$E:$E,T_ORCAMENTOS!$C:$C,"Eventos Couvert",T_ORCAMENTOS!$H:$H,"7/2026")</f>
        <v/>
      </c>
      <c r="AB15" s="28">
        <f>SUMIFS(BD_Eventos_Novo!$M:$M,BD_Eventos_Novo!$AB:$AB,DRE!Z$4)+SUMIFS(BD_Eventos_Novo!$N:$N,BD_Eventos_Novo!$AB:$AB,DRE!Z$4)+SUMIFS(BD_Eventos_Novo!$O:$O,BD_Eventos_Novo!$AB:$AB,DRE!Z$4)+SUMIFS(Aut_Ajustes_Manuais!$G:$G,Aut_Ajustes_Manuais!$I:$I,DRE!Z$4,Aut_Ajustes_Manuais!$F:$F,"Eventos Couvert")</f>
        <v/>
      </c>
      <c r="AC15" s="241" t="n"/>
      <c r="AD15" s="27">
        <f>SUMIFS(T_ORCAMENTOS!$E:$E,T_ORCAMENTOS!$C:$C,"Eventos Couvert",T_ORCAMENTOS!$H:$H,"8/2026")</f>
        <v/>
      </c>
      <c r="AE15" s="28">
        <f>SUMIFS(BD_Eventos_Novo!$M:$M,BD_Eventos_Novo!$AB:$AB,DRE!AC$4)+SUMIFS(BD_Eventos_Novo!$N:$N,BD_Eventos_Novo!$AB:$AB,DRE!AC$4)+SUMIFS(BD_Eventos_Novo!$O:$O,BD_Eventos_Novo!$AB:$AB,DRE!AC$4)+SUMIFS(Aut_Ajustes_Manuais!$G:$G,Aut_Ajustes_Manuais!$I:$I,DRE!AC$4,Aut_Ajustes_Manuais!$F:$F,"Eventos Couvert")</f>
        <v/>
      </c>
      <c r="AF15" s="241" t="n"/>
      <c r="AG15" s="27">
        <f>SUMIFS(T_ORCAMENTOS!$E:$E,T_ORCAMENTOS!$C:$C,"Eventos Couvert",T_ORCAMENTOS!$H:$H,"9/2026")</f>
        <v/>
      </c>
      <c r="AH15" s="28">
        <f>SUMIFS(BD_Eventos_Novo!$M:$M,BD_Eventos_Novo!$AB:$AB,DRE!AF$4)+SUMIFS(BD_Eventos_Novo!$N:$N,BD_Eventos_Novo!$AB:$AB,DRE!AF$4)+SUMIFS(BD_Eventos_Novo!$O:$O,BD_Eventos_Novo!$AB:$AB,DRE!AF$4)+SUMIFS(Aut_Ajustes_Manuais!$G:$G,Aut_Ajustes_Manuais!$I:$I,DRE!AF$4,Aut_Ajustes_Manuais!$F:$F,"Eventos Couvert")</f>
        <v/>
      </c>
      <c r="AI15" s="241" t="n"/>
      <c r="AJ15" s="27">
        <f>SUMIFS(T_ORCAMENTOS!$E:$E,T_ORCAMENTOS!$C:$C,"Eventos Couvert",T_ORCAMENTOS!$H:$H,"10/2026")</f>
        <v/>
      </c>
      <c r="AK15" s="28">
        <f>SUMIFS(BD_Eventos_Novo!$M:$M,BD_Eventos_Novo!$AB:$AB,DRE!AI$4)+SUMIFS(BD_Eventos_Novo!$N:$N,BD_Eventos_Novo!$AB:$AB,DRE!AI$4)+SUMIFS(BD_Eventos_Novo!$O:$O,BD_Eventos_Novo!$AB:$AB,DRE!AI$4)+SUMIFS(Aut_Ajustes_Manuais!$G:$G,Aut_Ajustes_Manuais!$I:$I,DRE!AI$4,Aut_Ajustes_Manuais!$F:$F,"Eventos Couvert")</f>
        <v/>
      </c>
      <c r="AL15" s="241" t="n"/>
      <c r="AM15" s="27">
        <f>SUMIFS(T_ORCAMENTOS!$E:$E,T_ORCAMENTOS!$C:$C,"Eventos Couvert",T_ORCAMENTOS!$H:$H,"11/2026")</f>
        <v/>
      </c>
      <c r="AN15" s="28">
        <f>SUMIFS(BD_Eventos_Novo!$M:$M,BD_Eventos_Novo!$AB:$AB,DRE!AL$4)+SUMIFS(BD_Eventos_Novo!$N:$N,BD_Eventos_Novo!$AB:$AB,DRE!AL$4)+SUMIFS(BD_Eventos_Novo!$O:$O,BD_Eventos_Novo!$AB:$AB,DRE!AL$4)+SUMIFS(Aut_Ajustes_Manuais!$G:$G,Aut_Ajustes_Manuais!$I:$I,DRE!AL$4,Aut_Ajustes_Manuais!$F:$F,"Eventos Couvert")</f>
        <v/>
      </c>
      <c r="AO15" s="241" t="n"/>
      <c r="AP15" s="27">
        <f>SUMIFS(T_ORCAMENTOS!$E:$E,T_ORCAMENTOS!$C:$C,"Eventos Couvert",T_ORCAMENTOS!$H:$H,"12/2026")</f>
        <v/>
      </c>
      <c r="AQ15" s="28">
        <f>SUMIFS(BD_Eventos_Novo!$M:$M,BD_Eventos_Novo!$AB:$AB,DRE!AO$4)+SUMIFS(BD_Eventos_Novo!$N:$N,BD_Eventos_Novo!$AB:$AB,DRE!AO$4)+SUMIFS(BD_Eventos_Novo!$O:$O,BD_Eventos_Novo!$AB:$AB,DRE!AO$4)+SUMIFS(Aut_Ajustes_Manuais!$G:$G,Aut_Ajustes_Manuais!$I:$I,DRE!AO$4,Aut_Ajustes_Manuais!$F:$F,"Eventos Couvert")</f>
        <v/>
      </c>
      <c r="AR15" s="241">
        <f>SUMIFS($H15:$AO15,$H$5:$AO$5,"&lt;"&amp;MONTH(TODAY()),$H$6:$AO$6,"REAL 25")</f>
        <v/>
      </c>
      <c r="AS15" s="27">
        <f>SUMIFS($I15:$AP15,$I$5:$AP$5,"&lt;"&amp;MONTH(TODAY()),$I$6:$AP$6,"ORÇADO ")</f>
        <v/>
      </c>
      <c r="AT15" s="28">
        <f>SUMIFS($J15:$AQ15,$J$5:$AQ$5,"&lt;"&amp;MONTH(TODAY()),$J$6:$AQ$6,"REAL 26")</f>
        <v/>
      </c>
      <c r="AU15" s="241">
        <f>SUM(H15,K15,N15,Q15,T15,W15,Z15,AC15,AF15,AI15,AL15,AO15)</f>
        <v/>
      </c>
      <c r="AV15" s="27">
        <f>SUM(I15,L15,O15,R15,U15,X15,AA15,AD15,AG15,AJ15,AM15,AP15)</f>
        <v/>
      </c>
      <c r="AW15" s="28">
        <f>SUM(J15,M15,P15,S15,V15,Y15,AB15,AE15,AH15,AK15,AN15,AQ15)</f>
        <v/>
      </c>
      <c r="AX15" s="241">
        <f>SUM(H15,K15,N15)</f>
        <v/>
      </c>
      <c r="AY15" s="27">
        <f>SUM(I15,L15,O15)</f>
        <v/>
      </c>
      <c r="AZ15" s="28">
        <f>SUM(J15,M15,P15)</f>
        <v/>
      </c>
      <c r="BA15" s="241">
        <f>SUM(Q15,T15,W15)</f>
        <v/>
      </c>
      <c r="BB15" s="27">
        <f>SUM(R15,U15,X15)</f>
        <v/>
      </c>
      <c r="BC15" s="28">
        <f>SUM(S15,V15,Y15)</f>
        <v/>
      </c>
      <c r="BD15" s="241">
        <f>SUM(Z15,AC15,AF15)</f>
        <v/>
      </c>
      <c r="BE15" s="27">
        <f>SUM(AA15,AD15,AG15)</f>
        <v/>
      </c>
      <c r="BF15" s="28">
        <f>SUM(AB15,AE15,AH15)</f>
        <v/>
      </c>
      <c r="BG15" s="241">
        <f>SUM(AI15,AL15,AO15)</f>
        <v/>
      </c>
      <c r="BH15" s="27">
        <f>SUM(AJ15,AM15,AP15)</f>
        <v/>
      </c>
      <c r="BI15" s="28">
        <f>SUM(AK15,AN15,AQ15)</f>
        <v/>
      </c>
    </row>
    <row r="16" outlineLevel="1" customFormat="1" s="498">
      <c r="A16" s="22" t="inlineStr">
        <is>
          <t>Eventos Locações</t>
        </is>
      </c>
      <c r="B16" s="23" t="n"/>
      <c r="C16" s="24" t="inlineStr">
        <is>
          <t xml:space="preserve">Estim. Mensal </t>
        </is>
      </c>
      <c r="D16" s="24" t="inlineStr">
        <is>
          <t>Preencher base de Eventos</t>
        </is>
      </c>
      <c r="E16" s="25" t="n"/>
      <c r="F16" s="431" t="n"/>
      <c r="G16" s="431" t="n"/>
      <c r="H16" s="241" t="n"/>
      <c r="I16" s="27">
        <f>SUMIFS(T_ORCAMENTOS!$E:$E,T_ORCAMENTOS!$C:$C,"Eventos Locações",T_ORCAMENTOS!$H:$H,"1/2026")</f>
        <v/>
      </c>
      <c r="J16" s="28">
        <f>SUMIFS(BD_Eventos_Novo!$L:$L,BD_Eventos_Novo!$AB:$AB,DRE!H$4)+SUMIFS(BD_Eventos_Novo!$P:$P,BD_Eventos_Novo!$AB:$AB,DRE!H$4)+SUMIFS(BD_Eventos_Novo!$Q:$Q,BD_Eventos_Novo!$AB:$AB,DRE!H$4)+SUMIFS(BD_Eventos_Novo!$R:$R,BD_Eventos_Novo!$AB:$AB,DRE!H$4)+SUMIFS(BD_Eventos_Novo!$S:$S,BD_Eventos_Novo!$AB:$AB,DRE!H$4)+SUMIFS(BD_Eventos_Novo!$T:$T,BD_Eventos_Novo!$AB:$AB,DRE!H$4)+SUMIFS(BD_Eventos_Novo!$U:$U,BD_Eventos_Novo!$AB:$AB,DRE!H$4)+SUMIFS(BD_Eventos_Novo!$V:$V,BD_Eventos_Novo!$AB:$AB,DRE!H$4)+SUMIFS(BD_Eventos_Novo!$W:$W,BD_Eventos_Novo!$AB:$AB,DRE!H$4)+SUMIFS(BD_Eventos_Novo!$X:$X,BD_Eventos_Novo!$AB:$AB,DRE!H$4)+SUMIFS(Aut_Ajustes_Manuais!$G:$G,Aut_Ajustes_Manuais!$I:$I,DRE!H$4,Aut_Ajustes_Manuais!$F:$F,"Eventos Locações")</f>
        <v/>
      </c>
      <c r="K16" s="241" t="n"/>
      <c r="L16" s="27">
        <f>SUMIFS(T_ORCAMENTOS!$E:$E,T_ORCAMENTOS!$C:$C,"Eventos Locações",T_ORCAMENTOS!$H:$H,"2/2026")</f>
        <v/>
      </c>
      <c r="M16" s="28">
        <f>SUMIFS(BD_Eventos_Novo!$L:$L,BD_Eventos_Novo!$AB:$AB,DRE!K$4)+SUMIFS(BD_Eventos_Novo!$P:$P,BD_Eventos_Novo!$AB:$AB,DRE!K$4)+SUMIFS(BD_Eventos_Novo!$Q:$Q,BD_Eventos_Novo!$AB:$AB,DRE!K$4)+SUMIFS(BD_Eventos_Novo!$R:$R,BD_Eventos_Novo!$AB:$AB,DRE!K$4)+SUMIFS(BD_Eventos_Novo!$S:$S,BD_Eventos_Novo!$AB:$AB,DRE!K$4)+SUMIFS(BD_Eventos_Novo!$T:$T,BD_Eventos_Novo!$AB:$AB,DRE!K$4)+SUMIFS(BD_Eventos_Novo!$U:$U,BD_Eventos_Novo!$AB:$AB,DRE!K$4)+SUMIFS(BD_Eventos_Novo!$V:$V,BD_Eventos_Novo!$AB:$AB,DRE!K$4)+SUMIFS(BD_Eventos_Novo!$W:$W,BD_Eventos_Novo!$AB:$AB,DRE!K$4)+SUMIFS(BD_Eventos_Novo!$X:$X,BD_Eventos_Novo!$AB:$AB,DRE!K$4)+SUMIFS(Aut_Ajustes_Manuais!$G:$G,Aut_Ajustes_Manuais!$I:$I,DRE!K$4,Aut_Ajustes_Manuais!$F:$F,"Eventos Locações")</f>
        <v/>
      </c>
      <c r="N16" s="241" t="n"/>
      <c r="O16" s="27">
        <f>SUMIFS(T_ORCAMENTOS!$E:$E,T_ORCAMENTOS!$C:$C,"Eventos Locações",T_ORCAMENTOS!$H:$H,"3/2026")</f>
        <v/>
      </c>
      <c r="P16" s="28">
        <f>SUMIFS(BD_Eventos_Novo!$L:$L,BD_Eventos_Novo!$AB:$AB,DRE!N$4)+SUMIFS(BD_Eventos_Novo!$P:$P,BD_Eventos_Novo!$AB:$AB,DRE!N$4)+SUMIFS(BD_Eventos_Novo!$Q:$Q,BD_Eventos_Novo!$AB:$AB,DRE!N$4)+SUMIFS(BD_Eventos_Novo!$R:$R,BD_Eventos_Novo!$AB:$AB,DRE!N$4)+SUMIFS(BD_Eventos_Novo!$S:$S,BD_Eventos_Novo!$AB:$AB,DRE!N$4)+SUMIFS(BD_Eventos_Novo!$T:$T,BD_Eventos_Novo!$AB:$AB,DRE!N$4)+SUMIFS(BD_Eventos_Novo!$U:$U,BD_Eventos_Novo!$AB:$AB,DRE!N$4)+SUMIFS(BD_Eventos_Novo!$V:$V,BD_Eventos_Novo!$AB:$AB,DRE!N$4)+SUMIFS(BD_Eventos_Novo!$W:$W,BD_Eventos_Novo!$AB:$AB,DRE!N$4)+SUMIFS(BD_Eventos_Novo!$X:$X,BD_Eventos_Novo!$AB:$AB,DRE!N$4)+SUMIFS(Aut_Ajustes_Manuais!$G:$G,Aut_Ajustes_Manuais!$I:$I,DRE!N$4,Aut_Ajustes_Manuais!$F:$F,"Eventos Locações")</f>
        <v/>
      </c>
      <c r="Q16" s="241" t="n"/>
      <c r="R16" s="27">
        <f>SUMIFS(T_ORCAMENTOS!$E:$E,T_ORCAMENTOS!$C:$C,"Eventos Locações",T_ORCAMENTOS!$H:$H,"4/2026")</f>
        <v/>
      </c>
      <c r="S16" s="28">
        <f>SUMIFS(BD_Eventos_Novo!$L:$L,BD_Eventos_Novo!$AB:$AB,DRE!Q$4)+SUMIFS(BD_Eventos_Novo!$P:$P,BD_Eventos_Novo!$AB:$AB,DRE!Q$4)+SUMIFS(BD_Eventos_Novo!$Q:$Q,BD_Eventos_Novo!$AB:$AB,DRE!Q$4)+SUMIFS(BD_Eventos_Novo!$R:$R,BD_Eventos_Novo!$AB:$AB,DRE!Q$4)+SUMIFS(BD_Eventos_Novo!$S:$S,BD_Eventos_Novo!$AB:$AB,DRE!Q$4)+SUMIFS(BD_Eventos_Novo!$T:$T,BD_Eventos_Novo!$AB:$AB,DRE!Q$4)+SUMIFS(BD_Eventos_Novo!$U:$U,BD_Eventos_Novo!$AB:$AB,DRE!Q$4)+SUMIFS(BD_Eventos_Novo!$V:$V,BD_Eventos_Novo!$AB:$AB,DRE!Q$4)+SUMIFS(BD_Eventos_Novo!$W:$W,BD_Eventos_Novo!$AB:$AB,DRE!Q$4)+SUMIFS(BD_Eventos_Novo!$X:$X,BD_Eventos_Novo!$AB:$AB,DRE!Q$4)+SUMIFS(Aut_Ajustes_Manuais!$G:$G,Aut_Ajustes_Manuais!$I:$I,DRE!Q$4,Aut_Ajustes_Manuais!$F:$F,"Eventos Locações")</f>
        <v/>
      </c>
      <c r="T16" s="241" t="n"/>
      <c r="U16" s="27">
        <f>SUMIFS(T_ORCAMENTOS!$E:$E,T_ORCAMENTOS!$C:$C,"Eventos Locações",T_ORCAMENTOS!$H:$H,"5/2026")</f>
        <v/>
      </c>
      <c r="V16" s="28">
        <f>SUMIFS(BD_Eventos_Novo!$L:$L,BD_Eventos_Novo!$AB:$AB,DRE!T$4)+SUMIFS(BD_Eventos_Novo!$P:$P,BD_Eventos_Novo!$AB:$AB,DRE!T$4)+SUMIFS(BD_Eventos_Novo!$Q:$Q,BD_Eventos_Novo!$AB:$AB,DRE!T$4)+SUMIFS(BD_Eventos_Novo!$R:$R,BD_Eventos_Novo!$AB:$AB,DRE!T$4)+SUMIFS(BD_Eventos_Novo!$S:$S,BD_Eventos_Novo!$AB:$AB,DRE!T$4)+SUMIFS(BD_Eventos_Novo!$T:$T,BD_Eventos_Novo!$AB:$AB,DRE!T$4)+SUMIFS(BD_Eventos_Novo!$U:$U,BD_Eventos_Novo!$AB:$AB,DRE!T$4)+SUMIFS(BD_Eventos_Novo!$V:$V,BD_Eventos_Novo!$AB:$AB,DRE!T$4)+SUMIFS(BD_Eventos_Novo!$W:$W,BD_Eventos_Novo!$AB:$AB,DRE!T$4)+SUMIFS(BD_Eventos_Novo!$X:$X,BD_Eventos_Novo!$AB:$AB,DRE!T$4)+SUMIFS(Aut_Ajustes_Manuais!$G:$G,Aut_Ajustes_Manuais!$I:$I,DRE!T$4,Aut_Ajustes_Manuais!$F:$F,"Eventos Locações")</f>
        <v/>
      </c>
      <c r="W16" s="241" t="n"/>
      <c r="X16" s="27">
        <f>SUMIFS(T_ORCAMENTOS!$E:$E,T_ORCAMENTOS!$C:$C,"Eventos Locações",T_ORCAMENTOS!$H:$H,"6/2026")</f>
        <v/>
      </c>
      <c r="Y16" s="28">
        <f>SUMIFS(BD_Eventos_Novo!$L:$L,BD_Eventos_Novo!$AB:$AB,DRE!W$4)+SUMIFS(BD_Eventos_Novo!$P:$P,BD_Eventos_Novo!$AB:$AB,DRE!W$4)+SUMIFS(BD_Eventos_Novo!$Q:$Q,BD_Eventos_Novo!$AB:$AB,DRE!W$4)+SUMIFS(BD_Eventos_Novo!$R:$R,BD_Eventos_Novo!$AB:$AB,DRE!W$4)+SUMIFS(BD_Eventos_Novo!$S:$S,BD_Eventos_Novo!$AB:$AB,DRE!W$4)+SUMIFS(BD_Eventos_Novo!$T:$T,BD_Eventos_Novo!$AB:$AB,DRE!W$4)+SUMIFS(BD_Eventos_Novo!$U:$U,BD_Eventos_Novo!$AB:$AB,DRE!W$4)+SUMIFS(BD_Eventos_Novo!$V:$V,BD_Eventos_Novo!$AB:$AB,DRE!W$4)+SUMIFS(BD_Eventos_Novo!$W:$W,BD_Eventos_Novo!$AB:$AB,DRE!W$4)+SUMIFS(BD_Eventos_Novo!$X:$X,BD_Eventos_Novo!$AB:$AB,DRE!W$4)+SUMIFS(Aut_Ajustes_Manuais!$G:$G,Aut_Ajustes_Manuais!$I:$I,DRE!W$4,Aut_Ajustes_Manuais!$F:$F,"Eventos Locações")</f>
        <v/>
      </c>
      <c r="Z16" s="241" t="n"/>
      <c r="AA16" s="27">
        <f>SUMIFS(T_ORCAMENTOS!$E:$E,T_ORCAMENTOS!$C:$C,"Eventos Locações",T_ORCAMENTOS!$H:$H,"7/2026")</f>
        <v/>
      </c>
      <c r="AB16" s="28">
        <f>SUMIFS(BD_Eventos_Novo!$L:$L,BD_Eventos_Novo!$AB:$AB,DRE!Z$4)+SUMIFS(BD_Eventos_Novo!$P:$P,BD_Eventos_Novo!$AB:$AB,DRE!Z$4)+SUMIFS(BD_Eventos_Novo!$Q:$Q,BD_Eventos_Novo!$AB:$AB,DRE!Z$4)+SUMIFS(BD_Eventos_Novo!$R:$R,BD_Eventos_Novo!$AB:$AB,DRE!Z$4)+SUMIFS(BD_Eventos_Novo!$S:$S,BD_Eventos_Novo!$AB:$AB,DRE!Z$4)+SUMIFS(BD_Eventos_Novo!$T:$T,BD_Eventos_Novo!$AB:$AB,DRE!Z$4)+SUMIFS(BD_Eventos_Novo!$U:$U,BD_Eventos_Novo!$AB:$AB,DRE!Z$4)+SUMIFS(BD_Eventos_Novo!$V:$V,BD_Eventos_Novo!$AB:$AB,DRE!Z$4)+SUMIFS(BD_Eventos_Novo!$W:$W,BD_Eventos_Novo!$AB:$AB,DRE!Z$4)+SUMIFS(BD_Eventos_Novo!$X:$X,BD_Eventos_Novo!$AB:$AB,DRE!Z$4)+SUMIFS(Aut_Ajustes_Manuais!$G:$G,Aut_Ajustes_Manuais!$I:$I,DRE!Z$4,Aut_Ajustes_Manuais!$F:$F,"Eventos Locações")</f>
        <v/>
      </c>
      <c r="AC16" s="241" t="n"/>
      <c r="AD16" s="27">
        <f>SUMIFS(T_ORCAMENTOS!$E:$E,T_ORCAMENTOS!$C:$C,"Eventos Locações",T_ORCAMENTOS!$H:$H,"8/2026")</f>
        <v/>
      </c>
      <c r="AE16" s="28">
        <f>SUMIFS(BD_Eventos_Novo!$L:$L,BD_Eventos_Novo!$AB:$AB,DRE!AC$4)+SUMIFS(BD_Eventos_Novo!$P:$P,BD_Eventos_Novo!$AB:$AB,DRE!AC$4)+SUMIFS(BD_Eventos_Novo!$Q:$Q,BD_Eventos_Novo!$AB:$AB,DRE!AC$4)+SUMIFS(BD_Eventos_Novo!$R:$R,BD_Eventos_Novo!$AB:$AB,DRE!AC$4)+SUMIFS(BD_Eventos_Novo!$S:$S,BD_Eventos_Novo!$AB:$AB,DRE!AC$4)+SUMIFS(BD_Eventos_Novo!$T:$T,BD_Eventos_Novo!$AB:$AB,DRE!AC$4)+SUMIFS(BD_Eventos_Novo!$U:$U,BD_Eventos_Novo!$AB:$AB,DRE!AC$4)+SUMIFS(BD_Eventos_Novo!$V:$V,BD_Eventos_Novo!$AB:$AB,DRE!AC$4)+SUMIFS(BD_Eventos_Novo!$W:$W,BD_Eventos_Novo!$AB:$AB,DRE!AC$4)+SUMIFS(BD_Eventos_Novo!$X:$X,BD_Eventos_Novo!$AB:$AB,DRE!AC$4)+SUMIFS(Aut_Ajustes_Manuais!$G:$G,Aut_Ajustes_Manuais!$I:$I,DRE!AC$4,Aut_Ajustes_Manuais!$F:$F,"Eventos Locações")</f>
        <v/>
      </c>
      <c r="AF16" s="241" t="n"/>
      <c r="AG16" s="27">
        <f>SUMIFS(T_ORCAMENTOS!$E:$E,T_ORCAMENTOS!$C:$C,"Eventos Locações",T_ORCAMENTOS!$H:$H,"9/2026")</f>
        <v/>
      </c>
      <c r="AH16" s="28">
        <f>SUMIFS(BD_Eventos_Novo!$L:$L,BD_Eventos_Novo!$AB:$AB,DRE!AF$4)+SUMIFS(BD_Eventos_Novo!$P:$P,BD_Eventos_Novo!$AB:$AB,DRE!AF$4)+SUMIFS(BD_Eventos_Novo!$Q:$Q,BD_Eventos_Novo!$AB:$AB,DRE!AF$4)+SUMIFS(BD_Eventos_Novo!$R:$R,BD_Eventos_Novo!$AB:$AB,DRE!AF$4)+SUMIFS(BD_Eventos_Novo!$S:$S,BD_Eventos_Novo!$AB:$AB,DRE!AF$4)+SUMIFS(BD_Eventos_Novo!$T:$T,BD_Eventos_Novo!$AB:$AB,DRE!AF$4)+SUMIFS(BD_Eventos_Novo!$U:$U,BD_Eventos_Novo!$AB:$AB,DRE!AF$4)+SUMIFS(BD_Eventos_Novo!$V:$V,BD_Eventos_Novo!$AB:$AB,DRE!AF$4)+SUMIFS(BD_Eventos_Novo!$W:$W,BD_Eventos_Novo!$AB:$AB,DRE!AF$4)+SUMIFS(BD_Eventos_Novo!$X:$X,BD_Eventos_Novo!$AB:$AB,DRE!AF$4)+SUMIFS(Aut_Ajustes_Manuais!$G:$G,Aut_Ajustes_Manuais!$I:$I,DRE!AF$4,Aut_Ajustes_Manuais!$F:$F,"Eventos Locações")</f>
        <v/>
      </c>
      <c r="AI16" s="241" t="n"/>
      <c r="AJ16" s="27">
        <f>SUMIFS(T_ORCAMENTOS!$E:$E,T_ORCAMENTOS!$C:$C,"Eventos Locações",T_ORCAMENTOS!$H:$H,"10/2026")</f>
        <v/>
      </c>
      <c r="AK16" s="28">
        <f>SUMIFS(BD_Eventos_Novo!$L:$L,BD_Eventos_Novo!$AB:$AB,DRE!AI$4)+SUMIFS(BD_Eventos_Novo!$P:$P,BD_Eventos_Novo!$AB:$AB,DRE!AI$4)+SUMIFS(BD_Eventos_Novo!$Q:$Q,BD_Eventos_Novo!$AB:$AB,DRE!AI$4)+SUMIFS(BD_Eventos_Novo!$R:$R,BD_Eventos_Novo!$AB:$AB,DRE!AI$4)+SUMIFS(BD_Eventos_Novo!$S:$S,BD_Eventos_Novo!$AB:$AB,DRE!AI$4)+SUMIFS(BD_Eventos_Novo!$T:$T,BD_Eventos_Novo!$AB:$AB,DRE!AI$4)+SUMIFS(BD_Eventos_Novo!$U:$U,BD_Eventos_Novo!$AB:$AB,DRE!AI$4)+SUMIFS(BD_Eventos_Novo!$V:$V,BD_Eventos_Novo!$AB:$AB,DRE!AI$4)+SUMIFS(BD_Eventos_Novo!$W:$W,BD_Eventos_Novo!$AB:$AB,DRE!AI$4)+SUMIFS(BD_Eventos_Novo!$X:$X,BD_Eventos_Novo!$AB:$AB,DRE!AI$4)+SUMIFS(Aut_Ajustes_Manuais!$G:$G,Aut_Ajustes_Manuais!$I:$I,DRE!AI$4,Aut_Ajustes_Manuais!$F:$F,"Eventos Locações")</f>
        <v/>
      </c>
      <c r="AL16" s="241" t="n"/>
      <c r="AM16" s="27">
        <f>SUMIFS(T_ORCAMENTOS!$E:$E,T_ORCAMENTOS!$C:$C,"Eventos Locações",T_ORCAMENTOS!$H:$H,"11/2026")</f>
        <v/>
      </c>
      <c r="AN16" s="28">
        <f>SUMIFS(BD_Eventos_Novo!$L:$L,BD_Eventos_Novo!$AB:$AB,DRE!AL$4)+SUMIFS(BD_Eventos_Novo!$P:$P,BD_Eventos_Novo!$AB:$AB,DRE!AL$4)+SUMIFS(BD_Eventos_Novo!$Q:$Q,BD_Eventos_Novo!$AB:$AB,DRE!AL$4)+SUMIFS(BD_Eventos_Novo!$R:$R,BD_Eventos_Novo!$AB:$AB,DRE!AL$4)+SUMIFS(BD_Eventos_Novo!$S:$S,BD_Eventos_Novo!$AB:$AB,DRE!AL$4)+SUMIFS(BD_Eventos_Novo!$T:$T,BD_Eventos_Novo!$AB:$AB,DRE!AL$4)+SUMIFS(BD_Eventos_Novo!$U:$U,BD_Eventos_Novo!$AB:$AB,DRE!AL$4)+SUMIFS(BD_Eventos_Novo!$V:$V,BD_Eventos_Novo!$AB:$AB,DRE!AL$4)+SUMIFS(BD_Eventos_Novo!$W:$W,BD_Eventos_Novo!$AB:$AB,DRE!AL$4)+SUMIFS(BD_Eventos_Novo!$X:$X,BD_Eventos_Novo!$AB:$AB,DRE!AL$4)+SUMIFS(Aut_Ajustes_Manuais!$G:$G,Aut_Ajustes_Manuais!$I:$I,DRE!AL$4,Aut_Ajustes_Manuais!$F:$F,"Eventos Locações")</f>
        <v/>
      </c>
      <c r="AO16" s="241" t="n"/>
      <c r="AP16" s="27">
        <f>SUMIFS(T_ORCAMENTOS!$E:$E,T_ORCAMENTOS!$C:$C,"Eventos Locações",T_ORCAMENTOS!$H:$H,"12/2026")</f>
        <v/>
      </c>
      <c r="AQ16" s="28">
        <f>SUMIFS(BD_Eventos_Novo!$L:$L,BD_Eventos_Novo!$AB:$AB,DRE!AO$4)+SUMIFS(BD_Eventos_Novo!$P:$P,BD_Eventos_Novo!$AB:$AB,DRE!AO$4)+SUMIFS(BD_Eventos_Novo!$Q:$Q,BD_Eventos_Novo!$AB:$AB,DRE!AO$4)+SUMIFS(BD_Eventos_Novo!$R:$R,BD_Eventos_Novo!$AB:$AB,DRE!AO$4)+SUMIFS(BD_Eventos_Novo!$S:$S,BD_Eventos_Novo!$AB:$AB,DRE!AO$4)+SUMIFS(BD_Eventos_Novo!$T:$T,BD_Eventos_Novo!$AB:$AB,DRE!AO$4)+SUMIFS(BD_Eventos_Novo!$U:$U,BD_Eventos_Novo!$AB:$AB,DRE!AO$4)+SUMIFS(BD_Eventos_Novo!$V:$V,BD_Eventos_Novo!$AB:$AB,DRE!AO$4)+SUMIFS(BD_Eventos_Novo!$W:$W,BD_Eventos_Novo!$AB:$AB,DRE!AO$4)+SUMIFS(BD_Eventos_Novo!$X:$X,BD_Eventos_Novo!$AB:$AB,DRE!AO$4)+SUMIFS(Aut_Ajustes_Manuais!$G:$G,Aut_Ajustes_Manuais!$I:$I,DRE!AO$4,Aut_Ajustes_Manuais!$F:$F,"Eventos Locações")</f>
        <v/>
      </c>
      <c r="AR16" s="241">
        <f>SUMIFS($H16:$AO16,$H$5:$AO$5,"&lt;"&amp;MONTH(TODAY()),$H$6:$AO$6,"REAL 25")</f>
        <v/>
      </c>
      <c r="AS16" s="27">
        <f>SUMIFS($I16:$AP16,$I$5:$AP$5,"&lt;"&amp;MONTH(TODAY()),$I$6:$AP$6,"ORÇADO ")</f>
        <v/>
      </c>
      <c r="AT16" s="28">
        <f>SUMIFS($J16:$AQ16,$J$5:$AQ$5,"&lt;"&amp;MONTH(TODAY()),$J$6:$AQ$6,"REAL 26")</f>
        <v/>
      </c>
      <c r="AU16" s="241">
        <f>SUM(H16,K16,N16,Q16,T16,W16,Z16,AC16,AF16,AI16,AL16,AO16)</f>
        <v/>
      </c>
      <c r="AV16" s="27">
        <f>SUM(I16,L16,O16,R16,U16,X16,AA16,AD16,AG16,AJ16,AM16,AP16)</f>
        <v/>
      </c>
      <c r="AW16" s="28">
        <f>SUM(J16,M16,P16,S16,V16,Y16,AB16,AE16,AH16,AK16,AN16,AQ16)</f>
        <v/>
      </c>
      <c r="AX16" s="241">
        <f>SUM(H16,K16,N16)</f>
        <v/>
      </c>
      <c r="AY16" s="27">
        <f>SUM(I16,L16,O16)</f>
        <v/>
      </c>
      <c r="AZ16" s="28">
        <f>SUM(J16,M16,P16)</f>
        <v/>
      </c>
      <c r="BA16" s="241">
        <f>SUM(Q16,T16,W16)</f>
        <v/>
      </c>
      <c r="BB16" s="27">
        <f>SUM(R16,U16,X16)</f>
        <v/>
      </c>
      <c r="BC16" s="28">
        <f>SUM(S16,V16,Y16)</f>
        <v/>
      </c>
      <c r="BD16" s="241">
        <f>SUM(Z16,AC16,AF16)</f>
        <v/>
      </c>
      <c r="BE16" s="27">
        <f>SUM(AA16,AD16,AG16)</f>
        <v/>
      </c>
      <c r="BF16" s="28">
        <f>SUM(AB16,AE16,AH16)</f>
        <v/>
      </c>
      <c r="BG16" s="241">
        <f>SUM(AI16,AL16,AO16)</f>
        <v/>
      </c>
      <c r="BH16" s="27">
        <f>SUM(AJ16,AM16,AP16)</f>
        <v/>
      </c>
      <c r="BI16" s="28">
        <f>SUM(AK16,AN16,AQ16)</f>
        <v/>
      </c>
    </row>
    <row r="17" outlineLevel="1" customFormat="1" s="498">
      <c r="A17" s="22" t="inlineStr">
        <is>
          <t>Eventos Rebate Fornecedores - Premium Corp</t>
        </is>
      </c>
      <c r="B17" s="23" t="n"/>
      <c r="C17" s="24" t="inlineStr">
        <is>
          <t xml:space="preserve">Estim. Mensal </t>
        </is>
      </c>
      <c r="D17" s="31" t="inlineStr">
        <is>
          <t>Comissão sobre venda dos fornecedores homologados</t>
        </is>
      </c>
      <c r="E17" s="32" t="n"/>
      <c r="F17" s="431" t="n"/>
      <c r="G17" s="431" t="n"/>
      <c r="H17" s="241" t="n"/>
      <c r="I17" s="27">
        <f>SUMIFS(T_ORCAMENTOS!$E:$E,T_ORCAMENTOS!$C:$C,"Eventos Rebate Fornecedores",T_ORCAMENTOS!$H:$H,"1/2026")</f>
        <v/>
      </c>
      <c r="J17" s="28">
        <f>SUMIFS(Aut_Ajustes_Manuais!$G:$G,Aut_Ajustes_Manuais!$I:$I,DRE!H$4,Aut_Ajustes_Manuais!$F:$F,"Eventos Rebate Fornecedores - Premium Corp")</f>
        <v/>
      </c>
      <c r="K17" s="241" t="n"/>
      <c r="L17" s="27">
        <f>SUMIFS(T_ORCAMENTOS!$E:$E,T_ORCAMENTOS!$C:$C,"Eventos Rebate Fornecedores",T_ORCAMENTOS!$H:$H,"2/2026")</f>
        <v/>
      </c>
      <c r="M17" s="28">
        <f>SUMIFS(Aut_Ajustes_Manuais!$G:$G,Aut_Ajustes_Manuais!$I:$I,DRE!K$4,Aut_Ajustes_Manuais!$F:$F,"Eventos Rebate Fornecedores - Premium Corp")</f>
        <v/>
      </c>
      <c r="N17" s="241" t="n"/>
      <c r="O17" s="27">
        <f>SUMIFS(T_ORCAMENTOS!$E:$E,T_ORCAMENTOS!$C:$C,"Eventos Rebate Fornecedores",T_ORCAMENTOS!$H:$H,"3/2026")</f>
        <v/>
      </c>
      <c r="P17" s="28">
        <f>SUMIFS(Aut_Ajustes_Manuais!$G:$G,Aut_Ajustes_Manuais!$I:$I,DRE!N$4,Aut_Ajustes_Manuais!$F:$F,"Eventos Rebate Fornecedores - Premium Corp")</f>
        <v/>
      </c>
      <c r="Q17" s="241" t="n"/>
      <c r="R17" s="27">
        <f>SUMIFS(T_ORCAMENTOS!$E:$E,T_ORCAMENTOS!$C:$C,"Eventos Rebate Fornecedores",T_ORCAMENTOS!$H:$H,"4/2026")</f>
        <v/>
      </c>
      <c r="S17" s="28">
        <f>SUMIFS(Aut_Ajustes_Manuais!$G:$G,Aut_Ajustes_Manuais!$I:$I,DRE!Q$4,Aut_Ajustes_Manuais!$F:$F,"Eventos Rebate Fornecedores - Premium Corp")</f>
        <v/>
      </c>
      <c r="T17" s="241" t="n"/>
      <c r="U17" s="27">
        <f>SUMIFS(T_ORCAMENTOS!$E:$E,T_ORCAMENTOS!$C:$C,"Eventos Rebate Fornecedores",T_ORCAMENTOS!$H:$H,"5/2026")</f>
        <v/>
      </c>
      <c r="V17" s="28">
        <f>SUMIFS(Aut_Ajustes_Manuais!$G:$G,Aut_Ajustes_Manuais!$I:$I,DRE!T$4,Aut_Ajustes_Manuais!$F:$F,"Eventos Rebate Fornecedores - Premium Corp")</f>
        <v/>
      </c>
      <c r="W17" s="241" t="n"/>
      <c r="X17" s="27">
        <f>SUMIFS(T_ORCAMENTOS!$E:$E,T_ORCAMENTOS!$C:$C,"Eventos Rebate Fornecedores",T_ORCAMENTOS!$H:$H,"6/2026")</f>
        <v/>
      </c>
      <c r="Y17" s="28">
        <f>SUMIFS(Aut_Ajustes_Manuais!$G:$G,Aut_Ajustes_Manuais!$I:$I,DRE!W$4,Aut_Ajustes_Manuais!$F:$F,"Eventos Rebate Fornecedores - Premium Corp")</f>
        <v/>
      </c>
      <c r="Z17" s="241" t="n"/>
      <c r="AA17" s="27">
        <f>SUMIFS(T_ORCAMENTOS!$E:$E,T_ORCAMENTOS!$C:$C,"Eventos Rebate Fornecedores",T_ORCAMENTOS!$H:$H,"7/2026")</f>
        <v/>
      </c>
      <c r="AB17" s="28">
        <f>SUMIFS(Aut_Ajustes_Manuais!$G:$G,Aut_Ajustes_Manuais!$I:$I,DRE!Z$4,Aut_Ajustes_Manuais!$F:$F,"Eventos Rebate Fornecedores - Premium Corp")</f>
        <v/>
      </c>
      <c r="AC17" s="241" t="n"/>
      <c r="AD17" s="27">
        <f>SUMIFS(T_ORCAMENTOS!$E:$E,T_ORCAMENTOS!$C:$C,"Eventos Rebate Fornecedores",T_ORCAMENTOS!$H:$H,"8/2026")</f>
        <v/>
      </c>
      <c r="AE17" s="28">
        <f>SUMIFS(Aut_Ajustes_Manuais!$G:$G,Aut_Ajustes_Manuais!$I:$I,DRE!AC$4,Aut_Ajustes_Manuais!$F:$F,"Eventos Rebate Fornecedores - Premium Corp")</f>
        <v/>
      </c>
      <c r="AF17" s="241" t="n"/>
      <c r="AG17" s="27">
        <f>SUMIFS(T_ORCAMENTOS!$E:$E,T_ORCAMENTOS!$C:$C,"Eventos Rebate Fornecedores",T_ORCAMENTOS!$H:$H,"9/2026")</f>
        <v/>
      </c>
      <c r="AH17" s="28">
        <f>SUMIFS(Aut_Ajustes_Manuais!$G:$G,Aut_Ajustes_Manuais!$I:$I,DRE!AF$4,Aut_Ajustes_Manuais!$F:$F,"Eventos Rebate Fornecedores - Premium Corp")</f>
        <v/>
      </c>
      <c r="AI17" s="241" t="n"/>
      <c r="AJ17" s="27">
        <f>SUMIFS(T_ORCAMENTOS!$E:$E,T_ORCAMENTOS!$C:$C,"Eventos Rebate Fornecedores",T_ORCAMENTOS!$H:$H,"10/2026")</f>
        <v/>
      </c>
      <c r="AK17" s="28">
        <f>SUMIFS(Aut_Ajustes_Manuais!$G:$G,Aut_Ajustes_Manuais!$I:$I,DRE!AI$4,Aut_Ajustes_Manuais!$F:$F,"Eventos Rebate Fornecedores - Premium Corp")</f>
        <v/>
      </c>
      <c r="AL17" s="241" t="n"/>
      <c r="AM17" s="27">
        <f>SUMIFS(T_ORCAMENTOS!$E:$E,T_ORCAMENTOS!$C:$C,"Eventos Rebate Fornecedores",T_ORCAMENTOS!$H:$H,"11/2026")</f>
        <v/>
      </c>
      <c r="AN17" s="28">
        <f>SUMIFS(Aut_Ajustes_Manuais!$G:$G,Aut_Ajustes_Manuais!$I:$I,DRE!AL$4,Aut_Ajustes_Manuais!$F:$F,"Eventos Rebate Fornecedores - Premium Corp")</f>
        <v/>
      </c>
      <c r="AO17" s="241" t="n"/>
      <c r="AP17" s="27">
        <f>SUMIFS(T_ORCAMENTOS!$E:$E,T_ORCAMENTOS!$C:$C,"Eventos Rebate Fornecedores",T_ORCAMENTOS!$H:$H,"12/2026")</f>
        <v/>
      </c>
      <c r="AQ17" s="28">
        <f>SUMIFS(Aut_Ajustes_Manuais!$G:$G,Aut_Ajustes_Manuais!$I:$I,DRE!AO$4,Aut_Ajustes_Manuais!$F:$F,"Eventos Rebate Fornecedores - Premium Corp")</f>
        <v/>
      </c>
      <c r="AR17" s="241">
        <f>SUMIFS($H17:$AO17,$H$5:$AO$5,"&lt;"&amp;MONTH(TODAY()),$H$6:$AO$6,"REAL 25")</f>
        <v/>
      </c>
      <c r="AS17" s="27">
        <f>SUMIFS($I17:$AP17,$I$5:$AP$5,"&lt;"&amp;MONTH(TODAY()),$I$6:$AP$6,"ORÇADO ")</f>
        <v/>
      </c>
      <c r="AT17" s="28">
        <f>SUMIFS($J17:$AQ17,$J$5:$AQ$5,"&lt;"&amp;MONTH(TODAY()),$J$6:$AQ$6,"REAL 26")</f>
        <v/>
      </c>
      <c r="AU17" s="241">
        <f>SUM(H17,K17,N17,Q17,T17,W17,Z17,AC17,AF17,AI17,AL17,AO17)</f>
        <v/>
      </c>
      <c r="AV17" s="27">
        <f>SUM(I17,L17,O17,R17,U17,X17,AA17,AD17,AG17,AJ17,AM17,AP17)</f>
        <v/>
      </c>
      <c r="AW17" s="28">
        <f>SUM(J17,M17,P17,S17,V17,Y17,AB17,AE17,AH17,AK17,AN17,AQ17)</f>
        <v/>
      </c>
      <c r="AX17" s="241">
        <f>SUM(H17,K17,N17)</f>
        <v/>
      </c>
      <c r="AY17" s="27">
        <f>SUM(I17,L17,O17)</f>
        <v/>
      </c>
      <c r="AZ17" s="28">
        <f>SUM(J17,M17,P17)</f>
        <v/>
      </c>
      <c r="BA17" s="241">
        <f>SUM(Q17,T17,W17)</f>
        <v/>
      </c>
      <c r="BB17" s="27">
        <f>SUM(R17,U17,X17)</f>
        <v/>
      </c>
      <c r="BC17" s="28">
        <f>SUM(S17,V17,Y17)</f>
        <v/>
      </c>
      <c r="BD17" s="241">
        <f>SUM(Z17,AC17,AF17)</f>
        <v/>
      </c>
      <c r="BE17" s="27">
        <f>SUM(AA17,AD17,AG17)</f>
        <v/>
      </c>
      <c r="BF17" s="28">
        <f>SUM(AB17,AE17,AH17)</f>
        <v/>
      </c>
      <c r="BG17" s="241">
        <f>SUM(AI17,AL17,AO17)</f>
        <v/>
      </c>
      <c r="BH17" s="27">
        <f>SUM(AJ17,AM17,AP17)</f>
        <v/>
      </c>
      <c r="BI17" s="28">
        <f>SUM(AK17,AN17,AQ17)</f>
        <v/>
      </c>
    </row>
    <row r="18" outlineLevel="1" customFormat="1" s="498">
      <c r="A18" s="22" t="inlineStr">
        <is>
          <t>Membership</t>
        </is>
      </c>
      <c r="B18" s="23" t="n"/>
      <c r="C18" s="24" t="inlineStr">
        <is>
          <t xml:space="preserve">Estim. Mensal </t>
        </is>
      </c>
      <c r="D18" s="24" t="inlineStr">
        <is>
          <t>Preencher base de Delivery</t>
        </is>
      </c>
      <c r="E18" s="25" t="n"/>
      <c r="F18" s="431" t="n"/>
      <c r="G18" s="431" t="n"/>
      <c r="H18" s="241" t="n"/>
      <c r="I18" s="27">
        <f>SUMIFS(T_ORCAMENTOS!$E:$E,T_ORCAMENTOS!$C:$C,"Membership",T_ORCAMENTOS!$H:$H,"1/2026")</f>
        <v/>
      </c>
      <c r="J18" s="28">
        <f>SUMIFS(Aut_Ajustes_Manuais!$G:$G,Aut_Ajustes_Manuais!$I:$I,DRE!H$4,Aut_Ajustes_Manuais!$F:$F,"Membership")</f>
        <v/>
      </c>
      <c r="K18" s="241" t="n"/>
      <c r="L18" s="27">
        <f>SUMIFS(T_ORCAMENTOS!$E:$E,T_ORCAMENTOS!$C:$C,"Membership",T_ORCAMENTOS!$H:$H,"2/2026")</f>
        <v/>
      </c>
      <c r="M18" s="28">
        <f>SUMIFS(Aut_Ajustes_Manuais!$G:$G,Aut_Ajustes_Manuais!$I:$I,DRE!K$4,Aut_Ajustes_Manuais!$F:$F,"Membership")</f>
        <v/>
      </c>
      <c r="N18" s="241" t="n"/>
      <c r="O18" s="27">
        <f>SUMIFS(T_ORCAMENTOS!$E:$E,T_ORCAMENTOS!$C:$C,"Membership",T_ORCAMENTOS!$H:$H,"3/2026")</f>
        <v/>
      </c>
      <c r="P18" s="28">
        <f>SUMIFS(Aut_Ajustes_Manuais!$G:$G,Aut_Ajustes_Manuais!$I:$I,DRE!N$4,Aut_Ajustes_Manuais!$F:$F,"Membership")</f>
        <v/>
      </c>
      <c r="Q18" s="241" t="n"/>
      <c r="R18" s="27">
        <f>SUMIFS(T_ORCAMENTOS!$E:$E,T_ORCAMENTOS!$C:$C,"Membership",T_ORCAMENTOS!$H:$H,"4/2026")</f>
        <v/>
      </c>
      <c r="S18" s="28">
        <f>SUMIFS(Aut_Ajustes_Manuais!$G:$G,Aut_Ajustes_Manuais!$I:$I,DRE!Q$4,Aut_Ajustes_Manuais!$F:$F,"Membership")</f>
        <v/>
      </c>
      <c r="T18" s="241" t="n"/>
      <c r="U18" s="27">
        <f>SUMIFS(T_ORCAMENTOS!$E:$E,T_ORCAMENTOS!$C:$C,"Membership",T_ORCAMENTOS!$H:$H,"5/2026")</f>
        <v/>
      </c>
      <c r="V18" s="28">
        <f>SUMIFS(Aut_Ajustes_Manuais!$G:$G,Aut_Ajustes_Manuais!$I:$I,DRE!T$4,Aut_Ajustes_Manuais!$F:$F,"Membership")</f>
        <v/>
      </c>
      <c r="W18" s="241" t="n"/>
      <c r="X18" s="27">
        <f>SUMIFS(T_ORCAMENTOS!$E:$E,T_ORCAMENTOS!$C:$C,"Membership",T_ORCAMENTOS!$H:$H,"6/2026")</f>
        <v/>
      </c>
      <c r="Y18" s="28">
        <f>SUMIFS(Aut_Ajustes_Manuais!$G:$G,Aut_Ajustes_Manuais!$I:$I,DRE!W$4,Aut_Ajustes_Manuais!$F:$F,"Membership")</f>
        <v/>
      </c>
      <c r="Z18" s="241" t="n"/>
      <c r="AA18" s="27">
        <f>SUMIFS(T_ORCAMENTOS!$E:$E,T_ORCAMENTOS!$C:$C,"Membership",T_ORCAMENTOS!$H:$H,"7/2026")</f>
        <v/>
      </c>
      <c r="AB18" s="28">
        <f>SUMIFS(Aut_Ajustes_Manuais!$G:$G,Aut_Ajustes_Manuais!$I:$I,DRE!Z$4,Aut_Ajustes_Manuais!$F:$F,"Membership")</f>
        <v/>
      </c>
      <c r="AC18" s="241" t="n"/>
      <c r="AD18" s="27">
        <f>SUMIFS(T_ORCAMENTOS!$E:$E,T_ORCAMENTOS!$C:$C,"Membership",T_ORCAMENTOS!$H:$H,"8/2026")</f>
        <v/>
      </c>
      <c r="AE18" s="28">
        <f>SUMIFS(Aut_Ajustes_Manuais!$G:$G,Aut_Ajustes_Manuais!$I:$I,DRE!AC$4,Aut_Ajustes_Manuais!$F:$F,"Membership")</f>
        <v/>
      </c>
      <c r="AF18" s="241" t="n"/>
      <c r="AG18" s="27">
        <f>SUMIFS(T_ORCAMENTOS!$E:$E,T_ORCAMENTOS!$C:$C,"Membership",T_ORCAMENTOS!$H:$H,"9/2026")</f>
        <v/>
      </c>
      <c r="AH18" s="28">
        <f>SUMIFS(Aut_Ajustes_Manuais!$G:$G,Aut_Ajustes_Manuais!$I:$I,DRE!AF$4,Aut_Ajustes_Manuais!$F:$F,"Membership")</f>
        <v/>
      </c>
      <c r="AI18" s="241" t="n"/>
      <c r="AJ18" s="27">
        <f>SUMIFS(T_ORCAMENTOS!$E:$E,T_ORCAMENTOS!$C:$C,"Membership",T_ORCAMENTOS!$H:$H,"10/2026")</f>
        <v/>
      </c>
      <c r="AK18" s="28">
        <f>SUMIFS(Aut_Ajustes_Manuais!$G:$G,Aut_Ajustes_Manuais!$I:$I,DRE!AI$4,Aut_Ajustes_Manuais!$F:$F,"Membership")</f>
        <v/>
      </c>
      <c r="AL18" s="241" t="n"/>
      <c r="AM18" s="27">
        <f>SUMIFS(T_ORCAMENTOS!$E:$E,T_ORCAMENTOS!$C:$C,"Membership",T_ORCAMENTOS!$H:$H,"11/2026")</f>
        <v/>
      </c>
      <c r="AN18" s="28">
        <f>SUMIFS(Aut_Ajustes_Manuais!$G:$G,Aut_Ajustes_Manuais!$I:$I,DRE!AL$4,Aut_Ajustes_Manuais!$F:$F,"Membership")</f>
        <v/>
      </c>
      <c r="AO18" s="241" t="n"/>
      <c r="AP18" s="27">
        <f>SUMIFS(T_ORCAMENTOS!$E:$E,T_ORCAMENTOS!$C:$C,"Membership",T_ORCAMENTOS!$H:$H,"12/2026")</f>
        <v/>
      </c>
      <c r="AQ18" s="28">
        <f>SUMIFS(Aut_Ajustes_Manuais!$G:$G,Aut_Ajustes_Manuais!$I:$I,DRE!AO$4,Aut_Ajustes_Manuais!$F:$F,"Membership")</f>
        <v/>
      </c>
      <c r="AR18" s="241">
        <f>SUMIFS($H18:$AO18,$H$5:$AO$5,"&lt;"&amp;MONTH(TODAY()),$H$6:$AO$6,"REAL 25")</f>
        <v/>
      </c>
      <c r="AS18" s="27">
        <f>SUMIFS($I18:$AP18,$I$5:$AP$5,"&lt;"&amp;MONTH(TODAY()),$I$6:$AP$6,"ORÇADO ")</f>
        <v/>
      </c>
      <c r="AT18" s="28">
        <f>SUMIFS($J18:$AQ18,$J$5:$AQ$5,"&lt;"&amp;MONTH(TODAY()),$J$6:$AQ$6,"REAL 26")</f>
        <v/>
      </c>
      <c r="AU18" s="241">
        <f>SUM(H18,K18,N18,Q18,T18,W18,Z18,AC18,AF18,AI18,AL18,AO18)</f>
        <v/>
      </c>
      <c r="AV18" s="27">
        <f>SUM(I18,L18,O18,R18,U18,X18,AA18,AD18,AG18,AJ18,AM18,AP18)</f>
        <v/>
      </c>
      <c r="AW18" s="28">
        <f>SUM(J18,M18,P18,S18,V18,Y18,AB18,AE18,AH18,AK18,AN18,AQ18)</f>
        <v/>
      </c>
      <c r="AX18" s="241">
        <f>SUM(H18,K18,N18)</f>
        <v/>
      </c>
      <c r="AY18" s="27">
        <f>SUM(I18,L18,O18)</f>
        <v/>
      </c>
      <c r="AZ18" s="28">
        <f>SUM(J18,M18,P18)</f>
        <v/>
      </c>
      <c r="BA18" s="241">
        <f>SUM(Q18,T18,W18)</f>
        <v/>
      </c>
      <c r="BB18" s="27">
        <f>SUM(R18,U18,X18)</f>
        <v/>
      </c>
      <c r="BC18" s="28">
        <f>SUM(S18,V18,Y18)</f>
        <v/>
      </c>
      <c r="BD18" s="241">
        <f>SUM(Z18,AC18,AF18)</f>
        <v/>
      </c>
      <c r="BE18" s="27">
        <f>SUM(AA18,AD18,AG18)</f>
        <v/>
      </c>
      <c r="BF18" s="28">
        <f>SUM(AB18,AE18,AH18)</f>
        <v/>
      </c>
      <c r="BG18" s="241">
        <f>SUM(AI18,AL18,AO18)</f>
        <v/>
      </c>
      <c r="BH18" s="27">
        <f>SUM(AJ18,AM18,AP18)</f>
        <v/>
      </c>
      <c r="BI18" s="28">
        <f>SUM(AK18,AN18,AQ18)</f>
        <v/>
      </c>
    </row>
    <row r="19" outlineLevel="1" customFormat="1" s="498">
      <c r="A19" s="22" t="inlineStr">
        <is>
          <t xml:space="preserve">Outras Receitas </t>
        </is>
      </c>
      <c r="B19" s="23" t="n"/>
      <c r="C19" s="24" t="inlineStr">
        <is>
          <t xml:space="preserve">Estim. Mensal </t>
        </is>
      </c>
      <c r="D19" s="24" t="inlineStr">
        <is>
          <t>Coleta de Oleo e etc</t>
        </is>
      </c>
      <c r="E19" s="25" t="n"/>
      <c r="F19" s="431" t="n"/>
      <c r="G19" s="431" t="n"/>
      <c r="H19" s="241" t="n"/>
      <c r="I19" s="27">
        <f>SUMIFS(T_ORCAMENTOS!$E:$E,T_ORCAMENTOS!$C:$C,"Outras Receitas",T_ORCAMENTOS!$H:$H,"1/2026")</f>
        <v/>
      </c>
      <c r="J19" s="27">
        <f>SUMIFS(Aut_Receitas_Extraord!$I:$I,Aut_Receitas_Extraord!$S:$S,DRE!H$4,Aut_Receitas_Extraord!$D:$D,"Coleta de Óleo")+SUMIFS(Aut_Ajustes_Manuais!$G:$G,Aut_Ajustes_Manuais!$I:$I,DRE!H$4,Aut_Ajustes_Manuais!$F:$F,"Outras Receitas ")</f>
        <v/>
      </c>
      <c r="K19" s="241" t="n"/>
      <c r="L19" s="27">
        <f>SUMIFS(T_ORCAMENTOS!$E:$E,T_ORCAMENTOS!$C:$C,"Outras Receitas",T_ORCAMENTOS!$H:$H,"2/2026")</f>
        <v/>
      </c>
      <c r="M19" s="27">
        <f>SUMIFS(Aut_Receitas_Extraord!$I:$I,Aut_Receitas_Extraord!$S:$S,DRE!K$4,Aut_Receitas_Extraord!$D:$D,"Coleta de Óleo")+SUMIFS(Aut_Ajustes_Manuais!$G:$G,Aut_Ajustes_Manuais!$I:$I,DRE!K$4,Aut_Ajustes_Manuais!$F:$F,"Outras Receitas ")</f>
        <v/>
      </c>
      <c r="N19" s="241" t="n"/>
      <c r="O19" s="27">
        <f>SUMIFS(T_ORCAMENTOS!$E:$E,T_ORCAMENTOS!$C:$C,"Outras Receitas",T_ORCAMENTOS!$H:$H,"3/2026")</f>
        <v/>
      </c>
      <c r="P19" s="28">
        <f>SUMIFS(Aut_Receitas_Extraord!$I:$I,Aut_Receitas_Extraord!$S:$S,DRE!N$4,Aut_Receitas_Extraord!$D:$D,"Coleta de Óleo")+SUMIFS(Aut_Ajustes_Manuais!$G:$G,Aut_Ajustes_Manuais!$I:$I,DRE!N$4,Aut_Ajustes_Manuais!$F:$F,"Outras Receitas ")</f>
        <v/>
      </c>
      <c r="Q19" s="241" t="n"/>
      <c r="R19" s="27">
        <f>SUMIFS(T_ORCAMENTOS!$E:$E,T_ORCAMENTOS!$C:$C,"Outras Receitas",T_ORCAMENTOS!$H:$H,"4/2026")</f>
        <v/>
      </c>
      <c r="S19" s="28">
        <f>SUMIFS(Aut_Receitas_Extraord!$I:$I,Aut_Receitas_Extraord!$S:$S,DRE!Q$4,Aut_Receitas_Extraord!$D:$D,"Coleta de Óleo")+SUMIFS(Aut_Ajustes_Manuais!$G:$G,Aut_Ajustes_Manuais!$I:$I,DRE!Q$4,Aut_Ajustes_Manuais!$F:$F,"Outras Receitas ")</f>
        <v/>
      </c>
      <c r="T19" s="241" t="n"/>
      <c r="U19" s="27">
        <f>SUMIFS(T_ORCAMENTOS!$E:$E,T_ORCAMENTOS!$C:$C,"Outras Receitas",T_ORCAMENTOS!$H:$H,"5/2026")</f>
        <v/>
      </c>
      <c r="V19" s="28">
        <f>SUMIFS(Aut_Receitas_Extraord!$I:$I,Aut_Receitas_Extraord!$S:$S,DRE!T$4,Aut_Receitas_Extraord!$D:$D,"Coleta de Óleo")+SUMIFS(Aut_Ajustes_Manuais!$G:$G,Aut_Ajustes_Manuais!$I:$I,DRE!T$4,Aut_Ajustes_Manuais!$F:$F,"Outras Receitas ")</f>
        <v/>
      </c>
      <c r="W19" s="241" t="n"/>
      <c r="X19" s="27">
        <f>SUMIFS(T_ORCAMENTOS!$E:$E,T_ORCAMENTOS!$C:$C,"Outras Receitas",T_ORCAMENTOS!$H:$H,"6/2026")</f>
        <v/>
      </c>
      <c r="Y19" s="28">
        <f>SUMIFS(Aut_Receitas_Extraord!$I:$I,Aut_Receitas_Extraord!$S:$S,DRE!W$4,Aut_Receitas_Extraord!$D:$D,"Coleta de Óleo")+SUMIFS(Aut_Ajustes_Manuais!$G:$G,Aut_Ajustes_Manuais!$I:$I,DRE!W$4,Aut_Ajustes_Manuais!$F:$F,"Outras Receitas ")</f>
        <v/>
      </c>
      <c r="Z19" s="241" t="n"/>
      <c r="AA19" s="27">
        <f>SUMIFS(T_ORCAMENTOS!$E:$E,T_ORCAMENTOS!$C:$C,"Outras Receitas",T_ORCAMENTOS!$H:$H,"7/2026")</f>
        <v/>
      </c>
      <c r="AB19" s="28">
        <f>SUMIFS(Aut_Receitas_Extraord!$I:$I,Aut_Receitas_Extraord!$S:$S,DRE!Z$4,Aut_Receitas_Extraord!$D:$D,"Coleta de Óleo")+SUMIFS(Aut_Ajustes_Manuais!$G:$G,Aut_Ajustes_Manuais!$I:$I,DRE!Z$4,Aut_Ajustes_Manuais!$F:$F,"Outras Receitas ")</f>
        <v/>
      </c>
      <c r="AC19" s="241" t="n"/>
      <c r="AD19" s="27">
        <f>SUMIFS(T_ORCAMENTOS!$E:$E,T_ORCAMENTOS!$C:$C,"Outras Receitas",T_ORCAMENTOS!$H:$H,"8/2026")</f>
        <v/>
      </c>
      <c r="AE19" s="28">
        <f>SUMIFS(Aut_Receitas_Extraord!$I:$I,Aut_Receitas_Extraord!$S:$S,DRE!AC$4,Aut_Receitas_Extraord!$D:$D,"Coleta de Óleo")+SUMIFS(Aut_Ajustes_Manuais!$G:$G,Aut_Ajustes_Manuais!$I:$I,DRE!AC$4,Aut_Ajustes_Manuais!$F:$F,"Outras Receitas ")</f>
        <v/>
      </c>
      <c r="AF19" s="241" t="n"/>
      <c r="AG19" s="27">
        <f>SUMIFS(T_ORCAMENTOS!$E:$E,T_ORCAMENTOS!$C:$C,"Outras Receitas",T_ORCAMENTOS!$H:$H,"9/2026")</f>
        <v/>
      </c>
      <c r="AH19" s="28">
        <f>SUMIFS(Aut_Receitas_Extraord!$I:$I,Aut_Receitas_Extraord!$S:$S,DRE!AF$4,Aut_Receitas_Extraord!$D:$D,"Coleta de Óleo")+SUMIFS(Aut_Ajustes_Manuais!$G:$G,Aut_Ajustes_Manuais!$I:$I,DRE!AF$4,Aut_Ajustes_Manuais!$F:$F,"Outras Receitas ")</f>
        <v/>
      </c>
      <c r="AI19" s="241" t="n"/>
      <c r="AJ19" s="27">
        <f>SUMIFS(T_ORCAMENTOS!$E:$E,T_ORCAMENTOS!$C:$C,"Outras Receitas",T_ORCAMENTOS!$H:$H,"10/2026")</f>
        <v/>
      </c>
      <c r="AK19" s="28">
        <f>SUMIFS(Aut_Receitas_Extraord!$I:$I,Aut_Receitas_Extraord!$S:$S,DRE!AI$4,Aut_Receitas_Extraord!$D:$D,"Coleta de Óleo")+SUMIFS(Aut_Ajustes_Manuais!$G:$G,Aut_Ajustes_Manuais!$I:$I,DRE!AI$4,Aut_Ajustes_Manuais!$F:$F,"Outras Receitas ")</f>
        <v/>
      </c>
      <c r="AL19" s="241" t="n"/>
      <c r="AM19" s="27">
        <f>SUMIFS(T_ORCAMENTOS!$E:$E,T_ORCAMENTOS!$C:$C,"Outras Receitas",T_ORCAMENTOS!$H:$H,"11/2026")</f>
        <v/>
      </c>
      <c r="AN19" s="28">
        <f>SUMIFS(Aut_Receitas_Extraord!$I:$I,Aut_Receitas_Extraord!$S:$S,DRE!AL$4,Aut_Receitas_Extraord!$D:$D,"Coleta de Óleo")+SUMIFS(Aut_Ajustes_Manuais!$G:$G,Aut_Ajustes_Manuais!$I:$I,DRE!AL$4,Aut_Ajustes_Manuais!$F:$F,"Outras Receitas ")</f>
        <v/>
      </c>
      <c r="AO19" s="241" t="n"/>
      <c r="AP19" s="27">
        <f>SUMIFS(T_ORCAMENTOS!$E:$E,T_ORCAMENTOS!$C:$C,"Outras Receitas",T_ORCAMENTOS!$H:$H,"12/2026")</f>
        <v/>
      </c>
      <c r="AQ19" s="28">
        <f>SUMIFS(Aut_Receitas_Extraord!$I:$I,Aut_Receitas_Extraord!$S:$S,DRE!AO$4,Aut_Receitas_Extraord!$D:$D,"Coleta de Óleo")+SUMIFS(Aut_Ajustes_Manuais!$G:$G,Aut_Ajustes_Manuais!$I:$I,DRE!AO$4,Aut_Ajustes_Manuais!$F:$F,"Outras Receitas ")</f>
        <v/>
      </c>
      <c r="AR19" s="241">
        <f>SUMIFS($H19:$AO19,$H$5:$AO$5,"&lt;"&amp;MONTH(TODAY()),$H$6:$AO$6,"REAL 25")</f>
        <v/>
      </c>
      <c r="AS19" s="27">
        <f>SUMIFS($I19:$AP19,$I$5:$AP$5,"&lt;"&amp;MONTH(TODAY()),$I$6:$AP$6,"ORÇADO ")</f>
        <v/>
      </c>
      <c r="AT19" s="28">
        <f>SUMIFS($J19:$AQ19,$J$5:$AQ$5,"&lt;"&amp;MONTH(TODAY()),$J$6:$AQ$6,"REAL 26")</f>
        <v/>
      </c>
      <c r="AU19" s="241">
        <f>SUM(H19,K19,N19,Q19,T19,W19,Z19,AC19,AF19,AI19,AL19,AO19)</f>
        <v/>
      </c>
      <c r="AV19" s="27">
        <f>SUM(I19,L19,O19,R19,U19,X19,AA19,AD19,AG19,AJ19,AM19,AP19)</f>
        <v/>
      </c>
      <c r="AW19" s="28">
        <f>SUM(J19,M19,P19,S19,V19,Y19,AB19,AE19,AH19,AK19,AN19,AQ19)</f>
        <v/>
      </c>
      <c r="AX19" s="241">
        <f>SUM(H19,K19,N19)</f>
        <v/>
      </c>
      <c r="AY19" s="27">
        <f>SUM(I19,L19,O19)</f>
        <v/>
      </c>
      <c r="AZ19" s="28">
        <f>SUM(J19,M19,P19)</f>
        <v/>
      </c>
      <c r="BA19" s="241">
        <f>SUM(Q19,T19,W19)</f>
        <v/>
      </c>
      <c r="BB19" s="27">
        <f>SUM(R19,U19,X19)</f>
        <v/>
      </c>
      <c r="BC19" s="28">
        <f>SUM(S19,V19,Y19)</f>
        <v/>
      </c>
      <c r="BD19" s="241">
        <f>SUM(Z19,AC19,AF19)</f>
        <v/>
      </c>
      <c r="BE19" s="27">
        <f>SUM(AA19,AD19,AG19)</f>
        <v/>
      </c>
      <c r="BF19" s="28">
        <f>SUM(AB19,AE19,AH19)</f>
        <v/>
      </c>
      <c r="BG19" s="241">
        <f>SUM(AI19,AL19,AO19)</f>
        <v/>
      </c>
      <c r="BH19" s="27">
        <f>SUM(AJ19,AM19,AP19)</f>
        <v/>
      </c>
      <c r="BI19" s="28">
        <f>SUM(AK19,AN19,AQ19)</f>
        <v/>
      </c>
    </row>
    <row r="20" ht="20.4" customFormat="1" customHeight="1" s="38">
      <c r="A20" s="34" t="inlineStr">
        <is>
          <t>Eventos</t>
        </is>
      </c>
      <c r="B20" s="5" t="n"/>
      <c r="C20" s="12" t="n"/>
      <c r="D20" s="13" t="n"/>
      <c r="E20" s="35" t="n"/>
      <c r="F20" s="431" t="n"/>
      <c r="G20" s="431" t="n"/>
      <c r="H20" s="242" t="n"/>
      <c r="I20" s="37">
        <f>SUM(I14:I17)</f>
        <v/>
      </c>
      <c r="J20" s="243">
        <f>SUM(J14:J17)+SUMIFS(Aut_Ajustes_Manuais!$G:$G,Aut_Ajustes_Manuais!$I:$I,DRE!H$4,Aut_Ajustes_Manuais!$F:$F,"Eventos")</f>
        <v/>
      </c>
      <c r="K20" s="242" t="n"/>
      <c r="L20" s="37">
        <f>SUM(L14:L17)</f>
        <v/>
      </c>
      <c r="M20" s="243">
        <f>SUM(M14:M17)+SUMIFS(Aut_Ajustes_Manuais!$G:$G,Aut_Ajustes_Manuais!$I:$I,DRE!K$4,Aut_Ajustes_Manuais!$F:$F,"Eventos")</f>
        <v/>
      </c>
      <c r="N20" s="242" t="n"/>
      <c r="O20" s="37">
        <f>SUM(O14:O17)</f>
        <v/>
      </c>
      <c r="P20" s="243">
        <f>SUM(P14:P17)+SUMIFS(Aut_Ajustes_Manuais!$G:$G,Aut_Ajustes_Manuais!$I:$I,DRE!N$4,Aut_Ajustes_Manuais!$F:$F,"Eventos")</f>
        <v/>
      </c>
      <c r="Q20" s="242" t="n"/>
      <c r="R20" s="37">
        <f>SUM(R14:R17)</f>
        <v/>
      </c>
      <c r="S20" s="243">
        <f>SUM(S14:S17)+SUMIFS(Aut_Ajustes_Manuais!$G:$G,Aut_Ajustes_Manuais!$I:$I,DRE!Q$4,Aut_Ajustes_Manuais!$F:$F,"Eventos")</f>
        <v/>
      </c>
      <c r="T20" s="242" t="n"/>
      <c r="U20" s="37">
        <f>SUM(U14:U17)</f>
        <v/>
      </c>
      <c r="V20" s="243">
        <f>SUM(V14:V17)+SUMIFS(Aut_Ajustes_Manuais!$G:$G,Aut_Ajustes_Manuais!$I:$I,DRE!T$4,Aut_Ajustes_Manuais!$F:$F,"Eventos")</f>
        <v/>
      </c>
      <c r="W20" s="242" t="n"/>
      <c r="X20" s="37">
        <f>SUM(X14:X17)</f>
        <v/>
      </c>
      <c r="Y20" s="243">
        <f>SUM(Y14:Y17)+SUMIFS(Aut_Ajustes_Manuais!$G:$G,Aut_Ajustes_Manuais!$I:$I,DRE!W$4,Aut_Ajustes_Manuais!$F:$F,"Eventos")</f>
        <v/>
      </c>
      <c r="Z20" s="242" t="n"/>
      <c r="AA20" s="37">
        <f>SUM(AA14:AA17)</f>
        <v/>
      </c>
      <c r="AB20" s="243">
        <f>SUM(AB14:AB17)+SUMIFS(Aut_Ajustes_Manuais!$G:$G,Aut_Ajustes_Manuais!$I:$I,DRE!Z$4,Aut_Ajustes_Manuais!$F:$F,"Eventos")</f>
        <v/>
      </c>
      <c r="AC20" s="242" t="n"/>
      <c r="AD20" s="37">
        <f>SUM(AD14:AD17)</f>
        <v/>
      </c>
      <c r="AE20" s="243">
        <f>SUM(AE14:AE17)+SUMIFS(Aut_Ajustes_Manuais!$G:$G,Aut_Ajustes_Manuais!$I:$I,DRE!AC$4,Aut_Ajustes_Manuais!$F:$F,"Eventos")</f>
        <v/>
      </c>
      <c r="AF20" s="242" t="n"/>
      <c r="AG20" s="37">
        <f>SUM(AG14:AG17)</f>
        <v/>
      </c>
      <c r="AH20" s="243">
        <f>SUM(AH14:AH17)+SUMIFS(Aut_Ajustes_Manuais!$G:$G,Aut_Ajustes_Manuais!$I:$I,DRE!AF$4,Aut_Ajustes_Manuais!$F:$F,"Eventos")</f>
        <v/>
      </c>
      <c r="AI20" s="242" t="n"/>
      <c r="AJ20" s="37">
        <f>SUM(AJ14:AJ17)</f>
        <v/>
      </c>
      <c r="AK20" s="243">
        <f>SUM(AK14:AK17)+SUMIFS(Aut_Ajustes_Manuais!$G:$G,Aut_Ajustes_Manuais!$I:$I,DRE!AI$4,Aut_Ajustes_Manuais!$F:$F,"Eventos")</f>
        <v/>
      </c>
      <c r="AL20" s="242" t="n"/>
      <c r="AM20" s="37">
        <f>SUM(AM14:AM17)</f>
        <v/>
      </c>
      <c r="AN20" s="243">
        <f>SUM(AN14:AN17)+SUMIFS(Aut_Ajustes_Manuais!$G:$G,Aut_Ajustes_Manuais!$I:$I,DRE!AL$4,Aut_Ajustes_Manuais!$F:$F,"Eventos")</f>
        <v/>
      </c>
      <c r="AO20" s="242" t="n"/>
      <c r="AP20" s="37">
        <f>SUM(AP14:AP17)</f>
        <v/>
      </c>
      <c r="AQ20" s="243">
        <f>SUM(AQ14:AQ17)+SUMIFS(Aut_Ajustes_Manuais!$G:$G,Aut_Ajustes_Manuais!$I:$I,DRE!AO$4,Aut_Ajustes_Manuais!$F:$F,"Eventos")</f>
        <v/>
      </c>
      <c r="AR20" s="37">
        <f>SUMIFS($H20:$AO20,$H$5:$AO$5,"&lt;"&amp;MONTH(TODAY()),$H$6:$AO$6,"REAL 25")</f>
        <v/>
      </c>
      <c r="AS20" s="37">
        <f>SUMIFS($I20:$AP20,$I$5:$AP$5,"&lt;"&amp;MONTH(TODAY()),$I$6:$AP$6,"ORÇADO ")</f>
        <v/>
      </c>
      <c r="AT20" s="243">
        <f>SUMIFS($J20:$AQ20,$J$5:$AQ$5,"&lt;"&amp;MONTH(TODAY()),$J$6:$AQ$6,"REAL 26")</f>
        <v/>
      </c>
      <c r="AU20" s="242">
        <f>SUM(AU14:AU17)</f>
        <v/>
      </c>
      <c r="AV20" s="37">
        <f>SUM(AV14:AV17)</f>
        <v/>
      </c>
      <c r="AW20" s="243">
        <f>SUM(AW14:AW17)</f>
        <v/>
      </c>
      <c r="AX20" s="242">
        <f>SUM(AX14:AX17)</f>
        <v/>
      </c>
      <c r="AY20" s="37">
        <f>SUM(AY14:AY17)</f>
        <v/>
      </c>
      <c r="AZ20" s="243">
        <f>SUM(AZ14:AZ17)</f>
        <v/>
      </c>
      <c r="BA20" s="242">
        <f>SUM(BA14:BA17)</f>
        <v/>
      </c>
      <c r="BB20" s="37">
        <f>SUM(BB14:BB17)</f>
        <v/>
      </c>
      <c r="BC20" s="243">
        <f>SUM(BC14:BC17)</f>
        <v/>
      </c>
      <c r="BD20" s="242">
        <f>SUM(BD14:BD17)</f>
        <v/>
      </c>
      <c r="BE20" s="37">
        <f>SUM(BE14:BE17)</f>
        <v/>
      </c>
      <c r="BF20" s="243">
        <f>SUM(BF14:BF17)</f>
        <v/>
      </c>
      <c r="BG20" s="242">
        <f>SUM(BG14:BG17)</f>
        <v/>
      </c>
      <c r="BH20" s="37">
        <f>SUM(BH14:BH17)</f>
        <v/>
      </c>
      <c r="BI20" s="243">
        <f>SUM(BI14:BI17)</f>
        <v/>
      </c>
    </row>
    <row r="21">
      <c r="A21" s="39" t="inlineStr">
        <is>
          <t>(-) Desconto sobre Venda</t>
        </is>
      </c>
      <c r="C21" s="40" t="inlineStr">
        <is>
          <t>Premissas</t>
        </is>
      </c>
      <c r="D21" s="40" t="inlineStr">
        <is>
          <t>Valores</t>
        </is>
      </c>
      <c r="E21" s="40" t="inlineStr">
        <is>
          <t>% Incid</t>
        </is>
      </c>
      <c r="F21" s="41" t="n"/>
      <c r="H21" s="244" t="n"/>
      <c r="I21" s="42">
        <f>SUM(I22:I24)</f>
        <v/>
      </c>
      <c r="J21" s="43">
        <f>SUM(J22:J24)+SUMIFS(Aut_Ajustes_Manuais!$G:$G,Aut_Ajustes_Manuais!$I:$I,DRE!H$4,Aut_Ajustes_Manuais!$F:$F,"(-) Desconto sobre Venda")</f>
        <v/>
      </c>
      <c r="K21" s="244" t="n"/>
      <c r="L21" s="42">
        <f>SUM(L22:L24)</f>
        <v/>
      </c>
      <c r="M21" s="43">
        <f>SUM(M22:M24)+SUMIFS(Aut_Ajustes_Manuais!$G:$G,Aut_Ajustes_Manuais!$I:$I,DRE!K$4,Aut_Ajustes_Manuais!$F:$F,"(-) Desconto sobre Venda")</f>
        <v/>
      </c>
      <c r="N21" s="244" t="n"/>
      <c r="O21" s="42">
        <f>SUM(O22:O24)</f>
        <v/>
      </c>
      <c r="P21" s="43">
        <f>SUM(P22:P24)+SUMIFS(Aut_Ajustes_Manuais!$G:$G,Aut_Ajustes_Manuais!$I:$I,DRE!N$4,Aut_Ajustes_Manuais!$F:$F,"(-) Desconto sobre Venda")</f>
        <v/>
      </c>
      <c r="Q21" s="244" t="n"/>
      <c r="R21" s="42">
        <f>SUM(R22:R24)</f>
        <v/>
      </c>
      <c r="S21" s="43">
        <f>SUM(S22:S24)+SUMIFS(Aut_Ajustes_Manuais!$G:$G,Aut_Ajustes_Manuais!$I:$I,DRE!Q$4,Aut_Ajustes_Manuais!$F:$F,"(-) Desconto sobre Venda")</f>
        <v/>
      </c>
      <c r="T21" s="244" t="n"/>
      <c r="U21" s="42">
        <f>SUM(U22:U24)</f>
        <v/>
      </c>
      <c r="V21" s="43">
        <f>SUM(V22:V24)+SUMIFS(Aut_Ajustes_Manuais!$G:$G,Aut_Ajustes_Manuais!$I:$I,DRE!T$4,Aut_Ajustes_Manuais!$F:$F,"(-) Desconto sobre Venda")</f>
        <v/>
      </c>
      <c r="W21" s="244" t="n"/>
      <c r="X21" s="42">
        <f>SUM(X22:X24)</f>
        <v/>
      </c>
      <c r="Y21" s="43">
        <f>SUM(Y22:Y24)+SUMIFS(Aut_Ajustes_Manuais!$G:$G,Aut_Ajustes_Manuais!$I:$I,DRE!W$4,Aut_Ajustes_Manuais!$F:$F,"(-) Desconto sobre Venda")</f>
        <v/>
      </c>
      <c r="Z21" s="244" t="n"/>
      <c r="AA21" s="42">
        <f>SUM(AA22:AA24)</f>
        <v/>
      </c>
      <c r="AB21" s="43">
        <f>SUM(AB22:AB24)+SUMIFS(Aut_Ajustes_Manuais!$G:$G,Aut_Ajustes_Manuais!$I:$I,DRE!Z$4,Aut_Ajustes_Manuais!$F:$F,"(-) Desconto sobre Venda")</f>
        <v/>
      </c>
      <c r="AC21" s="244" t="n"/>
      <c r="AD21" s="42">
        <f>SUM(AD22:AD24)</f>
        <v/>
      </c>
      <c r="AE21" s="43">
        <f>SUM(AE22:AE24)+SUMIFS(Aut_Ajustes_Manuais!$G:$G,Aut_Ajustes_Manuais!$I:$I,DRE!AC$4,Aut_Ajustes_Manuais!$F:$F,"(-) Desconto sobre Venda")</f>
        <v/>
      </c>
      <c r="AF21" s="244" t="n"/>
      <c r="AG21" s="42">
        <f>SUM(AG22:AG24)</f>
        <v/>
      </c>
      <c r="AH21" s="43">
        <f>SUM(AH22:AH24)+SUMIFS(Aut_Ajustes_Manuais!$G:$G,Aut_Ajustes_Manuais!$I:$I,DRE!AF$4,Aut_Ajustes_Manuais!$F:$F,"(-) Desconto sobre Venda")</f>
        <v/>
      </c>
      <c r="AI21" s="244" t="n"/>
      <c r="AJ21" s="42">
        <f>SUM(AJ22:AJ24)</f>
        <v/>
      </c>
      <c r="AK21" s="43">
        <f>SUM(AK22:AK24)+SUMIFS(Aut_Ajustes_Manuais!$G:$G,Aut_Ajustes_Manuais!$I:$I,DRE!AI$4,Aut_Ajustes_Manuais!$F:$F,"(-) Desconto sobre Venda")</f>
        <v/>
      </c>
      <c r="AL21" s="244" t="n"/>
      <c r="AM21" s="42">
        <f>SUM(AM22:AM24)</f>
        <v/>
      </c>
      <c r="AN21" s="43">
        <f>SUM(AN22:AN24)+SUMIFS(Aut_Ajustes_Manuais!$G:$G,Aut_Ajustes_Manuais!$I:$I,DRE!AL$4,Aut_Ajustes_Manuais!$F:$F,"(-) Desconto sobre Venda")</f>
        <v/>
      </c>
      <c r="AO21" s="244" t="n"/>
      <c r="AP21" s="42">
        <f>SUM(AP22:AP24)</f>
        <v/>
      </c>
      <c r="AQ21" s="43">
        <f>SUM(AQ22:AQ24)+SUMIFS(Aut_Ajustes_Manuais!$G:$G,Aut_Ajustes_Manuais!$I:$I,DRE!AO$4,Aut_Ajustes_Manuais!$F:$F,"(-) Desconto sobre Venda")</f>
        <v/>
      </c>
      <c r="AR21" s="244">
        <f>SUM(AR22:AR24)</f>
        <v/>
      </c>
      <c r="AS21" s="42">
        <f>SUM(AS22:AS24)</f>
        <v/>
      </c>
      <c r="AT21" s="43">
        <f>SUM(AT22:AT24)</f>
        <v/>
      </c>
      <c r="AU21" s="244">
        <f>SUM(AU22:AU24)</f>
        <v/>
      </c>
      <c r="AV21" s="42">
        <f>SUM(AV22:AV24)</f>
        <v/>
      </c>
      <c r="AW21" s="43">
        <f>SUM(AW22:AW24)</f>
        <v/>
      </c>
      <c r="AX21" s="244">
        <f>SUM(AX22:AX24)</f>
        <v/>
      </c>
      <c r="AY21" s="42">
        <f>SUM(AY22:AY24)</f>
        <v/>
      </c>
      <c r="AZ21" s="43">
        <f>SUM(AZ22:AZ24)</f>
        <v/>
      </c>
      <c r="BA21" s="244">
        <f>SUM(BA22:BA24)</f>
        <v/>
      </c>
      <c r="BB21" s="42">
        <f>SUM(BB22:BB24)</f>
        <v/>
      </c>
      <c r="BC21" s="43">
        <f>SUM(BC22:BC24)</f>
        <v/>
      </c>
      <c r="BD21" s="244">
        <f>SUM(BD22:BD24)</f>
        <v/>
      </c>
      <c r="BE21" s="42">
        <f>SUM(BE22:BE24)</f>
        <v/>
      </c>
      <c r="BF21" s="43">
        <f>SUM(BF22:BF24)</f>
        <v/>
      </c>
      <c r="BG21" s="244">
        <f>SUM(BG22:BG24)</f>
        <v/>
      </c>
      <c r="BH21" s="42">
        <f>SUM(BH22:BH24)</f>
        <v/>
      </c>
      <c r="BI21" s="43">
        <f>SUM(BI22:BI24)</f>
        <v/>
      </c>
      <c r="BJ21" s="44" t="n"/>
      <c r="BK21" s="44" t="n"/>
      <c r="BL21" s="44" t="n"/>
      <c r="BM21" s="44" t="n"/>
      <c r="BN21" s="44" t="n"/>
      <c r="BO21" s="44" t="n"/>
    </row>
    <row r="22" hidden="1" outlineLevel="1" customFormat="1" s="498">
      <c r="A22" s="22" t="inlineStr">
        <is>
          <t>Descontos - Operação</t>
        </is>
      </c>
      <c r="B22" s="23" t="n"/>
      <c r="C22" s="24" t="inlineStr">
        <is>
          <t xml:space="preserve">Estim. Mensal </t>
        </is>
      </c>
      <c r="D22" s="25" t="inlineStr">
        <is>
          <t>Alimentação OP/ Correção de Problemas</t>
        </is>
      </c>
      <c r="E22" s="45" t="n">
        <v>0.025</v>
      </c>
      <c r="F22" s="26" t="n"/>
      <c r="G22" s="33" t="n"/>
      <c r="H22" s="241" t="n"/>
      <c r="I22" s="27">
        <f>-SUMIFS(T_ORCAMENTOS!$E:$E,T_ORCAMENTOS!$C:$C,"Descontos - Operação",T_ORCAMENTOS!$H:$H,"1/2026")</f>
        <v/>
      </c>
      <c r="J22" s="28">
        <f>-SUMIFS(Aut_Descontos!$F:$F,Aut_Descontos!$L:$L,DRE!H$4,Aut_Descontos!$K:$K,DRE!$A22)+SUMIFS(Aut_Ajustes_Manuais!$G:$G,Aut_Ajustes_Manuais!$I:$I,DRE!H$4,Aut_Ajustes_Manuais!$F:$F,"Descontos - Operação")</f>
        <v/>
      </c>
      <c r="K22" s="241" t="n"/>
      <c r="L22" s="27">
        <f>-SUMIFS(T_ORCAMENTOS!$E:$E,T_ORCAMENTOS!$C:$C,"Descontos - Operação",T_ORCAMENTOS!$H:$H,"2/2026")</f>
        <v/>
      </c>
      <c r="M22" s="28">
        <f>-SUMIFS(Aut_Descontos!$F:$F,Aut_Descontos!$L:$L,DRE!K$4,Aut_Descontos!$K:$K,DRE!$A22)+SUMIFS(Aut_Ajustes_Manuais!$G:$G,Aut_Ajustes_Manuais!$I:$I,DRE!K$4,Aut_Ajustes_Manuais!$F:$F,"Descontos - Operação")</f>
        <v/>
      </c>
      <c r="N22" s="241" t="n"/>
      <c r="O22" s="27">
        <f>-SUMIFS(T_ORCAMENTOS!$E:$E,T_ORCAMENTOS!$C:$C,"Descontos - Operação",T_ORCAMENTOS!$H:$H,"3/2026")</f>
        <v/>
      </c>
      <c r="P22" s="28">
        <f>-SUMIFS(Aut_Descontos!$F:$F,Aut_Descontos!$L:$L,DRE!N$4,Aut_Descontos!$K:$K,DRE!$A22)+SUMIFS(Aut_Ajustes_Manuais!$G:$G,Aut_Ajustes_Manuais!$I:$I,DRE!N$4,Aut_Ajustes_Manuais!$F:$F,"Descontos - Operação")</f>
        <v/>
      </c>
      <c r="Q22" s="241" t="n"/>
      <c r="R22" s="27">
        <f>-SUMIFS(T_ORCAMENTOS!$E:$E,T_ORCAMENTOS!$C:$C,"Descontos - Operação",T_ORCAMENTOS!$H:$H,"4/2026")</f>
        <v/>
      </c>
      <c r="S22" s="28">
        <f>-SUMIFS(Aut_Descontos!$F:$F,Aut_Descontos!$L:$L,DRE!Q$4,Aut_Descontos!$K:$K,DRE!$A22)+SUMIFS(Aut_Ajustes_Manuais!$G:$G,Aut_Ajustes_Manuais!$I:$I,DRE!Q$4,Aut_Ajustes_Manuais!$F:$F,"Descontos - Operação")</f>
        <v/>
      </c>
      <c r="T22" s="241" t="n"/>
      <c r="U22" s="27">
        <f>-SUMIFS(T_ORCAMENTOS!$E:$E,T_ORCAMENTOS!$C:$C,"Descontos - Operação",T_ORCAMENTOS!$H:$H,"5/2026")</f>
        <v/>
      </c>
      <c r="V22" s="28">
        <f>-SUMIFS(Aut_Descontos!$F:$F,Aut_Descontos!$L:$L,DRE!T$4,Aut_Descontos!$K:$K,DRE!$A22)+SUMIFS(Aut_Ajustes_Manuais!$G:$G,Aut_Ajustes_Manuais!$I:$I,DRE!T$4,Aut_Ajustes_Manuais!$F:$F,"Descontos - Operação")</f>
        <v/>
      </c>
      <c r="W22" s="241" t="n"/>
      <c r="X22" s="27">
        <f>-SUMIFS(T_ORCAMENTOS!$E:$E,T_ORCAMENTOS!$C:$C,"Descontos - Operação",T_ORCAMENTOS!$H:$H,"6/2026")</f>
        <v/>
      </c>
      <c r="Y22" s="28">
        <f>-SUMIFS(Aut_Descontos!$F:$F,Aut_Descontos!$L:$L,DRE!W$4,Aut_Descontos!$K:$K,DRE!$A22)+SUMIFS(Aut_Ajustes_Manuais!$G:$G,Aut_Ajustes_Manuais!$I:$I,DRE!W$4,Aut_Ajustes_Manuais!$F:$F,"Descontos - Operação")</f>
        <v/>
      </c>
      <c r="Z22" s="241" t="n"/>
      <c r="AA22" s="27">
        <f>-SUMIFS(T_ORCAMENTOS!$E:$E,T_ORCAMENTOS!$C:$C,"Descontos - Operação",T_ORCAMENTOS!$H:$H,"7/2026")</f>
        <v/>
      </c>
      <c r="AB22" s="28">
        <f>-SUMIFS(Aut_Descontos!$F:$F,Aut_Descontos!$L:$L,DRE!Z$4,Aut_Descontos!$K:$K,DRE!$A22)+SUMIFS(Aut_Ajustes_Manuais!$G:$G,Aut_Ajustes_Manuais!$I:$I,DRE!Z$4,Aut_Ajustes_Manuais!$F:$F,"Descontos - Operação")</f>
        <v/>
      </c>
      <c r="AC22" s="241" t="n"/>
      <c r="AD22" s="27">
        <f>-SUMIFS(T_ORCAMENTOS!$E:$E,T_ORCAMENTOS!$C:$C,"Descontos - Operação",T_ORCAMENTOS!$H:$H,"8/2026")</f>
        <v/>
      </c>
      <c r="AE22" s="28">
        <f>-SUMIFS(Aut_Descontos!$F:$F,Aut_Descontos!$L:$L,DRE!AC$4,Aut_Descontos!$K:$K,DRE!$A22)+SUMIFS(Aut_Ajustes_Manuais!$G:$G,Aut_Ajustes_Manuais!$I:$I,DRE!AC$4,Aut_Ajustes_Manuais!$F:$F,"Descontos - Operação")</f>
        <v/>
      </c>
      <c r="AF22" s="241" t="n"/>
      <c r="AG22" s="27">
        <f>-SUMIFS(T_ORCAMENTOS!$E:$E,T_ORCAMENTOS!$C:$C,"Descontos - Operação",T_ORCAMENTOS!$H:$H,"9/2026")</f>
        <v/>
      </c>
      <c r="AH22" s="28">
        <f>-SUMIFS(Aut_Descontos!$F:$F,Aut_Descontos!$L:$L,DRE!AF$4,Aut_Descontos!$K:$K,DRE!$A22)+SUMIFS(Aut_Ajustes_Manuais!$G:$G,Aut_Ajustes_Manuais!$I:$I,DRE!AF$4,Aut_Ajustes_Manuais!$F:$F,"Descontos - Operação")</f>
        <v/>
      </c>
      <c r="AI22" s="241" t="n"/>
      <c r="AJ22" s="27">
        <f>-SUMIFS(T_ORCAMENTOS!$E:$E,T_ORCAMENTOS!$C:$C,"Descontos - Operação",T_ORCAMENTOS!$H:$H,"10/2026")</f>
        <v/>
      </c>
      <c r="AK22" s="28">
        <f>-SUMIFS(Aut_Descontos!$F:$F,Aut_Descontos!$L:$L,DRE!AI$4,Aut_Descontos!$K:$K,DRE!$A22)+SUMIFS(Aut_Ajustes_Manuais!$G:$G,Aut_Ajustes_Manuais!$I:$I,DRE!AI$4,Aut_Ajustes_Manuais!$F:$F,"Descontos - Operação")</f>
        <v/>
      </c>
      <c r="AL22" s="241" t="n"/>
      <c r="AM22" s="27">
        <f>-SUMIFS(T_ORCAMENTOS!$E:$E,T_ORCAMENTOS!$C:$C,"Descontos - Operação",T_ORCAMENTOS!$H:$H,"11/2026")</f>
        <v/>
      </c>
      <c r="AN22" s="28">
        <f>-SUMIFS(Aut_Descontos!$F:$F,Aut_Descontos!$L:$L,DRE!AL$4,Aut_Descontos!$K:$K,DRE!$A22)+SUMIFS(Aut_Ajustes_Manuais!$G:$G,Aut_Ajustes_Manuais!$I:$I,DRE!AL$4,Aut_Ajustes_Manuais!$F:$F,"Descontos - Operação")</f>
        <v/>
      </c>
      <c r="AO22" s="241" t="n"/>
      <c r="AP22" s="27">
        <f>-SUMIFS(T_ORCAMENTOS!$E:$E,T_ORCAMENTOS!$C:$C,"Descontos - Operação",T_ORCAMENTOS!$H:$H,"12/2026")</f>
        <v/>
      </c>
      <c r="AQ22" s="28">
        <f>-SUMIFS(Aut_Descontos!$F:$F,Aut_Descontos!$L:$L,DRE!AO$4,Aut_Descontos!$K:$K,DRE!$A22)+SUMIFS(Aut_Ajustes_Manuais!$G:$G,Aut_Ajustes_Manuais!$I:$I,DRE!AO$4,Aut_Ajustes_Manuais!$F:$F,"Descontos - Operação")</f>
        <v/>
      </c>
      <c r="AR22" s="241">
        <f>SUMIFS($H22:$AO22,$H$5:$AO$5,"&lt;"&amp;MONTH(TODAY()),$H$6:$AO$6,"REAL 25")</f>
        <v/>
      </c>
      <c r="AS22" s="27">
        <f>SUMIFS($I22:$AP22,$I$5:$AP$5,"&lt;"&amp;MONTH(TODAY()),$I$6:$AP$6,"ORÇADO ")</f>
        <v/>
      </c>
      <c r="AT22" s="28">
        <f>SUMIFS($J22:$AQ22,$J$5:$AQ$5,"&lt;"&amp;MONTH(TODAY()),$J$6:$AQ$6,"REAL 26")</f>
        <v/>
      </c>
      <c r="AU22" s="241">
        <f>SUM(H22,K22,N22,Q22,T22,W22,Z22,AC22,AF22,AI22,AL22,AO22)</f>
        <v/>
      </c>
      <c r="AV22" s="27">
        <f>SUM(I22,L22,O22,R22,U22,X22,AA22,AD22,AG22,AJ22,AM22,AP22)</f>
        <v/>
      </c>
      <c r="AW22" s="28">
        <f>SUM(J22,M22,P22,S22,V22,Y22,AB22,AE22,AH22,AK22,AN22,AQ22)</f>
        <v/>
      </c>
      <c r="AX22" s="241">
        <f>SUM(H22,K22,N22)</f>
        <v/>
      </c>
      <c r="AY22" s="27">
        <f>SUM(I22,L22,O22)</f>
        <v/>
      </c>
      <c r="AZ22" s="28">
        <f>SUM(J22,M22,P22)</f>
        <v/>
      </c>
      <c r="BA22" s="241">
        <f>SUM(Q22,T22,W22)</f>
        <v/>
      </c>
      <c r="BB22" s="27">
        <f>SUM(R22,U22,X22)</f>
        <v/>
      </c>
      <c r="BC22" s="28">
        <f>SUM(S22,V22,Y22)</f>
        <v/>
      </c>
      <c r="BD22" s="241">
        <f>SUM(Z22,AC22,AF22)</f>
        <v/>
      </c>
      <c r="BE22" s="27">
        <f>SUM(AA22,AD22,AG22)</f>
        <v/>
      </c>
      <c r="BF22" s="28">
        <f>SUM(AB22,AE22,AH22)</f>
        <v/>
      </c>
      <c r="BG22" s="241">
        <f>SUM(AI22,AL22,AO22)</f>
        <v/>
      </c>
      <c r="BH22" s="27">
        <f>SUM(AJ22,AM22,AP22)</f>
        <v/>
      </c>
      <c r="BI22" s="28">
        <f>SUM(AK22,AN22,AQ22)</f>
        <v/>
      </c>
    </row>
    <row r="23" hidden="1" outlineLevel="1" customFormat="1" s="498">
      <c r="A23" s="22" t="inlineStr">
        <is>
          <t>Desconto - Alimentação Escritório</t>
        </is>
      </c>
      <c r="B23" s="23" t="n"/>
      <c r="C23" s="24" t="inlineStr">
        <is>
          <t xml:space="preserve">Estim. Mensal </t>
        </is>
      </c>
      <c r="D23" s="25" t="inlineStr">
        <is>
          <t>Cartão FB / Alimentação Escritório</t>
        </is>
      </c>
      <c r="E23" s="45" t="n">
        <v>0.0198</v>
      </c>
      <c r="F23" s="26" t="n"/>
      <c r="G23" s="33" t="n"/>
      <c r="H23" s="241" t="n"/>
      <c r="I23" s="27">
        <f>-SUMIFS(T_ORCAMENTOS!$E:$E,T_ORCAMENTOS!$C:$C,"Desconto - Alimentação Escritório",T_ORCAMENTOS!$H:$H,"1/2026")</f>
        <v/>
      </c>
      <c r="J23" s="28">
        <f>-SUMIFS(Aut_Descontos!$F:$F,Aut_Descontos!$L:$L,DRE!H$4,Aut_Descontos!$K:$K,DRE!$A23)+SUMIFS(Aut_Ajustes_Manuais!$G:$G,Aut_Ajustes_Manuais!$I:$I,DRE!H$4,Aut_Ajustes_Manuais!$F:$F,"Desconto - Alimentação Escritório")</f>
        <v/>
      </c>
      <c r="K23" s="241" t="n"/>
      <c r="L23" s="27">
        <f>-SUMIFS(T_ORCAMENTOS!$E:$E,T_ORCAMENTOS!$C:$C,"Desconto - Alimentação Escritório",T_ORCAMENTOS!$H:$H,"2/2026")</f>
        <v/>
      </c>
      <c r="M23" s="28">
        <f>-SUMIFS(Aut_Descontos!$F:$F,Aut_Descontos!$L:$L,DRE!K$4,Aut_Descontos!$K:$K,DRE!$A23)+SUMIFS(Aut_Ajustes_Manuais!$G:$G,Aut_Ajustes_Manuais!$I:$I,DRE!K$4,Aut_Ajustes_Manuais!$F:$F,"Desconto - Alimentação Escritório")</f>
        <v/>
      </c>
      <c r="N23" s="241" t="n"/>
      <c r="O23" s="27">
        <f>-SUMIFS(T_ORCAMENTOS!$E:$E,T_ORCAMENTOS!$C:$C,"Desconto - Alimentação Escritório",T_ORCAMENTOS!$H:$H,"3/2026")</f>
        <v/>
      </c>
      <c r="P23" s="28">
        <f>-SUMIFS(Aut_Descontos!$F:$F,Aut_Descontos!$L:$L,DRE!N$4,Aut_Descontos!$K:$K,DRE!$A23)+SUMIFS(Aut_Ajustes_Manuais!$G:$G,Aut_Ajustes_Manuais!$I:$I,DRE!N$4,Aut_Ajustes_Manuais!$F:$F,"Desconto - Alimentação Escritório")</f>
        <v/>
      </c>
      <c r="Q23" s="241" t="n"/>
      <c r="R23" s="27">
        <f>-SUMIFS(T_ORCAMENTOS!$E:$E,T_ORCAMENTOS!$C:$C,"Desconto - Alimentação Escritório",T_ORCAMENTOS!$H:$H,"4/2026")</f>
        <v/>
      </c>
      <c r="S23" s="28">
        <f>-SUMIFS(Aut_Descontos!$F:$F,Aut_Descontos!$L:$L,DRE!Q$4,Aut_Descontos!$K:$K,DRE!$A23)+SUMIFS(Aut_Ajustes_Manuais!$G:$G,Aut_Ajustes_Manuais!$I:$I,DRE!Q$4,Aut_Ajustes_Manuais!$F:$F,"Desconto - Alimentação Escritório")</f>
        <v/>
      </c>
      <c r="T23" s="241" t="n"/>
      <c r="U23" s="27">
        <f>-SUMIFS(T_ORCAMENTOS!$E:$E,T_ORCAMENTOS!$C:$C,"Desconto - Alimentação Escritório",T_ORCAMENTOS!$H:$H,"5/2026")</f>
        <v/>
      </c>
      <c r="V23" s="28">
        <f>-SUMIFS(Aut_Descontos!$F:$F,Aut_Descontos!$L:$L,DRE!T$4,Aut_Descontos!$K:$K,DRE!$A23)+SUMIFS(Aut_Ajustes_Manuais!$G:$G,Aut_Ajustes_Manuais!$I:$I,DRE!T$4,Aut_Ajustes_Manuais!$F:$F,"Desconto - Alimentação Escritório")</f>
        <v/>
      </c>
      <c r="W23" s="241" t="n"/>
      <c r="X23" s="27">
        <f>-SUMIFS(T_ORCAMENTOS!$E:$E,T_ORCAMENTOS!$C:$C,"Desconto - Alimentação Escritório",T_ORCAMENTOS!$H:$H,"6/2026")</f>
        <v/>
      </c>
      <c r="Y23" s="28">
        <f>-SUMIFS(Aut_Descontos!$F:$F,Aut_Descontos!$L:$L,DRE!W$4,Aut_Descontos!$K:$K,DRE!$A23)+SUMIFS(Aut_Ajustes_Manuais!$G:$G,Aut_Ajustes_Manuais!$I:$I,DRE!W$4,Aut_Ajustes_Manuais!$F:$F,"Desconto - Alimentação Escritório")</f>
        <v/>
      </c>
      <c r="Z23" s="241" t="n"/>
      <c r="AA23" s="27">
        <f>-SUMIFS(T_ORCAMENTOS!$E:$E,T_ORCAMENTOS!$C:$C,"Desconto - Alimentação Escritório",T_ORCAMENTOS!$H:$H,"7/2026")</f>
        <v/>
      </c>
      <c r="AB23" s="28">
        <f>-SUMIFS(Aut_Descontos!$F:$F,Aut_Descontos!$L:$L,DRE!Z$4,Aut_Descontos!$K:$K,DRE!$A23)+SUMIFS(Aut_Ajustes_Manuais!$G:$G,Aut_Ajustes_Manuais!$I:$I,DRE!Z$4,Aut_Ajustes_Manuais!$F:$F,"Desconto - Alimentação Escritório")</f>
        <v/>
      </c>
      <c r="AC23" s="241" t="n"/>
      <c r="AD23" s="27">
        <f>-SUMIFS(T_ORCAMENTOS!$E:$E,T_ORCAMENTOS!$C:$C,"Desconto - Alimentação Escritório",T_ORCAMENTOS!$H:$H,"8/2026")</f>
        <v/>
      </c>
      <c r="AE23" s="28">
        <f>-SUMIFS(Aut_Descontos!$F:$F,Aut_Descontos!$L:$L,DRE!AC$4,Aut_Descontos!$K:$K,DRE!$A23)+SUMIFS(Aut_Ajustes_Manuais!$G:$G,Aut_Ajustes_Manuais!$I:$I,DRE!AC$4,Aut_Ajustes_Manuais!$F:$F,"Desconto - Alimentação Escritório")</f>
        <v/>
      </c>
      <c r="AF23" s="241" t="n"/>
      <c r="AG23" s="27">
        <f>-SUMIFS(T_ORCAMENTOS!$E:$E,T_ORCAMENTOS!$C:$C,"Desconto - Alimentação Escritório",T_ORCAMENTOS!$H:$H,"9/2026")</f>
        <v/>
      </c>
      <c r="AH23" s="28">
        <f>-SUMIFS(Aut_Descontos!$F:$F,Aut_Descontos!$L:$L,DRE!AF$4,Aut_Descontos!$K:$K,DRE!$A23)+SUMIFS(Aut_Ajustes_Manuais!$G:$G,Aut_Ajustes_Manuais!$I:$I,DRE!AF$4,Aut_Ajustes_Manuais!$F:$F,"Desconto - Alimentação Escritório")</f>
        <v/>
      </c>
      <c r="AI23" s="241" t="n"/>
      <c r="AJ23" s="27">
        <f>-SUMIFS(T_ORCAMENTOS!$E:$E,T_ORCAMENTOS!$C:$C,"Desconto - Alimentação Escritório",T_ORCAMENTOS!$H:$H,"10/2026")</f>
        <v/>
      </c>
      <c r="AK23" s="28">
        <f>-SUMIFS(Aut_Descontos!$F:$F,Aut_Descontos!$L:$L,DRE!AI$4,Aut_Descontos!$K:$K,DRE!$A23)+SUMIFS(Aut_Ajustes_Manuais!$G:$G,Aut_Ajustes_Manuais!$I:$I,DRE!AI$4,Aut_Ajustes_Manuais!$F:$F,"Desconto - Alimentação Escritório")</f>
        <v/>
      </c>
      <c r="AL23" s="241" t="n"/>
      <c r="AM23" s="27">
        <f>-SUMIFS(T_ORCAMENTOS!$E:$E,T_ORCAMENTOS!$C:$C,"Desconto - Alimentação Escritório",T_ORCAMENTOS!$H:$H,"11/2026")</f>
        <v/>
      </c>
      <c r="AN23" s="28">
        <f>-SUMIFS(Aut_Descontos!$F:$F,Aut_Descontos!$L:$L,DRE!AL$4,Aut_Descontos!$K:$K,DRE!$A23)+SUMIFS(Aut_Ajustes_Manuais!$G:$G,Aut_Ajustes_Manuais!$I:$I,DRE!AL$4,Aut_Ajustes_Manuais!$F:$F,"Desconto - Alimentação Escritório")</f>
        <v/>
      </c>
      <c r="AO23" s="241" t="n"/>
      <c r="AP23" s="27">
        <f>-SUMIFS(T_ORCAMENTOS!$E:$E,T_ORCAMENTOS!$C:$C,"Desconto - Alimentação Escritório",T_ORCAMENTOS!$H:$H,"12/2026")</f>
        <v/>
      </c>
      <c r="AQ23" s="28">
        <f>-SUMIFS(Aut_Descontos!$F:$F,Aut_Descontos!$L:$L,DRE!AO$4,Aut_Descontos!$K:$K,DRE!$A23)+SUMIFS(Aut_Ajustes_Manuais!$G:$G,Aut_Ajustes_Manuais!$I:$I,DRE!AO$4,Aut_Ajustes_Manuais!$F:$F,"Desconto - Alimentação Escritório")</f>
        <v/>
      </c>
      <c r="AR23" s="241">
        <f>SUMIFS($H23:$AO23,$H$5:$AO$5,"&lt;"&amp;MONTH(TODAY()),$H$6:$AO$6,"REAL 25")</f>
        <v/>
      </c>
      <c r="AS23" s="27">
        <f>SUMIFS($I23:$AP23,$I$5:$AP$5,"&lt;"&amp;MONTH(TODAY()),$I$6:$AP$6,"ORÇADO ")</f>
        <v/>
      </c>
      <c r="AT23" s="28">
        <f>SUMIFS($J23:$AQ23,$J$5:$AQ$5,"&lt;"&amp;MONTH(TODAY()),$J$6:$AQ$6,"REAL 26")</f>
        <v/>
      </c>
      <c r="AU23" s="241">
        <f>SUM(H23,K23,N23,Q23,T23,W23,Z23,AC23,AF23,AI23,AL23,AO23)</f>
        <v/>
      </c>
      <c r="AV23" s="27">
        <f>SUM(I23,L23,O23,R23,U23,X23,AA23,AD23,AG23,AJ23,AM23,AP23)</f>
        <v/>
      </c>
      <c r="AW23" s="28">
        <f>SUM(J23,M23,P23,S23,V23,Y23,AB23,AE23,AH23,AK23,AN23,AQ23)</f>
        <v/>
      </c>
      <c r="AX23" s="241">
        <f>SUM(H23,K23,N23)</f>
        <v/>
      </c>
      <c r="AY23" s="27">
        <f>SUM(I23,L23,O23)</f>
        <v/>
      </c>
      <c r="AZ23" s="28">
        <f>SUM(J23,M23,P23)</f>
        <v/>
      </c>
      <c r="BA23" s="241">
        <f>SUM(Q23,T23,W23)</f>
        <v/>
      </c>
      <c r="BB23" s="27">
        <f>SUM(R23,U23,X23)</f>
        <v/>
      </c>
      <c r="BC23" s="28">
        <f>SUM(S23,V23,Y23)</f>
        <v/>
      </c>
      <c r="BD23" s="241">
        <f>SUM(Z23,AC23,AF23)</f>
        <v/>
      </c>
      <c r="BE23" s="27">
        <f>SUM(AA23,AD23,AG23)</f>
        <v/>
      </c>
      <c r="BF23" s="28">
        <f>SUM(AB23,AE23,AH23)</f>
        <v/>
      </c>
      <c r="BG23" s="241">
        <f>SUM(AI23,AL23,AO23)</f>
        <v/>
      </c>
      <c r="BH23" s="27">
        <f>SUM(AJ23,AM23,AP23)</f>
        <v/>
      </c>
      <c r="BI23" s="28">
        <f>SUM(AK23,AN23,AQ23)</f>
        <v/>
      </c>
    </row>
    <row r="24" hidden="1" outlineLevel="1" customFormat="1" s="498">
      <c r="A24" s="22" t="inlineStr">
        <is>
          <t>Descontos - Marketing</t>
        </is>
      </c>
      <c r="B24" s="23" t="n"/>
      <c r="C24" s="24" t="inlineStr">
        <is>
          <t xml:space="preserve">Estim. Mensal </t>
        </is>
      </c>
      <c r="D24" s="25" t="inlineStr">
        <is>
          <t>Permutas e Ações Gerais</t>
        </is>
      </c>
      <c r="E24" s="45" t="n">
        <v>0.0025</v>
      </c>
      <c r="F24" s="26" t="n"/>
      <c r="G24" s="33" t="n"/>
      <c r="H24" s="241" t="n"/>
      <c r="I24" s="27">
        <f>-SUMIFS(T_ORCAMENTOS!$E:$E,T_ORCAMENTOS!$C:$C,"Descontos - Marketing",T_ORCAMENTOS!$H:$H,"1/2026")</f>
        <v/>
      </c>
      <c r="J24" s="28">
        <f>-SUMIFS(Aut_Descontos!$F:$F,Aut_Descontos!$L:$L,DRE!H$4,Aut_Descontos!$K:$K,DRE!$A24)+SUMIFS(Aut_Ajustes_Manuais!$G:$G,Aut_Ajustes_Manuais!$I:$I,DRE!H$4,Aut_Ajustes_Manuais!$F:$F,"Descontos - Marketing")</f>
        <v/>
      </c>
      <c r="K24" s="241" t="n"/>
      <c r="L24" s="27">
        <f>-SUMIFS(T_ORCAMENTOS!$E:$E,T_ORCAMENTOS!$C:$C,"Descontos - Marketing",T_ORCAMENTOS!$H:$H,"2/2026")</f>
        <v/>
      </c>
      <c r="M24" s="28">
        <f>-SUMIFS(Aut_Descontos!$F:$F,Aut_Descontos!$L:$L,DRE!K$4,Aut_Descontos!$K:$K,DRE!$A24)+SUMIFS(Aut_Ajustes_Manuais!$G:$G,Aut_Ajustes_Manuais!$I:$I,DRE!K$4,Aut_Ajustes_Manuais!$F:$F,"Descontos - Marketing")</f>
        <v/>
      </c>
      <c r="N24" s="241" t="n"/>
      <c r="O24" s="27">
        <f>-SUMIFS(T_ORCAMENTOS!$E:$E,T_ORCAMENTOS!$C:$C,"Descontos - Marketing",T_ORCAMENTOS!$H:$H,"3/2026")</f>
        <v/>
      </c>
      <c r="P24" s="28">
        <f>-SUMIFS(Aut_Descontos!$F:$F,Aut_Descontos!$L:$L,DRE!N$4,Aut_Descontos!$K:$K,DRE!$A24)+SUMIFS(Aut_Ajustes_Manuais!$G:$G,Aut_Ajustes_Manuais!$I:$I,DRE!N$4,Aut_Ajustes_Manuais!$F:$F,"Descontos - Marketing")</f>
        <v/>
      </c>
      <c r="Q24" s="241" t="n"/>
      <c r="R24" s="27">
        <f>-SUMIFS(T_ORCAMENTOS!$E:$E,T_ORCAMENTOS!$C:$C,"Descontos - Marketing",T_ORCAMENTOS!$H:$H,"4/2026")</f>
        <v/>
      </c>
      <c r="S24" s="28">
        <f>-SUMIFS(Aut_Descontos!$F:$F,Aut_Descontos!$L:$L,DRE!Q$4,Aut_Descontos!$K:$K,DRE!$A24)+SUMIFS(Aut_Ajustes_Manuais!$G:$G,Aut_Ajustes_Manuais!$I:$I,DRE!Q$4,Aut_Ajustes_Manuais!$F:$F,"Descontos - Marketing")</f>
        <v/>
      </c>
      <c r="T24" s="241" t="n"/>
      <c r="U24" s="27">
        <f>-SUMIFS(T_ORCAMENTOS!$E:$E,T_ORCAMENTOS!$C:$C,"Descontos - Marketing",T_ORCAMENTOS!$H:$H,"5/2026")</f>
        <v/>
      </c>
      <c r="V24" s="28">
        <f>-SUMIFS(Aut_Descontos!$F:$F,Aut_Descontos!$L:$L,DRE!T$4,Aut_Descontos!$K:$K,DRE!$A24)+SUMIFS(Aut_Ajustes_Manuais!$G:$G,Aut_Ajustes_Manuais!$I:$I,DRE!T$4,Aut_Ajustes_Manuais!$F:$F,"Descontos - Marketing")</f>
        <v/>
      </c>
      <c r="W24" s="241" t="n"/>
      <c r="X24" s="27">
        <f>-SUMIFS(T_ORCAMENTOS!$E:$E,T_ORCAMENTOS!$C:$C,"Descontos - Marketing",T_ORCAMENTOS!$H:$H,"6/2026")</f>
        <v/>
      </c>
      <c r="Y24" s="28">
        <f>-SUMIFS(Aut_Descontos!$F:$F,Aut_Descontos!$L:$L,DRE!W$4,Aut_Descontos!$K:$K,DRE!$A24)+SUMIFS(Aut_Ajustes_Manuais!$G:$G,Aut_Ajustes_Manuais!$I:$I,DRE!W$4,Aut_Ajustes_Manuais!$F:$F,"Descontos - Marketing")</f>
        <v/>
      </c>
      <c r="Z24" s="241" t="n"/>
      <c r="AA24" s="27">
        <f>-SUMIFS(T_ORCAMENTOS!$E:$E,T_ORCAMENTOS!$C:$C,"Descontos - Marketing",T_ORCAMENTOS!$H:$H,"7/2026")</f>
        <v/>
      </c>
      <c r="AB24" s="28">
        <f>-SUMIFS(Aut_Descontos!$F:$F,Aut_Descontos!$L:$L,DRE!Z$4,Aut_Descontos!$K:$K,DRE!$A24)+SUMIFS(Aut_Ajustes_Manuais!$G:$G,Aut_Ajustes_Manuais!$I:$I,DRE!Z$4,Aut_Ajustes_Manuais!$F:$F,"Descontos - Marketing")</f>
        <v/>
      </c>
      <c r="AC24" s="241" t="n"/>
      <c r="AD24" s="27">
        <f>-SUMIFS(T_ORCAMENTOS!$E:$E,T_ORCAMENTOS!$C:$C,"Descontos - Marketing",T_ORCAMENTOS!$H:$H,"8/2026")</f>
        <v/>
      </c>
      <c r="AE24" s="28">
        <f>-SUMIFS(Aut_Descontos!$F:$F,Aut_Descontos!$L:$L,DRE!AC$4,Aut_Descontos!$K:$K,DRE!$A24)+SUMIFS(Aut_Ajustes_Manuais!$G:$G,Aut_Ajustes_Manuais!$I:$I,DRE!AC$4,Aut_Ajustes_Manuais!$F:$F,"Descontos - Marketing")</f>
        <v/>
      </c>
      <c r="AF24" s="241" t="n"/>
      <c r="AG24" s="27">
        <f>-SUMIFS(T_ORCAMENTOS!$E:$E,T_ORCAMENTOS!$C:$C,"Descontos - Marketing",T_ORCAMENTOS!$H:$H,"9/2026")</f>
        <v/>
      </c>
      <c r="AH24" s="28">
        <f>-SUMIFS(Aut_Descontos!$F:$F,Aut_Descontos!$L:$L,DRE!AF$4,Aut_Descontos!$K:$K,DRE!$A24)+SUMIFS(Aut_Ajustes_Manuais!$G:$G,Aut_Ajustes_Manuais!$I:$I,DRE!AF$4,Aut_Ajustes_Manuais!$F:$F,"Descontos - Marketing")</f>
        <v/>
      </c>
      <c r="AI24" s="241" t="n"/>
      <c r="AJ24" s="27">
        <f>-SUMIFS(T_ORCAMENTOS!$E:$E,T_ORCAMENTOS!$C:$C,"Descontos - Marketing",T_ORCAMENTOS!$H:$H,"10/2026")</f>
        <v/>
      </c>
      <c r="AK24" s="28">
        <f>-SUMIFS(Aut_Descontos!$F:$F,Aut_Descontos!$L:$L,DRE!AI$4,Aut_Descontos!$K:$K,DRE!$A24)+SUMIFS(Aut_Ajustes_Manuais!$G:$G,Aut_Ajustes_Manuais!$I:$I,DRE!AI$4,Aut_Ajustes_Manuais!$F:$F,"Descontos - Marketing")</f>
        <v/>
      </c>
      <c r="AL24" s="241" t="n"/>
      <c r="AM24" s="27">
        <f>-SUMIFS(T_ORCAMENTOS!$E:$E,T_ORCAMENTOS!$C:$C,"Descontos - Marketing",T_ORCAMENTOS!$H:$H,"11/2026")</f>
        <v/>
      </c>
      <c r="AN24" s="28">
        <f>-SUMIFS(Aut_Descontos!$F:$F,Aut_Descontos!$L:$L,DRE!AL$4,Aut_Descontos!$K:$K,DRE!$A24)+SUMIFS(Aut_Ajustes_Manuais!$G:$G,Aut_Ajustes_Manuais!$I:$I,DRE!AL$4,Aut_Ajustes_Manuais!$F:$F,"Descontos - Marketing")</f>
        <v/>
      </c>
      <c r="AO24" s="241" t="n"/>
      <c r="AP24" s="27">
        <f>-SUMIFS(T_ORCAMENTOS!$E:$E,T_ORCAMENTOS!$C:$C,"Descontos - Marketing",T_ORCAMENTOS!$H:$H,"12/2026")</f>
        <v/>
      </c>
      <c r="AQ24" s="28">
        <f>-SUMIFS(Aut_Descontos!$F:$F,Aut_Descontos!$L:$L,DRE!AO$4,Aut_Descontos!$K:$K,DRE!$A24)+SUMIFS(Aut_Ajustes_Manuais!$G:$G,Aut_Ajustes_Manuais!$I:$I,DRE!AO$4,Aut_Ajustes_Manuais!$F:$F,"Descontos - Marketing")</f>
        <v/>
      </c>
      <c r="AR24" s="241">
        <f>SUMIFS($H24:$AO24,$H$5:$AO$5,"&lt;"&amp;MONTH(TODAY()),$H$6:$AO$6,"REAL 25")</f>
        <v/>
      </c>
      <c r="AS24" s="27">
        <f>SUMIFS($I24:$AP24,$I$5:$AP$5,"&lt;"&amp;MONTH(TODAY()),$I$6:$AP$6,"ORÇADO ")</f>
        <v/>
      </c>
      <c r="AT24" s="28">
        <f>SUMIFS($J24:$AQ24,$J$5:$AQ$5,"&lt;"&amp;MONTH(TODAY()),$J$6:$AQ$6,"REAL 26")</f>
        <v/>
      </c>
      <c r="AU24" s="241">
        <f>SUM(H24,K24,N24,Q24,T24,W24,Z24,AC24,AF24,AI24,AL24,AO24)</f>
        <v/>
      </c>
      <c r="AV24" s="27">
        <f>SUM(I24,L24,O24,R24,U24,X24,AA24,AD24,AG24,AJ24,AM24,AP24)</f>
        <v/>
      </c>
      <c r="AW24" s="28">
        <f>SUM(J24,M24,P24,S24,V24,Y24,AB24,AE24,AH24,AK24,AN24,AQ24)</f>
        <v/>
      </c>
      <c r="AX24" s="241">
        <f>SUM(H24,K24,N24)</f>
        <v/>
      </c>
      <c r="AY24" s="27">
        <f>SUM(I24,L24,O24)</f>
        <v/>
      </c>
      <c r="AZ24" s="28">
        <f>SUM(J24,M24,P24)</f>
        <v/>
      </c>
      <c r="BA24" s="241">
        <f>SUM(Q24,T24,W24)</f>
        <v/>
      </c>
      <c r="BB24" s="27">
        <f>SUM(R24,U24,X24)</f>
        <v/>
      </c>
      <c r="BC24" s="28">
        <f>SUM(S24,V24,Y24)</f>
        <v/>
      </c>
      <c r="BD24" s="241">
        <f>SUM(Z24,AC24,AF24)</f>
        <v/>
      </c>
      <c r="BE24" s="27">
        <f>SUM(AA24,AD24,AG24)</f>
        <v/>
      </c>
      <c r="BF24" s="28">
        <f>SUM(AB24,AE24,AH24)</f>
        <v/>
      </c>
      <c r="BG24" s="241">
        <f>SUM(AI24,AL24,AO24)</f>
        <v/>
      </c>
      <c r="BH24" s="27">
        <f>SUM(AJ24,AM24,AP24)</f>
        <v/>
      </c>
      <c r="BI24" s="28">
        <f>SUM(AK24,AN24,AQ24)</f>
        <v/>
      </c>
    </row>
    <row r="25" hidden="1" outlineLevel="1" customFormat="1" s="52">
      <c r="A25" s="46" t="inlineStr">
        <is>
          <t>% sobre Receita Bruta</t>
        </is>
      </c>
      <c r="B25" s="47" t="n"/>
      <c r="C25" s="48" t="n"/>
      <c r="D25" s="49" t="n"/>
      <c r="E25" s="49" t="n"/>
      <c r="F25" s="47" t="n"/>
      <c r="G25" s="47" t="n"/>
      <c r="H25" s="245" t="n"/>
      <c r="I25" s="50">
        <f>IFERROR(I21/I8,0)</f>
        <v/>
      </c>
      <c r="J25" s="51">
        <f>IFERROR(J21/J8,0)+SUMIFS(Aut_Ajustes_Manuais!$G:$G,Aut_Ajustes_Manuais!$I:$I,DRE!H$4,Aut_Ajustes_Manuais!$F:$F,"% sobre Receita Bruta")</f>
        <v/>
      </c>
      <c r="K25" s="245" t="n"/>
      <c r="L25" s="50">
        <f>IFERROR(L21/L8,0)</f>
        <v/>
      </c>
      <c r="M25" s="51">
        <f>IFERROR(M21/M8,0)+SUMIFS(Aut_Ajustes_Manuais!$G:$G,Aut_Ajustes_Manuais!$I:$I,DRE!K$4,Aut_Ajustes_Manuais!$F:$F,"% sobre Receita Bruta")</f>
        <v/>
      </c>
      <c r="N25" s="245" t="n"/>
      <c r="O25" s="50">
        <f>IFERROR(O21/O8,0)</f>
        <v/>
      </c>
      <c r="P25" s="51">
        <f>IFERROR(P21/P8,0)+SUMIFS(Aut_Ajustes_Manuais!$G:$G,Aut_Ajustes_Manuais!$I:$I,DRE!N$4,Aut_Ajustes_Manuais!$F:$F,"% sobre Receita Bruta")</f>
        <v/>
      </c>
      <c r="Q25" s="245" t="n"/>
      <c r="R25" s="50">
        <f>IFERROR(R21/R8,0)</f>
        <v/>
      </c>
      <c r="S25" s="51">
        <f>IFERROR(S21/S8,0)+SUMIFS(Aut_Ajustes_Manuais!$G:$G,Aut_Ajustes_Manuais!$I:$I,DRE!Q$4,Aut_Ajustes_Manuais!$F:$F,"% sobre Receita Bruta")</f>
        <v/>
      </c>
      <c r="T25" s="245" t="n"/>
      <c r="U25" s="50">
        <f>IFERROR(U21/U8,0)</f>
        <v/>
      </c>
      <c r="V25" s="51">
        <f>IFERROR(V21/V8,0)+SUMIFS(Aut_Ajustes_Manuais!$G:$G,Aut_Ajustes_Manuais!$I:$I,DRE!T$4,Aut_Ajustes_Manuais!$F:$F,"% sobre Receita Bruta")</f>
        <v/>
      </c>
      <c r="W25" s="245" t="n"/>
      <c r="X25" s="50">
        <f>IFERROR(X21/X8,0)</f>
        <v/>
      </c>
      <c r="Y25" s="51">
        <f>IFERROR(Y21/Y8,0)+SUMIFS(Aut_Ajustes_Manuais!$G:$G,Aut_Ajustes_Manuais!$I:$I,DRE!W$4,Aut_Ajustes_Manuais!$F:$F,"% sobre Receita Bruta")</f>
        <v/>
      </c>
      <c r="Z25" s="245" t="n"/>
      <c r="AA25" s="50">
        <f>IFERROR(AA21/AA8,0)</f>
        <v/>
      </c>
      <c r="AB25" s="51">
        <f>IFERROR(AB21/AB8,0)+SUMIFS(Aut_Ajustes_Manuais!$G:$G,Aut_Ajustes_Manuais!$I:$I,DRE!Z$4,Aut_Ajustes_Manuais!$F:$F,"% sobre Receita Bruta")</f>
        <v/>
      </c>
      <c r="AC25" s="245" t="n"/>
      <c r="AD25" s="50">
        <f>IFERROR(AD21/AD8,0)</f>
        <v/>
      </c>
      <c r="AE25" s="51">
        <f>IFERROR(AE21/AE8,0)+SUMIFS(Aut_Ajustes_Manuais!$G:$G,Aut_Ajustes_Manuais!$I:$I,DRE!AC$4,Aut_Ajustes_Manuais!$F:$F,"% sobre Receita Bruta")</f>
        <v/>
      </c>
      <c r="AF25" s="245" t="n"/>
      <c r="AG25" s="50">
        <f>IFERROR(AG21/AG8,0)</f>
        <v/>
      </c>
      <c r="AH25" s="51">
        <f>IFERROR(AH21/AH8,0)+SUMIFS(Aut_Ajustes_Manuais!$G:$G,Aut_Ajustes_Manuais!$I:$I,DRE!AF$4,Aut_Ajustes_Manuais!$F:$F,"% sobre Receita Bruta")</f>
        <v/>
      </c>
      <c r="AI25" s="245" t="n"/>
      <c r="AJ25" s="50">
        <f>IFERROR(AJ21/AJ8,0)</f>
        <v/>
      </c>
      <c r="AK25" s="51">
        <f>IFERROR(AK21/AK8,0)+SUMIFS(Aut_Ajustes_Manuais!$G:$G,Aut_Ajustes_Manuais!$I:$I,DRE!AI$4,Aut_Ajustes_Manuais!$F:$F,"% sobre Receita Bruta")</f>
        <v/>
      </c>
      <c r="AL25" s="245" t="n"/>
      <c r="AM25" s="50">
        <f>IFERROR(AM21/AM8,0)</f>
        <v/>
      </c>
      <c r="AN25" s="51">
        <f>IFERROR(AN21/AN8,0)+SUMIFS(Aut_Ajustes_Manuais!$G:$G,Aut_Ajustes_Manuais!$I:$I,DRE!AL$4,Aut_Ajustes_Manuais!$F:$F,"% sobre Receita Bruta")</f>
        <v/>
      </c>
      <c r="AO25" s="245" t="n"/>
      <c r="AP25" s="50">
        <f>IFERROR(AP21/AP8,0)</f>
        <v/>
      </c>
      <c r="AQ25" s="51">
        <f>IFERROR(AQ21/AQ8,0)+SUMIFS(Aut_Ajustes_Manuais!$G:$G,Aut_Ajustes_Manuais!$I:$I,DRE!AO$4,Aut_Ajustes_Manuais!$F:$F,"% sobre Receita Bruta")</f>
        <v/>
      </c>
      <c r="AR25" s="245">
        <f>IFERROR(AR21/AR8,0)</f>
        <v/>
      </c>
      <c r="AS25" s="50">
        <f>IFERROR(AS21/AS8,0)</f>
        <v/>
      </c>
      <c r="AT25" s="51">
        <f>IFERROR(AT21/AT8,0)</f>
        <v/>
      </c>
      <c r="AU25" s="245">
        <f>IFERROR(AU21/AU8,0)</f>
        <v/>
      </c>
      <c r="AV25" s="50">
        <f>IFERROR(AV21/AV8,0)</f>
        <v/>
      </c>
      <c r="AW25" s="51">
        <f>IFERROR(AW21/AW8,0)</f>
        <v/>
      </c>
      <c r="AX25" s="245">
        <f>IFERROR(AX21/AX8,0)</f>
        <v/>
      </c>
      <c r="AY25" s="50">
        <f>IFERROR(AY21/AY8,0)</f>
        <v/>
      </c>
      <c r="AZ25" s="51">
        <f>IFERROR(AZ21/AZ8,0)</f>
        <v/>
      </c>
      <c r="BA25" s="245">
        <f>IFERROR(BA21/BA8,0)</f>
        <v/>
      </c>
      <c r="BB25" s="50">
        <f>IFERROR(BB21/BB8,0)</f>
        <v/>
      </c>
      <c r="BC25" s="51">
        <f>IFERROR(BC21/BC8,0)</f>
        <v/>
      </c>
      <c r="BD25" s="245">
        <f>IFERROR(BD21/BD8,0)</f>
        <v/>
      </c>
      <c r="BE25" s="50">
        <f>IFERROR(BE21/BE8,0)</f>
        <v/>
      </c>
      <c r="BF25" s="51">
        <f>IFERROR(BF21/BF8,0)</f>
        <v/>
      </c>
      <c r="BG25" s="245">
        <f>IFERROR(BG21/BG8,0)</f>
        <v/>
      </c>
      <c r="BH25" s="50">
        <f>IFERROR(BH21/BH8,0)</f>
        <v/>
      </c>
      <c r="BI25" s="51">
        <f>IFERROR(BI21/BI8,0)</f>
        <v/>
      </c>
    </row>
    <row r="26" collapsed="1">
      <c r="A26" s="18" t="n"/>
      <c r="E26" s="16" t="n"/>
      <c r="F26" s="17" t="n"/>
      <c r="H26" s="246" t="n"/>
      <c r="I26" s="53" t="n"/>
      <c r="J26" s="54" t="n"/>
      <c r="K26" s="246" t="n"/>
      <c r="L26" s="53" t="n"/>
      <c r="M26" s="54" t="n"/>
      <c r="N26" s="246" t="n"/>
      <c r="O26" s="53" t="n"/>
      <c r="P26" s="54" t="n"/>
      <c r="Q26" s="246" t="n"/>
      <c r="R26" s="53" t="n"/>
      <c r="S26" s="54" t="n"/>
      <c r="T26" s="246" t="n"/>
      <c r="U26" s="53" t="n"/>
      <c r="V26" s="54" t="n"/>
      <c r="W26" s="246" t="n"/>
      <c r="X26" s="53" t="n"/>
      <c r="Y26" s="54" t="n"/>
      <c r="Z26" s="246" t="n"/>
      <c r="AA26" s="53" t="n"/>
      <c r="AB26" s="54" t="n"/>
      <c r="AC26" s="246" t="n"/>
      <c r="AD26" s="53" t="n"/>
      <c r="AE26" s="54" t="n"/>
      <c r="AF26" s="246" t="n"/>
      <c r="AG26" s="53" t="n"/>
      <c r="AH26" s="54" t="n"/>
      <c r="AI26" s="246" t="n"/>
      <c r="AJ26" s="53" t="n"/>
      <c r="AK26" s="54" t="n"/>
      <c r="AL26" s="246" t="n"/>
      <c r="AM26" s="53" t="n"/>
      <c r="AN26" s="54" t="n"/>
      <c r="AO26" s="246" t="n"/>
      <c r="AP26" s="53" t="n"/>
      <c r="AQ26" s="54" t="n"/>
      <c r="AR26" s="246" t="n"/>
      <c r="AS26" s="53" t="n"/>
      <c r="AT26" s="54" t="n"/>
      <c r="AU26" s="246" t="n"/>
      <c r="AV26" s="53" t="n"/>
      <c r="AW26" s="54" t="n"/>
      <c r="AX26" s="246" t="n"/>
      <c r="AY26" s="53" t="n"/>
      <c r="AZ26" s="54" t="n"/>
      <c r="BA26" s="246" t="n"/>
      <c r="BB26" s="53" t="n"/>
      <c r="BC26" s="54" t="n"/>
      <c r="BD26" s="246" t="n"/>
      <c r="BE26" s="53" t="n"/>
      <c r="BF26" s="54" t="n"/>
      <c r="BG26" s="246" t="n"/>
      <c r="BH26" s="53" t="n"/>
      <c r="BI26" s="54" t="n"/>
    </row>
    <row r="27">
      <c r="A27" s="39" t="inlineStr">
        <is>
          <t>(-) Impostos sobre Venda</t>
        </is>
      </c>
      <c r="C27" s="40" t="inlineStr">
        <is>
          <t>Premissas</t>
        </is>
      </c>
      <c r="D27" s="40" t="inlineStr">
        <is>
          <t>Valores</t>
        </is>
      </c>
      <c r="E27" s="40" t="inlineStr">
        <is>
          <t>% Incid</t>
        </is>
      </c>
      <c r="F27" s="41" t="n"/>
      <c r="H27" s="244" t="n"/>
      <c r="I27" s="42">
        <f>SUM(I28:I30)</f>
        <v/>
      </c>
      <c r="J27" s="43">
        <f>SUM(J28:J30)+SUMIFS(Aut_Ajustes_Manuais!$G:$G,Aut_Ajustes_Manuais!$I:$I,DRE!H$4,Aut_Ajustes_Manuais!$F:$F,"(-) Impostos sobre Venda")</f>
        <v/>
      </c>
      <c r="K27" s="244" t="n"/>
      <c r="L27" s="42">
        <f>SUM(L28:L30)</f>
        <v/>
      </c>
      <c r="M27" s="43">
        <f>SUM(M28:M30)+SUMIFS(Aut_Ajustes_Manuais!$G:$G,Aut_Ajustes_Manuais!$I:$I,DRE!K$4,Aut_Ajustes_Manuais!$F:$F,"(-) Impostos sobre Venda")</f>
        <v/>
      </c>
      <c r="N27" s="244" t="n"/>
      <c r="O27" s="42">
        <f>SUM(O28:O30)</f>
        <v/>
      </c>
      <c r="P27" s="43">
        <f>SUM(P28:P30)+SUMIFS(Aut_Ajustes_Manuais!$G:$G,Aut_Ajustes_Manuais!$I:$I,DRE!N$4,Aut_Ajustes_Manuais!$F:$F,"(-) Impostos sobre Venda")</f>
        <v/>
      </c>
      <c r="Q27" s="244" t="n"/>
      <c r="R27" s="42">
        <f>SUM(R28:R30)</f>
        <v/>
      </c>
      <c r="S27" s="43">
        <f>SUM(S28:S30)+SUMIFS(Aut_Ajustes_Manuais!$G:$G,Aut_Ajustes_Manuais!$I:$I,DRE!Q$4,Aut_Ajustes_Manuais!$F:$F,"(-) Impostos sobre Venda")</f>
        <v/>
      </c>
      <c r="T27" s="244" t="n"/>
      <c r="U27" s="42">
        <f>SUM(U28:U30)</f>
        <v/>
      </c>
      <c r="V27" s="43">
        <f>SUM(V28:V30)+SUMIFS(Aut_Ajustes_Manuais!$G:$G,Aut_Ajustes_Manuais!$I:$I,DRE!T$4,Aut_Ajustes_Manuais!$F:$F,"(-) Impostos sobre Venda")</f>
        <v/>
      </c>
      <c r="W27" s="244" t="n"/>
      <c r="X27" s="42">
        <f>SUM(X28:X30)</f>
        <v/>
      </c>
      <c r="Y27" s="43">
        <f>SUM(Y28:Y30)+SUMIFS(Aut_Ajustes_Manuais!$G:$G,Aut_Ajustes_Manuais!$I:$I,DRE!W$4,Aut_Ajustes_Manuais!$F:$F,"(-) Impostos sobre Venda")</f>
        <v/>
      </c>
      <c r="Z27" s="244" t="n"/>
      <c r="AA27" s="42">
        <f>SUM(AA28:AA30)</f>
        <v/>
      </c>
      <c r="AB27" s="43">
        <f>SUM(AB28:AB30)+SUMIFS(Aut_Ajustes_Manuais!$G:$G,Aut_Ajustes_Manuais!$I:$I,DRE!Z$4,Aut_Ajustes_Manuais!$F:$F,"(-) Impostos sobre Venda")</f>
        <v/>
      </c>
      <c r="AC27" s="244" t="n"/>
      <c r="AD27" s="42">
        <f>SUM(AD28:AD30)</f>
        <v/>
      </c>
      <c r="AE27" s="43">
        <f>SUM(AE28:AE30)+SUMIFS(Aut_Ajustes_Manuais!$G:$G,Aut_Ajustes_Manuais!$I:$I,DRE!AC$4,Aut_Ajustes_Manuais!$F:$F,"(-) Impostos sobre Venda")</f>
        <v/>
      </c>
      <c r="AF27" s="244" t="n"/>
      <c r="AG27" s="42">
        <f>SUM(AG28:AG30)</f>
        <v/>
      </c>
      <c r="AH27" s="43">
        <f>SUM(AH28:AH30)+SUMIFS(Aut_Ajustes_Manuais!$G:$G,Aut_Ajustes_Manuais!$I:$I,DRE!AF$4,Aut_Ajustes_Manuais!$F:$F,"(-) Impostos sobre Venda")</f>
        <v/>
      </c>
      <c r="AI27" s="244" t="n"/>
      <c r="AJ27" s="42">
        <f>SUM(AJ28:AJ30)</f>
        <v/>
      </c>
      <c r="AK27" s="43">
        <f>SUM(AK28:AK30)+SUMIFS(Aut_Ajustes_Manuais!$G:$G,Aut_Ajustes_Manuais!$I:$I,DRE!AI$4,Aut_Ajustes_Manuais!$F:$F,"(-) Impostos sobre Venda")</f>
        <v/>
      </c>
      <c r="AL27" s="244" t="n"/>
      <c r="AM27" s="42">
        <f>SUM(AM28:AM30)</f>
        <v/>
      </c>
      <c r="AN27" s="43">
        <f>SUM(AN28:AN30)+SUMIFS(Aut_Ajustes_Manuais!$G:$G,Aut_Ajustes_Manuais!$I:$I,DRE!AL$4,Aut_Ajustes_Manuais!$F:$F,"(-) Impostos sobre Venda")</f>
        <v/>
      </c>
      <c r="AO27" s="244" t="n"/>
      <c r="AP27" s="42">
        <f>SUM(AP28:AP30)</f>
        <v/>
      </c>
      <c r="AQ27" s="43">
        <f>SUM(AQ28:AQ30)+SUMIFS(Aut_Ajustes_Manuais!$G:$G,Aut_Ajustes_Manuais!$I:$I,DRE!AO$4,Aut_Ajustes_Manuais!$F:$F,"(-) Impostos sobre Venda")</f>
        <v/>
      </c>
      <c r="AR27" s="244">
        <f>SUM(AR28:AR30)</f>
        <v/>
      </c>
      <c r="AS27" s="42">
        <f>SUM(AS28:AS30)</f>
        <v/>
      </c>
      <c r="AT27" s="43">
        <f>SUM(AT28:AT30)</f>
        <v/>
      </c>
      <c r="AU27" s="244">
        <f>SUM(AU28:AU30)</f>
        <v/>
      </c>
      <c r="AV27" s="42">
        <f>SUM(AV28:AV30)</f>
        <v/>
      </c>
      <c r="AW27" s="43">
        <f>SUM(AW28:AW30)</f>
        <v/>
      </c>
      <c r="AX27" s="244">
        <f>SUM(AX28:AX30)</f>
        <v/>
      </c>
      <c r="AY27" s="42">
        <f>SUM(AY28:AY30)</f>
        <v/>
      </c>
      <c r="AZ27" s="43">
        <f>SUM(AZ28:AZ30)</f>
        <v/>
      </c>
      <c r="BA27" s="244">
        <f>SUM(BA28:BA30)</f>
        <v/>
      </c>
      <c r="BB27" s="42">
        <f>SUM(BB28:BB30)</f>
        <v/>
      </c>
      <c r="BC27" s="43">
        <f>SUM(BC28:BC30)</f>
        <v/>
      </c>
      <c r="BD27" s="244">
        <f>SUM(BD28:BD30)</f>
        <v/>
      </c>
      <c r="BE27" s="42">
        <f>SUM(BE28:BE30)</f>
        <v/>
      </c>
      <c r="BF27" s="43">
        <f>SUM(BF28:BF30)</f>
        <v/>
      </c>
      <c r="BG27" s="244">
        <f>SUM(BG28:BG30)</f>
        <v/>
      </c>
      <c r="BH27" s="42">
        <f>SUM(BH28:BH30)</f>
        <v/>
      </c>
      <c r="BI27" s="43">
        <f>SUM(BI28:BI30)</f>
        <v/>
      </c>
    </row>
    <row r="28" hidden="1" outlineLevel="1" customFormat="1" s="498">
      <c r="A28" s="22" t="inlineStr">
        <is>
          <t>PIS / COFINS</t>
        </is>
      </c>
      <c r="B28" s="23" t="n"/>
      <c r="C28" s="24" t="inlineStr">
        <is>
          <t>Base Fiscal</t>
        </is>
      </c>
      <c r="D28" s="25" t="n"/>
      <c r="E28" s="55" t="n">
        <v>0.0365</v>
      </c>
      <c r="F28" s="56" t="n"/>
      <c r="G28" s="23" t="n"/>
      <c r="H28" s="241" t="n"/>
      <c r="I28" s="27">
        <f>-SUMIFS(T_ORCAMENTOS!$E:$E,T_ORCAMENTOS!$C:$C,"PIS / COFINS",T_ORCAMENTOS!$H:$H,"1/2026")</f>
        <v/>
      </c>
      <c r="J28" s="28">
        <f>-Fiscal!D21-Fiscal!D22+SUMIFS(Aut_Ajustes_Manuais!$G:$G,Aut_Ajustes_Manuais!$I:$I,DRE!H$4,Aut_Ajustes_Manuais!$F:$F,"PIS / COFINS")</f>
        <v/>
      </c>
      <c r="K28" s="241" t="n"/>
      <c r="L28" s="27">
        <f>-SUMIFS(T_ORCAMENTOS!$E:$E,T_ORCAMENTOS!$C:$C,"PIS / COFINS",T_ORCAMENTOS!$H:$H,"2/2026")</f>
        <v/>
      </c>
      <c r="M28" s="28">
        <f>-Fiscal!E21-Fiscal!E22+SUMIFS(Aut_Ajustes_Manuais!$G:$G,Aut_Ajustes_Manuais!$I:$I,DRE!K$4,Aut_Ajustes_Manuais!$F:$F,"PIS / COFINS")</f>
        <v/>
      </c>
      <c r="N28" s="241" t="n"/>
      <c r="O28" s="27">
        <f>-SUMIFS(T_ORCAMENTOS!$E:$E,T_ORCAMENTOS!$C:$C,"PIS / COFINS",T_ORCAMENTOS!$H:$H,"3/2026")</f>
        <v/>
      </c>
      <c r="P28" s="28">
        <f>-Fiscal!F21-Fiscal!F22+SUMIFS(Aut_Ajustes_Manuais!$G:$G,Aut_Ajustes_Manuais!$I:$I,DRE!N$4,Aut_Ajustes_Manuais!$F:$F,"PIS / COFINS")</f>
        <v/>
      </c>
      <c r="Q28" s="241" t="n"/>
      <c r="R28" s="27">
        <f>-SUMIFS(T_ORCAMENTOS!$E:$E,T_ORCAMENTOS!$C:$C,"PIS / COFINS",T_ORCAMENTOS!$H:$H,"4/2026")</f>
        <v/>
      </c>
      <c r="S28" s="28">
        <f>-Fiscal!H21-Fiscal!H22+SUMIFS(Aut_Ajustes_Manuais!$G:$G,Aut_Ajustes_Manuais!$I:$I,DRE!Q$4,Aut_Ajustes_Manuais!$F:$F,"PIS / COFINS")</f>
        <v/>
      </c>
      <c r="T28" s="241" t="n"/>
      <c r="U28" s="27">
        <f>-SUMIFS(T_ORCAMENTOS!$E:$E,T_ORCAMENTOS!$C:$C,"PIS / COFINS",T_ORCAMENTOS!$H:$H,"5/2026")</f>
        <v/>
      </c>
      <c r="V28" s="28">
        <f>-Fiscal!I21-Fiscal!I22+SUMIFS(Aut_Ajustes_Manuais!$G:$G,Aut_Ajustes_Manuais!$I:$I,DRE!T$4,Aut_Ajustes_Manuais!$F:$F,"PIS / COFINS")</f>
        <v/>
      </c>
      <c r="W28" s="241" t="n"/>
      <c r="X28" s="27">
        <f>-SUMIFS(T_ORCAMENTOS!$E:$E,T_ORCAMENTOS!$C:$C,"PIS / COFINS",T_ORCAMENTOS!$H:$H,"6/2026")</f>
        <v/>
      </c>
      <c r="Y28" s="28">
        <f>-Fiscal!J21-Fiscal!J22+SUMIFS(Aut_Ajustes_Manuais!$G:$G,Aut_Ajustes_Manuais!$I:$I,DRE!W$4,Aut_Ajustes_Manuais!$F:$F,"PIS / COFINS")</f>
        <v/>
      </c>
      <c r="Z28" s="241" t="n"/>
      <c r="AA28" s="27">
        <f>-SUMIFS(T_ORCAMENTOS!$E:$E,T_ORCAMENTOS!$C:$C,"PIS / COFINS",T_ORCAMENTOS!$H:$H,"7/2026")</f>
        <v/>
      </c>
      <c r="AB28" s="28">
        <f>-Fiscal!L21-Fiscal!L22+SUMIFS(Aut_Ajustes_Manuais!$G:$G,Aut_Ajustes_Manuais!$I:$I,DRE!Z$4,Aut_Ajustes_Manuais!$F:$F,"PIS / COFINS")</f>
        <v/>
      </c>
      <c r="AC28" s="241" t="n"/>
      <c r="AD28" s="27">
        <f>-SUMIFS(T_ORCAMENTOS!$E:$E,T_ORCAMENTOS!$C:$C,"PIS / COFINS",T_ORCAMENTOS!$H:$H,"8/2026")</f>
        <v/>
      </c>
      <c r="AE28" s="28">
        <f>-Fiscal!M21-Fiscal!M22+SUMIFS(Aut_Ajustes_Manuais!$G:$G,Aut_Ajustes_Manuais!$I:$I,DRE!AC$4,Aut_Ajustes_Manuais!$F:$F,"PIS / COFINS")</f>
        <v/>
      </c>
      <c r="AF28" s="241" t="n"/>
      <c r="AG28" s="27">
        <f>-SUMIFS(T_ORCAMENTOS!$E:$E,T_ORCAMENTOS!$C:$C,"PIS / COFINS",T_ORCAMENTOS!$H:$H,"9/2026")</f>
        <v/>
      </c>
      <c r="AH28" s="28">
        <f>-Fiscal!N21-Fiscal!N22+SUMIFS(Aut_Ajustes_Manuais!$G:$G,Aut_Ajustes_Manuais!$I:$I,DRE!AF$4,Aut_Ajustes_Manuais!$F:$F,"PIS / COFINS")</f>
        <v/>
      </c>
      <c r="AI28" s="241" t="n"/>
      <c r="AJ28" s="27">
        <f>-SUMIFS(T_ORCAMENTOS!$E:$E,T_ORCAMENTOS!$C:$C,"PIS / COFINS",T_ORCAMENTOS!$H:$H,"10/2026")</f>
        <v/>
      </c>
      <c r="AK28" s="28">
        <f>-Fiscal!P21-Fiscal!P22+SUMIFS(Aut_Ajustes_Manuais!$G:$G,Aut_Ajustes_Manuais!$I:$I,DRE!AI$4,Aut_Ajustes_Manuais!$F:$F,"PIS / COFINS")</f>
        <v/>
      </c>
      <c r="AL28" s="241" t="n"/>
      <c r="AM28" s="27">
        <f>-SUMIFS(T_ORCAMENTOS!$E:$E,T_ORCAMENTOS!$C:$C,"PIS / COFINS",T_ORCAMENTOS!$H:$H,"11/2026")</f>
        <v/>
      </c>
      <c r="AN28" s="28">
        <f>-Fiscal!Q21-Fiscal!Q22+SUMIFS(Aut_Ajustes_Manuais!$G:$G,Aut_Ajustes_Manuais!$I:$I,DRE!AL$4,Aut_Ajustes_Manuais!$F:$F,"PIS / COFINS")</f>
        <v/>
      </c>
      <c r="AO28" s="241" t="n"/>
      <c r="AP28" s="27">
        <f>-SUMIFS(T_ORCAMENTOS!$E:$E,T_ORCAMENTOS!$C:$C,"PIS / COFINS",T_ORCAMENTOS!$H:$H,"12/2026")</f>
        <v/>
      </c>
      <c r="AQ28" s="28">
        <f>-Fiscal!R21-Fiscal!R22+SUMIFS(Aut_Ajustes_Manuais!$G:$G,Aut_Ajustes_Manuais!$I:$I,DRE!AO$4,Aut_Ajustes_Manuais!$F:$F,"PIS / COFINS")</f>
        <v/>
      </c>
      <c r="AR28" s="241">
        <f>SUMIFS($H28:$AO28,$H$5:$AO$5,"&lt;"&amp;MONTH(TODAY()),$H$6:$AO$6,"REAL 25")</f>
        <v/>
      </c>
      <c r="AS28" s="27">
        <f>SUMIFS($I28:$AP28,$I$5:$AP$5,"&lt;"&amp;MONTH(TODAY()),$I$6:$AP$6,"ORÇADO ")</f>
        <v/>
      </c>
      <c r="AT28" s="28">
        <f>SUMIFS($J28:$AQ28,$J$5:$AQ$5,"&lt;"&amp;MONTH(TODAY()),$J$6:$AQ$6,"REAL 26")</f>
        <v/>
      </c>
      <c r="AU28" s="241">
        <f>SUM(H28,K28,N28,Q28,T28,W28,Z28,AC28,AF28,AI28,AL28,AO28)</f>
        <v/>
      </c>
      <c r="AV28" s="27">
        <f>SUM(I28,L28,O28,R28,U28,X28,AA28,AD28,AG28,AJ28,AM28,AP28)</f>
        <v/>
      </c>
      <c r="AW28" s="28">
        <f>SUM(J28,M28,P28,S28,V28,Y28,AB28,AE28,AH28,AK28,AN28,AQ28)</f>
        <v/>
      </c>
      <c r="AX28" s="241">
        <f>SUM(H28,K28,N28)</f>
        <v/>
      </c>
      <c r="AY28" s="27">
        <f>SUM(I28,L28,O28)</f>
        <v/>
      </c>
      <c r="AZ28" s="28">
        <f>SUM(J28,M28,P28)</f>
        <v/>
      </c>
      <c r="BA28" s="241">
        <f>SUM(Q28,T28,W28)</f>
        <v/>
      </c>
      <c r="BB28" s="27">
        <f>SUM(R28,U28,X28)</f>
        <v/>
      </c>
      <c r="BC28" s="28">
        <f>SUM(S28,V28,Y28)</f>
        <v/>
      </c>
      <c r="BD28" s="241">
        <f>SUM(Z28,AC28,AF28)</f>
        <v/>
      </c>
      <c r="BE28" s="27">
        <f>SUM(AA28,AD28,AG28)</f>
        <v/>
      </c>
      <c r="BF28" s="28">
        <f>SUM(AB28,AE28,AH28)</f>
        <v/>
      </c>
      <c r="BG28" s="241">
        <f>SUM(AI28,AL28,AO28)</f>
        <v/>
      </c>
      <c r="BH28" s="27">
        <f>SUM(AJ28,AM28,AP28)</f>
        <v/>
      </c>
      <c r="BI28" s="28">
        <f>SUM(AK28,AN28,AQ28)</f>
        <v/>
      </c>
    </row>
    <row r="29" hidden="1" outlineLevel="1" customFormat="1" s="498">
      <c r="A29" s="22" t="inlineStr">
        <is>
          <t>ICMS</t>
        </is>
      </c>
      <c r="B29" s="23" t="n"/>
      <c r="C29" s="24" t="inlineStr">
        <is>
          <t>Base Fiscal</t>
        </is>
      </c>
      <c r="D29" s="25" t="n"/>
      <c r="E29" s="55" t="n">
        <v>0.04</v>
      </c>
      <c r="F29" s="56" t="n"/>
      <c r="G29" s="23" t="n"/>
      <c r="H29" s="241" t="n"/>
      <c r="I29" s="27">
        <f>-SUMIFS(T_ORCAMENTOS!$E:$E,T_ORCAMENTOS!$C:$C,"ICMS",T_ORCAMENTOS!$H:$H,"1/2026")</f>
        <v/>
      </c>
      <c r="J29" s="28">
        <f>-Fiscal!D23+SUMIFS(Aut_Ajustes_Manuais!$G:$G,Aut_Ajustes_Manuais!$I:$I,DRE!H$4,Aut_Ajustes_Manuais!$F:$F,"ICMS")</f>
        <v/>
      </c>
      <c r="K29" s="241" t="n"/>
      <c r="L29" s="27">
        <f>-SUMIFS(T_ORCAMENTOS!$E:$E,T_ORCAMENTOS!$C:$C,"ICMS",T_ORCAMENTOS!$H:$H,"2/2026")</f>
        <v/>
      </c>
      <c r="M29" s="28">
        <f>-Fiscal!E23+SUMIFS(Aut_Ajustes_Manuais!$G:$G,Aut_Ajustes_Manuais!$I:$I,DRE!K$4,Aut_Ajustes_Manuais!$F:$F,"ICMS")</f>
        <v/>
      </c>
      <c r="N29" s="241" t="n"/>
      <c r="O29" s="27">
        <f>-SUMIFS(T_ORCAMENTOS!$E:$E,T_ORCAMENTOS!$C:$C,"ICMS",T_ORCAMENTOS!$H:$H,"3/2026")</f>
        <v/>
      </c>
      <c r="P29" s="28">
        <f>-Fiscal!F23+SUMIFS(Aut_Ajustes_Manuais!$G:$G,Aut_Ajustes_Manuais!$I:$I,DRE!N$4,Aut_Ajustes_Manuais!$F:$F,"ICMS")</f>
        <v/>
      </c>
      <c r="Q29" s="241" t="n"/>
      <c r="R29" s="27">
        <f>-SUMIFS(T_ORCAMENTOS!$E:$E,T_ORCAMENTOS!$C:$C,"ICMS",T_ORCAMENTOS!$H:$H,"4/2026")</f>
        <v/>
      </c>
      <c r="S29" s="28">
        <f>-Fiscal!H23+SUMIFS(Aut_Ajustes_Manuais!$G:$G,Aut_Ajustes_Manuais!$I:$I,DRE!Q$4,Aut_Ajustes_Manuais!$F:$F,"ICMS")</f>
        <v/>
      </c>
      <c r="T29" s="241" t="n"/>
      <c r="U29" s="27">
        <f>-SUMIFS(T_ORCAMENTOS!$E:$E,T_ORCAMENTOS!$C:$C,"ICMS",T_ORCAMENTOS!$H:$H,"5/2026")</f>
        <v/>
      </c>
      <c r="V29" s="28">
        <f>-Fiscal!I23+SUMIFS(Aut_Ajustes_Manuais!$G:$G,Aut_Ajustes_Manuais!$I:$I,DRE!T$4,Aut_Ajustes_Manuais!$F:$F,"ICMS")</f>
        <v/>
      </c>
      <c r="W29" s="241" t="n"/>
      <c r="X29" s="27">
        <f>-SUMIFS(T_ORCAMENTOS!$E:$E,T_ORCAMENTOS!$C:$C,"ICMS",T_ORCAMENTOS!$H:$H,"6/2026")</f>
        <v/>
      </c>
      <c r="Y29" s="28">
        <f>-Fiscal!J23+SUMIFS(Aut_Ajustes_Manuais!$G:$G,Aut_Ajustes_Manuais!$I:$I,DRE!W$4,Aut_Ajustes_Manuais!$F:$F,"ICMS")</f>
        <v/>
      </c>
      <c r="Z29" s="241" t="n"/>
      <c r="AA29" s="27">
        <f>-SUMIFS(T_ORCAMENTOS!$E:$E,T_ORCAMENTOS!$C:$C,"ICMS",T_ORCAMENTOS!$H:$H,"7/2026")</f>
        <v/>
      </c>
      <c r="AB29" s="28">
        <f>-Fiscal!L23+SUMIFS(Aut_Ajustes_Manuais!$G:$G,Aut_Ajustes_Manuais!$I:$I,DRE!Z$4,Aut_Ajustes_Manuais!$F:$F,"ICMS")</f>
        <v/>
      </c>
      <c r="AC29" s="241" t="n"/>
      <c r="AD29" s="27">
        <f>-SUMIFS(T_ORCAMENTOS!$E:$E,T_ORCAMENTOS!$C:$C,"ICMS",T_ORCAMENTOS!$H:$H,"8/2026")</f>
        <v/>
      </c>
      <c r="AE29" s="28">
        <f>-Fiscal!M23+SUMIFS(Aut_Ajustes_Manuais!$G:$G,Aut_Ajustes_Manuais!$I:$I,DRE!AC$4,Aut_Ajustes_Manuais!$F:$F,"ICMS")</f>
        <v/>
      </c>
      <c r="AF29" s="241" t="n"/>
      <c r="AG29" s="27">
        <f>-SUMIFS(T_ORCAMENTOS!$E:$E,T_ORCAMENTOS!$C:$C,"ICMS",T_ORCAMENTOS!$H:$H,"9/2026")</f>
        <v/>
      </c>
      <c r="AH29" s="28">
        <f>-Fiscal!N23+SUMIFS(Aut_Ajustes_Manuais!$G:$G,Aut_Ajustes_Manuais!$I:$I,DRE!AF$4,Aut_Ajustes_Manuais!$F:$F,"ICMS")</f>
        <v/>
      </c>
      <c r="AI29" s="241" t="n"/>
      <c r="AJ29" s="27">
        <f>-SUMIFS(T_ORCAMENTOS!$E:$E,T_ORCAMENTOS!$C:$C,"ICMS",T_ORCAMENTOS!$H:$H,"10/2026")</f>
        <v/>
      </c>
      <c r="AK29" s="28">
        <f>-Fiscal!P23+SUMIFS(Aut_Ajustes_Manuais!$G:$G,Aut_Ajustes_Manuais!$I:$I,DRE!AI$4,Aut_Ajustes_Manuais!$F:$F,"ICMS")</f>
        <v/>
      </c>
      <c r="AL29" s="241" t="n"/>
      <c r="AM29" s="27">
        <f>-SUMIFS(T_ORCAMENTOS!$E:$E,T_ORCAMENTOS!$C:$C,"ICMS",T_ORCAMENTOS!$H:$H,"11/2026")</f>
        <v/>
      </c>
      <c r="AN29" s="28">
        <f>-Fiscal!Q23+SUMIFS(Aut_Ajustes_Manuais!$G:$G,Aut_Ajustes_Manuais!$I:$I,DRE!AL$4,Aut_Ajustes_Manuais!$F:$F,"ICMS")</f>
        <v/>
      </c>
      <c r="AO29" s="241" t="n"/>
      <c r="AP29" s="27">
        <f>-SUMIFS(T_ORCAMENTOS!$E:$E,T_ORCAMENTOS!$C:$C,"ICMS",T_ORCAMENTOS!$H:$H,"12/2026")</f>
        <v/>
      </c>
      <c r="AQ29" s="28">
        <f>-Fiscal!R23+SUMIFS(Aut_Ajustes_Manuais!$G:$G,Aut_Ajustes_Manuais!$I:$I,DRE!AO$4,Aut_Ajustes_Manuais!$F:$F,"ICMS")</f>
        <v/>
      </c>
      <c r="AR29" s="241">
        <f>SUMIFS($H29:$AO29,$H$5:$AO$5,"&lt;"&amp;MONTH(TODAY()),$H$6:$AO$6,"REAL 25")</f>
        <v/>
      </c>
      <c r="AS29" s="27">
        <f>SUMIFS($I29:$AP29,$I$5:$AP$5,"&lt;"&amp;MONTH(TODAY()),$I$6:$AP$6,"ORÇADO ")</f>
        <v/>
      </c>
      <c r="AT29" s="28">
        <f>SUMIFS($J29:$AQ29,$J$5:$AQ$5,"&lt;"&amp;MONTH(TODAY()),$J$6:$AQ$6,"REAL 26")</f>
        <v/>
      </c>
      <c r="AU29" s="241">
        <f>SUM(H29,K29,N29,Q29,T29,W29,Z29,AC29,AF29,AI29,AL29,AO29)</f>
        <v/>
      </c>
      <c r="AV29" s="27">
        <f>SUM(I29,L29,O29,R29,U29,X29,AA29,AD29,AG29,AJ29,AM29,AP29)</f>
        <v/>
      </c>
      <c r="AW29" s="28">
        <f>SUM(J29,M29,P29,S29,V29,Y29,AB29,AE29,AH29,AK29,AN29,AQ29)</f>
        <v/>
      </c>
      <c r="AX29" s="241">
        <f>SUM(H29,K29,N29)</f>
        <v/>
      </c>
      <c r="AY29" s="27">
        <f>SUM(I29,L29,O29)</f>
        <v/>
      </c>
      <c r="AZ29" s="28">
        <f>SUM(J29,M29,P29)</f>
        <v/>
      </c>
      <c r="BA29" s="241">
        <f>SUM(Q29,T29,W29)</f>
        <v/>
      </c>
      <c r="BB29" s="27">
        <f>SUM(R29,U29,X29)</f>
        <v/>
      </c>
      <c r="BC29" s="28">
        <f>SUM(S29,V29,Y29)</f>
        <v/>
      </c>
      <c r="BD29" s="241">
        <f>SUM(Z29,AC29,AF29)</f>
        <v/>
      </c>
      <c r="BE29" s="27">
        <f>SUM(AA29,AD29,AG29)</f>
        <v/>
      </c>
      <c r="BF29" s="28">
        <f>SUM(AB29,AE29,AH29)</f>
        <v/>
      </c>
      <c r="BG29" s="241">
        <f>SUM(AI29,AL29,AO29)</f>
        <v/>
      </c>
      <c r="BH29" s="27">
        <f>SUM(AJ29,AM29,AP29)</f>
        <v/>
      </c>
      <c r="BI29" s="28">
        <f>SUM(AK29,AN29,AQ29)</f>
        <v/>
      </c>
    </row>
    <row r="30" hidden="1" outlineLevel="1" customFormat="1" s="498">
      <c r="A30" s="22" t="inlineStr">
        <is>
          <t>ISS</t>
        </is>
      </c>
      <c r="B30" s="23" t="n"/>
      <c r="C30" s="24" t="inlineStr">
        <is>
          <t>Base Fiscal</t>
        </is>
      </c>
      <c r="D30" s="55" t="n"/>
      <c r="E30" s="55" t="n">
        <v>0.05</v>
      </c>
      <c r="F30" s="56" t="n"/>
      <c r="G30" s="23" t="n"/>
      <c r="H30" s="241" t="n"/>
      <c r="I30" s="27">
        <f>-SUMIFS(T_ORCAMENTOS!$E:$E,T_ORCAMENTOS!$C:$C,"ISS",T_ORCAMENTOS!$H:$H,"1/2026")</f>
        <v/>
      </c>
      <c r="J30" s="28">
        <f>-Fiscal!D20+SUMIFS(Aut_Ajustes_Manuais!$G:$G,Aut_Ajustes_Manuais!$I:$I,DRE!H$4,Aut_Ajustes_Manuais!$F:$F,"ISS")</f>
        <v/>
      </c>
      <c r="K30" s="241" t="n"/>
      <c r="L30" s="27">
        <f>-SUMIFS(T_ORCAMENTOS!$E:$E,T_ORCAMENTOS!$C:$C,"ISS",T_ORCAMENTOS!$H:$H,"2/2026")</f>
        <v/>
      </c>
      <c r="M30" s="28">
        <f>-Fiscal!E20+SUMIFS(Aut_Ajustes_Manuais!$G:$G,Aut_Ajustes_Manuais!$I:$I,DRE!K$4,Aut_Ajustes_Manuais!$F:$F,"ISS")</f>
        <v/>
      </c>
      <c r="N30" s="241" t="n"/>
      <c r="O30" s="27">
        <f>-SUMIFS(T_ORCAMENTOS!$E:$E,T_ORCAMENTOS!$C:$C,"ISS",T_ORCAMENTOS!$H:$H,"3/2026")</f>
        <v/>
      </c>
      <c r="P30" s="28">
        <f>-Fiscal!F20+SUMIFS(Aut_Ajustes_Manuais!$G:$G,Aut_Ajustes_Manuais!$I:$I,DRE!N$4,Aut_Ajustes_Manuais!$F:$F,"ISS")</f>
        <v/>
      </c>
      <c r="Q30" s="241" t="n"/>
      <c r="R30" s="27">
        <f>-SUMIFS(T_ORCAMENTOS!$E:$E,T_ORCAMENTOS!$C:$C,"ISS",T_ORCAMENTOS!$H:$H,"4/2026")</f>
        <v/>
      </c>
      <c r="S30" s="28">
        <f>-Fiscal!H20+SUMIFS(Aut_Ajustes_Manuais!$G:$G,Aut_Ajustes_Manuais!$I:$I,DRE!Q$4,Aut_Ajustes_Manuais!$F:$F,"ISS")</f>
        <v/>
      </c>
      <c r="T30" s="241" t="n"/>
      <c r="U30" s="27">
        <f>-SUMIFS(T_ORCAMENTOS!$E:$E,T_ORCAMENTOS!$C:$C,"ISS",T_ORCAMENTOS!$H:$H,"5/2026")</f>
        <v/>
      </c>
      <c r="V30" s="28">
        <f>-Fiscal!I20+SUMIFS(Aut_Ajustes_Manuais!$G:$G,Aut_Ajustes_Manuais!$I:$I,DRE!T$4,Aut_Ajustes_Manuais!$F:$F,"ISS")</f>
        <v/>
      </c>
      <c r="W30" s="241" t="n"/>
      <c r="X30" s="27">
        <f>-SUMIFS(T_ORCAMENTOS!$E:$E,T_ORCAMENTOS!$C:$C,"ISS",T_ORCAMENTOS!$H:$H,"6/2026")</f>
        <v/>
      </c>
      <c r="Y30" s="28">
        <f>-Fiscal!J20+SUMIFS(Aut_Ajustes_Manuais!$G:$G,Aut_Ajustes_Manuais!$I:$I,DRE!W$4,Aut_Ajustes_Manuais!$F:$F,"ISS")</f>
        <v/>
      </c>
      <c r="Z30" s="241" t="n"/>
      <c r="AA30" s="27">
        <f>-SUMIFS(T_ORCAMENTOS!$E:$E,T_ORCAMENTOS!$C:$C,"ISS",T_ORCAMENTOS!$H:$H,"7/2026")</f>
        <v/>
      </c>
      <c r="AB30" s="28">
        <f>-Fiscal!L20+SUMIFS(Aut_Ajustes_Manuais!$G:$G,Aut_Ajustes_Manuais!$I:$I,DRE!Z$4,Aut_Ajustes_Manuais!$F:$F,"ISS")</f>
        <v/>
      </c>
      <c r="AC30" s="241" t="n"/>
      <c r="AD30" s="27">
        <f>-SUMIFS(T_ORCAMENTOS!$E:$E,T_ORCAMENTOS!$C:$C,"ISS",T_ORCAMENTOS!$H:$H,"8/2026")</f>
        <v/>
      </c>
      <c r="AE30" s="28">
        <f>-Fiscal!M20+SUMIFS(Aut_Ajustes_Manuais!$G:$G,Aut_Ajustes_Manuais!$I:$I,DRE!AC$4,Aut_Ajustes_Manuais!$F:$F,"ISS")</f>
        <v/>
      </c>
      <c r="AF30" s="241" t="n"/>
      <c r="AG30" s="27">
        <f>-SUMIFS(T_ORCAMENTOS!$E:$E,T_ORCAMENTOS!$C:$C,"ISS",T_ORCAMENTOS!$H:$H,"9/2026")</f>
        <v/>
      </c>
      <c r="AH30" s="28">
        <f>-Fiscal!N20+SUMIFS(Aut_Ajustes_Manuais!$G:$G,Aut_Ajustes_Manuais!$I:$I,DRE!AF$4,Aut_Ajustes_Manuais!$F:$F,"ISS")</f>
        <v/>
      </c>
      <c r="AI30" s="241" t="n"/>
      <c r="AJ30" s="27">
        <f>-SUMIFS(T_ORCAMENTOS!$E:$E,T_ORCAMENTOS!$C:$C,"ISS",T_ORCAMENTOS!$H:$H,"10/2026")</f>
        <v/>
      </c>
      <c r="AK30" s="28">
        <f>-Fiscal!P20+SUMIFS(Aut_Ajustes_Manuais!$G:$G,Aut_Ajustes_Manuais!$I:$I,DRE!AI$4,Aut_Ajustes_Manuais!$F:$F,"ISS")</f>
        <v/>
      </c>
      <c r="AL30" s="241" t="n"/>
      <c r="AM30" s="27">
        <f>-SUMIFS(T_ORCAMENTOS!$E:$E,T_ORCAMENTOS!$C:$C,"ISS",T_ORCAMENTOS!$H:$H,"11/2026")</f>
        <v/>
      </c>
      <c r="AN30" s="28">
        <f>-Fiscal!Q20+SUMIFS(Aut_Ajustes_Manuais!$G:$G,Aut_Ajustes_Manuais!$I:$I,DRE!AL$4,Aut_Ajustes_Manuais!$F:$F,"ISS")</f>
        <v/>
      </c>
      <c r="AO30" s="241" t="n"/>
      <c r="AP30" s="27">
        <f>-SUMIFS(T_ORCAMENTOS!$E:$E,T_ORCAMENTOS!$C:$C,"ISS",T_ORCAMENTOS!$H:$H,"12/2026")</f>
        <v/>
      </c>
      <c r="AQ30" s="28">
        <f>-Fiscal!R20+SUMIFS(Aut_Ajustes_Manuais!$G:$G,Aut_Ajustes_Manuais!$I:$I,DRE!AO$4,Aut_Ajustes_Manuais!$F:$F,"ISS")</f>
        <v/>
      </c>
      <c r="AR30" s="241">
        <f>SUMIFS($H30:$AO30,$H$5:$AO$5,"&lt;"&amp;MONTH(TODAY()),$H$6:$AO$6,"REAL 25")</f>
        <v/>
      </c>
      <c r="AS30" s="27">
        <f>SUMIFS($I30:$AP30,$I$5:$AP$5,"&lt;"&amp;MONTH(TODAY()),$I$6:$AP$6,"ORÇADO ")</f>
        <v/>
      </c>
      <c r="AT30" s="28">
        <f>SUMIFS($J30:$AQ30,$J$5:$AQ$5,"&lt;"&amp;MONTH(TODAY()),$J$6:$AQ$6,"REAL 26")</f>
        <v/>
      </c>
      <c r="AU30" s="241">
        <f>SUM(H30,K30,N30,Q30,T30,W30,Z30,AC30,AF30,AI30,AL30,AO30)</f>
        <v/>
      </c>
      <c r="AV30" s="27">
        <f>SUM(I30,L30,O30,R30,U30,X30,AA30,AD30,AG30,AJ30,AM30,AP30)</f>
        <v/>
      </c>
      <c r="AW30" s="28">
        <f>SUM(J30,M30,P30,S30,V30,Y30,AB30,AE30,AH30,AK30,AN30,AQ30)</f>
        <v/>
      </c>
      <c r="AX30" s="241">
        <f>SUM(H30,K30,N30)</f>
        <v/>
      </c>
      <c r="AY30" s="27">
        <f>SUM(I30,L30,O30)</f>
        <v/>
      </c>
      <c r="AZ30" s="28">
        <f>SUM(J30,M30,P30)</f>
        <v/>
      </c>
      <c r="BA30" s="241">
        <f>SUM(Q30,T30,W30)</f>
        <v/>
      </c>
      <c r="BB30" s="27">
        <f>SUM(R30,U30,X30)</f>
        <v/>
      </c>
      <c r="BC30" s="28">
        <f>SUM(S30,V30,Y30)</f>
        <v/>
      </c>
      <c r="BD30" s="241">
        <f>SUM(Z30,AC30,AF30)</f>
        <v/>
      </c>
      <c r="BE30" s="27">
        <f>SUM(AA30,AD30,AG30)</f>
        <v/>
      </c>
      <c r="BF30" s="28">
        <f>SUM(AB30,AE30,AH30)</f>
        <v/>
      </c>
      <c r="BG30" s="241">
        <f>SUM(AI30,AL30,AO30)</f>
        <v/>
      </c>
      <c r="BH30" s="27">
        <f>SUM(AJ30,AM30,AP30)</f>
        <v/>
      </c>
      <c r="BI30" s="28">
        <f>SUM(AK30,AN30,AQ30)</f>
        <v/>
      </c>
    </row>
    <row r="31" collapsed="1">
      <c r="A31" s="18" t="n"/>
      <c r="E31" s="16" t="n"/>
      <c r="F31" s="17" t="n"/>
      <c r="H31" s="247" t="n"/>
      <c r="I31" s="17" t="n"/>
      <c r="J31" s="57" t="n"/>
      <c r="K31" s="247" t="n"/>
      <c r="L31" s="17" t="n"/>
      <c r="M31" s="57" t="n"/>
      <c r="N31" s="247" t="n"/>
      <c r="O31" s="17" t="n"/>
      <c r="P31" s="57" t="n"/>
      <c r="Q31" s="247" t="n"/>
      <c r="R31" s="17" t="n"/>
      <c r="S31" s="57" t="n"/>
      <c r="T31" s="247" t="n"/>
      <c r="U31" s="17" t="n"/>
      <c r="V31" s="57" t="n"/>
      <c r="W31" s="247" t="n"/>
      <c r="X31" s="17" t="n"/>
      <c r="Y31" s="57" t="n"/>
      <c r="Z31" s="247" t="n"/>
      <c r="AA31" s="17" t="n"/>
      <c r="AB31" s="57" t="n"/>
      <c r="AC31" s="247" t="n"/>
      <c r="AD31" s="17" t="n"/>
      <c r="AE31" s="57" t="n"/>
      <c r="AF31" s="247" t="n"/>
      <c r="AG31" s="17" t="n"/>
      <c r="AH31" s="57" t="n"/>
      <c r="AI31" s="247" t="n"/>
      <c r="AJ31" s="17" t="n"/>
      <c r="AK31" s="57" t="n"/>
      <c r="AL31" s="247" t="n"/>
      <c r="AM31" s="17" t="n"/>
      <c r="AN31" s="57" t="n"/>
      <c r="AO31" s="247" t="n"/>
      <c r="AP31" s="17" t="n"/>
      <c r="AQ31" s="57" t="n"/>
      <c r="AR31" s="247" t="n"/>
      <c r="AS31" s="17" t="n"/>
      <c r="AT31" s="57" t="n"/>
      <c r="AU31" s="247" t="n"/>
      <c r="AV31" s="17" t="n"/>
      <c r="AW31" s="57" t="n"/>
      <c r="AX31" s="247" t="n"/>
      <c r="AY31" s="17" t="n"/>
      <c r="AZ31" s="57" t="n"/>
      <c r="BA31" s="247" t="n"/>
      <c r="BB31" s="17" t="n"/>
      <c r="BC31" s="57" t="n"/>
      <c r="BD31" s="247" t="n"/>
      <c r="BE31" s="17" t="n"/>
      <c r="BF31" s="57" t="n"/>
      <c r="BG31" s="247" t="n"/>
      <c r="BH31" s="17" t="n"/>
      <c r="BI31" s="57" t="n"/>
    </row>
    <row r="32">
      <c r="A32" s="58" t="inlineStr">
        <is>
          <t>RECEITA LÍQUIDA</t>
        </is>
      </c>
      <c r="B32" s="59" t="n"/>
      <c r="C32" s="60" t="n"/>
      <c r="D32" s="61" t="n"/>
      <c r="E32" s="62" t="n"/>
      <c r="F32" s="63" t="n"/>
      <c r="G32" s="59" t="n"/>
      <c r="H32" s="248" t="n"/>
      <c r="I32" s="64">
        <f>SUM(I27,I21,I8)</f>
        <v/>
      </c>
      <c r="J32" s="65">
        <f>SUM(J27,J21,J8)+SUMIFS(Aut_Ajustes_Manuais!$G:$G,Aut_Ajustes_Manuais!$I:$I,DRE!H$4,Aut_Ajustes_Manuais!$F:$F,"RECEITA LÍQUIDA")</f>
        <v/>
      </c>
      <c r="K32" s="248" t="n"/>
      <c r="L32" s="64">
        <f>SUM(L27,L21,L8)</f>
        <v/>
      </c>
      <c r="M32" s="65">
        <f>SUM(M27,M21,M8)+SUMIFS(Aut_Ajustes_Manuais!$G:$G,Aut_Ajustes_Manuais!$I:$I,DRE!K$4,Aut_Ajustes_Manuais!$F:$F,"RECEITA LÍQUIDA")</f>
        <v/>
      </c>
      <c r="N32" s="248" t="n"/>
      <c r="O32" s="64">
        <f>SUM(O27,O21,O8)</f>
        <v/>
      </c>
      <c r="P32" s="65">
        <f>SUM(P27,P21,P8)+SUMIFS(Aut_Ajustes_Manuais!$G:$G,Aut_Ajustes_Manuais!$I:$I,DRE!N$4,Aut_Ajustes_Manuais!$F:$F,"RECEITA LÍQUIDA")</f>
        <v/>
      </c>
      <c r="Q32" s="248" t="n"/>
      <c r="R32" s="64">
        <f>SUM(R27,R21,R8)</f>
        <v/>
      </c>
      <c r="S32" s="65">
        <f>SUM(S27,S21,S8)+SUMIFS(Aut_Ajustes_Manuais!$G:$G,Aut_Ajustes_Manuais!$I:$I,DRE!Q$4,Aut_Ajustes_Manuais!$F:$F,"RECEITA LÍQUIDA")</f>
        <v/>
      </c>
      <c r="T32" s="248" t="n"/>
      <c r="U32" s="64">
        <f>SUM(U27,U21,U8)</f>
        <v/>
      </c>
      <c r="V32" s="65">
        <f>SUM(V27,V21,V8)+SUMIFS(Aut_Ajustes_Manuais!$G:$G,Aut_Ajustes_Manuais!$I:$I,DRE!T$4,Aut_Ajustes_Manuais!$F:$F,"RECEITA LÍQUIDA")</f>
        <v/>
      </c>
      <c r="W32" s="248" t="n"/>
      <c r="X32" s="64">
        <f>SUM(X27,X21,X8)</f>
        <v/>
      </c>
      <c r="Y32" s="65">
        <f>SUM(Y27,Y21,Y8)+SUMIFS(Aut_Ajustes_Manuais!$G:$G,Aut_Ajustes_Manuais!$I:$I,DRE!W$4,Aut_Ajustes_Manuais!$F:$F,"RECEITA LÍQUIDA")</f>
        <v/>
      </c>
      <c r="Z32" s="248" t="n"/>
      <c r="AA32" s="64">
        <f>SUM(AA27,AA21,AA8)</f>
        <v/>
      </c>
      <c r="AB32" s="65">
        <f>SUM(AB27,AB21,AB8)+SUMIFS(Aut_Ajustes_Manuais!$G:$G,Aut_Ajustes_Manuais!$I:$I,DRE!Z$4,Aut_Ajustes_Manuais!$F:$F,"RECEITA LÍQUIDA")</f>
        <v/>
      </c>
      <c r="AC32" s="248" t="n"/>
      <c r="AD32" s="64">
        <f>SUM(AD27,AD21,AD8)</f>
        <v/>
      </c>
      <c r="AE32" s="65">
        <f>SUM(AE27,AE21,AE8)+SUMIFS(Aut_Ajustes_Manuais!$G:$G,Aut_Ajustes_Manuais!$I:$I,DRE!AC$4,Aut_Ajustes_Manuais!$F:$F,"RECEITA LÍQUIDA")</f>
        <v/>
      </c>
      <c r="AF32" s="248" t="n"/>
      <c r="AG32" s="64">
        <f>SUM(AG27,AG21,AG8)</f>
        <v/>
      </c>
      <c r="AH32" s="65">
        <f>SUM(AH27,AH21,AH8)+SUMIFS(Aut_Ajustes_Manuais!$G:$G,Aut_Ajustes_Manuais!$I:$I,DRE!AF$4,Aut_Ajustes_Manuais!$F:$F,"RECEITA LÍQUIDA")</f>
        <v/>
      </c>
      <c r="AI32" s="248" t="n"/>
      <c r="AJ32" s="64">
        <f>SUM(AJ27,AJ21,AJ8)</f>
        <v/>
      </c>
      <c r="AK32" s="65">
        <f>SUM(AK27,AK21,AK8)+SUMIFS(Aut_Ajustes_Manuais!$G:$G,Aut_Ajustes_Manuais!$I:$I,DRE!AI$4,Aut_Ajustes_Manuais!$F:$F,"RECEITA LÍQUIDA")</f>
        <v/>
      </c>
      <c r="AL32" s="248" t="n"/>
      <c r="AM32" s="64">
        <f>SUM(AM27,AM21,AM8)</f>
        <v/>
      </c>
      <c r="AN32" s="65">
        <f>SUM(AN27,AN21,AN8)+SUMIFS(Aut_Ajustes_Manuais!$G:$G,Aut_Ajustes_Manuais!$I:$I,DRE!AL$4,Aut_Ajustes_Manuais!$F:$F,"RECEITA LÍQUIDA")</f>
        <v/>
      </c>
      <c r="AO32" s="248" t="n"/>
      <c r="AP32" s="64">
        <f>SUM(AP27,AP21,AP8)</f>
        <v/>
      </c>
      <c r="AQ32" s="65">
        <f>SUM(AQ27,AQ21,AQ8)+SUMIFS(Aut_Ajustes_Manuais!$G:$G,Aut_Ajustes_Manuais!$I:$I,DRE!AO$4,Aut_Ajustes_Manuais!$F:$F,"RECEITA LÍQUIDA")</f>
        <v/>
      </c>
      <c r="AR32" s="248">
        <f>SUM(AR27,AR21,AR8)</f>
        <v/>
      </c>
      <c r="AS32" s="64">
        <f>SUM(AS27,AS21,AS8)</f>
        <v/>
      </c>
      <c r="AT32" s="65">
        <f>SUM(AT27,AT21,AT8)</f>
        <v/>
      </c>
      <c r="AU32" s="248">
        <f>SUM(AU27,AU21,AU8)</f>
        <v/>
      </c>
      <c r="AV32" s="64">
        <f>SUM(AV27,AV21,AV8)</f>
        <v/>
      </c>
      <c r="AW32" s="65">
        <f>SUM(AW27,AW21,AW8)</f>
        <v/>
      </c>
      <c r="AX32" s="248">
        <f>SUM(AX27,AX21,AX8)</f>
        <v/>
      </c>
      <c r="AY32" s="64">
        <f>SUM(AY27,AY21,AY8)</f>
        <v/>
      </c>
      <c r="AZ32" s="65">
        <f>SUM(AZ27,AZ21,AZ8)</f>
        <v/>
      </c>
      <c r="BA32" s="248">
        <f>SUM(BA27,BA21,BA8)</f>
        <v/>
      </c>
      <c r="BB32" s="64">
        <f>SUM(BB27,BB21,BB8)</f>
        <v/>
      </c>
      <c r="BC32" s="65">
        <f>SUM(BC27,BC21,BC8)</f>
        <v/>
      </c>
      <c r="BD32" s="248">
        <f>SUM(BD27,BD21,BD8)</f>
        <v/>
      </c>
      <c r="BE32" s="64">
        <f>SUM(BE27,BE21,BE8)</f>
        <v/>
      </c>
      <c r="BF32" s="65">
        <f>SUM(BF27,BF21,BF8)</f>
        <v/>
      </c>
      <c r="BG32" s="248">
        <f>SUM(BG27,BG21,BG8)</f>
        <v/>
      </c>
      <c r="BH32" s="64">
        <f>SUM(BH27,BH21,BH8)</f>
        <v/>
      </c>
      <c r="BI32" s="65">
        <f>SUM(BI27,BI21,BI8)</f>
        <v/>
      </c>
    </row>
    <row r="33">
      <c r="A33" s="18" t="n"/>
      <c r="E33" s="16" t="n"/>
      <c r="F33" s="17" t="n"/>
      <c r="H33" s="249" t="n"/>
      <c r="I33" s="66" t="n"/>
      <c r="J33" s="267">
        <f>I39*J2</f>
        <v/>
      </c>
      <c r="K33" s="249" t="n"/>
      <c r="L33" s="66" t="n"/>
      <c r="M33" s="267">
        <f>L39*M2</f>
        <v/>
      </c>
      <c r="N33" s="249" t="n"/>
      <c r="O33" s="66" t="n"/>
      <c r="P33" s="267">
        <f>O39*P2</f>
        <v/>
      </c>
      <c r="Q33" s="249" t="n"/>
      <c r="R33" s="66" t="n"/>
      <c r="S33" s="250" t="n"/>
      <c r="T33" s="249" t="n"/>
      <c r="U33" s="66" t="n"/>
      <c r="V33" s="250" t="n"/>
      <c r="W33" s="249" t="n"/>
      <c r="X33" s="66" t="n"/>
      <c r="Y33" s="250" t="n"/>
      <c r="Z33" s="249" t="n"/>
      <c r="AA33" s="66" t="n"/>
      <c r="AB33" s="250" t="n"/>
      <c r="AC33" s="249" t="n"/>
      <c r="AD33" s="66" t="n"/>
      <c r="AE33" s="250" t="n"/>
      <c r="AF33" s="249" t="n"/>
      <c r="AG33" s="66" t="n"/>
      <c r="AH33" s="250" t="n"/>
      <c r="AI33" s="249" t="n"/>
      <c r="AJ33" s="66" t="n"/>
      <c r="AK33" s="250" t="n"/>
      <c r="AL33" s="249" t="n"/>
      <c r="AM33" s="66" t="n"/>
      <c r="AN33" s="250" t="n"/>
      <c r="AO33" s="249" t="n"/>
      <c r="AP33" s="66" t="n"/>
      <c r="AQ33" s="250" t="n"/>
      <c r="AR33" s="249" t="n"/>
      <c r="AS33" s="66" t="n"/>
      <c r="AT33" s="250" t="n"/>
      <c r="AU33" s="249" t="n"/>
      <c r="AV33" s="66" t="n"/>
      <c r="AW33" s="250" t="n"/>
      <c r="AX33" s="249" t="n"/>
      <c r="AY33" s="66" t="n"/>
      <c r="AZ33" s="250" t="n"/>
      <c r="BA33" s="249" t="n"/>
      <c r="BB33" s="66" t="n"/>
      <c r="BC33" s="250" t="n"/>
      <c r="BD33" s="249" t="n"/>
      <c r="BE33" s="66" t="n"/>
      <c r="BF33" s="250" t="n"/>
      <c r="BG33" s="249" t="n"/>
      <c r="BH33" s="66" t="n"/>
      <c r="BI33" s="250" t="n"/>
    </row>
    <row r="34">
      <c r="A34" s="39" t="inlineStr">
        <is>
          <t>(-) Custo Mercadoria Vendida</t>
        </is>
      </c>
      <c r="C34" s="40" t="inlineStr">
        <is>
          <t>Premissas</t>
        </is>
      </c>
      <c r="D34" s="40" t="inlineStr">
        <is>
          <t>Valores</t>
        </is>
      </c>
      <c r="E34" s="40" t="inlineStr">
        <is>
          <t>% Incid</t>
        </is>
      </c>
      <c r="F34" s="487" t="n"/>
      <c r="H34" s="251" t="n"/>
      <c r="I34" s="67">
        <f>SUM(I35:I38)</f>
        <v/>
      </c>
      <c r="J34" s="67">
        <f>SUM(J35:J38)+SUMIFS(Aut_Ajustes_Manuais!$G:$G,Aut_Ajustes_Manuais!$I:$I,DRE!H$4,Aut_Ajustes_Manuais!$F:$F,"(-) Custo Mercadoria Vendida")</f>
        <v/>
      </c>
      <c r="K34" s="251" t="n"/>
      <c r="L34" s="67">
        <f>SUM(L35:L38)</f>
        <v/>
      </c>
      <c r="M34" s="67">
        <f>SUM(M35:M38)+SUMIFS(Aut_Ajustes_Manuais!$G:$G,Aut_Ajustes_Manuais!$I:$I,DRE!K$4,Aut_Ajustes_Manuais!$F:$F,"(-) Custo Mercadoria Vendida")</f>
        <v/>
      </c>
      <c r="N34" s="251" t="n"/>
      <c r="O34" s="67">
        <f>SUM(O35:O38)</f>
        <v/>
      </c>
      <c r="P34" s="67">
        <f>SUM(P35:P38)+SUMIFS(Aut_Ajustes_Manuais!$G:$G,Aut_Ajustes_Manuais!$I:$I,DRE!N$4,Aut_Ajustes_Manuais!$F:$F,"(-) Custo Mercadoria Vendida")</f>
        <v/>
      </c>
      <c r="Q34" s="251" t="n"/>
      <c r="R34" s="67">
        <f>SUM(R35:R38)</f>
        <v/>
      </c>
      <c r="S34" s="67">
        <f>SUM(S35:S38)+SUMIFS(Aut_Ajustes_Manuais!$G:$G,Aut_Ajustes_Manuais!$I:$I,DRE!Q$4,Aut_Ajustes_Manuais!$F:$F,"(-) Custo Mercadoria Vendida")</f>
        <v/>
      </c>
      <c r="T34" s="251" t="n"/>
      <c r="U34" s="67">
        <f>SUM(U35:U38)</f>
        <v/>
      </c>
      <c r="V34" s="68">
        <f>SUM(V35:V38)+SUMIFS(Aut_Ajustes_Manuais!$G:$G,Aut_Ajustes_Manuais!$I:$I,DRE!T$4,Aut_Ajustes_Manuais!$F:$F,"(-) Custo Mercadoria Vendida")</f>
        <v/>
      </c>
      <c r="W34" s="251" t="n"/>
      <c r="X34" s="67">
        <f>SUM(X35:X38)</f>
        <v/>
      </c>
      <c r="Y34" s="68">
        <f>SUM(Y35:Y38)+SUMIFS(Aut_Ajustes_Manuais!$G:$G,Aut_Ajustes_Manuais!$I:$I,DRE!W$4,Aut_Ajustes_Manuais!$F:$F,"(-) Custo Mercadoria Vendida")</f>
        <v/>
      </c>
      <c r="Z34" s="251" t="n"/>
      <c r="AA34" s="67">
        <f>SUM(AA35:AA38)</f>
        <v/>
      </c>
      <c r="AB34" s="68">
        <f>SUM(AB35:AB38)+SUMIFS(Aut_Ajustes_Manuais!$G:$G,Aut_Ajustes_Manuais!$I:$I,DRE!Z$4,Aut_Ajustes_Manuais!$F:$F,"(-) Custo Mercadoria Vendida")</f>
        <v/>
      </c>
      <c r="AC34" s="251" t="n"/>
      <c r="AD34" s="67">
        <f>SUM(AD35:AD38)</f>
        <v/>
      </c>
      <c r="AE34" s="68">
        <f>SUM(AE35:AE38)+SUMIFS(Aut_Ajustes_Manuais!$G:$G,Aut_Ajustes_Manuais!$I:$I,DRE!AC$4,Aut_Ajustes_Manuais!$F:$F,"(-) Custo Mercadoria Vendida")</f>
        <v/>
      </c>
      <c r="AF34" s="251" t="n"/>
      <c r="AG34" s="67">
        <f>SUM(AG35:AG38)</f>
        <v/>
      </c>
      <c r="AH34" s="68">
        <f>SUM(AH35:AH38)+SUMIFS(Aut_Ajustes_Manuais!$G:$G,Aut_Ajustes_Manuais!$I:$I,DRE!AF$4,Aut_Ajustes_Manuais!$F:$F,"(-) Custo Mercadoria Vendida")</f>
        <v/>
      </c>
      <c r="AI34" s="251" t="n"/>
      <c r="AJ34" s="67">
        <f>SUM(AJ35:AJ38)</f>
        <v/>
      </c>
      <c r="AK34" s="68">
        <f>SUM(AK35:AK38)+SUMIFS(Aut_Ajustes_Manuais!$G:$G,Aut_Ajustes_Manuais!$I:$I,DRE!AI$4,Aut_Ajustes_Manuais!$F:$F,"(-) Custo Mercadoria Vendida")</f>
        <v/>
      </c>
      <c r="AL34" s="251" t="n"/>
      <c r="AM34" s="67">
        <f>SUM(AM35:AM38)</f>
        <v/>
      </c>
      <c r="AN34" s="68">
        <f>SUM(AN35:AN38)+SUMIFS(Aut_Ajustes_Manuais!$G:$G,Aut_Ajustes_Manuais!$I:$I,DRE!AL$4,Aut_Ajustes_Manuais!$F:$F,"(-) Custo Mercadoria Vendida")</f>
        <v/>
      </c>
      <c r="AO34" s="251" t="n"/>
      <c r="AP34" s="67">
        <f>SUM(AP35:AP38)</f>
        <v/>
      </c>
      <c r="AQ34" s="68">
        <f>SUM(AQ35:AQ38)+SUMIFS(Aut_Ajustes_Manuais!$G:$G,Aut_Ajustes_Manuais!$I:$I,DRE!AO$4,Aut_Ajustes_Manuais!$F:$F,"(-) Custo Mercadoria Vendida")</f>
        <v/>
      </c>
      <c r="AR34" s="251">
        <f>SUM(AR35:AR38)</f>
        <v/>
      </c>
      <c r="AS34" s="67">
        <f>SUM(AS35:AS38)</f>
        <v/>
      </c>
      <c r="AT34" s="67">
        <f>SUM(AT35:AT38)</f>
        <v/>
      </c>
      <c r="AU34" s="251">
        <f>SUM(AU35:AU38)</f>
        <v/>
      </c>
      <c r="AV34" s="67">
        <f>SUM(AV35:AV38)</f>
        <v/>
      </c>
      <c r="AW34" s="68">
        <f>SUM(AW35:AW38)</f>
        <v/>
      </c>
      <c r="AX34" s="251">
        <f>SUM(AX35:AX38)</f>
        <v/>
      </c>
      <c r="AY34" s="67">
        <f>SUM(AY35:AY38)</f>
        <v/>
      </c>
      <c r="AZ34" s="68">
        <f>SUM(AZ35:AZ38)</f>
        <v/>
      </c>
      <c r="BA34" s="251">
        <f>SUM(BA35:BA38)</f>
        <v/>
      </c>
      <c r="BB34" s="67">
        <f>SUM(BB35:BB38)</f>
        <v/>
      </c>
      <c r="BC34" s="68">
        <f>SUM(BC35:BC38)</f>
        <v/>
      </c>
      <c r="BD34" s="251">
        <f>SUM(BD35:BD38)</f>
        <v/>
      </c>
      <c r="BE34" s="67">
        <f>SUM(BE35:BE38)</f>
        <v/>
      </c>
      <c r="BF34" s="68">
        <f>SUM(BF35:BF38)</f>
        <v/>
      </c>
      <c r="BG34" s="251">
        <f>SUM(BG35:BG38)</f>
        <v/>
      </c>
      <c r="BH34" s="67">
        <f>SUM(BH35:BH38)</f>
        <v/>
      </c>
      <c r="BI34" s="68">
        <f>SUM(BI35:BI38)</f>
        <v/>
      </c>
    </row>
    <row r="35" hidden="1" outlineLevel="1" customFormat="1" s="498">
      <c r="A35" s="22" t="inlineStr">
        <is>
          <t>Alimentação D</t>
        </is>
      </c>
      <c r="B35" s="488" t="n"/>
      <c r="C35" s="24" t="inlineStr">
        <is>
          <t xml:space="preserve">Estim. Mensal </t>
        </is>
      </c>
      <c r="D35" s="69" t="n"/>
      <c r="E35" s="70" t="n">
        <v>0.33</v>
      </c>
      <c r="F35" s="497" t="n"/>
      <c r="H35" s="241" t="n"/>
      <c r="I35" s="27">
        <f>-SUMIFS(T_ORCAMENTOS!$E:$E,T_ORCAMENTOS!$C:$C,"Insumos - Alimentos",T_ORCAMENTOS!$H:$H,"1/2026")</f>
        <v/>
      </c>
      <c r="J35" s="28">
        <f>-CMV_Manual!D22+SUMIFS(Aut_Ajustes_Manuais!$G:$G,Aut_Ajustes_Manuais!$I:$I,DRE!H$4,Aut_Ajustes_Manuais!$F:$F,"Insumos - Alimentos")</f>
        <v/>
      </c>
      <c r="K35" s="241" t="n"/>
      <c r="L35" s="27">
        <f>-SUMIFS(T_ORCAMENTOS!$E:$E,T_ORCAMENTOS!$C:$C,"Insumos - Alimentos",T_ORCAMENTOS!$H:$H,"2/2026")</f>
        <v/>
      </c>
      <c r="M35" s="28">
        <f>-CMV_Manual!E22+SUMIFS(Aut_Ajustes_Manuais!$G:$G,Aut_Ajustes_Manuais!$I:$I,DRE!K$4,Aut_Ajustes_Manuais!$F:$F,"Insumos - Alimentos")</f>
        <v/>
      </c>
      <c r="N35" s="241" t="n"/>
      <c r="O35" s="27">
        <f>-SUMIFS(T_ORCAMENTOS!$E:$E,T_ORCAMENTOS!$C:$C,"Insumos - Alimentos",T_ORCAMENTOS!$H:$H,"3/2026")</f>
        <v/>
      </c>
      <c r="P35" s="27">
        <f>-CMV_Manual!F22+SUMIFS(Aut_Ajustes_Manuais!$G:$G,Aut_Ajustes_Manuais!$I:$I,DRE!N$4,Aut_Ajustes_Manuais!$F:$F,"Insumos - Alimentos")</f>
        <v/>
      </c>
      <c r="Q35" s="241" t="n"/>
      <c r="R35" s="27">
        <f>-SUMIFS(T_ORCAMENTOS!$E:$E,T_ORCAMENTOS!$C:$C,"Insumos - Alimentos",T_ORCAMENTOS!$H:$H,"4/2026")</f>
        <v/>
      </c>
      <c r="S35" s="27">
        <f>-CMV_Manual!G22+SUMIFS(Aut_Ajustes_Manuais!$G:$G,Aut_Ajustes_Manuais!$I:$I,DRE!Q$4,Aut_Ajustes_Manuais!$F:$F,"Insumos - Alimentos")</f>
        <v/>
      </c>
      <c r="T35" s="241" t="n"/>
      <c r="U35" s="27">
        <f>-SUMIFS(T_ORCAMENTOS!$E:$E,T_ORCAMENTOS!$C:$C,"Insumos - Alimentos",T_ORCAMENTOS!$H:$H,"5/2026")</f>
        <v/>
      </c>
      <c r="V35" s="28">
        <f>-CMV_Manual!H22+SUMIFS(Aut_Ajustes_Manuais!$G:$G,Aut_Ajustes_Manuais!$I:$I,DRE!T$4,Aut_Ajustes_Manuais!$F:$F,"Insumos - Alimentos")</f>
        <v/>
      </c>
      <c r="W35" s="241" t="n"/>
      <c r="X35" s="27">
        <f>-SUMIFS(T_ORCAMENTOS!$E:$E,T_ORCAMENTOS!$C:$C,"Insumos - Alimentos",T_ORCAMENTOS!$H:$H,"6/2026")</f>
        <v/>
      </c>
      <c r="Y35" s="28">
        <f>-CMV_Manual!I22+SUMIFS(Aut_Ajustes_Manuais!$G:$G,Aut_Ajustes_Manuais!$I:$I,DRE!W$4,Aut_Ajustes_Manuais!$F:$F,"Insumos - Alimentos")</f>
        <v/>
      </c>
      <c r="Z35" s="241" t="n"/>
      <c r="AA35" s="27">
        <f>-SUMIFS(T_ORCAMENTOS!$E:$E,T_ORCAMENTOS!$C:$C,"Insumos - Alimentos",T_ORCAMENTOS!$H:$H,"7/2026")</f>
        <v/>
      </c>
      <c r="AB35" s="28">
        <f>-CMV_Manual!J22+SUMIFS(Aut_Ajustes_Manuais!$G:$G,Aut_Ajustes_Manuais!$I:$I,DRE!Z$4,Aut_Ajustes_Manuais!$F:$F,"Insumos - Alimentos")</f>
        <v/>
      </c>
      <c r="AC35" s="241" t="n"/>
      <c r="AD35" s="27">
        <f>-SUMIFS(T_ORCAMENTOS!$E:$E,T_ORCAMENTOS!$C:$C,"Insumos - Alimentos",T_ORCAMENTOS!$H:$H,"8/2026")</f>
        <v/>
      </c>
      <c r="AE35" s="28">
        <f>-CMV_Manual!K22+SUMIFS(Aut_Ajustes_Manuais!$G:$G,Aut_Ajustes_Manuais!$I:$I,DRE!AC$4,Aut_Ajustes_Manuais!$F:$F,"Insumos - Alimentos")</f>
        <v/>
      </c>
      <c r="AF35" s="241" t="n"/>
      <c r="AG35" s="27">
        <f>-SUMIFS(T_ORCAMENTOS!$E:$E,T_ORCAMENTOS!$C:$C,"Insumos - Alimentos",T_ORCAMENTOS!$H:$H,"9/2026")</f>
        <v/>
      </c>
      <c r="AH35" s="28">
        <f>-CMV_Manual!L22+SUMIFS(Aut_Ajustes_Manuais!$G:$G,Aut_Ajustes_Manuais!$I:$I,DRE!AF$4,Aut_Ajustes_Manuais!$F:$F,"Insumos - Alimentos")</f>
        <v/>
      </c>
      <c r="AI35" s="241" t="n"/>
      <c r="AJ35" s="27">
        <f>-SUMIFS(T_ORCAMENTOS!$E:$E,T_ORCAMENTOS!$C:$C,"Insumos - Alimentos",T_ORCAMENTOS!$H:$H,"10/2026")</f>
        <v/>
      </c>
      <c r="AK35" s="28">
        <f>-CMV_Manual!M22+SUMIFS(Aut_Ajustes_Manuais!$G:$G,Aut_Ajustes_Manuais!$I:$I,DRE!AI$4,Aut_Ajustes_Manuais!$F:$F,"Insumos - Alimentos")</f>
        <v/>
      </c>
      <c r="AL35" s="241" t="n"/>
      <c r="AM35" s="27">
        <f>-SUMIFS(T_ORCAMENTOS!$E:$E,T_ORCAMENTOS!$C:$C,"Insumos - Alimentos",T_ORCAMENTOS!$H:$H,"11/2026")</f>
        <v/>
      </c>
      <c r="AN35" s="28">
        <f>-CMV_Manual!N22+SUMIFS(Aut_Ajustes_Manuais!$G:$G,Aut_Ajustes_Manuais!$I:$I,DRE!AL$4,Aut_Ajustes_Manuais!$F:$F,"Insumos - Alimentos")</f>
        <v/>
      </c>
      <c r="AO35" s="241" t="n"/>
      <c r="AP35" s="27">
        <f>-SUMIFS(T_ORCAMENTOS!$E:$E,T_ORCAMENTOS!$C:$C,"Insumos - Alimentos",T_ORCAMENTOS!$H:$H,"12/2026")</f>
        <v/>
      </c>
      <c r="AQ35" s="28">
        <f>-CMV_Manual!O22+SUMIFS(Aut_Ajustes_Manuais!$G:$G,Aut_Ajustes_Manuais!$I:$I,DRE!AO$4,Aut_Ajustes_Manuais!$F:$F,"Insumos - Alimentos")</f>
        <v/>
      </c>
      <c r="AR35" s="241">
        <f>SUMIFS($H35:$AO35,$H$5:$AO$5,"&lt;"&amp;MONTH(TODAY()),$H$6:$AO$6,"REAL 25")</f>
        <v/>
      </c>
      <c r="AS35" s="27">
        <f>SUMIFS($I35:$AP35,$I$5:$AP$5,"&lt;"&amp;MONTH(TODAY()),$I$6:$AP$6,"ORÇADO ")</f>
        <v/>
      </c>
      <c r="AT35" s="28">
        <f>SUMIFS($J35:$AQ35,$J$5:$AQ$5,"&lt;"&amp;MONTH(TODAY()),$J$6:$AQ$6,"REAL 26")</f>
        <v/>
      </c>
      <c r="AU35" s="241">
        <f>SUM(H35,K35,N35,Q35,T35,W35,Z35,AC35,AF35,AI35,AL35,AO35)</f>
        <v/>
      </c>
      <c r="AV35" s="27">
        <f>SUM(I35,L35,O35,R35,U35,X35,AA35,AD35,AG35,AJ35,AM35,AP35)</f>
        <v/>
      </c>
      <c r="AW35" s="28">
        <f>SUM(J35,M35,P35,S35,V35,Y35,AB35,AE35,AH35,AK35,AN35,AQ35)</f>
        <v/>
      </c>
      <c r="AX35" s="241">
        <f>SUM(H35,K35,N35)</f>
        <v/>
      </c>
      <c r="AY35" s="27">
        <f>SUM(I35,L35,O35)</f>
        <v/>
      </c>
      <c r="AZ35" s="28">
        <f>SUM(J35,M35,P35)</f>
        <v/>
      </c>
      <c r="BA35" s="241">
        <f>SUM(Q35,T35,W35)</f>
        <v/>
      </c>
      <c r="BB35" s="27">
        <f>SUM(R35,U35,X35)</f>
        <v/>
      </c>
      <c r="BC35" s="28">
        <f>SUM(S35,V35,Y35)</f>
        <v/>
      </c>
      <c r="BD35" s="241">
        <f>SUM(Z35,AC35,AF35)</f>
        <v/>
      </c>
      <c r="BE35" s="27">
        <f>SUM(AA35,AD35,AG35)</f>
        <v/>
      </c>
      <c r="BF35" s="28">
        <f>SUM(AB35,AE35,AH35)</f>
        <v/>
      </c>
      <c r="BG35" s="241">
        <f>SUM(AI35,AL35,AO35)</f>
        <v/>
      </c>
      <c r="BH35" s="27">
        <f>SUM(AJ35,AM35,AP35)</f>
        <v/>
      </c>
      <c r="BI35" s="28">
        <f>SUM(AK35,AN35,AQ35)</f>
        <v/>
      </c>
    </row>
    <row r="36" hidden="1" outlineLevel="1" customFormat="1" s="498">
      <c r="A36" s="22" t="inlineStr">
        <is>
          <t>Bebida D</t>
        </is>
      </c>
      <c r="B36" s="488" t="n"/>
      <c r="C36" s="24" t="inlineStr">
        <is>
          <t xml:space="preserve">Estim. Mensal </t>
        </is>
      </c>
      <c r="D36" s="69" t="n"/>
      <c r="E36" s="70" t="n">
        <v>0.18</v>
      </c>
      <c r="F36" s="497" t="n"/>
      <c r="H36" s="241" t="n"/>
      <c r="I36" s="27">
        <f>-SUMIFS(T_ORCAMENTOS!$E:$E,T_ORCAMENTOS!$C:$C,"Insumos - Bebidas",T_ORCAMENTOS!$H:$H,"1/2026")</f>
        <v/>
      </c>
      <c r="J36" s="28">
        <f>-CMV_Manual!D23+SUMIFS(Aut_Ajustes_Manuais!$G:$G,Aut_Ajustes_Manuais!$I:$I,DRE!H$4,Aut_Ajustes_Manuais!$F:$F,"Insumos - Bebidas")</f>
        <v/>
      </c>
      <c r="K36" s="241" t="n"/>
      <c r="L36" s="27">
        <f>-SUMIFS(T_ORCAMENTOS!$E:$E,T_ORCAMENTOS!$C:$C,"Insumos - Bebidas",T_ORCAMENTOS!$H:$H,"2/2026")</f>
        <v/>
      </c>
      <c r="M36" s="28">
        <f>-CMV_Manual!E23+SUMIFS(Aut_Ajustes_Manuais!$G:$G,Aut_Ajustes_Manuais!$I:$I,DRE!K$4,Aut_Ajustes_Manuais!$F:$F,"Insumos - Bebidas")</f>
        <v/>
      </c>
      <c r="N36" s="241" t="n"/>
      <c r="O36" s="27">
        <f>-SUMIFS(T_ORCAMENTOS!$E:$E,T_ORCAMENTOS!$C:$C,"Insumos - Bebidas",T_ORCAMENTOS!$H:$H,"3/2026")</f>
        <v/>
      </c>
      <c r="P36" s="27">
        <f>-CMV_Manual!F23+SUMIFS(Aut_Ajustes_Manuais!$G:$G,Aut_Ajustes_Manuais!$I:$I,DRE!N$4,Aut_Ajustes_Manuais!$F:$F,"Insumos - Bebidas")</f>
        <v/>
      </c>
      <c r="Q36" s="241" t="n"/>
      <c r="R36" s="27">
        <f>-SUMIFS(T_ORCAMENTOS!$E:$E,T_ORCAMENTOS!$C:$C,"Insumos - Bebidas",T_ORCAMENTOS!$H:$H,"4/2026")</f>
        <v/>
      </c>
      <c r="S36" s="27">
        <f>-CMV_Manual!G23+SUMIFS(Aut_Ajustes_Manuais!$G:$G,Aut_Ajustes_Manuais!$I:$I,DRE!Q$4,Aut_Ajustes_Manuais!$F:$F,"Insumos - Bebidas")</f>
        <v/>
      </c>
      <c r="T36" s="241" t="n"/>
      <c r="U36" s="27">
        <f>-SUMIFS(T_ORCAMENTOS!$E:$E,T_ORCAMENTOS!$C:$C,"Insumos - Bebidas",T_ORCAMENTOS!$H:$H,"5/2026")</f>
        <v/>
      </c>
      <c r="V36" s="28">
        <f>-CMV_Manual!H23+SUMIFS(Aut_Ajustes_Manuais!$G:$G,Aut_Ajustes_Manuais!$I:$I,DRE!T$4,Aut_Ajustes_Manuais!$F:$F,"Insumos - Bebidas")</f>
        <v/>
      </c>
      <c r="W36" s="241" t="n"/>
      <c r="X36" s="27">
        <f>-SUMIFS(T_ORCAMENTOS!$E:$E,T_ORCAMENTOS!$C:$C,"Insumos - Bebidas",T_ORCAMENTOS!$H:$H,"6/2026")</f>
        <v/>
      </c>
      <c r="Y36" s="28">
        <f>-CMV_Manual!I23+SUMIFS(Aut_Ajustes_Manuais!$G:$G,Aut_Ajustes_Manuais!$I:$I,DRE!W$4,Aut_Ajustes_Manuais!$F:$F,"Insumos - Bebidas")</f>
        <v/>
      </c>
      <c r="Z36" s="241" t="n"/>
      <c r="AA36" s="27">
        <f>-SUMIFS(T_ORCAMENTOS!$E:$E,T_ORCAMENTOS!$C:$C,"Insumos - Bebidas",T_ORCAMENTOS!$H:$H,"7/2026")</f>
        <v/>
      </c>
      <c r="AB36" s="28">
        <f>-CMV_Manual!J23+SUMIFS(Aut_Ajustes_Manuais!$G:$G,Aut_Ajustes_Manuais!$I:$I,DRE!Z$4,Aut_Ajustes_Manuais!$F:$F,"Insumos - Bebidas")</f>
        <v/>
      </c>
      <c r="AC36" s="241" t="n"/>
      <c r="AD36" s="27">
        <f>-SUMIFS(T_ORCAMENTOS!$E:$E,T_ORCAMENTOS!$C:$C,"Insumos - Bebidas",T_ORCAMENTOS!$H:$H,"8/2026")</f>
        <v/>
      </c>
      <c r="AE36" s="28">
        <f>-CMV_Manual!K23+SUMIFS(Aut_Ajustes_Manuais!$G:$G,Aut_Ajustes_Manuais!$I:$I,DRE!AC$4,Aut_Ajustes_Manuais!$F:$F,"Insumos - Bebidas")</f>
        <v/>
      </c>
      <c r="AF36" s="241" t="n"/>
      <c r="AG36" s="27">
        <f>-SUMIFS(T_ORCAMENTOS!$E:$E,T_ORCAMENTOS!$C:$C,"Insumos - Bebidas",T_ORCAMENTOS!$H:$H,"9/2026")</f>
        <v/>
      </c>
      <c r="AH36" s="28">
        <f>-CMV_Manual!L23+SUMIFS(Aut_Ajustes_Manuais!$G:$G,Aut_Ajustes_Manuais!$I:$I,DRE!AF$4,Aut_Ajustes_Manuais!$F:$F,"Insumos - Bebidas")</f>
        <v/>
      </c>
      <c r="AI36" s="241" t="n"/>
      <c r="AJ36" s="27">
        <f>-SUMIFS(T_ORCAMENTOS!$E:$E,T_ORCAMENTOS!$C:$C,"Insumos - Bebidas",T_ORCAMENTOS!$H:$H,"10/2026")</f>
        <v/>
      </c>
      <c r="AK36" s="28">
        <f>-CMV_Manual!M23+SUMIFS(Aut_Ajustes_Manuais!$G:$G,Aut_Ajustes_Manuais!$I:$I,DRE!AI$4,Aut_Ajustes_Manuais!$F:$F,"Insumos - Bebidas")</f>
        <v/>
      </c>
      <c r="AL36" s="241" t="n"/>
      <c r="AM36" s="27">
        <f>-SUMIFS(T_ORCAMENTOS!$E:$E,T_ORCAMENTOS!$C:$C,"Insumos - Bebidas",T_ORCAMENTOS!$H:$H,"11/2026")</f>
        <v/>
      </c>
      <c r="AN36" s="28">
        <f>-CMV_Manual!N23+SUMIFS(Aut_Ajustes_Manuais!$G:$G,Aut_Ajustes_Manuais!$I:$I,DRE!AL$4,Aut_Ajustes_Manuais!$F:$F,"Insumos - Bebidas")</f>
        <v/>
      </c>
      <c r="AO36" s="241" t="n"/>
      <c r="AP36" s="27">
        <f>-SUMIFS(T_ORCAMENTOS!$E:$E,T_ORCAMENTOS!$C:$C,"Insumos - Bebidas",T_ORCAMENTOS!$H:$H,"12/2026")</f>
        <v/>
      </c>
      <c r="AQ36" s="28">
        <f>-CMV_Manual!O23+SUMIFS(Aut_Ajustes_Manuais!$G:$G,Aut_Ajustes_Manuais!$I:$I,DRE!AO$4,Aut_Ajustes_Manuais!$F:$F,"Insumos - Bebidas")</f>
        <v/>
      </c>
      <c r="AR36" s="241">
        <f>SUMIFS($H36:$AO36,$H$5:$AO$5,"&lt;"&amp;MONTH(TODAY()),$H$6:$AO$6,"REAL 25")</f>
        <v/>
      </c>
      <c r="AS36" s="27">
        <f>SUMIFS($I36:$AP36,$I$5:$AP$5,"&lt;"&amp;MONTH(TODAY()),$I$6:$AP$6,"ORÇADO ")</f>
        <v/>
      </c>
      <c r="AT36" s="28">
        <f>SUMIFS($J36:$AQ36,$J$5:$AQ$5,"&lt;"&amp;MONTH(TODAY()),$J$6:$AQ$6,"REAL 26")</f>
        <v/>
      </c>
      <c r="AU36" s="241">
        <f>SUM(H36,K36,N36,Q36,T36,W36,Z36,AC36,AF36,AI36,AL36,AO36)</f>
        <v/>
      </c>
      <c r="AV36" s="27">
        <f>SUM(I36,L36,O36,R36,U36,X36,AA36,AD36,AG36,AJ36,AM36,AP36)</f>
        <v/>
      </c>
      <c r="AW36" s="28">
        <f>SUM(J36,M36,P36,S36,V36,Y36,AB36,AE36,AH36,AK36,AN36,AQ36)</f>
        <v/>
      </c>
      <c r="AX36" s="241">
        <f>SUM(H36,K36,N36)</f>
        <v/>
      </c>
      <c r="AY36" s="27">
        <f>SUM(I36,L36,O36)</f>
        <v/>
      </c>
      <c r="AZ36" s="28">
        <f>SUM(J36,M36,P36)</f>
        <v/>
      </c>
      <c r="BA36" s="241">
        <f>SUM(Q36,T36,W36)</f>
        <v/>
      </c>
      <c r="BB36" s="27">
        <f>SUM(R36,U36,X36)</f>
        <v/>
      </c>
      <c r="BC36" s="28">
        <f>SUM(S36,V36,Y36)</f>
        <v/>
      </c>
      <c r="BD36" s="241">
        <f>SUM(Z36,AC36,AF36)</f>
        <v/>
      </c>
      <c r="BE36" s="27">
        <f>SUM(AA36,AD36,AG36)</f>
        <v/>
      </c>
      <c r="BF36" s="28">
        <f>SUM(AB36,AE36,AH36)</f>
        <v/>
      </c>
      <c r="BG36" s="241">
        <f>SUM(AI36,AL36,AO36)</f>
        <v/>
      </c>
      <c r="BH36" s="27">
        <f>SUM(AJ36,AM36,AP36)</f>
        <v/>
      </c>
      <c r="BI36" s="28">
        <f>SUM(AK36,AN36,AQ36)</f>
        <v/>
      </c>
    </row>
    <row r="37" hidden="1" outlineLevel="1" customFormat="1" s="498">
      <c r="A37" s="22" t="inlineStr">
        <is>
          <t>Embalagens</t>
        </is>
      </c>
      <c r="B37" s="488" t="n"/>
      <c r="C37" s="24" t="inlineStr">
        <is>
          <t xml:space="preserve">Estim. Mensal </t>
        </is>
      </c>
      <c r="D37" s="69" t="n"/>
      <c r="E37" s="70" t="n"/>
      <c r="F37" s="497" t="n"/>
      <c r="H37" s="241" t="n"/>
      <c r="I37" s="27">
        <f>-SUMIFS(T_ORCAMENTOS!$E:$E,T_ORCAMENTOS!$C:$C,"Insumos - Embalagens",T_ORCAMENTOS!$H:$H,"1/2026")</f>
        <v/>
      </c>
      <c r="J37" s="28">
        <f>SUMIFS(Aut_BlueMe_Sem_Pedido!$J:$J,Aut_BlueMe_Sem_Pedido!$Q:$Q,DRE!H$4,Aut_BlueMe_Sem_Pedido!$H:$H,DRE!$A37)+SUMIFS(Aut_Ajustes_Manuais!$G:$G,Aut_Ajustes_Manuais!$I:$I,DRE!H$4,Aut_Ajustes_Manuais!$F:$F,"Insumos - Embalagens")</f>
        <v/>
      </c>
      <c r="K37" s="241" t="n"/>
      <c r="L37" s="27">
        <f>-SUMIFS(T_ORCAMENTOS!$E:$E,T_ORCAMENTOS!$C:$C,"Insumos - Embalagens",T_ORCAMENTOS!$H:$H,"2/2026")</f>
        <v/>
      </c>
      <c r="M37" s="28">
        <f>SUMIFS(Aut_BlueMe_Sem_Pedido!$J:$J,Aut_BlueMe_Sem_Pedido!$Q:$Q,DRE!K$4,Aut_BlueMe_Sem_Pedido!$H:$H,DRE!$A37)+SUMIFS(Aut_Ajustes_Manuais!$G:$G,Aut_Ajustes_Manuais!$I:$I,DRE!K$4,Aut_Ajustes_Manuais!$F:$F,"Insumos - Embalagens")</f>
        <v/>
      </c>
      <c r="N37" s="241" t="n"/>
      <c r="O37" s="27">
        <f>-SUMIFS(T_ORCAMENTOS!$E:$E,T_ORCAMENTOS!$C:$C,"Insumos - Embalagens",T_ORCAMENTOS!$H:$H,"3/2026")</f>
        <v/>
      </c>
      <c r="P37" s="28">
        <f>SUMIFS(Aut_BlueMe_Sem_Pedido!$J:$J,Aut_BlueMe_Sem_Pedido!$Q:$Q,DRE!N$4,Aut_BlueMe_Sem_Pedido!$H:$H,DRE!$A37)+SUMIFS(Aut_Ajustes_Manuais!$G:$G,Aut_Ajustes_Manuais!$I:$I,DRE!N$4,Aut_Ajustes_Manuais!$F:$F,"Insumos - Embalagens")</f>
        <v/>
      </c>
      <c r="Q37" s="241" t="n"/>
      <c r="R37" s="27">
        <f>-SUMIFS(T_ORCAMENTOS!$E:$E,T_ORCAMENTOS!$C:$C,"Insumos - Embalagens",T_ORCAMENTOS!$H:$H,"4/2026")</f>
        <v/>
      </c>
      <c r="S37" s="28">
        <f>SUMIFS(Aut_BlueMe_Sem_Pedido!$J:$J,Aut_BlueMe_Sem_Pedido!$Q:$Q,DRE!Q$4,Aut_BlueMe_Sem_Pedido!$H:$H,DRE!$A37)+SUMIFS(Aut_Ajustes_Manuais!$G:$G,Aut_Ajustes_Manuais!$I:$I,DRE!Q$4,Aut_Ajustes_Manuais!$F:$F,"Insumos - Embalagens")</f>
        <v/>
      </c>
      <c r="T37" s="241" t="n"/>
      <c r="U37" s="27">
        <f>-SUMIFS(T_ORCAMENTOS!$E:$E,T_ORCAMENTOS!$C:$C,"Insumos - Embalagens",T_ORCAMENTOS!$H:$H,"5/2026")</f>
        <v/>
      </c>
      <c r="V37" s="28">
        <f>SUMIFS(Aut_BlueMe_Sem_Pedido!$J:$J,Aut_BlueMe_Sem_Pedido!$Q:$Q,DRE!T$4,Aut_BlueMe_Sem_Pedido!$H:$H,DRE!$A37)+SUMIFS(Aut_Ajustes_Manuais!$G:$G,Aut_Ajustes_Manuais!$I:$I,DRE!T$4,Aut_Ajustes_Manuais!$F:$F,"Insumos - Embalagens")</f>
        <v/>
      </c>
      <c r="W37" s="241" t="n"/>
      <c r="X37" s="27">
        <f>-SUMIFS(T_ORCAMENTOS!$E:$E,T_ORCAMENTOS!$C:$C,"Insumos - Embalagens",T_ORCAMENTOS!$H:$H,"6/2026")</f>
        <v/>
      </c>
      <c r="Y37" s="28">
        <f>SUMIFS(Aut_BlueMe_Sem_Pedido!$J:$J,Aut_BlueMe_Sem_Pedido!$Q:$Q,DRE!W$4,Aut_BlueMe_Sem_Pedido!$H:$H,DRE!$A37)+SUMIFS(Aut_Ajustes_Manuais!$G:$G,Aut_Ajustes_Manuais!$I:$I,DRE!W$4,Aut_Ajustes_Manuais!$F:$F,"Insumos - Embalagens")</f>
        <v/>
      </c>
      <c r="Z37" s="241" t="n"/>
      <c r="AA37" s="27">
        <f>-SUMIFS(T_ORCAMENTOS!$E:$E,T_ORCAMENTOS!$C:$C,"Insumos - Embalagens",T_ORCAMENTOS!$H:$H,"7/2026")</f>
        <v/>
      </c>
      <c r="AB37" s="28">
        <f>SUMIFS(Aut_BlueMe_Sem_Pedido!$J:$J,Aut_BlueMe_Sem_Pedido!$Q:$Q,DRE!Z$4,Aut_BlueMe_Sem_Pedido!$H:$H,DRE!$A37)+SUMIFS(Aut_Ajustes_Manuais!$G:$G,Aut_Ajustes_Manuais!$I:$I,DRE!Z$4,Aut_Ajustes_Manuais!$F:$F,"Insumos - Embalagens")</f>
        <v/>
      </c>
      <c r="AC37" s="241" t="n"/>
      <c r="AD37" s="27">
        <f>-SUMIFS(T_ORCAMENTOS!$E:$E,T_ORCAMENTOS!$C:$C,"Insumos - Embalagens",T_ORCAMENTOS!$H:$H,"8/2026")</f>
        <v/>
      </c>
      <c r="AE37" s="28">
        <f>SUMIFS(Aut_BlueMe_Sem_Pedido!$J:$J,Aut_BlueMe_Sem_Pedido!$Q:$Q,DRE!AC$4,Aut_BlueMe_Sem_Pedido!$H:$H,DRE!$A37)+SUMIFS(Aut_Ajustes_Manuais!$G:$G,Aut_Ajustes_Manuais!$I:$I,DRE!AC$4,Aut_Ajustes_Manuais!$F:$F,"Insumos - Embalagens")</f>
        <v/>
      </c>
      <c r="AF37" s="241" t="n"/>
      <c r="AG37" s="27">
        <f>-SUMIFS(T_ORCAMENTOS!$E:$E,T_ORCAMENTOS!$C:$C,"Insumos - Embalagens",T_ORCAMENTOS!$H:$H,"9/2026")</f>
        <v/>
      </c>
      <c r="AH37" s="28">
        <f>SUMIFS(Aut_BlueMe_Sem_Pedido!$J:$J,Aut_BlueMe_Sem_Pedido!$Q:$Q,DRE!AF$4,Aut_BlueMe_Sem_Pedido!$H:$H,DRE!$A37)+SUMIFS(Aut_Ajustes_Manuais!$G:$G,Aut_Ajustes_Manuais!$I:$I,DRE!AF$4,Aut_Ajustes_Manuais!$F:$F,"Insumos - Embalagens")</f>
        <v/>
      </c>
      <c r="AI37" s="241" t="n"/>
      <c r="AJ37" s="27">
        <f>-SUMIFS(T_ORCAMENTOS!$E:$E,T_ORCAMENTOS!$C:$C,"Insumos - Embalagens",T_ORCAMENTOS!$H:$H,"10/2026")</f>
        <v/>
      </c>
      <c r="AK37" s="28">
        <f>SUMIFS(Aut_BlueMe_Sem_Pedido!$J:$J,Aut_BlueMe_Sem_Pedido!$Q:$Q,DRE!AI$4,Aut_BlueMe_Sem_Pedido!$H:$H,DRE!$A37)+SUMIFS(Aut_Ajustes_Manuais!$G:$G,Aut_Ajustes_Manuais!$I:$I,DRE!AI$4,Aut_Ajustes_Manuais!$F:$F,"Insumos - Embalagens")</f>
        <v/>
      </c>
      <c r="AL37" s="241" t="n"/>
      <c r="AM37" s="27">
        <f>-SUMIFS(T_ORCAMENTOS!$E:$E,T_ORCAMENTOS!$C:$C,"Insumos - Embalagens",T_ORCAMENTOS!$H:$H,"11/2026")</f>
        <v/>
      </c>
      <c r="AN37" s="28">
        <f>SUMIFS(Aut_BlueMe_Sem_Pedido!$J:$J,Aut_BlueMe_Sem_Pedido!$Q:$Q,DRE!AL$4,Aut_BlueMe_Sem_Pedido!$H:$H,DRE!$A37)+SUMIFS(Aut_Ajustes_Manuais!$G:$G,Aut_Ajustes_Manuais!$I:$I,DRE!AL$4,Aut_Ajustes_Manuais!$F:$F,"Insumos - Embalagens")</f>
        <v/>
      </c>
      <c r="AO37" s="241" t="n"/>
      <c r="AP37" s="27">
        <f>-SUMIFS(T_ORCAMENTOS!$E:$E,T_ORCAMENTOS!$C:$C,"Insumos - Embalagens",T_ORCAMENTOS!$H:$H,"12/2026")</f>
        <v/>
      </c>
      <c r="AQ37" s="28">
        <f>SUMIFS(Aut_BlueMe_Sem_Pedido!$J:$J,Aut_BlueMe_Sem_Pedido!$Q:$Q,DRE!AO$4,Aut_BlueMe_Sem_Pedido!$H:$H,DRE!$A37)+SUMIFS(Aut_Ajustes_Manuais!$G:$G,Aut_Ajustes_Manuais!$I:$I,DRE!AO$4,Aut_Ajustes_Manuais!$F:$F,"Insumos - Embalagens")</f>
        <v/>
      </c>
      <c r="AR37" s="241">
        <f>SUMIFS($H37:$AO37,$H$5:$AO$5,"&lt;"&amp;MONTH(TODAY()),$H$6:$AO$6,"REAL 25")</f>
        <v/>
      </c>
      <c r="AS37" s="27">
        <f>SUMIFS($I37:$AP37,$I$5:$AP$5,"&lt;"&amp;MONTH(TODAY()),$I$6:$AP$6,"ORÇADO ")</f>
        <v/>
      </c>
      <c r="AT37" s="28">
        <f>SUMIFS($J37:$AQ37,$J$5:$AQ$5,"&lt;"&amp;MONTH(TODAY()),$J$6:$AQ$6,"REAL 26")</f>
        <v/>
      </c>
      <c r="AU37" s="241">
        <f>SUM(H37,K37,N37,Q37,T37,W37,Z37,AC37,AF37,AI37,AL37,AO37)</f>
        <v/>
      </c>
      <c r="AV37" s="27">
        <f>SUM(I37,L37,O37,R37,U37,X37,AA37,AD37,AG37,AJ37,AM37,AP37)</f>
        <v/>
      </c>
      <c r="AW37" s="28">
        <f>SUM(J37,M37,P37,S37,V37,Y37,AB37,AE37,AH37,AK37,AN37,AQ37)</f>
        <v/>
      </c>
      <c r="AX37" s="241">
        <f>SUM(H37,K37,N37)</f>
        <v/>
      </c>
      <c r="AY37" s="27">
        <f>SUM(I37,L37,O37)</f>
        <v/>
      </c>
      <c r="AZ37" s="28">
        <f>SUM(J37,M37,P37)</f>
        <v/>
      </c>
      <c r="BA37" s="241">
        <f>SUM(Q37,T37,W37)</f>
        <v/>
      </c>
      <c r="BB37" s="27">
        <f>SUM(R37,U37,X37)</f>
        <v/>
      </c>
      <c r="BC37" s="28">
        <f>SUM(S37,V37,Y37)</f>
        <v/>
      </c>
      <c r="BD37" s="241">
        <f>SUM(Z37,AC37,AF37)</f>
        <v/>
      </c>
      <c r="BE37" s="27">
        <f>SUM(AA37,AD37,AG37)</f>
        <v/>
      </c>
      <c r="BF37" s="28">
        <f>SUM(AB37,AE37,AH37)</f>
        <v/>
      </c>
      <c r="BG37" s="241">
        <f>SUM(AI37,AL37,AO37)</f>
        <v/>
      </c>
      <c r="BH37" s="27">
        <f>SUM(AJ37,AM37,AP37)</f>
        <v/>
      </c>
      <c r="BI37" s="28">
        <f>SUM(AK37,AN37,AQ37)</f>
        <v/>
      </c>
    </row>
    <row r="38" hidden="1" outlineLevel="1" customFormat="1" s="498">
      <c r="A38" s="22" t="inlineStr">
        <is>
          <t>Eventos A&amp;B</t>
        </is>
      </c>
      <c r="B38" s="488" t="n"/>
      <c r="C38" s="24" t="inlineStr">
        <is>
          <t xml:space="preserve">Estim. Mensal </t>
        </is>
      </c>
      <c r="D38" s="69" t="n"/>
      <c r="E38" s="70" t="n"/>
      <c r="F38" s="497" t="n"/>
      <c r="H38" s="241" t="n"/>
      <c r="I38" s="27">
        <f>-SUMIFS(T_ORCAMENTOS!$E:$E,T_ORCAMENTOS!$C:$C,"Insumos - Eventos A&amp;B",T_ORCAMENTOS!$H:$H,"1/2026")</f>
        <v/>
      </c>
      <c r="J38" s="28" t="n"/>
      <c r="K38" s="241" t="n"/>
      <c r="L38" s="27">
        <f>-SUMIFS(T_ORCAMENTOS!$E:$E,T_ORCAMENTOS!$C:$C,"Insumos - Eventos A&amp;B",T_ORCAMENTOS!$H:$H,"2/2026")</f>
        <v/>
      </c>
      <c r="M38" s="28" t="n"/>
      <c r="N38" s="241" t="n"/>
      <c r="O38" s="27">
        <f>-SUMIFS(T_ORCAMENTOS!$E:$E,T_ORCAMENTOS!$C:$C,"Insumos - Eventos A&amp;B",T_ORCAMENTOS!$H:$H,"3/2026")</f>
        <v/>
      </c>
      <c r="P38" s="28" t="n"/>
      <c r="Q38" s="241" t="n"/>
      <c r="R38" s="27">
        <f>-SUMIFS(T_ORCAMENTOS!$E:$E,T_ORCAMENTOS!$C:$C,"Insumos - Eventos A&amp;B",T_ORCAMENTOS!$H:$H,"4/2026")</f>
        <v/>
      </c>
      <c r="S38" s="28" t="n"/>
      <c r="T38" s="241" t="n"/>
      <c r="U38" s="27">
        <f>-SUMIFS(T_ORCAMENTOS!$E:$E,T_ORCAMENTOS!$C:$C,"Insumos - Eventos A&amp;B",T_ORCAMENTOS!$H:$H,"5/2026")</f>
        <v/>
      </c>
      <c r="V38" s="28" t="n"/>
      <c r="W38" s="241" t="n"/>
      <c r="X38" s="27">
        <f>-SUMIFS(T_ORCAMENTOS!$E:$E,T_ORCAMENTOS!$C:$C,"Insumos - Eventos A&amp;B",T_ORCAMENTOS!$H:$H,"6/2026")</f>
        <v/>
      </c>
      <c r="Y38" s="28" t="n"/>
      <c r="Z38" s="241" t="n"/>
      <c r="AA38" s="27">
        <f>-SUMIFS(T_ORCAMENTOS!$E:$E,T_ORCAMENTOS!$C:$C,"Insumos - Eventos A&amp;B",T_ORCAMENTOS!$H:$H,"7/2026")</f>
        <v/>
      </c>
      <c r="AB38" s="28" t="n"/>
      <c r="AC38" s="241" t="n"/>
      <c r="AD38" s="27">
        <f>-SUMIFS(T_ORCAMENTOS!$E:$E,T_ORCAMENTOS!$C:$C,"Insumos - Eventos A&amp;B",T_ORCAMENTOS!$H:$H,"8/2026")</f>
        <v/>
      </c>
      <c r="AE38" s="28" t="n"/>
      <c r="AF38" s="241" t="n"/>
      <c r="AG38" s="27">
        <f>-SUMIFS(T_ORCAMENTOS!$E:$E,T_ORCAMENTOS!$C:$C,"Insumos - Eventos A&amp;B",T_ORCAMENTOS!$H:$H,"9/2026")</f>
        <v/>
      </c>
      <c r="AH38" s="28" t="n"/>
      <c r="AI38" s="241" t="n"/>
      <c r="AJ38" s="27">
        <f>-SUMIFS(T_ORCAMENTOS!$E:$E,T_ORCAMENTOS!$C:$C,"Insumos - Eventos A&amp;B",T_ORCAMENTOS!$H:$H,"10/2026")</f>
        <v/>
      </c>
      <c r="AK38" s="28" t="n"/>
      <c r="AL38" s="241" t="n"/>
      <c r="AM38" s="27">
        <f>-SUMIFS(T_ORCAMENTOS!$E:$E,T_ORCAMENTOS!$C:$C,"Insumos - Eventos A&amp;B",T_ORCAMENTOS!$H:$H,"11/2026")</f>
        <v/>
      </c>
      <c r="AN38" s="28" t="n"/>
      <c r="AO38" s="241" t="n"/>
      <c r="AP38" s="27">
        <f>-SUMIFS(T_ORCAMENTOS!$E:$E,T_ORCAMENTOS!$C:$C,"Insumos - Eventos A&amp;B",T_ORCAMENTOS!$H:$H,"12/2026")</f>
        <v/>
      </c>
      <c r="AQ38" s="28" t="n"/>
      <c r="AR38" s="241">
        <f>SUMIFS($H38:$AO38,$H$5:$AO$5,"&lt;"&amp;MONTH(TODAY()),$H$6:$AO$6,"REAL 25")</f>
        <v/>
      </c>
      <c r="AS38" s="27">
        <f>SUMIFS($I38:$AP38,$I$5:$AP$5,"&lt;"&amp;MONTH(TODAY()),$I$6:$AP$6,"ORÇADO ")</f>
        <v/>
      </c>
      <c r="AT38" s="28">
        <f>SUMIFS($J38:$AQ38,$J$5:$AQ$5,"&lt;"&amp;MONTH(TODAY()),$J$6:$AQ$6,"REAL 26")</f>
        <v/>
      </c>
      <c r="AU38" s="241" t="n"/>
      <c r="AV38" s="27" t="n"/>
      <c r="AW38" s="28" t="n"/>
      <c r="AX38" s="241" t="n"/>
      <c r="AY38" s="27" t="n"/>
      <c r="AZ38" s="28" t="n"/>
      <c r="BA38" s="241" t="n"/>
      <c r="BB38" s="27" t="n"/>
      <c r="BC38" s="28" t="n"/>
      <c r="BD38" s="241" t="n"/>
      <c r="BE38" s="27" t="n"/>
      <c r="BF38" s="28" t="n"/>
      <c r="BG38" s="241" t="n"/>
      <c r="BH38" s="27" t="n"/>
      <c r="BI38" s="28" t="n"/>
    </row>
    <row r="39" collapsed="1">
      <c r="A39" s="71" t="inlineStr">
        <is>
          <t>% sobre Receita Bruta</t>
        </is>
      </c>
      <c r="C39" s="24" t="n"/>
      <c r="D39" s="25" t="n"/>
      <c r="E39" s="25" t="n"/>
      <c r="F39" s="41" t="n"/>
      <c r="G39" s="72" t="n"/>
      <c r="H39" s="245" t="n"/>
      <c r="I39" s="50">
        <f>IFERROR(I34/(I9+I10+I14+I17),0)</f>
        <v/>
      </c>
      <c r="J39" s="51">
        <f>IFERROR(J34/(J9+J10+J14+J17),0)+SUMIFS(Aut_Ajustes_Manuais!$G:$G,Aut_Ajustes_Manuais!$I:$I,DRE!H$4,Aut_Ajustes_Manuais!$F:$F,"% sobre Receita Bruta")</f>
        <v/>
      </c>
      <c r="K39" s="245" t="n"/>
      <c r="L39" s="50">
        <f>IFERROR(L34/(L9+L10+L14+L17),0)</f>
        <v/>
      </c>
      <c r="M39" s="51">
        <f>IFERROR(M34/(M9+M10+M14+M17),0)+SUMIFS(Aut_Ajustes_Manuais!$G:$G,Aut_Ajustes_Manuais!$I:$I,DRE!K$4,Aut_Ajustes_Manuais!$F:$F,"% sobre Receita Bruta")</f>
        <v/>
      </c>
      <c r="N39" s="245" t="n"/>
      <c r="O39" s="50">
        <f>IFERROR(O34/(O9+O10+O14+O17),0)</f>
        <v/>
      </c>
      <c r="P39" s="51">
        <f>IFERROR(P34/(P9+P10+P14+P17),0)+SUMIFS(Aut_Ajustes_Manuais!$G:$G,Aut_Ajustes_Manuais!$I:$I,DRE!N$4,Aut_Ajustes_Manuais!$F:$F,"% sobre Receita Bruta")</f>
        <v/>
      </c>
      <c r="Q39" s="245" t="n"/>
      <c r="R39" s="50">
        <f>IFERROR(R34/(R9+R10+R14+R17),0)</f>
        <v/>
      </c>
      <c r="S39" s="51">
        <f>IFERROR(S34/(S9+S10+S14+S17),0)+SUMIFS(Aut_Ajustes_Manuais!$G:$G,Aut_Ajustes_Manuais!$I:$I,DRE!Q$4,Aut_Ajustes_Manuais!$F:$F,"% sobre Receita Bruta")</f>
        <v/>
      </c>
      <c r="T39" s="245" t="n"/>
      <c r="U39" s="50">
        <f>IFERROR(U34/(U9+U10+U14+U17),0)</f>
        <v/>
      </c>
      <c r="V39" s="51">
        <f>IFERROR(V34/(V9+V10+V14+V17),0)+SUMIFS(Aut_Ajustes_Manuais!$G:$G,Aut_Ajustes_Manuais!$I:$I,DRE!T$4,Aut_Ajustes_Manuais!$F:$F,"% sobre Receita Bruta")</f>
        <v/>
      </c>
      <c r="W39" s="245" t="n"/>
      <c r="X39" s="50">
        <f>IFERROR(X34/(X9+X10+X14+X17),0)</f>
        <v/>
      </c>
      <c r="Y39" s="51">
        <f>IFERROR(Y34/(Y9+Y10+Y14+Y17),0)+SUMIFS(Aut_Ajustes_Manuais!$G:$G,Aut_Ajustes_Manuais!$I:$I,DRE!W$4,Aut_Ajustes_Manuais!$F:$F,"% sobre Receita Bruta")</f>
        <v/>
      </c>
      <c r="Z39" s="245" t="n"/>
      <c r="AA39" s="50">
        <f>IFERROR(AA34/(AA9+AA10+AA14+AA17),0)</f>
        <v/>
      </c>
      <c r="AB39" s="51">
        <f>IFERROR(AB34/(AB9+AB10+AB14+AB17),0)+SUMIFS(Aut_Ajustes_Manuais!$G:$G,Aut_Ajustes_Manuais!$I:$I,DRE!Z$4,Aut_Ajustes_Manuais!$F:$F,"% sobre Receita Bruta")</f>
        <v/>
      </c>
      <c r="AC39" s="245" t="n"/>
      <c r="AD39" s="50">
        <f>IFERROR(AD34/(AD9+AD10+AD14+AD17),0)</f>
        <v/>
      </c>
      <c r="AE39" s="51">
        <f>IFERROR(AE34/(AE9+AE10+AE14+AE17),0)+SUMIFS(Aut_Ajustes_Manuais!$G:$G,Aut_Ajustes_Manuais!$I:$I,DRE!AC$4,Aut_Ajustes_Manuais!$F:$F,"% sobre Receita Bruta")</f>
        <v/>
      </c>
      <c r="AF39" s="245" t="n"/>
      <c r="AG39" s="50">
        <f>IFERROR(AG34/(AG9+AG10+AG14+AG17),0)</f>
        <v/>
      </c>
      <c r="AH39" s="51">
        <f>IFERROR(AH34/(AH9+AH10+AH14+AH17),0)+SUMIFS(Aut_Ajustes_Manuais!$G:$G,Aut_Ajustes_Manuais!$I:$I,DRE!AF$4,Aut_Ajustes_Manuais!$F:$F,"% sobre Receita Bruta")</f>
        <v/>
      </c>
      <c r="AI39" s="245" t="n"/>
      <c r="AJ39" s="50">
        <f>IFERROR(AJ34/(AJ9+AJ10+AJ14+AJ17),0)</f>
        <v/>
      </c>
      <c r="AK39" s="51">
        <f>IFERROR(AK34/(AK9+AK10+AK14+AK17),0)+SUMIFS(Aut_Ajustes_Manuais!$G:$G,Aut_Ajustes_Manuais!$I:$I,DRE!AI$4,Aut_Ajustes_Manuais!$F:$F,"% sobre Receita Bruta")</f>
        <v/>
      </c>
      <c r="AL39" s="245" t="n"/>
      <c r="AM39" s="50">
        <f>IFERROR(AM34/(AM9+AM10+AM14+AM17),0)</f>
        <v/>
      </c>
      <c r="AN39" s="51">
        <f>IFERROR(AN34/(AN9+AN10+AN14+AN17),0)+SUMIFS(Aut_Ajustes_Manuais!$G:$G,Aut_Ajustes_Manuais!$I:$I,DRE!AL$4,Aut_Ajustes_Manuais!$F:$F,"% sobre Receita Bruta")</f>
        <v/>
      </c>
      <c r="AO39" s="245" t="n"/>
      <c r="AP39" s="50">
        <f>IFERROR(AP34/(AP9+AP10+AP14+AP17),0)</f>
        <v/>
      </c>
      <c r="AQ39" s="51">
        <f>IFERROR(AQ34/(AQ9+AQ10+AQ14+AQ17),0)+SUMIFS(Aut_Ajustes_Manuais!$G:$G,Aut_Ajustes_Manuais!$I:$I,DRE!AO$4,Aut_Ajustes_Manuais!$F:$F,"% sobre Receita Bruta")</f>
        <v/>
      </c>
      <c r="AR39" s="245">
        <f>IFERROR(AR34/(AR9+AR10+AR14+AR18),0)</f>
        <v/>
      </c>
      <c r="AS39" s="50">
        <f>IFERROR(AS34/(AS9+AS10+AS14+AS18),0)</f>
        <v/>
      </c>
      <c r="AT39" s="51">
        <f>IFERROR(AT34/(AT9+AT10+AT14+AT18),0)</f>
        <v/>
      </c>
      <c r="AU39" s="245">
        <f>IFERROR(AU34/(AU9+AU10+AU14+AU17),0)</f>
        <v/>
      </c>
      <c r="AV39" s="50">
        <f>IFERROR(AV34/(AV9+AV10+AV14+AV17),0)</f>
        <v/>
      </c>
      <c r="AW39" s="51">
        <f>IFERROR(AW34/(AW9+AW10+AW14+AW17),0)</f>
        <v/>
      </c>
      <c r="AX39" s="245">
        <f>IFERROR(AX34/(AX9+AX10+AX14+AX17),0)</f>
        <v/>
      </c>
      <c r="AY39" s="50">
        <f>IFERROR(AY34/(AY9+AY10+AY14+AY17),0)</f>
        <v/>
      </c>
      <c r="AZ39" s="51">
        <f>IFERROR(AZ34/(AZ9+AZ10+AZ14+AZ17),0)</f>
        <v/>
      </c>
      <c r="BA39" s="245">
        <f>IFERROR(BA34/(BA9+BA10+BA14+BA17),0)</f>
        <v/>
      </c>
      <c r="BB39" s="50">
        <f>IFERROR(BB34/(BB9+BB10+BB14+BB17),0)</f>
        <v/>
      </c>
      <c r="BC39" s="51">
        <f>IFERROR(BC34/(BC9+BC10+BC14+BC17),0)</f>
        <v/>
      </c>
      <c r="BD39" s="245">
        <f>IFERROR(BD34/(BD9+BD10+BD14+BD17),0)</f>
        <v/>
      </c>
      <c r="BE39" s="50">
        <f>IFERROR(BE34/(BE9+BE10+BE14+BE17),0)</f>
        <v/>
      </c>
      <c r="BF39" s="51">
        <f>IFERROR(BF34/(BF9+BF10+BF14+BF17),0)</f>
        <v/>
      </c>
      <c r="BG39" s="245">
        <f>IFERROR(BG34/(BG9+BG10+BG14+BG17),0)</f>
        <v/>
      </c>
      <c r="BH39" s="50">
        <f>IFERROR(BH34/(BH9+BH10+BH14+BH17),0)</f>
        <v/>
      </c>
      <c r="BI39" s="51">
        <f>IFERROR(BI34/(BI9+BI10+BI14+BI17),0)</f>
        <v/>
      </c>
    </row>
    <row r="40">
      <c r="A40" s="71" t="inlineStr">
        <is>
          <t>% sobre Receita Líquida</t>
        </is>
      </c>
      <c r="C40" s="24" t="n"/>
      <c r="D40" s="25" t="n"/>
      <c r="E40" s="25" t="n"/>
      <c r="F40" s="41" t="n"/>
      <c r="G40" s="72" t="n"/>
      <c r="H40" s="245" t="n"/>
      <c r="I40" s="50">
        <f>IFERROR(I34/I32,0)</f>
        <v/>
      </c>
      <c r="J40" s="51">
        <f>IFERROR(J34/J32,0)+SUMIFS(Aut_Ajustes_Manuais!$G:$G,Aut_Ajustes_Manuais!$I:$I,DRE!H$4,Aut_Ajustes_Manuais!$F:$F,"% sobre Receita Líquida")</f>
        <v/>
      </c>
      <c r="K40" s="245" t="n"/>
      <c r="L40" s="50">
        <f>IFERROR(L34/L32,0)</f>
        <v/>
      </c>
      <c r="M40" s="51">
        <f>IFERROR(M34/M32,0)+SUMIFS(Aut_Ajustes_Manuais!$G:$G,Aut_Ajustes_Manuais!$I:$I,DRE!K$4,Aut_Ajustes_Manuais!$F:$F,"% sobre Receita Líquida")</f>
        <v/>
      </c>
      <c r="N40" s="245" t="n"/>
      <c r="O40" s="50">
        <f>IFERROR(O34/O32,0)</f>
        <v/>
      </c>
      <c r="P40" s="51">
        <f>IFERROR(P34/P32,0)+SUMIFS(Aut_Ajustes_Manuais!$G:$G,Aut_Ajustes_Manuais!$I:$I,DRE!N$4,Aut_Ajustes_Manuais!$F:$F,"% sobre Receita Líquida")</f>
        <v/>
      </c>
      <c r="Q40" s="245" t="n"/>
      <c r="R40" s="50">
        <f>IFERROR(R34/R32,0)</f>
        <v/>
      </c>
      <c r="S40" s="51">
        <f>IFERROR(S34/S32,0)+SUMIFS(Aut_Ajustes_Manuais!$G:$G,Aut_Ajustes_Manuais!$I:$I,DRE!Q$4,Aut_Ajustes_Manuais!$F:$F,"% sobre Receita Líquida")</f>
        <v/>
      </c>
      <c r="T40" s="245" t="n"/>
      <c r="U40" s="50">
        <f>IFERROR(U34/U32,0)</f>
        <v/>
      </c>
      <c r="V40" s="51">
        <f>IFERROR(V34/V32,0)+SUMIFS(Aut_Ajustes_Manuais!$G:$G,Aut_Ajustes_Manuais!$I:$I,DRE!T$4,Aut_Ajustes_Manuais!$F:$F,"% sobre Receita Líquida")</f>
        <v/>
      </c>
      <c r="W40" s="245" t="n"/>
      <c r="X40" s="50">
        <f>IFERROR(X34/X32,0)</f>
        <v/>
      </c>
      <c r="Y40" s="51">
        <f>IFERROR(Y34/Y32,0)+SUMIFS(Aut_Ajustes_Manuais!$G:$G,Aut_Ajustes_Manuais!$I:$I,DRE!W$4,Aut_Ajustes_Manuais!$F:$F,"% sobre Receita Líquida")</f>
        <v/>
      </c>
      <c r="Z40" s="245" t="n"/>
      <c r="AA40" s="50">
        <f>IFERROR(AA34/AA32,0)</f>
        <v/>
      </c>
      <c r="AB40" s="51">
        <f>IFERROR(AB34/AB32,0)+SUMIFS(Aut_Ajustes_Manuais!$G:$G,Aut_Ajustes_Manuais!$I:$I,DRE!Z$4,Aut_Ajustes_Manuais!$F:$F,"% sobre Receita Líquida")</f>
        <v/>
      </c>
      <c r="AC40" s="245" t="n"/>
      <c r="AD40" s="50">
        <f>IFERROR(AD34/AD32,0)</f>
        <v/>
      </c>
      <c r="AE40" s="51">
        <f>IFERROR(AE34/AE32,0)+SUMIFS(Aut_Ajustes_Manuais!$G:$G,Aut_Ajustes_Manuais!$I:$I,DRE!AC$4,Aut_Ajustes_Manuais!$F:$F,"% sobre Receita Líquida")</f>
        <v/>
      </c>
      <c r="AF40" s="245" t="n"/>
      <c r="AG40" s="50">
        <f>IFERROR(AG34/AG32,0)</f>
        <v/>
      </c>
      <c r="AH40" s="51">
        <f>IFERROR(AH34/AH32,0)+SUMIFS(Aut_Ajustes_Manuais!$G:$G,Aut_Ajustes_Manuais!$I:$I,DRE!AF$4,Aut_Ajustes_Manuais!$F:$F,"% sobre Receita Líquida")</f>
        <v/>
      </c>
      <c r="AI40" s="245" t="n"/>
      <c r="AJ40" s="50">
        <f>IFERROR(AJ34/AJ32,0)</f>
        <v/>
      </c>
      <c r="AK40" s="51">
        <f>IFERROR(AK34/AK32,0)+SUMIFS(Aut_Ajustes_Manuais!$G:$G,Aut_Ajustes_Manuais!$I:$I,DRE!AI$4,Aut_Ajustes_Manuais!$F:$F,"% sobre Receita Líquida")</f>
        <v/>
      </c>
      <c r="AL40" s="245" t="n"/>
      <c r="AM40" s="50">
        <f>IFERROR(AM34/AM32,0)</f>
        <v/>
      </c>
      <c r="AN40" s="51">
        <f>IFERROR(AN34/AN32,0)+SUMIFS(Aut_Ajustes_Manuais!$G:$G,Aut_Ajustes_Manuais!$I:$I,DRE!AL$4,Aut_Ajustes_Manuais!$F:$F,"% sobre Receita Líquida")</f>
        <v/>
      </c>
      <c r="AO40" s="245" t="n"/>
      <c r="AP40" s="50">
        <f>IFERROR(AP34/AP32,0)</f>
        <v/>
      </c>
      <c r="AQ40" s="51">
        <f>IFERROR(AQ34/AQ32,0)+SUMIFS(Aut_Ajustes_Manuais!$G:$G,Aut_Ajustes_Manuais!$I:$I,DRE!AO$4,Aut_Ajustes_Manuais!$F:$F,"% sobre Receita Líquida")</f>
        <v/>
      </c>
      <c r="AR40" s="245">
        <f>IFERROR(AR34/AR32,0)</f>
        <v/>
      </c>
      <c r="AS40" s="50">
        <f>IFERROR(AS34/AS32,0)</f>
        <v/>
      </c>
      <c r="AT40" s="51">
        <f>IFERROR(AT34/AT32,0)</f>
        <v/>
      </c>
      <c r="AU40" s="245">
        <f>IFERROR(AU34/AU32,0)</f>
        <v/>
      </c>
      <c r="AV40" s="50">
        <f>IFERROR(AV34/AV32,0)</f>
        <v/>
      </c>
      <c r="AW40" s="51">
        <f>IFERROR(AW34/AW32,0)</f>
        <v/>
      </c>
      <c r="AX40" s="245">
        <f>IFERROR(AX34/AX32,0)</f>
        <v/>
      </c>
      <c r="AY40" s="50">
        <f>IFERROR(AY34/AY32,0)</f>
        <v/>
      </c>
      <c r="AZ40" s="51">
        <f>IFERROR(AZ34/AZ32,0)</f>
        <v/>
      </c>
      <c r="BA40" s="245">
        <f>IFERROR(BA34/BA32,0)</f>
        <v/>
      </c>
      <c r="BB40" s="50">
        <f>IFERROR(BB34/BB32,0)</f>
        <v/>
      </c>
      <c r="BC40" s="51">
        <f>IFERROR(BC34/BC32,0)</f>
        <v/>
      </c>
      <c r="BD40" s="245">
        <f>IFERROR(BD34/BD32,0)</f>
        <v/>
      </c>
      <c r="BE40" s="50">
        <f>IFERROR(BE34/BE32,0)</f>
        <v/>
      </c>
      <c r="BF40" s="51">
        <f>IFERROR(BF34/BF32,0)</f>
        <v/>
      </c>
      <c r="BG40" s="245">
        <f>IFERROR(BG34/BG32,0)</f>
        <v/>
      </c>
      <c r="BH40" s="50">
        <f>IFERROR(BH34/BH32,0)</f>
        <v/>
      </c>
      <c r="BI40" s="51">
        <f>IFERROR(BI34/BI32,0)</f>
        <v/>
      </c>
    </row>
    <row r="41">
      <c r="A41" s="18" t="n"/>
      <c r="E41" s="16" t="n"/>
      <c r="F41" s="17" t="n"/>
      <c r="H41" s="247" t="n"/>
      <c r="I41" s="17" t="n"/>
      <c r="J41" s="267" t="n"/>
      <c r="K41" s="504" t="n"/>
      <c r="L41" s="17" t="n"/>
      <c r="M41" s="267" t="n"/>
      <c r="N41" s="504" t="n"/>
      <c r="O41" s="17" t="n"/>
      <c r="P41" s="267" t="n"/>
      <c r="Q41" s="247" t="n"/>
      <c r="R41" s="17" t="n"/>
      <c r="S41" s="57" t="n"/>
      <c r="T41" s="247" t="n"/>
      <c r="U41" s="17" t="n"/>
      <c r="V41" s="57" t="n"/>
      <c r="W41" s="247" t="n"/>
      <c r="X41" s="17" t="n"/>
      <c r="Y41" s="57" t="n"/>
      <c r="Z41" s="247" t="n"/>
      <c r="AA41" s="17" t="n"/>
      <c r="AB41" s="57" t="n"/>
      <c r="AC41" s="247" t="n"/>
      <c r="AD41" s="17" t="n"/>
      <c r="AE41" s="57" t="n"/>
      <c r="AF41" s="247" t="n"/>
      <c r="AG41" s="17" t="n"/>
      <c r="AH41" s="57" t="n"/>
      <c r="AI41" s="247" t="n"/>
      <c r="AJ41" s="17" t="n"/>
      <c r="AK41" s="57" t="n"/>
      <c r="AL41" s="247" t="n"/>
      <c r="AM41" s="17" t="n"/>
      <c r="AN41" s="57" t="n"/>
      <c r="AO41" s="247" t="n"/>
      <c r="AP41" s="17" t="n"/>
      <c r="AQ41" s="57" t="n"/>
      <c r="AR41" s="247" t="n"/>
      <c r="AS41" s="505" t="n"/>
      <c r="AT41" s="506" t="n"/>
      <c r="AU41" s="247" t="n"/>
      <c r="AV41" s="17" t="n"/>
      <c r="AW41" s="57" t="n"/>
      <c r="AX41" s="247" t="n"/>
      <c r="AY41" s="17" t="n"/>
      <c r="AZ41" s="57" t="n"/>
      <c r="BA41" s="247" t="n"/>
      <c r="BB41" s="17" t="n"/>
      <c r="BC41" s="57" t="n"/>
      <c r="BD41" s="247" t="n"/>
      <c r="BE41" s="17" t="n"/>
      <c r="BF41" s="57" t="n"/>
      <c r="BG41" s="247" t="n"/>
      <c r="BH41" s="17" t="n"/>
      <c r="BI41" s="57" t="n"/>
    </row>
    <row r="42">
      <c r="A42" s="39" t="inlineStr">
        <is>
          <t>(-) Custos Artístico Geral</t>
        </is>
      </c>
      <c r="C42" s="40" t="inlineStr">
        <is>
          <t>Premissas</t>
        </is>
      </c>
      <c r="D42" s="40" t="inlineStr">
        <is>
          <t>Valores</t>
        </is>
      </c>
      <c r="E42" s="40" t="inlineStr">
        <is>
          <t>% Incid</t>
        </is>
      </c>
      <c r="F42" s="41" t="n"/>
      <c r="H42" s="251" t="n"/>
      <c r="I42" s="67">
        <f>SUM(I43,I49)</f>
        <v/>
      </c>
      <c r="J42" s="67">
        <f>SUM(J43,J49)+SUMIFS(Aut_Ajustes_Manuais!$G:$G,Aut_Ajustes_Manuais!$I:$I,DRE!H$4,Aut_Ajustes_Manuais!$F:$F,"(-) Custos Artístico Geral")</f>
        <v/>
      </c>
      <c r="K42" s="251" t="n"/>
      <c r="L42" s="67">
        <f>SUM(L43,L49)</f>
        <v/>
      </c>
      <c r="M42" s="67">
        <f>SUM(M43,M49)+SUMIFS(Aut_Ajustes_Manuais!$G:$G,Aut_Ajustes_Manuais!$I:$I,DRE!K$4,Aut_Ajustes_Manuais!$F:$F,"(-) Custos Artístico Geral")</f>
        <v/>
      </c>
      <c r="N42" s="251" t="n"/>
      <c r="O42" s="67">
        <f>SUM(O43,O49)</f>
        <v/>
      </c>
      <c r="P42" s="67">
        <f>SUM(P43,P49)+SUMIFS(Aut_Ajustes_Manuais!$G:$G,Aut_Ajustes_Manuais!$I:$I,DRE!N$4,Aut_Ajustes_Manuais!$F:$F,"(-) Custos Artístico Geral")</f>
        <v/>
      </c>
      <c r="Q42" s="251" t="n"/>
      <c r="R42" s="67">
        <f>SUM(R43,R49)</f>
        <v/>
      </c>
      <c r="S42" s="67">
        <f>SUM(S43,S49)+SUMIFS(Aut_Ajustes_Manuais!$G:$G,Aut_Ajustes_Manuais!$I:$I,DRE!Q$4,Aut_Ajustes_Manuais!$F:$F,"(-) Custos Artístico Geral")</f>
        <v/>
      </c>
      <c r="T42" s="251" t="n"/>
      <c r="U42" s="67">
        <f>SUM(U43,U49)</f>
        <v/>
      </c>
      <c r="V42" s="68">
        <f>SUM(V43,V49)+SUMIFS(Aut_Ajustes_Manuais!$G:$G,Aut_Ajustes_Manuais!$I:$I,DRE!T$4,Aut_Ajustes_Manuais!$F:$F,"(-) Custos Artístico Geral")</f>
        <v/>
      </c>
      <c r="W42" s="251" t="n"/>
      <c r="X42" s="67">
        <f>SUM(X43,X49)</f>
        <v/>
      </c>
      <c r="Y42" s="68">
        <f>SUM(Y43,Y49)+SUMIFS(Aut_Ajustes_Manuais!$G:$G,Aut_Ajustes_Manuais!$I:$I,DRE!W$4,Aut_Ajustes_Manuais!$F:$F,"(-) Custos Artístico Geral")</f>
        <v/>
      </c>
      <c r="Z42" s="251" t="n"/>
      <c r="AA42" s="67">
        <f>SUM(AA43,AA49)</f>
        <v/>
      </c>
      <c r="AB42" s="68">
        <f>SUM(AB43,AB49)+SUMIFS(Aut_Ajustes_Manuais!$G:$G,Aut_Ajustes_Manuais!$I:$I,DRE!Z$4,Aut_Ajustes_Manuais!$F:$F,"(-) Custos Artístico Geral")</f>
        <v/>
      </c>
      <c r="AC42" s="251" t="n"/>
      <c r="AD42" s="67">
        <f>SUM(AD43,AD49)</f>
        <v/>
      </c>
      <c r="AE42" s="68">
        <f>SUM(AE43,AE49)+SUMIFS(Aut_Ajustes_Manuais!$G:$G,Aut_Ajustes_Manuais!$I:$I,DRE!AC$4,Aut_Ajustes_Manuais!$F:$F,"(-) Custos Artístico Geral")</f>
        <v/>
      </c>
      <c r="AF42" s="251" t="n"/>
      <c r="AG42" s="67">
        <f>SUM(AG43,AG49)</f>
        <v/>
      </c>
      <c r="AH42" s="68">
        <f>SUM(AH43,AH49)+SUMIFS(Aut_Ajustes_Manuais!$G:$G,Aut_Ajustes_Manuais!$I:$I,DRE!AF$4,Aut_Ajustes_Manuais!$F:$F,"(-) Custos Artístico Geral")</f>
        <v/>
      </c>
      <c r="AI42" s="251" t="n"/>
      <c r="AJ42" s="67">
        <f>SUM(AJ43,AJ49)</f>
        <v/>
      </c>
      <c r="AK42" s="68">
        <f>SUM(AK43,AK49)+SUMIFS(Aut_Ajustes_Manuais!$G:$G,Aut_Ajustes_Manuais!$I:$I,DRE!AI$4,Aut_Ajustes_Manuais!$F:$F,"(-) Custos Artístico Geral")</f>
        <v/>
      </c>
      <c r="AL42" s="251" t="n"/>
      <c r="AM42" s="67">
        <f>SUM(AM43,AM49)</f>
        <v/>
      </c>
      <c r="AN42" s="68">
        <f>SUM(AN43,AN49)+SUMIFS(Aut_Ajustes_Manuais!$G:$G,Aut_Ajustes_Manuais!$I:$I,DRE!AL$4,Aut_Ajustes_Manuais!$F:$F,"(-) Custos Artístico Geral")</f>
        <v/>
      </c>
      <c r="AO42" s="251" t="n"/>
      <c r="AP42" s="67">
        <f>SUM(AP43,AP49)</f>
        <v/>
      </c>
      <c r="AQ42" s="68">
        <f>SUM(AQ43,AQ49)+SUMIFS(Aut_Ajustes_Manuais!$G:$G,Aut_Ajustes_Manuais!$I:$I,DRE!AO$4,Aut_Ajustes_Manuais!$F:$F,"(-) Custos Artístico Geral")</f>
        <v/>
      </c>
      <c r="AR42" s="251">
        <f>SUM(AR43,AR49)</f>
        <v/>
      </c>
      <c r="AS42" s="67">
        <f>SUM(AS43,AS49)</f>
        <v/>
      </c>
      <c r="AT42" s="67">
        <f>SUM(AT43,AT49)</f>
        <v/>
      </c>
      <c r="AU42" s="251">
        <f>SUM(AU43,AU49)</f>
        <v/>
      </c>
      <c r="AV42" s="67">
        <f>SUM(AV43,AV49)</f>
        <v/>
      </c>
      <c r="AW42" s="68">
        <f>SUM(AW43,AW49)</f>
        <v/>
      </c>
      <c r="AX42" s="251">
        <f>SUM(AX43,AX49)</f>
        <v/>
      </c>
      <c r="AY42" s="67">
        <f>SUM(AY43,AY49)</f>
        <v/>
      </c>
      <c r="AZ42" s="68">
        <f>SUM(AZ43,AZ49)</f>
        <v/>
      </c>
      <c r="BA42" s="251">
        <f>SUM(BA43,BA49)</f>
        <v/>
      </c>
      <c r="BB42" s="67">
        <f>SUM(BB43,BB49)</f>
        <v/>
      </c>
      <c r="BC42" s="68">
        <f>SUM(BC43,BC49)</f>
        <v/>
      </c>
      <c r="BD42" s="251">
        <f>SUM(BD43,BD49)</f>
        <v/>
      </c>
      <c r="BE42" s="67">
        <f>SUM(BE43,BE49)</f>
        <v/>
      </c>
      <c r="BF42" s="68">
        <f>SUM(BF43,BF49)</f>
        <v/>
      </c>
      <c r="BG42" s="251">
        <f>SUM(BG43,BG49)</f>
        <v/>
      </c>
      <c r="BH42" s="67">
        <f>SUM(BH43,BH49)</f>
        <v/>
      </c>
      <c r="BI42" s="68">
        <f>SUM(BI43,BI49)</f>
        <v/>
      </c>
    </row>
    <row r="43" outlineLevel="1" ht="18" customHeight="1">
      <c r="A43" s="73" t="inlineStr">
        <is>
          <t>Custos Artístico</t>
        </is>
      </c>
      <c r="C43" s="24" t="n"/>
      <c r="D43" s="69" t="n"/>
      <c r="E43" s="69" t="n"/>
      <c r="F43" s="41" t="n"/>
      <c r="H43" s="252" t="n"/>
      <c r="I43" s="74">
        <f>SUM(I44:I48)</f>
        <v/>
      </c>
      <c r="J43" s="76">
        <f>SUM(J44:J48)+SUMIFS(Aut_Ajustes_Manuais!$G:$G,Aut_Ajustes_Manuais!$I:$I,DRE!H$4,Aut_Ajustes_Manuais!$F:$F,"Custos Artístico")</f>
        <v/>
      </c>
      <c r="K43" s="252" t="n"/>
      <c r="L43" s="74">
        <f>SUM(L44:L48)</f>
        <v/>
      </c>
      <c r="M43" s="76">
        <f>SUM(M44:M48)+SUMIFS(Aut_Ajustes_Manuais!$G:$G,Aut_Ajustes_Manuais!$I:$I,DRE!K$4,Aut_Ajustes_Manuais!$F:$F,"Custos Artístico")</f>
        <v/>
      </c>
      <c r="N43" s="252" t="n"/>
      <c r="O43" s="74">
        <f>SUM(O44:O48)</f>
        <v/>
      </c>
      <c r="P43" s="76">
        <f>SUM(P44:P48)+SUMIFS(Aut_Ajustes_Manuais!$G:$G,Aut_Ajustes_Manuais!$I:$I,DRE!N$4,Aut_Ajustes_Manuais!$F:$F,"Custos Artístico")</f>
        <v/>
      </c>
      <c r="Q43" s="252" t="n"/>
      <c r="R43" s="74">
        <f>SUM(R44:R48)</f>
        <v/>
      </c>
      <c r="S43" s="76">
        <f>SUM(S44:S48)+SUMIFS(Aut_Ajustes_Manuais!$G:$G,Aut_Ajustes_Manuais!$I:$I,DRE!Q$4,Aut_Ajustes_Manuais!$F:$F,"Custos Artístico")</f>
        <v/>
      </c>
      <c r="T43" s="252" t="n"/>
      <c r="U43" s="74">
        <f>SUM(U44:U48)</f>
        <v/>
      </c>
      <c r="V43" s="76">
        <f>SUM(V44:V48)+SUMIFS(Aut_Ajustes_Manuais!$G:$G,Aut_Ajustes_Manuais!$I:$I,DRE!T$4,Aut_Ajustes_Manuais!$F:$F,"Custos Artístico")</f>
        <v/>
      </c>
      <c r="W43" s="252" t="n"/>
      <c r="X43" s="74">
        <f>SUM(X44:X48)</f>
        <v/>
      </c>
      <c r="Y43" s="76">
        <f>SUM(Y44:Y48)+SUMIFS(Aut_Ajustes_Manuais!$G:$G,Aut_Ajustes_Manuais!$I:$I,DRE!W$4,Aut_Ajustes_Manuais!$F:$F,"Custos Artístico")</f>
        <v/>
      </c>
      <c r="Z43" s="252" t="n"/>
      <c r="AA43" s="74">
        <f>SUM(AA44:AA48)</f>
        <v/>
      </c>
      <c r="AB43" s="76">
        <f>SUM(AB44:AB48)+SUMIFS(Aut_Ajustes_Manuais!$G:$G,Aut_Ajustes_Manuais!$I:$I,DRE!Z$4,Aut_Ajustes_Manuais!$F:$F,"Custos Artístico")</f>
        <v/>
      </c>
      <c r="AC43" s="252" t="n"/>
      <c r="AD43" s="74">
        <f>SUM(AD44:AD48)</f>
        <v/>
      </c>
      <c r="AE43" s="76">
        <f>SUM(AE44:AE48)+SUMIFS(Aut_Ajustes_Manuais!$G:$G,Aut_Ajustes_Manuais!$I:$I,DRE!AC$4,Aut_Ajustes_Manuais!$F:$F,"Custos Artístico")</f>
        <v/>
      </c>
      <c r="AF43" s="252" t="n"/>
      <c r="AG43" s="74">
        <f>SUM(AG44:AG48)</f>
        <v/>
      </c>
      <c r="AH43" s="76">
        <f>SUM(AH44:AH48)+SUMIFS(Aut_Ajustes_Manuais!$G:$G,Aut_Ajustes_Manuais!$I:$I,DRE!AF$4,Aut_Ajustes_Manuais!$F:$F,"Custos Artístico")</f>
        <v/>
      </c>
      <c r="AI43" s="252" t="n"/>
      <c r="AJ43" s="74">
        <f>SUM(AJ44:AJ48)</f>
        <v/>
      </c>
      <c r="AK43" s="76">
        <f>SUM(AK44:AK48)+SUMIFS(Aut_Ajustes_Manuais!$G:$G,Aut_Ajustes_Manuais!$I:$I,DRE!AI$4,Aut_Ajustes_Manuais!$F:$F,"Custos Artístico")</f>
        <v/>
      </c>
      <c r="AL43" s="252" t="n"/>
      <c r="AM43" s="74">
        <f>SUM(AM44:AM48)</f>
        <v/>
      </c>
      <c r="AN43" s="76">
        <f>SUM(AN44:AN48)+SUMIFS(Aut_Ajustes_Manuais!$G:$G,Aut_Ajustes_Manuais!$I:$I,DRE!AL$4,Aut_Ajustes_Manuais!$F:$F,"Custos Artístico")</f>
        <v/>
      </c>
      <c r="AO43" s="252" t="n"/>
      <c r="AP43" s="74">
        <f>SUM(AP44:AP48)</f>
        <v/>
      </c>
      <c r="AQ43" s="76">
        <f>SUM(AQ44:AQ48)+SUMIFS(Aut_Ajustes_Manuais!$G:$G,Aut_Ajustes_Manuais!$I:$I,DRE!AO$4,Aut_Ajustes_Manuais!$F:$F,"Custos Artístico")</f>
        <v/>
      </c>
      <c r="AR43" s="252">
        <f>SUMIFS($H43:$AO43,$H$5:$AO$5,"&lt;"&amp;MONTH(TODAY()),$H$6:$AO$6,"REAL 25")</f>
        <v/>
      </c>
      <c r="AS43" s="74">
        <f>SUMIFS($I43:$AP43,$I$5:$AP$5,"&lt;"&amp;MONTH(TODAY()),$I$6:$AP$6,"ORÇADO ")</f>
        <v/>
      </c>
      <c r="AT43" s="74">
        <f>SUMIFS($J43:$AQ43,$J$5:$AQ$5,"&lt;"&amp;MONTH(TODAY()),$J$6:$AQ$6,"REAL 26")</f>
        <v/>
      </c>
      <c r="AU43" s="252">
        <f>SUM(AU44:AU48)</f>
        <v/>
      </c>
      <c r="AV43" s="74">
        <f>SUM(AV44:AV48)</f>
        <v/>
      </c>
      <c r="AW43" s="76">
        <f>SUM(AW44:AW48)</f>
        <v/>
      </c>
      <c r="AX43" s="252">
        <f>SUM(AX44:AX48)</f>
        <v/>
      </c>
      <c r="AY43" s="74">
        <f>SUM(AY44:AY48)</f>
        <v/>
      </c>
      <c r="AZ43" s="76">
        <f>SUM(AZ44:AZ48)</f>
        <v/>
      </c>
      <c r="BA43" s="252">
        <f>SUM(BA44:BA48)</f>
        <v/>
      </c>
      <c r="BB43" s="74">
        <f>SUM(BB44:BB48)</f>
        <v/>
      </c>
      <c r="BC43" s="76">
        <f>SUM(BC44:BC48)</f>
        <v/>
      </c>
      <c r="BD43" s="252">
        <f>SUM(BD44:BD48)</f>
        <v/>
      </c>
      <c r="BE43" s="74">
        <f>SUM(BE44:BE48)</f>
        <v/>
      </c>
      <c r="BF43" s="76">
        <f>SUM(BF44:BF48)</f>
        <v/>
      </c>
      <c r="BG43" s="252">
        <f>SUM(BG44:BG48)</f>
        <v/>
      </c>
      <c r="BH43" s="74">
        <f>SUM(BH44:BH48)</f>
        <v/>
      </c>
      <c r="BI43" s="76">
        <f>SUM(BI44:BI48)</f>
        <v/>
      </c>
    </row>
    <row r="44" outlineLevel="1" customFormat="1" s="498">
      <c r="A44" s="22" t="inlineStr">
        <is>
          <t>Cachê de Músicos e Artistas</t>
        </is>
      </c>
      <c r="B44" s="488" t="n"/>
      <c r="C44" s="24" t="inlineStr">
        <is>
          <t xml:space="preserve">Estim. Mensal </t>
        </is>
      </c>
      <c r="D44" s="69" t="n"/>
      <c r="E44" s="77" t="n">
        <v>0.0067</v>
      </c>
      <c r="F44" s="41" t="n"/>
      <c r="G44" s="23" t="n"/>
      <c r="H44" s="241" t="n"/>
      <c r="I44" s="27">
        <f>-SUMIFS(T_ORCAMENTOS!$E:$E,T_ORCAMENTOS!$C:$C,"Cachê de Músicos e Artistas",T_ORCAMENTOS!$H:$H,"1/2026")</f>
        <v/>
      </c>
      <c r="J44" s="28">
        <f>SUMIFS(Aut_BlueMe_Sem_Pedido!$J:$J,Aut_BlueMe_Sem_Pedido!$Q:$Q,DRE!H$4,Aut_BlueMe_Sem_Pedido!$H:$H,DRE!$A44)+SUMIFS(Aut_Ajustes_Manuais!$G:$G,Aut_Ajustes_Manuais!$I:$I,DRE!H$4,Aut_Ajustes_Manuais!$F:$F,"Cachê de Músicos e Artistas")</f>
        <v/>
      </c>
      <c r="K44" s="241" t="n"/>
      <c r="L44" s="27">
        <f>-SUMIFS(T_ORCAMENTOS!$E:$E,T_ORCAMENTOS!$C:$C,"Cachê de Músicos e Artistas",T_ORCAMENTOS!$H:$H,"2/2026")</f>
        <v/>
      </c>
      <c r="M44" s="28">
        <f>SUMIFS(Aut_BlueMe_Sem_Pedido!$J:$J,Aut_BlueMe_Sem_Pedido!$Q:$Q,DRE!K$4,Aut_BlueMe_Sem_Pedido!$H:$H,DRE!$A44)+SUMIFS(Aut_Ajustes_Manuais!$G:$G,Aut_Ajustes_Manuais!$I:$I,DRE!K$4,Aut_Ajustes_Manuais!$F:$F,"Cachê de Músicos e Artistas")</f>
        <v/>
      </c>
      <c r="N44" s="241" t="n"/>
      <c r="O44" s="27">
        <f>-SUMIFS(T_ORCAMENTOS!$E:$E,T_ORCAMENTOS!$C:$C,"Cachê de Músicos e Artistas",T_ORCAMENTOS!$H:$H,"3/2026")</f>
        <v/>
      </c>
      <c r="P44" s="28">
        <f>SUMIFS(Aut_BlueMe_Sem_Pedido!$J:$J,Aut_BlueMe_Sem_Pedido!$Q:$Q,DRE!N$4,Aut_BlueMe_Sem_Pedido!$H:$H,DRE!$A44)+SUMIFS(Aut_Ajustes_Manuais!$G:$G,Aut_Ajustes_Manuais!$I:$I,DRE!N$4,Aut_Ajustes_Manuais!$F:$F,"Cachê de Músicos e Artistas")</f>
        <v/>
      </c>
      <c r="Q44" s="241" t="n"/>
      <c r="R44" s="27">
        <f>-SUMIFS(T_ORCAMENTOS!$E:$E,T_ORCAMENTOS!$C:$C,"Cachê de Músicos e Artistas",T_ORCAMENTOS!$H:$H,"4/2026")</f>
        <v/>
      </c>
      <c r="S44" s="28">
        <f>SUMIFS(Aut_BlueMe_Sem_Pedido!$J:$J,Aut_BlueMe_Sem_Pedido!$Q:$Q,DRE!Q$4,Aut_BlueMe_Sem_Pedido!$H:$H,DRE!$A44)+SUMIFS(Aut_Ajustes_Manuais!$G:$G,Aut_Ajustes_Manuais!$I:$I,DRE!Q$4,Aut_Ajustes_Manuais!$F:$F,"Cachê de Músicos e Artistas")</f>
        <v/>
      </c>
      <c r="T44" s="241" t="n"/>
      <c r="U44" s="27">
        <f>-SUMIFS(T_ORCAMENTOS!$E:$E,T_ORCAMENTOS!$C:$C,"Cachê de Músicos e Artistas",T_ORCAMENTOS!$H:$H,"5/2026")</f>
        <v/>
      </c>
      <c r="V44" s="28">
        <f>SUMIFS(Aut_BlueMe_Sem_Pedido!$J:$J,Aut_BlueMe_Sem_Pedido!$Q:$Q,DRE!T$4,Aut_BlueMe_Sem_Pedido!$H:$H,DRE!$A44)+SUMIFS(Aut_Ajustes_Manuais!$G:$G,Aut_Ajustes_Manuais!$I:$I,DRE!T$4,Aut_Ajustes_Manuais!$F:$F,"Cachê de Músicos e Artistas")</f>
        <v/>
      </c>
      <c r="W44" s="241" t="n"/>
      <c r="X44" s="27">
        <f>-SUMIFS(T_ORCAMENTOS!$E:$E,T_ORCAMENTOS!$C:$C,"Cachê de Músicos e Artistas",T_ORCAMENTOS!$H:$H,"6/2026")</f>
        <v/>
      </c>
      <c r="Y44" s="28">
        <f>SUMIFS(Aut_BlueMe_Sem_Pedido!$J:$J,Aut_BlueMe_Sem_Pedido!$Q:$Q,DRE!W$4,Aut_BlueMe_Sem_Pedido!$H:$H,DRE!$A44)+SUMIFS(Aut_Ajustes_Manuais!$G:$G,Aut_Ajustes_Manuais!$I:$I,DRE!W$4,Aut_Ajustes_Manuais!$F:$F,"Cachê de Músicos e Artistas")</f>
        <v/>
      </c>
      <c r="Z44" s="241" t="n"/>
      <c r="AA44" s="27">
        <f>-SUMIFS(T_ORCAMENTOS!$E:$E,T_ORCAMENTOS!$C:$C,"Cachê de Músicos e Artistas",T_ORCAMENTOS!$H:$H,"7/2026")</f>
        <v/>
      </c>
      <c r="AB44" s="28">
        <f>SUMIFS(Aut_BlueMe_Sem_Pedido!$J:$J,Aut_BlueMe_Sem_Pedido!$Q:$Q,DRE!Z$4,Aut_BlueMe_Sem_Pedido!$H:$H,DRE!$A44)+SUMIFS(Aut_Ajustes_Manuais!$G:$G,Aut_Ajustes_Manuais!$I:$I,DRE!Z$4,Aut_Ajustes_Manuais!$F:$F,"Cachê de Músicos e Artistas")</f>
        <v/>
      </c>
      <c r="AC44" s="241" t="n"/>
      <c r="AD44" s="27">
        <f>-SUMIFS(T_ORCAMENTOS!$E:$E,T_ORCAMENTOS!$C:$C,"Cachê de Músicos e Artistas",T_ORCAMENTOS!$H:$H,"8/2026")</f>
        <v/>
      </c>
      <c r="AE44" s="28">
        <f>SUMIFS(Aut_BlueMe_Sem_Pedido!$J:$J,Aut_BlueMe_Sem_Pedido!$Q:$Q,DRE!AC$4,Aut_BlueMe_Sem_Pedido!$H:$H,DRE!$A44)+SUMIFS(Aut_Ajustes_Manuais!$G:$G,Aut_Ajustes_Manuais!$I:$I,DRE!AC$4,Aut_Ajustes_Manuais!$F:$F,"Cachê de Músicos e Artistas")</f>
        <v/>
      </c>
      <c r="AF44" s="241" t="n"/>
      <c r="AG44" s="27">
        <f>-SUMIFS(T_ORCAMENTOS!$E:$E,T_ORCAMENTOS!$C:$C,"Cachê de Músicos e Artistas",T_ORCAMENTOS!$H:$H,"9/2026")</f>
        <v/>
      </c>
      <c r="AH44" s="28">
        <f>SUMIFS(Aut_BlueMe_Sem_Pedido!$J:$J,Aut_BlueMe_Sem_Pedido!$Q:$Q,DRE!AF$4,Aut_BlueMe_Sem_Pedido!$H:$H,DRE!$A44)+SUMIFS(Aut_Ajustes_Manuais!$G:$G,Aut_Ajustes_Manuais!$I:$I,DRE!AF$4,Aut_Ajustes_Manuais!$F:$F,"Cachê de Músicos e Artistas")</f>
        <v/>
      </c>
      <c r="AI44" s="241" t="n"/>
      <c r="AJ44" s="27">
        <f>-SUMIFS(T_ORCAMENTOS!$E:$E,T_ORCAMENTOS!$C:$C,"Cachê de Músicos e Artistas",T_ORCAMENTOS!$H:$H,"10/2026")</f>
        <v/>
      </c>
      <c r="AK44" s="28">
        <f>SUMIFS(Aut_BlueMe_Sem_Pedido!$J:$J,Aut_BlueMe_Sem_Pedido!$Q:$Q,DRE!AI$4,Aut_BlueMe_Sem_Pedido!$H:$H,DRE!$A44)+SUMIFS(Aut_Ajustes_Manuais!$G:$G,Aut_Ajustes_Manuais!$I:$I,DRE!AI$4,Aut_Ajustes_Manuais!$F:$F,"Cachê de Músicos e Artistas")</f>
        <v/>
      </c>
      <c r="AL44" s="241" t="n"/>
      <c r="AM44" s="27">
        <f>-SUMIFS(T_ORCAMENTOS!$E:$E,T_ORCAMENTOS!$C:$C,"Cachê de Músicos e Artistas",T_ORCAMENTOS!$H:$H,"11/2026")</f>
        <v/>
      </c>
      <c r="AN44" s="28">
        <f>SUMIFS(Aut_BlueMe_Sem_Pedido!$J:$J,Aut_BlueMe_Sem_Pedido!$Q:$Q,DRE!AL$4,Aut_BlueMe_Sem_Pedido!$H:$H,DRE!$A44)+SUMIFS(Aut_Ajustes_Manuais!$G:$G,Aut_Ajustes_Manuais!$I:$I,DRE!AL$4,Aut_Ajustes_Manuais!$F:$F,"Cachê de Músicos e Artistas")</f>
        <v/>
      </c>
      <c r="AO44" s="241" t="n"/>
      <c r="AP44" s="27">
        <f>-SUMIFS(T_ORCAMENTOS!$E:$E,T_ORCAMENTOS!$C:$C,"Cachê de Músicos e Artistas",T_ORCAMENTOS!$H:$H,"12/2026")</f>
        <v/>
      </c>
      <c r="AQ44" s="28">
        <f>SUMIFS(Aut_BlueMe_Sem_Pedido!$J:$J,Aut_BlueMe_Sem_Pedido!$Q:$Q,DRE!AO$4,Aut_BlueMe_Sem_Pedido!$H:$H,DRE!$A44)+SUMIFS(Aut_Ajustes_Manuais!$G:$G,Aut_Ajustes_Manuais!$I:$I,DRE!AO$4,Aut_Ajustes_Manuais!$F:$F,"Cachê de Músicos e Artistas")</f>
        <v/>
      </c>
      <c r="AR44" s="241">
        <f>SUMIFS($H44:$AO44,$H$5:$AO$5,"&lt;"&amp;MONTH(TODAY()),$H$6:$AO$6,"REAL 25")</f>
        <v/>
      </c>
      <c r="AS44" s="27">
        <f>SUMIFS($I44:$AP44,$I$5:$AP$5,"&lt;"&amp;MONTH(TODAY()),$I$6:$AP$6,"ORÇADO ")</f>
        <v/>
      </c>
      <c r="AT44" s="28">
        <f>SUMIFS($J44:$AQ44,$J$5:$AQ$5,"&lt;"&amp;MONTH(TODAY()),$J$6:$AQ$6,"REAL 26")</f>
        <v/>
      </c>
      <c r="AU44" s="241">
        <f>SUM(H44,K44,N44,Q44,T44,W44,Z44,AC44,AF44,AI44,AL44,AO44)</f>
        <v/>
      </c>
      <c r="AV44" s="27">
        <f>SUM(I44,L44,O44,R44,U44,X44,AA44,AD44,AG44,AJ44,AM44,AP44)</f>
        <v/>
      </c>
      <c r="AW44" s="28">
        <f>SUM(J44,M44,P44,S44,V44,Y44,AB44,AE44,AH44,AK44,AN44,AQ44)</f>
        <v/>
      </c>
      <c r="AX44" s="241">
        <f>SUM(H44,K44,N44)</f>
        <v/>
      </c>
      <c r="AY44" s="27">
        <f>SUM(I44,L44,O44)</f>
        <v/>
      </c>
      <c r="AZ44" s="28">
        <f>SUM(J44,M44,P44)</f>
        <v/>
      </c>
      <c r="BA44" s="241">
        <f>SUM(Q44,T44,W44)</f>
        <v/>
      </c>
      <c r="BB44" s="27">
        <f>SUM(R44,U44,X44)</f>
        <v/>
      </c>
      <c r="BC44" s="28">
        <f>SUM(S44,V44,Y44)</f>
        <v/>
      </c>
      <c r="BD44" s="241">
        <f>SUM(Z44,AC44,AF44)</f>
        <v/>
      </c>
      <c r="BE44" s="27">
        <f>SUM(AA44,AD44,AG44)</f>
        <v/>
      </c>
      <c r="BF44" s="28">
        <f>SUM(AB44,AE44,AH44)</f>
        <v/>
      </c>
      <c r="BG44" s="241">
        <f>SUM(AI44,AL44,AO44)</f>
        <v/>
      </c>
      <c r="BH44" s="27">
        <f>SUM(AJ44,AM44,AP44)</f>
        <v/>
      </c>
      <c r="BI44" s="28">
        <f>SUM(AK44,AN44,AQ44)</f>
        <v/>
      </c>
    </row>
    <row r="45" outlineLevel="1" customFormat="1" s="498">
      <c r="A45" s="22" t="inlineStr">
        <is>
          <t>Alimentação e Transporte</t>
        </is>
      </c>
      <c r="B45" s="488" t="n"/>
      <c r="C45" s="24" t="inlineStr">
        <is>
          <t>Estim. Mensal</t>
        </is>
      </c>
      <c r="D45" s="69" t="n"/>
      <c r="E45" s="77" t="n">
        <v>0.0067</v>
      </c>
      <c r="F45" s="41" t="n"/>
      <c r="G45" s="23" t="n"/>
      <c r="H45" s="241" t="n"/>
      <c r="I45" s="27">
        <f>-SUMIFS(T_ORCAMENTOS!$E:$E,T_ORCAMENTOS!$C:$C,"Alimentação e Transporte",T_ORCAMENTOS!$H:$H,"1/2026")</f>
        <v/>
      </c>
      <c r="J45" s="28">
        <f>SUMIFS(Aut_BlueMe_Sem_Pedido!$J:$J,Aut_BlueMe_Sem_Pedido!$Q:$Q,DRE!H$4,Aut_BlueMe_Sem_Pedido!$H:$H,DRE!$A45)-SUMIFS(Aut_Descontos!$G:$G,Aut_Descontos!$H:$H,DRE!$A45,Aut_Descontos!$L:$L,DRE!H$4)+SUMIFS(Aut_Ajustes_Manuais!$G:$G,Aut_Ajustes_Manuais!$I:$I,DRE!H$4,Aut_Ajustes_Manuais!$F:$F,"Alimentação e Transporte")</f>
        <v/>
      </c>
      <c r="K45" s="241" t="n"/>
      <c r="L45" s="27">
        <f>-SUMIFS(T_ORCAMENTOS!$E:$E,T_ORCAMENTOS!$C:$C,"Alimentação e Transporte",T_ORCAMENTOS!$H:$H,"2/2026")</f>
        <v/>
      </c>
      <c r="M45" s="28">
        <f>SUMIFS(Aut_BlueMe_Sem_Pedido!$J:$J,Aut_BlueMe_Sem_Pedido!$Q:$Q,DRE!K$4,Aut_BlueMe_Sem_Pedido!$H:$H,DRE!$A45)-SUMIFS(Aut_Descontos!$G:$G,Aut_Descontos!$H:$H,DRE!$A45,Aut_Descontos!$L:$L,DRE!K$4)+SUMIFS(Aut_Ajustes_Manuais!$G:$G,Aut_Ajustes_Manuais!$I:$I,DRE!K$4,Aut_Ajustes_Manuais!$F:$F,"Alimentação e Transporte")</f>
        <v/>
      </c>
      <c r="N45" s="241" t="n"/>
      <c r="O45" s="27">
        <f>-SUMIFS(T_ORCAMENTOS!$E:$E,T_ORCAMENTOS!$C:$C,"Alimentação e Transporte",T_ORCAMENTOS!$H:$H,"3/2026")</f>
        <v/>
      </c>
      <c r="P45" s="28">
        <f>SUMIFS(Aut_BlueMe_Sem_Pedido!$J:$J,Aut_BlueMe_Sem_Pedido!$Q:$Q,DRE!N$4,Aut_BlueMe_Sem_Pedido!$H:$H,DRE!$A45)-SUMIFS(Aut_Descontos!$G:$G,Aut_Descontos!$H:$H,DRE!$A45,Aut_Descontos!$L:$L,DRE!N$4)+SUMIFS(Aut_Ajustes_Manuais!$G:$G,Aut_Ajustes_Manuais!$I:$I,DRE!N$4,Aut_Ajustes_Manuais!$F:$F,"Alimentação e Transporte")</f>
        <v/>
      </c>
      <c r="Q45" s="241" t="n"/>
      <c r="R45" s="27">
        <f>-SUMIFS(T_ORCAMENTOS!$E:$E,T_ORCAMENTOS!$C:$C,"Alimentação e Transporte",T_ORCAMENTOS!$H:$H,"4/2026")</f>
        <v/>
      </c>
      <c r="S45" s="28">
        <f>SUMIFS(Aut_BlueMe_Sem_Pedido!$J:$J,Aut_BlueMe_Sem_Pedido!$Q:$Q,DRE!Q$4,Aut_BlueMe_Sem_Pedido!$H:$H,DRE!$A45)-SUMIFS(Aut_Descontos!$G:$G,Aut_Descontos!$H:$H,DRE!$A45,Aut_Descontos!$L:$L,DRE!Q$4)+SUMIFS(Aut_Ajustes_Manuais!$G:$G,Aut_Ajustes_Manuais!$I:$I,DRE!Q$4,Aut_Ajustes_Manuais!$F:$F,"Alimentação e Transporte")</f>
        <v/>
      </c>
      <c r="T45" s="241" t="n"/>
      <c r="U45" s="27">
        <f>-SUMIFS(T_ORCAMENTOS!$E:$E,T_ORCAMENTOS!$C:$C,"Alimentação e Transporte",T_ORCAMENTOS!$H:$H,"5/2026")</f>
        <v/>
      </c>
      <c r="V45" s="28">
        <f>SUMIFS(Aut_BlueMe_Sem_Pedido!$J:$J,Aut_BlueMe_Sem_Pedido!$Q:$Q,DRE!T$4,Aut_BlueMe_Sem_Pedido!$H:$H,DRE!$A45)-SUMIFS(Aut_Descontos!$G:$G,Aut_Descontos!$H:$H,DRE!$A45,Aut_Descontos!$L:$L,DRE!T$4)+SUMIFS(Aut_Ajustes_Manuais!$G:$G,Aut_Ajustes_Manuais!$I:$I,DRE!T$4,Aut_Ajustes_Manuais!$F:$F,"Alimentação e Transporte")</f>
        <v/>
      </c>
      <c r="W45" s="241" t="n"/>
      <c r="X45" s="27">
        <f>-SUMIFS(T_ORCAMENTOS!$E:$E,T_ORCAMENTOS!$C:$C,"Alimentação e Transporte",T_ORCAMENTOS!$H:$H,"6/2026")</f>
        <v/>
      </c>
      <c r="Y45" s="28">
        <f>SUMIFS(Aut_BlueMe_Sem_Pedido!$J:$J,Aut_BlueMe_Sem_Pedido!$Q:$Q,DRE!W$4,Aut_BlueMe_Sem_Pedido!$H:$H,DRE!$A45)-SUMIFS(Aut_Descontos!$G:$G,Aut_Descontos!$H:$H,DRE!$A45,Aut_Descontos!$L:$L,DRE!W$4)+SUMIFS(Aut_Ajustes_Manuais!$G:$G,Aut_Ajustes_Manuais!$I:$I,DRE!W$4,Aut_Ajustes_Manuais!$F:$F,"Alimentação e Transporte")</f>
        <v/>
      </c>
      <c r="Z45" s="241" t="n"/>
      <c r="AA45" s="27">
        <f>-SUMIFS(T_ORCAMENTOS!$E:$E,T_ORCAMENTOS!$C:$C,"Alimentação e Transporte",T_ORCAMENTOS!$H:$H,"7/2026")</f>
        <v/>
      </c>
      <c r="AB45" s="28">
        <f>SUMIFS(Aut_BlueMe_Sem_Pedido!$J:$J,Aut_BlueMe_Sem_Pedido!$Q:$Q,DRE!Z$4,Aut_BlueMe_Sem_Pedido!$H:$H,DRE!$A45)-SUMIFS(Aut_Descontos!$G:$G,Aut_Descontos!$H:$H,DRE!$A45,Aut_Descontos!$L:$L,DRE!Z$4)+SUMIFS(Aut_Ajustes_Manuais!$G:$G,Aut_Ajustes_Manuais!$I:$I,DRE!Z$4,Aut_Ajustes_Manuais!$F:$F,"Alimentação e Transporte")</f>
        <v/>
      </c>
      <c r="AC45" s="241" t="n"/>
      <c r="AD45" s="27">
        <f>-SUMIFS(T_ORCAMENTOS!$E:$E,T_ORCAMENTOS!$C:$C,"Alimentação e Transporte",T_ORCAMENTOS!$H:$H,"8/2026")</f>
        <v/>
      </c>
      <c r="AE45" s="28">
        <f>SUMIFS(Aut_BlueMe_Sem_Pedido!$J:$J,Aut_BlueMe_Sem_Pedido!$Q:$Q,DRE!AC$4,Aut_BlueMe_Sem_Pedido!$H:$H,DRE!$A45)-SUMIFS(Aut_Descontos!$G:$G,Aut_Descontos!$H:$H,DRE!$A45,Aut_Descontos!$L:$L,DRE!AC$4)+SUMIFS(Aut_Ajustes_Manuais!$G:$G,Aut_Ajustes_Manuais!$I:$I,DRE!AC$4,Aut_Ajustes_Manuais!$F:$F,"Alimentação e Transporte")</f>
        <v/>
      </c>
      <c r="AF45" s="241" t="n"/>
      <c r="AG45" s="27">
        <f>-SUMIFS(T_ORCAMENTOS!$E:$E,T_ORCAMENTOS!$C:$C,"Alimentação e Transporte",T_ORCAMENTOS!$H:$H,"9/2026")</f>
        <v/>
      </c>
      <c r="AH45" s="28">
        <f>SUMIFS(Aut_BlueMe_Sem_Pedido!$J:$J,Aut_BlueMe_Sem_Pedido!$Q:$Q,DRE!AF$4,Aut_BlueMe_Sem_Pedido!$H:$H,DRE!$A45)-SUMIFS(Aut_Descontos!$G:$G,Aut_Descontos!$H:$H,DRE!$A45,Aut_Descontos!$L:$L,DRE!AF$4)+SUMIFS(Aut_Ajustes_Manuais!$G:$G,Aut_Ajustes_Manuais!$I:$I,DRE!AF$4,Aut_Ajustes_Manuais!$F:$F,"Alimentação e Transporte")</f>
        <v/>
      </c>
      <c r="AI45" s="241" t="n"/>
      <c r="AJ45" s="27">
        <f>-SUMIFS(T_ORCAMENTOS!$E:$E,T_ORCAMENTOS!$C:$C,"Alimentação e Transporte",T_ORCAMENTOS!$H:$H,"10/2026")</f>
        <v/>
      </c>
      <c r="AK45" s="28">
        <f>SUMIFS(Aut_BlueMe_Sem_Pedido!$J:$J,Aut_BlueMe_Sem_Pedido!$Q:$Q,DRE!AI$4,Aut_BlueMe_Sem_Pedido!$H:$H,DRE!$A45)-SUMIFS(Aut_Descontos!$G:$G,Aut_Descontos!$H:$H,DRE!$A45,Aut_Descontos!$L:$L,DRE!AI$4)+SUMIFS(Aut_Ajustes_Manuais!$G:$G,Aut_Ajustes_Manuais!$I:$I,DRE!AI$4,Aut_Ajustes_Manuais!$F:$F,"Alimentação e Transporte")</f>
        <v/>
      </c>
      <c r="AL45" s="241" t="n"/>
      <c r="AM45" s="27">
        <f>-SUMIFS(T_ORCAMENTOS!$E:$E,T_ORCAMENTOS!$C:$C,"Alimentação e Transporte",T_ORCAMENTOS!$H:$H,"11/2026")</f>
        <v/>
      </c>
      <c r="AN45" s="28">
        <f>SUMIFS(Aut_BlueMe_Sem_Pedido!$J:$J,Aut_BlueMe_Sem_Pedido!$Q:$Q,DRE!AL$4,Aut_BlueMe_Sem_Pedido!$H:$H,DRE!$A45)-SUMIFS(Aut_Descontos!$G:$G,Aut_Descontos!$H:$H,DRE!$A45,Aut_Descontos!$L:$L,DRE!AL$4)+SUMIFS(Aut_Ajustes_Manuais!$G:$G,Aut_Ajustes_Manuais!$I:$I,DRE!AL$4,Aut_Ajustes_Manuais!$F:$F,"Alimentação e Transporte")</f>
        <v/>
      </c>
      <c r="AO45" s="241" t="n"/>
      <c r="AP45" s="27">
        <f>-SUMIFS(T_ORCAMENTOS!$E:$E,T_ORCAMENTOS!$C:$C,"Alimentação e Transporte",T_ORCAMENTOS!$H:$H,"12/2026")</f>
        <v/>
      </c>
      <c r="AQ45" s="28">
        <f>SUMIFS(Aut_BlueMe_Sem_Pedido!$J:$J,Aut_BlueMe_Sem_Pedido!$Q:$Q,DRE!AO$4,Aut_BlueMe_Sem_Pedido!$H:$H,DRE!$A45)-SUMIFS(Aut_Descontos!$G:$G,Aut_Descontos!$H:$H,DRE!$A45,Aut_Descontos!$L:$L,DRE!AO$4)+SUMIFS(Aut_Ajustes_Manuais!$G:$G,Aut_Ajustes_Manuais!$I:$I,DRE!AO$4,Aut_Ajustes_Manuais!$F:$F,"Alimentação e Transporte")</f>
        <v/>
      </c>
      <c r="AR45" s="241">
        <f>SUMIFS($H45:$AO45,$H$5:$AO$5,"&lt;"&amp;MONTH(TODAY()),$H$6:$AO$6,"REAL 25")</f>
        <v/>
      </c>
      <c r="AS45" s="27">
        <f>SUMIFS($I45:$AP45,$I$5:$AP$5,"&lt;"&amp;MONTH(TODAY()),$I$6:$AP$6,"ORÇADO ")</f>
        <v/>
      </c>
      <c r="AT45" s="28">
        <f>SUMIFS($J45:$AQ45,$J$5:$AQ$5,"&lt;"&amp;MONTH(TODAY()),$J$6:$AQ$6,"REAL 26")</f>
        <v/>
      </c>
      <c r="AU45" s="241">
        <f>SUM(H45,K45,N45,Q45,T45,W45,Z45,AC45,AF45,AI45,AL45,AO45)</f>
        <v/>
      </c>
      <c r="AV45" s="27">
        <f>SUM(I45,L45,O45,R45,U45,X45,AA45,AD45,AG45,AJ45,AM45,AP45)</f>
        <v/>
      </c>
      <c r="AW45" s="28">
        <f>SUM(J45,M45,P45,S45,V45,Y45,AB45,AE45,AH45,AK45,AN45,AQ45)</f>
        <v/>
      </c>
      <c r="AX45" s="241">
        <f>SUM(H45,K45,N45)</f>
        <v/>
      </c>
      <c r="AY45" s="27">
        <f>SUM(I45,L45,O45)</f>
        <v/>
      </c>
      <c r="AZ45" s="28">
        <f>SUM(J45,M45,P45)</f>
        <v/>
      </c>
      <c r="BA45" s="241">
        <f>SUM(Q45,T45,W45)</f>
        <v/>
      </c>
      <c r="BB45" s="27">
        <f>SUM(R45,U45,X45)</f>
        <v/>
      </c>
      <c r="BC45" s="28">
        <f>SUM(S45,V45,Y45)</f>
        <v/>
      </c>
      <c r="BD45" s="241">
        <f>SUM(Z45,AC45,AF45)</f>
        <v/>
      </c>
      <c r="BE45" s="27">
        <f>SUM(AA45,AD45,AG45)</f>
        <v/>
      </c>
      <c r="BF45" s="28">
        <f>SUM(AB45,AE45,AH45)</f>
        <v/>
      </c>
      <c r="BG45" s="241">
        <f>SUM(AI45,AL45,AO45)</f>
        <v/>
      </c>
      <c r="BH45" s="27">
        <f>SUM(AJ45,AM45,AP45)</f>
        <v/>
      </c>
      <c r="BI45" s="28">
        <f>SUM(AK45,AN45,AQ45)</f>
        <v/>
      </c>
    </row>
    <row r="46" outlineLevel="1" customFormat="1" s="498">
      <c r="A46" s="22" t="inlineStr">
        <is>
          <t>Viagens e Estadias - Artístico</t>
        </is>
      </c>
      <c r="B46" s="488" t="n"/>
      <c r="C46" s="24" t="inlineStr">
        <is>
          <t>Estim. Mensal</t>
        </is>
      </c>
      <c r="D46" s="69" t="n"/>
      <c r="E46" s="69" t="n"/>
      <c r="F46" s="41" t="n"/>
      <c r="G46" s="23" t="n"/>
      <c r="H46" s="241" t="n"/>
      <c r="I46" s="27">
        <f>-SUMIFS(T_ORCAMENTOS!$E:$E,T_ORCAMENTOS!$C:$C,"Viagens e Estadias - Artístico",T_ORCAMENTOS!$H:$H,"1/2026")</f>
        <v/>
      </c>
      <c r="J46" s="28">
        <f>SUMIFS(Aut_BlueMe_Sem_Pedido!$J:$J,Aut_BlueMe_Sem_Pedido!$Q:$Q,DRE!H$4,Aut_BlueMe_Sem_Pedido!$H:$H,DRE!$A46)+SUMIFS(Aut_Ajustes_Manuais!$G:$G,Aut_Ajustes_Manuais!$I:$I,DRE!H$4,Aut_Ajustes_Manuais!$F:$F,"Viagens e Estadias - Artístico")</f>
        <v/>
      </c>
      <c r="K46" s="241" t="n"/>
      <c r="L46" s="27">
        <f>-SUMIFS(T_ORCAMENTOS!$E:$E,T_ORCAMENTOS!$C:$C,"Viagens e Estadias - Artístico",T_ORCAMENTOS!$H:$H,"2/2026")</f>
        <v/>
      </c>
      <c r="M46" s="28">
        <f>SUMIFS(Aut_BlueMe_Sem_Pedido!$J:$J,Aut_BlueMe_Sem_Pedido!$Q:$Q,DRE!K$4,Aut_BlueMe_Sem_Pedido!$H:$H,DRE!$A46)+SUMIFS(Aut_Ajustes_Manuais!$G:$G,Aut_Ajustes_Manuais!$I:$I,DRE!K$4,Aut_Ajustes_Manuais!$F:$F,"Viagens e Estadias - Artístico")</f>
        <v/>
      </c>
      <c r="N46" s="241" t="n"/>
      <c r="O46" s="27">
        <f>-SUMIFS(T_ORCAMENTOS!$E:$E,T_ORCAMENTOS!$C:$C,"Viagens e Estadias - Artístico",T_ORCAMENTOS!$H:$H,"3/2026")</f>
        <v/>
      </c>
      <c r="P46" s="28">
        <f>SUMIFS(Aut_BlueMe_Sem_Pedido!$J:$J,Aut_BlueMe_Sem_Pedido!$Q:$Q,DRE!N$4,Aut_BlueMe_Sem_Pedido!$H:$H,DRE!$A46)+SUMIFS(Aut_Ajustes_Manuais!$G:$G,Aut_Ajustes_Manuais!$I:$I,DRE!N$4,Aut_Ajustes_Manuais!$F:$F,"Viagens e Estadias - Artístico")</f>
        <v/>
      </c>
      <c r="Q46" s="241" t="n"/>
      <c r="R46" s="27">
        <f>-SUMIFS(T_ORCAMENTOS!$E:$E,T_ORCAMENTOS!$C:$C,"Viagens e Estadias - Artístico",T_ORCAMENTOS!$H:$H,"4/2026")</f>
        <v/>
      </c>
      <c r="S46" s="27">
        <f>SUMIFS(Aut_BlueMe_Sem_Pedido!$J:$J,Aut_BlueMe_Sem_Pedido!$Q:$Q,DRE!Q$4,Aut_BlueMe_Sem_Pedido!$H:$H,DRE!$A46)+SUMIFS(Aut_Ajustes_Manuais!$G:$G,Aut_Ajustes_Manuais!$I:$I,DRE!Q$4,Aut_Ajustes_Manuais!$F:$F,"Viagens e Estadias - Artístico")</f>
        <v/>
      </c>
      <c r="T46" s="241" t="n"/>
      <c r="U46" s="27">
        <f>-SUMIFS(T_ORCAMENTOS!$E:$E,T_ORCAMENTOS!$C:$C,"Viagens e Estadias - Artístico",T_ORCAMENTOS!$H:$H,"5/2026")</f>
        <v/>
      </c>
      <c r="V46" s="28">
        <f>SUMIFS(Aut_BlueMe_Sem_Pedido!$J:$J,Aut_BlueMe_Sem_Pedido!$Q:$Q,DRE!T$4,Aut_BlueMe_Sem_Pedido!$H:$H,DRE!$A46)+SUMIFS(Aut_Ajustes_Manuais!$G:$G,Aut_Ajustes_Manuais!$I:$I,DRE!T$4,Aut_Ajustes_Manuais!$F:$F,"Viagens e Estadias - Artístico")</f>
        <v/>
      </c>
      <c r="W46" s="241" t="n"/>
      <c r="X46" s="27">
        <f>-SUMIFS(T_ORCAMENTOS!$E:$E,T_ORCAMENTOS!$C:$C,"Viagens e Estadias - Artístico",T_ORCAMENTOS!$H:$H,"6/2026")</f>
        <v/>
      </c>
      <c r="Y46" s="28">
        <f>SUMIFS(Aut_BlueMe_Sem_Pedido!$J:$J,Aut_BlueMe_Sem_Pedido!$Q:$Q,DRE!W$4,Aut_BlueMe_Sem_Pedido!$H:$H,DRE!$A46)+SUMIFS(Aut_Ajustes_Manuais!$G:$G,Aut_Ajustes_Manuais!$I:$I,DRE!W$4,Aut_Ajustes_Manuais!$F:$F,"Viagens e Estadias - Artístico")</f>
        <v/>
      </c>
      <c r="Z46" s="241" t="n"/>
      <c r="AA46" s="27">
        <f>-SUMIFS(T_ORCAMENTOS!$E:$E,T_ORCAMENTOS!$C:$C,"Viagens e Estadias - Artístico",T_ORCAMENTOS!$H:$H,"7/2026")</f>
        <v/>
      </c>
      <c r="AB46" s="28">
        <f>SUMIFS(Aut_BlueMe_Sem_Pedido!$J:$J,Aut_BlueMe_Sem_Pedido!$Q:$Q,DRE!Z$4,Aut_BlueMe_Sem_Pedido!$H:$H,DRE!$A46)+SUMIFS(Aut_Ajustes_Manuais!$G:$G,Aut_Ajustes_Manuais!$I:$I,DRE!Z$4,Aut_Ajustes_Manuais!$F:$F,"Viagens e Estadias - Artístico")</f>
        <v/>
      </c>
      <c r="AC46" s="241" t="n"/>
      <c r="AD46" s="27">
        <f>-SUMIFS(T_ORCAMENTOS!$E:$E,T_ORCAMENTOS!$C:$C,"Viagens e Estadias - Artístico",T_ORCAMENTOS!$H:$H,"8/2026")</f>
        <v/>
      </c>
      <c r="AE46" s="28">
        <f>SUMIFS(Aut_BlueMe_Sem_Pedido!$J:$J,Aut_BlueMe_Sem_Pedido!$Q:$Q,DRE!AC$4,Aut_BlueMe_Sem_Pedido!$H:$H,DRE!$A46)+SUMIFS(Aut_Ajustes_Manuais!$G:$G,Aut_Ajustes_Manuais!$I:$I,DRE!AC$4,Aut_Ajustes_Manuais!$F:$F,"Viagens e Estadias - Artístico")</f>
        <v/>
      </c>
      <c r="AF46" s="241" t="n"/>
      <c r="AG46" s="27">
        <f>-SUMIFS(T_ORCAMENTOS!$E:$E,T_ORCAMENTOS!$C:$C,"Viagens e Estadias - Artístico",T_ORCAMENTOS!$H:$H,"9/2026")</f>
        <v/>
      </c>
      <c r="AH46" s="28">
        <f>SUMIFS(Aut_BlueMe_Sem_Pedido!$J:$J,Aut_BlueMe_Sem_Pedido!$Q:$Q,DRE!AF$4,Aut_BlueMe_Sem_Pedido!$H:$H,DRE!$A46)+SUMIFS(Aut_Ajustes_Manuais!$G:$G,Aut_Ajustes_Manuais!$I:$I,DRE!AF$4,Aut_Ajustes_Manuais!$F:$F,"Viagens e Estadias - Artístico")</f>
        <v/>
      </c>
      <c r="AI46" s="241" t="n"/>
      <c r="AJ46" s="27">
        <f>-SUMIFS(T_ORCAMENTOS!$E:$E,T_ORCAMENTOS!$C:$C,"Viagens e Estadias - Artístico",T_ORCAMENTOS!$H:$H,"10/2026")</f>
        <v/>
      </c>
      <c r="AK46" s="28">
        <f>SUMIFS(Aut_BlueMe_Sem_Pedido!$J:$J,Aut_BlueMe_Sem_Pedido!$Q:$Q,DRE!AI$4,Aut_BlueMe_Sem_Pedido!$H:$H,DRE!$A46)+SUMIFS(Aut_Ajustes_Manuais!$G:$G,Aut_Ajustes_Manuais!$I:$I,DRE!AI$4,Aut_Ajustes_Manuais!$F:$F,"Viagens e Estadias - Artístico")</f>
        <v/>
      </c>
      <c r="AL46" s="241" t="n"/>
      <c r="AM46" s="27">
        <f>-SUMIFS(T_ORCAMENTOS!$E:$E,T_ORCAMENTOS!$C:$C,"Viagens e Estadias - Artístico",T_ORCAMENTOS!$H:$H,"11/2026")</f>
        <v/>
      </c>
      <c r="AN46" s="28">
        <f>SUMIFS(Aut_BlueMe_Sem_Pedido!$J:$J,Aut_BlueMe_Sem_Pedido!$Q:$Q,DRE!AL$4,Aut_BlueMe_Sem_Pedido!$H:$H,DRE!$A46)+SUMIFS(Aut_Ajustes_Manuais!$G:$G,Aut_Ajustes_Manuais!$I:$I,DRE!AL$4,Aut_Ajustes_Manuais!$F:$F,"Viagens e Estadias - Artístico")</f>
        <v/>
      </c>
      <c r="AO46" s="241" t="n"/>
      <c r="AP46" s="27">
        <f>-SUMIFS(T_ORCAMENTOS!$E:$E,T_ORCAMENTOS!$C:$C,"Viagens e Estadias - Artístico",T_ORCAMENTOS!$H:$H,"12/2026")</f>
        <v/>
      </c>
      <c r="AQ46" s="28">
        <f>SUMIFS(Aut_BlueMe_Sem_Pedido!$J:$J,Aut_BlueMe_Sem_Pedido!$Q:$Q,DRE!AO$4,Aut_BlueMe_Sem_Pedido!$H:$H,DRE!$A46)+SUMIFS(Aut_Ajustes_Manuais!$G:$G,Aut_Ajustes_Manuais!$I:$I,DRE!AO$4,Aut_Ajustes_Manuais!$F:$F,"Viagens e Estadias - Artístico")</f>
        <v/>
      </c>
      <c r="AR46" s="241">
        <f>SUMIFS($H46:$AO46,$H$5:$AO$5,"&lt;"&amp;MONTH(TODAY()),$H$6:$AO$6,"REAL 25")</f>
        <v/>
      </c>
      <c r="AS46" s="27">
        <f>SUMIFS($I46:$AP46,$I$5:$AP$5,"&lt;"&amp;MONTH(TODAY()),$I$6:$AP$6,"ORÇADO ")</f>
        <v/>
      </c>
      <c r="AT46" s="28">
        <f>SUMIFS($J46:$AQ46,$J$5:$AQ$5,"&lt;"&amp;MONTH(TODAY()),$J$6:$AQ$6,"REAL 26")</f>
        <v/>
      </c>
      <c r="AU46" s="241">
        <f>SUM(H46,K46,N46,Q46,T46,W46,Z46,AC46,AF46,AI46,AL46,AO46)</f>
        <v/>
      </c>
      <c r="AV46" s="27">
        <f>SUM(I46,L46,O46,R46,U46,X46,AA46,AD46,AG46,AJ46,AM46,AP46)</f>
        <v/>
      </c>
      <c r="AW46" s="28">
        <f>SUM(J46,M46,P46,S46,V46,Y46,AB46,AE46,AH46,AK46,AN46,AQ46)</f>
        <v/>
      </c>
      <c r="AX46" s="241">
        <f>SUM(H46,K46,N46)</f>
        <v/>
      </c>
      <c r="AY46" s="27">
        <f>SUM(I46,L46,O46)</f>
        <v/>
      </c>
      <c r="AZ46" s="28">
        <f>SUM(J46,M46,P46)</f>
        <v/>
      </c>
      <c r="BA46" s="241">
        <f>SUM(Q46,T46,W46)</f>
        <v/>
      </c>
      <c r="BB46" s="27">
        <f>SUM(R46,U46,X46)</f>
        <v/>
      </c>
      <c r="BC46" s="28">
        <f>SUM(S46,V46,Y46)</f>
        <v/>
      </c>
      <c r="BD46" s="241">
        <f>SUM(Z46,AC46,AF46)</f>
        <v/>
      </c>
      <c r="BE46" s="27">
        <f>SUM(AA46,AD46,AG46)</f>
        <v/>
      </c>
      <c r="BF46" s="28">
        <f>SUM(AB46,AE46,AH46)</f>
        <v/>
      </c>
      <c r="BG46" s="241">
        <f>SUM(AI46,AL46,AO46)</f>
        <v/>
      </c>
      <c r="BH46" s="27">
        <f>SUM(AJ46,AM46,AP46)</f>
        <v/>
      </c>
      <c r="BI46" s="28">
        <f>SUM(AK46,AN46,AQ46)</f>
        <v/>
      </c>
    </row>
    <row r="47" outlineLevel="1" customFormat="1" s="498">
      <c r="A47" s="22" t="inlineStr">
        <is>
          <t>Taxas e Licenças - Artístico</t>
        </is>
      </c>
      <c r="B47" s="488" t="n"/>
      <c r="C47" s="24" t="inlineStr">
        <is>
          <t>Contr/Prov - ECAD Valor Mensal</t>
        </is>
      </c>
      <c r="D47" s="25" t="n"/>
      <c r="E47" s="25" t="n"/>
      <c r="F47" s="41" t="n"/>
      <c r="G47" s="23" t="n"/>
      <c r="H47" s="241" t="n"/>
      <c r="I47" s="27">
        <f>-SUMIFS(T_ORCAMENTOS!$E:$E,T_ORCAMENTOS!$C:$C,"Taxas e Licenças - Artístico",T_ORCAMENTOS!$H:$H,"1/2026")</f>
        <v/>
      </c>
      <c r="J47" s="28">
        <f>SUMIFS(Aut_BlueMe_Sem_Pedido!$J:$J,Aut_BlueMe_Sem_Pedido!$Q:$Q,DRE!H$4,Aut_BlueMe_Sem_Pedido!$H:$H,DRE!$A47)+SUMIFS(Aut_Ajustes_Manuais!$G:$G,Aut_Ajustes_Manuais!$I:$I,DRE!H$4,Aut_Ajustes_Manuais!$F:$F,"Taxas e Licenças - Artístico")</f>
        <v/>
      </c>
      <c r="K47" s="241" t="n"/>
      <c r="L47" s="27">
        <f>-SUMIFS(T_ORCAMENTOS!$E:$E,T_ORCAMENTOS!$C:$C,"Taxas e Licenças - Artístico",T_ORCAMENTOS!$H:$H,"2/2026")</f>
        <v/>
      </c>
      <c r="M47" s="28">
        <f>SUMIFS(Aut_BlueMe_Sem_Pedido!$J:$J,Aut_BlueMe_Sem_Pedido!$Q:$Q,DRE!K$4,Aut_BlueMe_Sem_Pedido!$H:$H,DRE!$A47)+SUMIFS(Aut_Ajustes_Manuais!$G:$G,Aut_Ajustes_Manuais!$I:$I,DRE!K$4,Aut_Ajustes_Manuais!$F:$F,"Taxas e Licenças - Artístico")</f>
        <v/>
      </c>
      <c r="N47" s="241" t="n"/>
      <c r="O47" s="27">
        <f>-SUMIFS(T_ORCAMENTOS!$E:$E,T_ORCAMENTOS!$C:$C,"Taxas e Licenças - Artístico",T_ORCAMENTOS!$H:$H,"3/2026")</f>
        <v/>
      </c>
      <c r="P47" s="28">
        <f>SUMIFS(Aut_BlueMe_Sem_Pedido!$J:$J,Aut_BlueMe_Sem_Pedido!$Q:$Q,DRE!N$4,Aut_BlueMe_Sem_Pedido!$H:$H,DRE!$A47)+SUMIFS(Aut_Ajustes_Manuais!$G:$G,Aut_Ajustes_Manuais!$I:$I,DRE!N$4,Aut_Ajustes_Manuais!$F:$F,"Taxas e Licenças - Artístico")</f>
        <v/>
      </c>
      <c r="Q47" s="241" t="n"/>
      <c r="R47" s="27">
        <f>-SUMIFS(T_ORCAMENTOS!$E:$E,T_ORCAMENTOS!$C:$C,"Taxas e Licenças - Artístico",T_ORCAMENTOS!$H:$H,"4/2026")</f>
        <v/>
      </c>
      <c r="S47" s="28">
        <f>SUMIFS(Aut_BlueMe_Sem_Pedido!$J:$J,Aut_BlueMe_Sem_Pedido!$Q:$Q,DRE!Q$4,Aut_BlueMe_Sem_Pedido!$H:$H,DRE!$A47)+SUMIFS(Aut_Ajustes_Manuais!$G:$G,Aut_Ajustes_Manuais!$I:$I,DRE!Q$4,Aut_Ajustes_Manuais!$F:$F,"Taxas e Licenças - Artístico")</f>
        <v/>
      </c>
      <c r="T47" s="241" t="n"/>
      <c r="U47" s="27">
        <f>-SUMIFS(T_ORCAMENTOS!$E:$E,T_ORCAMENTOS!$C:$C,"Taxas e Licenças - Artístico",T_ORCAMENTOS!$H:$H,"5/2026")</f>
        <v/>
      </c>
      <c r="V47" s="28">
        <f>SUMIFS(Aut_BlueMe_Sem_Pedido!$J:$J,Aut_BlueMe_Sem_Pedido!$Q:$Q,DRE!T$4,Aut_BlueMe_Sem_Pedido!$H:$H,DRE!$A47)+SUMIFS(Aut_Ajustes_Manuais!$G:$G,Aut_Ajustes_Manuais!$I:$I,DRE!T$4,Aut_Ajustes_Manuais!$F:$F,"Taxas e Licenças - Artístico")</f>
        <v/>
      </c>
      <c r="W47" s="241" t="n"/>
      <c r="X47" s="27">
        <f>-SUMIFS(T_ORCAMENTOS!$E:$E,T_ORCAMENTOS!$C:$C,"Taxas e Licenças - Artístico",T_ORCAMENTOS!$H:$H,"6/2026")</f>
        <v/>
      </c>
      <c r="Y47" s="28">
        <f>SUMIFS(Aut_BlueMe_Sem_Pedido!$J:$J,Aut_BlueMe_Sem_Pedido!$Q:$Q,DRE!W$4,Aut_BlueMe_Sem_Pedido!$H:$H,DRE!$A47)+SUMIFS(Aut_Ajustes_Manuais!$G:$G,Aut_Ajustes_Manuais!$I:$I,DRE!W$4,Aut_Ajustes_Manuais!$F:$F,"Taxas e Licenças - Artístico")</f>
        <v/>
      </c>
      <c r="Z47" s="241" t="n"/>
      <c r="AA47" s="27">
        <f>-SUMIFS(T_ORCAMENTOS!$E:$E,T_ORCAMENTOS!$C:$C,"Taxas e Licenças - Artístico",T_ORCAMENTOS!$H:$H,"7/2026")</f>
        <v/>
      </c>
      <c r="AB47" s="28">
        <f>SUMIFS(Aut_BlueMe_Sem_Pedido!$J:$J,Aut_BlueMe_Sem_Pedido!$Q:$Q,DRE!Z$4,Aut_BlueMe_Sem_Pedido!$H:$H,DRE!$A47)+SUMIFS(Aut_Ajustes_Manuais!$G:$G,Aut_Ajustes_Manuais!$I:$I,DRE!Z$4,Aut_Ajustes_Manuais!$F:$F,"Taxas e Licenças - Artístico")</f>
        <v/>
      </c>
      <c r="AC47" s="241" t="n"/>
      <c r="AD47" s="27">
        <f>-SUMIFS(T_ORCAMENTOS!$E:$E,T_ORCAMENTOS!$C:$C,"Taxas e Licenças - Artístico",T_ORCAMENTOS!$H:$H,"8/2026")</f>
        <v/>
      </c>
      <c r="AE47" s="28">
        <f>SUMIFS(Aut_BlueMe_Sem_Pedido!$J:$J,Aut_BlueMe_Sem_Pedido!$Q:$Q,DRE!AC$4,Aut_BlueMe_Sem_Pedido!$H:$H,DRE!$A47)+SUMIFS(Aut_Ajustes_Manuais!$G:$G,Aut_Ajustes_Manuais!$I:$I,DRE!AC$4,Aut_Ajustes_Manuais!$F:$F,"Taxas e Licenças - Artístico")</f>
        <v/>
      </c>
      <c r="AF47" s="241" t="n"/>
      <c r="AG47" s="27">
        <f>-SUMIFS(T_ORCAMENTOS!$E:$E,T_ORCAMENTOS!$C:$C,"Taxas e Licenças - Artístico",T_ORCAMENTOS!$H:$H,"9/2026")</f>
        <v/>
      </c>
      <c r="AH47" s="28">
        <f>SUMIFS(Aut_BlueMe_Sem_Pedido!$J:$J,Aut_BlueMe_Sem_Pedido!$Q:$Q,DRE!AF$4,Aut_BlueMe_Sem_Pedido!$H:$H,DRE!$A47)+SUMIFS(Aut_Ajustes_Manuais!$G:$G,Aut_Ajustes_Manuais!$I:$I,DRE!AF$4,Aut_Ajustes_Manuais!$F:$F,"Taxas e Licenças - Artístico")</f>
        <v/>
      </c>
      <c r="AI47" s="241" t="n"/>
      <c r="AJ47" s="27">
        <f>-SUMIFS(T_ORCAMENTOS!$E:$E,T_ORCAMENTOS!$C:$C,"Taxas e Licenças - Artístico",T_ORCAMENTOS!$H:$H,"10/2026")</f>
        <v/>
      </c>
      <c r="AK47" s="28">
        <f>SUMIFS(Aut_BlueMe_Sem_Pedido!$J:$J,Aut_BlueMe_Sem_Pedido!$Q:$Q,DRE!AI$4,Aut_BlueMe_Sem_Pedido!$H:$H,DRE!$A47)+SUMIFS(Aut_Ajustes_Manuais!$G:$G,Aut_Ajustes_Manuais!$I:$I,DRE!AI$4,Aut_Ajustes_Manuais!$F:$F,"Taxas e Licenças - Artístico")</f>
        <v/>
      </c>
      <c r="AL47" s="241" t="n"/>
      <c r="AM47" s="27">
        <f>-SUMIFS(T_ORCAMENTOS!$E:$E,T_ORCAMENTOS!$C:$C,"Taxas e Licenças - Artístico",T_ORCAMENTOS!$H:$H,"11/2026")</f>
        <v/>
      </c>
      <c r="AN47" s="28">
        <f>SUMIFS(Aut_BlueMe_Sem_Pedido!$J:$J,Aut_BlueMe_Sem_Pedido!$Q:$Q,DRE!AL$4,Aut_BlueMe_Sem_Pedido!$H:$H,DRE!$A47)+SUMIFS(Aut_Ajustes_Manuais!$G:$G,Aut_Ajustes_Manuais!$I:$I,DRE!AL$4,Aut_Ajustes_Manuais!$F:$F,"Taxas e Licenças - Artístico")</f>
        <v/>
      </c>
      <c r="AO47" s="241" t="n"/>
      <c r="AP47" s="27">
        <f>-SUMIFS(T_ORCAMENTOS!$E:$E,T_ORCAMENTOS!$C:$C,"Taxas e Licenças - Artístico",T_ORCAMENTOS!$H:$H,"12/2026")</f>
        <v/>
      </c>
      <c r="AQ47" s="28">
        <f>SUMIFS(Aut_BlueMe_Sem_Pedido!$J:$J,Aut_BlueMe_Sem_Pedido!$Q:$Q,DRE!AO$4,Aut_BlueMe_Sem_Pedido!$H:$H,DRE!$A47)+SUMIFS(Aut_Ajustes_Manuais!$G:$G,Aut_Ajustes_Manuais!$I:$I,DRE!AO$4,Aut_Ajustes_Manuais!$F:$F,"Taxas e Licenças - Artístico")</f>
        <v/>
      </c>
      <c r="AR47" s="241">
        <f>SUMIFS($H47:$AO47,$H$5:$AO$5,"&lt;"&amp;MONTH(TODAY()),$H$6:$AO$6,"REAL 25")</f>
        <v/>
      </c>
      <c r="AS47" s="27">
        <f>SUMIFS($I47:$AP47,$I$5:$AP$5,"&lt;"&amp;MONTH(TODAY()),$I$6:$AP$6,"ORÇADO ")</f>
        <v/>
      </c>
      <c r="AT47" s="28">
        <f>SUMIFS($J47:$AQ47,$J$5:$AQ$5,"&lt;"&amp;MONTH(TODAY()),$J$6:$AQ$6,"REAL 26")</f>
        <v/>
      </c>
      <c r="AU47" s="241">
        <f>SUM(H47,K47,N47,Q47,T47,W47,Z47,AC47,AF47,AI47,AL47,AO47)</f>
        <v/>
      </c>
      <c r="AV47" s="27">
        <f>SUM(I47,L47,O47,R47,U47,X47,AA47,AD47,AG47,AJ47,AM47,AP47)</f>
        <v/>
      </c>
      <c r="AW47" s="28">
        <f>SUM(J47,M47,P47,S47,V47,Y47,AB47,AE47,AH47,AK47,AN47,AQ47)</f>
        <v/>
      </c>
      <c r="AX47" s="241">
        <f>SUM(H47,K47,N47)</f>
        <v/>
      </c>
      <c r="AY47" s="27">
        <f>SUM(I47,L47,O47)</f>
        <v/>
      </c>
      <c r="AZ47" s="28">
        <f>SUM(J47,M47,P47)</f>
        <v/>
      </c>
      <c r="BA47" s="241">
        <f>SUM(Q47,T47,W47)</f>
        <v/>
      </c>
      <c r="BB47" s="27">
        <f>SUM(R47,U47,X47)</f>
        <v/>
      </c>
      <c r="BC47" s="28">
        <f>SUM(S47,V47,Y47)</f>
        <v/>
      </c>
      <c r="BD47" s="241">
        <f>SUM(Z47,AC47,AF47)</f>
        <v/>
      </c>
      <c r="BE47" s="27">
        <f>SUM(AA47,AD47,AG47)</f>
        <v/>
      </c>
      <c r="BF47" s="28">
        <f>SUM(AB47,AE47,AH47)</f>
        <v/>
      </c>
      <c r="BG47" s="241">
        <f>SUM(AI47,AL47,AO47)</f>
        <v/>
      </c>
      <c r="BH47" s="27">
        <f>SUM(AJ47,AM47,AP47)</f>
        <v/>
      </c>
      <c r="BI47" s="28">
        <f>SUM(AK47,AN47,AQ47)</f>
        <v/>
      </c>
    </row>
    <row r="48" outlineLevel="1" customFormat="1" s="498">
      <c r="A48" s="22" t="inlineStr">
        <is>
          <t>MDO Terceirizada - Artístico</t>
        </is>
      </c>
      <c r="B48" s="488" t="n"/>
      <c r="C48" s="24" t="n"/>
      <c r="D48" s="69" t="n"/>
      <c r="E48" s="69" t="n"/>
      <c r="F48" s="41" t="n"/>
      <c r="G48" s="23" t="n"/>
      <c r="H48" s="241" t="n"/>
      <c r="I48" s="27">
        <f>-SUMIFS(T_ORCAMENTOS!$E:$E,T_ORCAMENTOS!$C:$C,"MDO Terceirizada - Artístico",T_ORCAMENTOS!$H:$H,"1/2026")</f>
        <v/>
      </c>
      <c r="J48" s="28">
        <f>SUMIFS(Aut_BlueMe_Sem_Pedido!$J:$J,Aut_BlueMe_Sem_Pedido!$Q:$Q,DRE!H$4,Aut_BlueMe_Sem_Pedido!$H:$H,DRE!$A48)+SUMIFS(Aut_Ajustes_Manuais!$G:$G,Aut_Ajustes_Manuais!$I:$I,DRE!H$4,Aut_Ajustes_Manuais!$F:$F,"MDO Terceirizada - Artístico")</f>
        <v/>
      </c>
      <c r="K48" s="241" t="n"/>
      <c r="L48" s="27">
        <f>-SUMIFS(T_ORCAMENTOS!$E:$E,T_ORCAMENTOS!$C:$C,"MDO Terceirizada - Artístico",T_ORCAMENTOS!$H:$H,"2/2026")</f>
        <v/>
      </c>
      <c r="M48" s="28">
        <f>SUMIFS(Aut_BlueMe_Sem_Pedido!$J:$J,Aut_BlueMe_Sem_Pedido!$Q:$Q,DRE!K$4,Aut_BlueMe_Sem_Pedido!$H:$H,DRE!$A48)+SUMIFS(Aut_Ajustes_Manuais!$G:$G,Aut_Ajustes_Manuais!$I:$I,DRE!K$4,Aut_Ajustes_Manuais!$F:$F,"MDO Terceirizada - Artístico")</f>
        <v/>
      </c>
      <c r="N48" s="241" t="n"/>
      <c r="O48" s="27">
        <f>-SUMIFS(T_ORCAMENTOS!$E:$E,T_ORCAMENTOS!$C:$C,"MDO Terceirizada - Artístico",T_ORCAMENTOS!$H:$H,"3/2026")</f>
        <v/>
      </c>
      <c r="P48" s="28">
        <f>SUMIFS(Aut_BlueMe_Sem_Pedido!$J:$J,Aut_BlueMe_Sem_Pedido!$Q:$Q,DRE!N$4,Aut_BlueMe_Sem_Pedido!$H:$H,DRE!$A48)+SUMIFS(Aut_Ajustes_Manuais!$G:$G,Aut_Ajustes_Manuais!$I:$I,DRE!N$4,Aut_Ajustes_Manuais!$F:$F,"MDO Terceirizada - Artístico")</f>
        <v/>
      </c>
      <c r="Q48" s="241" t="n"/>
      <c r="R48" s="27">
        <f>-SUMIFS(T_ORCAMENTOS!$E:$E,T_ORCAMENTOS!$C:$C,"MDO Terceirizada - Artístico",T_ORCAMENTOS!$H:$H,"4/2026")</f>
        <v/>
      </c>
      <c r="S48" s="28">
        <f>SUMIFS(Aut_BlueMe_Sem_Pedido!$J:$J,Aut_BlueMe_Sem_Pedido!$Q:$Q,DRE!Q$4,Aut_BlueMe_Sem_Pedido!$H:$H,DRE!$A48)+SUMIFS(Aut_Ajustes_Manuais!$G:$G,Aut_Ajustes_Manuais!$I:$I,DRE!Q$4,Aut_Ajustes_Manuais!$F:$F,"MDO Terceirizada - Artístico")</f>
        <v/>
      </c>
      <c r="T48" s="241" t="n"/>
      <c r="U48" s="27">
        <f>-SUMIFS(T_ORCAMENTOS!$E:$E,T_ORCAMENTOS!$C:$C,"MDO Terceirizada - Artístico",T_ORCAMENTOS!$H:$H,"5/2026")</f>
        <v/>
      </c>
      <c r="V48" s="28">
        <f>SUMIFS(Aut_BlueMe_Sem_Pedido!$J:$J,Aut_BlueMe_Sem_Pedido!$Q:$Q,DRE!T$4,Aut_BlueMe_Sem_Pedido!$H:$H,DRE!$A48)+SUMIFS(Aut_Ajustes_Manuais!$G:$G,Aut_Ajustes_Manuais!$I:$I,DRE!T$4,Aut_Ajustes_Manuais!$F:$F,"MDO Terceirizada - Artístico")</f>
        <v/>
      </c>
      <c r="W48" s="241" t="n"/>
      <c r="X48" s="27">
        <f>-SUMIFS(T_ORCAMENTOS!$E:$E,T_ORCAMENTOS!$C:$C,"MDO Terceirizada - Artístico",T_ORCAMENTOS!$H:$H,"6/2026")</f>
        <v/>
      </c>
      <c r="Y48" s="28">
        <f>SUMIFS(Aut_BlueMe_Sem_Pedido!$J:$J,Aut_BlueMe_Sem_Pedido!$Q:$Q,DRE!W$4,Aut_BlueMe_Sem_Pedido!$H:$H,DRE!$A48)+SUMIFS(Aut_Ajustes_Manuais!$G:$G,Aut_Ajustes_Manuais!$I:$I,DRE!W$4,Aut_Ajustes_Manuais!$F:$F,"MDO Terceirizada - Artístico")</f>
        <v/>
      </c>
      <c r="Z48" s="241" t="n"/>
      <c r="AA48" s="27">
        <f>-SUMIFS(T_ORCAMENTOS!$E:$E,T_ORCAMENTOS!$C:$C,"MDO Terceirizada - Artístico",T_ORCAMENTOS!$H:$H,"7/2026")</f>
        <v/>
      </c>
      <c r="AB48" s="28">
        <f>SUMIFS(Aut_BlueMe_Sem_Pedido!$J:$J,Aut_BlueMe_Sem_Pedido!$Q:$Q,DRE!Z$4,Aut_BlueMe_Sem_Pedido!$H:$H,DRE!$A48)+SUMIFS(Aut_Ajustes_Manuais!$G:$G,Aut_Ajustes_Manuais!$I:$I,DRE!Z$4,Aut_Ajustes_Manuais!$F:$F,"MDO Terceirizada - Artístico")</f>
        <v/>
      </c>
      <c r="AC48" s="241" t="n"/>
      <c r="AD48" s="27">
        <f>-SUMIFS(T_ORCAMENTOS!$E:$E,T_ORCAMENTOS!$C:$C,"MDO Terceirizada - Artístico",T_ORCAMENTOS!$H:$H,"8/2026")</f>
        <v/>
      </c>
      <c r="AE48" s="28">
        <f>SUMIFS(Aut_BlueMe_Sem_Pedido!$J:$J,Aut_BlueMe_Sem_Pedido!$Q:$Q,DRE!AC$4,Aut_BlueMe_Sem_Pedido!$H:$H,DRE!$A48)+SUMIFS(Aut_Ajustes_Manuais!$G:$G,Aut_Ajustes_Manuais!$I:$I,DRE!AC$4,Aut_Ajustes_Manuais!$F:$F,"MDO Terceirizada - Artístico")</f>
        <v/>
      </c>
      <c r="AF48" s="241" t="n"/>
      <c r="AG48" s="27">
        <f>-SUMIFS(T_ORCAMENTOS!$E:$E,T_ORCAMENTOS!$C:$C,"MDO Terceirizada - Artístico",T_ORCAMENTOS!$H:$H,"9/2026")</f>
        <v/>
      </c>
      <c r="AH48" s="28">
        <f>SUMIFS(Aut_BlueMe_Sem_Pedido!$J:$J,Aut_BlueMe_Sem_Pedido!$Q:$Q,DRE!AF$4,Aut_BlueMe_Sem_Pedido!$H:$H,DRE!$A48)+SUMIFS(Aut_Ajustes_Manuais!$G:$G,Aut_Ajustes_Manuais!$I:$I,DRE!AF$4,Aut_Ajustes_Manuais!$F:$F,"MDO Terceirizada - Artístico")</f>
        <v/>
      </c>
      <c r="AI48" s="241" t="n"/>
      <c r="AJ48" s="27">
        <f>-SUMIFS(T_ORCAMENTOS!$E:$E,T_ORCAMENTOS!$C:$C,"MDO Terceirizada - Artístico",T_ORCAMENTOS!$H:$H,"10/2026")</f>
        <v/>
      </c>
      <c r="AK48" s="28">
        <f>SUMIFS(Aut_BlueMe_Sem_Pedido!$J:$J,Aut_BlueMe_Sem_Pedido!$Q:$Q,DRE!AI$4,Aut_BlueMe_Sem_Pedido!$H:$H,DRE!$A48)+SUMIFS(Aut_Ajustes_Manuais!$G:$G,Aut_Ajustes_Manuais!$I:$I,DRE!AI$4,Aut_Ajustes_Manuais!$F:$F,"MDO Terceirizada - Artístico")</f>
        <v/>
      </c>
      <c r="AL48" s="241" t="n"/>
      <c r="AM48" s="27">
        <f>-SUMIFS(T_ORCAMENTOS!$E:$E,T_ORCAMENTOS!$C:$C,"MDO Terceirizada - Artístico",T_ORCAMENTOS!$H:$H,"11/2026")</f>
        <v/>
      </c>
      <c r="AN48" s="28">
        <f>SUMIFS(Aut_BlueMe_Sem_Pedido!$J:$J,Aut_BlueMe_Sem_Pedido!$Q:$Q,DRE!AL$4,Aut_BlueMe_Sem_Pedido!$H:$H,DRE!$A48)+SUMIFS(Aut_Ajustes_Manuais!$G:$G,Aut_Ajustes_Manuais!$I:$I,DRE!AL$4,Aut_Ajustes_Manuais!$F:$F,"MDO Terceirizada - Artístico")</f>
        <v/>
      </c>
      <c r="AO48" s="241" t="n"/>
      <c r="AP48" s="27">
        <f>-SUMIFS(T_ORCAMENTOS!$E:$E,T_ORCAMENTOS!$C:$C,"MDO Terceirizada - Artístico",T_ORCAMENTOS!$H:$H,"12/2026")</f>
        <v/>
      </c>
      <c r="AQ48" s="28">
        <f>SUMIFS(Aut_BlueMe_Sem_Pedido!$J:$J,Aut_BlueMe_Sem_Pedido!$Q:$Q,DRE!AO$4,Aut_BlueMe_Sem_Pedido!$H:$H,DRE!$A48)+SUMIFS(Aut_Ajustes_Manuais!$G:$G,Aut_Ajustes_Manuais!$I:$I,DRE!AO$4,Aut_Ajustes_Manuais!$F:$F,"MDO Terceirizada - Artístico")</f>
        <v/>
      </c>
      <c r="AR48" s="241">
        <f>SUMIFS($H48:$AO48,$H$5:$AO$5,"&lt;"&amp;MONTH(TODAY()),$H$6:$AO$6,"REAL 25")</f>
        <v/>
      </c>
      <c r="AS48" s="27">
        <f>SUMIFS($I48:$AP48,$I$5:$AP$5,"&lt;"&amp;MONTH(TODAY()),$I$6:$AP$6,"ORÇADO ")</f>
        <v/>
      </c>
      <c r="AT48" s="28">
        <f>SUMIFS($J48:$AQ48,$J$5:$AQ$5,"&lt;"&amp;MONTH(TODAY()),$J$6:$AQ$6,"REAL 26")</f>
        <v/>
      </c>
      <c r="AU48" s="241">
        <f>SUM(H48,K48,N48,Q48,T48,W48,Z48,AC48,AF48,AI48,AL48,AO48)</f>
        <v/>
      </c>
      <c r="AV48" s="27">
        <f>SUM(I48,L48,O48,R48,U48,X48,AA48,AD48,AG48,AJ48,AM48,AP48)</f>
        <v/>
      </c>
      <c r="AW48" s="28">
        <f>SUM(J48,M48,P48,S48,V48,Y48,AB48,AE48,AH48,AK48,AN48,AQ48)</f>
        <v/>
      </c>
      <c r="AX48" s="241">
        <f>SUM(H48,K48,N48)</f>
        <v/>
      </c>
      <c r="AY48" s="27">
        <f>SUM(I48,L48,O48)</f>
        <v/>
      </c>
      <c r="AZ48" s="28">
        <f>SUM(J48,M48,P48)</f>
        <v/>
      </c>
      <c r="BA48" s="241">
        <f>SUM(Q48,T48,W48)</f>
        <v/>
      </c>
      <c r="BB48" s="27">
        <f>SUM(R48,U48,X48)</f>
        <v/>
      </c>
      <c r="BC48" s="28">
        <f>SUM(S48,V48,Y48)</f>
        <v/>
      </c>
      <c r="BD48" s="241">
        <f>SUM(Z48,AC48,AF48)</f>
        <v/>
      </c>
      <c r="BE48" s="27">
        <f>SUM(AA48,AD48,AG48)</f>
        <v/>
      </c>
      <c r="BF48" s="28">
        <f>SUM(AB48,AE48,AH48)</f>
        <v/>
      </c>
      <c r="BG48" s="241">
        <f>SUM(AI48,AL48,AO48)</f>
        <v/>
      </c>
      <c r="BH48" s="27">
        <f>SUM(AJ48,AM48,AP48)</f>
        <v/>
      </c>
      <c r="BI48" s="28">
        <f>SUM(AK48,AN48,AQ48)</f>
        <v/>
      </c>
    </row>
    <row r="49" outlineLevel="1" ht="18" customHeight="1">
      <c r="A49" s="73" t="inlineStr">
        <is>
          <t>Custos Ténico de Som</t>
        </is>
      </c>
      <c r="C49" s="24" t="n"/>
      <c r="D49" s="69" t="n"/>
      <c r="E49" s="69" t="n"/>
      <c r="F49" s="41" t="n"/>
      <c r="H49" s="252" t="n"/>
      <c r="I49" s="74">
        <f>SUM(I50:I52)</f>
        <v/>
      </c>
      <c r="J49" s="76">
        <f>SUM(J50:J52)+SUMIFS(Aut_Ajustes_Manuais!$G:$G,Aut_Ajustes_Manuais!$I:$I,DRE!H$4,Aut_Ajustes_Manuais!$F:$F,"Custos Ténico de Som")</f>
        <v/>
      </c>
      <c r="K49" s="252" t="n"/>
      <c r="L49" s="74">
        <f>SUM(L50:L52)</f>
        <v/>
      </c>
      <c r="M49" s="76">
        <f>SUM(M50:M52)+SUMIFS(Aut_Ajustes_Manuais!$G:$G,Aut_Ajustes_Manuais!$I:$I,DRE!K$4,Aut_Ajustes_Manuais!$F:$F,"Custos Ténico de Som")</f>
        <v/>
      </c>
      <c r="N49" s="252" t="n"/>
      <c r="O49" s="74">
        <f>SUM(O50:O52)</f>
        <v/>
      </c>
      <c r="P49" s="76">
        <f>SUM(P50:P52)+SUMIFS(Aut_Ajustes_Manuais!$G:$G,Aut_Ajustes_Manuais!$I:$I,DRE!N$4,Aut_Ajustes_Manuais!$F:$F,"Custos Ténico de Som")</f>
        <v/>
      </c>
      <c r="Q49" s="252" t="n"/>
      <c r="R49" s="74">
        <f>SUM(R50:R52)</f>
        <v/>
      </c>
      <c r="S49" s="76">
        <f>SUM(S50:S52)+SUMIFS(Aut_Ajustes_Manuais!$G:$G,Aut_Ajustes_Manuais!$I:$I,DRE!Q$4,Aut_Ajustes_Manuais!$F:$F,"Custos Ténico de Som")</f>
        <v/>
      </c>
      <c r="T49" s="252" t="n"/>
      <c r="U49" s="74">
        <f>SUM(U50:U52)</f>
        <v/>
      </c>
      <c r="V49" s="76">
        <f>SUM(V50:V52)+SUMIFS(Aut_Ajustes_Manuais!$G:$G,Aut_Ajustes_Manuais!$I:$I,DRE!T$4,Aut_Ajustes_Manuais!$F:$F,"Custos Ténico de Som")</f>
        <v/>
      </c>
      <c r="W49" s="252" t="n"/>
      <c r="X49" s="74">
        <f>SUM(X50:X52)</f>
        <v/>
      </c>
      <c r="Y49" s="76">
        <f>SUM(Y50:Y52)+SUMIFS(Aut_Ajustes_Manuais!$G:$G,Aut_Ajustes_Manuais!$I:$I,DRE!W$4,Aut_Ajustes_Manuais!$F:$F,"Custos Ténico de Som")</f>
        <v/>
      </c>
      <c r="Z49" s="252" t="n"/>
      <c r="AA49" s="74">
        <f>SUM(AA50:AA52)</f>
        <v/>
      </c>
      <c r="AB49" s="76">
        <f>SUM(AB50:AB52)+SUMIFS(Aut_Ajustes_Manuais!$G:$G,Aut_Ajustes_Manuais!$I:$I,DRE!Z$4,Aut_Ajustes_Manuais!$F:$F,"Custos Ténico de Som")</f>
        <v/>
      </c>
      <c r="AC49" s="252" t="n"/>
      <c r="AD49" s="74">
        <f>SUM(AD50:AD52)</f>
        <v/>
      </c>
      <c r="AE49" s="76">
        <f>SUM(AE50:AE52)+SUMIFS(Aut_Ajustes_Manuais!$G:$G,Aut_Ajustes_Manuais!$I:$I,DRE!AC$4,Aut_Ajustes_Manuais!$F:$F,"Custos Ténico de Som")</f>
        <v/>
      </c>
      <c r="AF49" s="252" t="n"/>
      <c r="AG49" s="74">
        <f>SUM(AG50:AG52)</f>
        <v/>
      </c>
      <c r="AH49" s="76">
        <f>SUM(AH50:AH52)+SUMIFS(Aut_Ajustes_Manuais!$G:$G,Aut_Ajustes_Manuais!$I:$I,DRE!AF$4,Aut_Ajustes_Manuais!$F:$F,"Custos Ténico de Som")</f>
        <v/>
      </c>
      <c r="AI49" s="252" t="n"/>
      <c r="AJ49" s="74">
        <f>SUM(AJ50:AJ52)</f>
        <v/>
      </c>
      <c r="AK49" s="76">
        <f>SUM(AK50:AK52)+SUMIFS(Aut_Ajustes_Manuais!$G:$G,Aut_Ajustes_Manuais!$I:$I,DRE!AI$4,Aut_Ajustes_Manuais!$F:$F,"Custos Ténico de Som")</f>
        <v/>
      </c>
      <c r="AL49" s="252" t="n"/>
      <c r="AM49" s="74">
        <f>SUM(AM50:AM52)</f>
        <v/>
      </c>
      <c r="AN49" s="76">
        <f>SUM(AN50:AN52)+SUMIFS(Aut_Ajustes_Manuais!$G:$G,Aut_Ajustes_Manuais!$I:$I,DRE!AL$4,Aut_Ajustes_Manuais!$F:$F,"Custos Ténico de Som")</f>
        <v/>
      </c>
      <c r="AO49" s="252" t="n"/>
      <c r="AP49" s="74">
        <f>SUM(AP50:AP52)</f>
        <v/>
      </c>
      <c r="AQ49" s="76">
        <f>SUM(AQ50:AQ52)+SUMIFS(Aut_Ajustes_Manuais!$G:$G,Aut_Ajustes_Manuais!$I:$I,DRE!AO$4,Aut_Ajustes_Manuais!$F:$F,"Custos Ténico de Som")</f>
        <v/>
      </c>
      <c r="AR49" s="252">
        <f>SUMIFS($H49:$AO49,$H$5:$AO$5,"&lt;"&amp;MONTH(TODAY()),$H$6:$AO$6,"REAL 25")</f>
        <v/>
      </c>
      <c r="AS49" s="74">
        <f>SUMIFS($I49:$AP49,$I$5:$AP$5,"&lt;"&amp;MONTH(TODAY()),$I$6:$AP$6,"ORÇADO ")</f>
        <v/>
      </c>
      <c r="AT49" s="74">
        <f>SUMIFS($J49:$AQ49,$J$5:$AQ$5,"&lt;"&amp;MONTH(TODAY()),$J$6:$AQ$6,"REAL 26")</f>
        <v/>
      </c>
      <c r="AU49" s="252">
        <f>SUM(AU50:AU52)</f>
        <v/>
      </c>
      <c r="AV49" s="74">
        <f>SUM(AV50:AV52)</f>
        <v/>
      </c>
      <c r="AW49" s="76">
        <f>SUM(AW50:AW52)</f>
        <v/>
      </c>
      <c r="AX49" s="252">
        <f>SUM(AX50:AX52)</f>
        <v/>
      </c>
      <c r="AY49" s="74">
        <f>SUM(AY50:AY52)</f>
        <v/>
      </c>
      <c r="AZ49" s="76">
        <f>SUM(AZ50:AZ52)</f>
        <v/>
      </c>
      <c r="BA49" s="252">
        <f>SUM(BA50:BA52)</f>
        <v/>
      </c>
      <c r="BB49" s="74">
        <f>SUM(BB50:BB52)</f>
        <v/>
      </c>
      <c r="BC49" s="76">
        <f>SUM(BC50:BC52)</f>
        <v/>
      </c>
      <c r="BD49" s="252">
        <f>SUM(BD50:BD52)</f>
        <v/>
      </c>
      <c r="BE49" s="74">
        <f>SUM(BE50:BE52)</f>
        <v/>
      </c>
      <c r="BF49" s="76">
        <f>SUM(BF50:BF52)</f>
        <v/>
      </c>
      <c r="BG49" s="252">
        <f>SUM(BG50:BG52)</f>
        <v/>
      </c>
      <c r="BH49" s="74">
        <f>SUM(BH50:BH52)</f>
        <v/>
      </c>
      <c r="BI49" s="76">
        <f>SUM(BI50:BI52)</f>
        <v/>
      </c>
    </row>
    <row r="50" outlineLevel="1" customFormat="1" s="498">
      <c r="A50" s="22" t="inlineStr">
        <is>
          <t>Técnico de Som / Luz</t>
        </is>
      </c>
      <c r="B50" s="488" t="n"/>
      <c r="C50" s="24" t="inlineStr">
        <is>
          <t>Contr/Prov</t>
        </is>
      </c>
      <c r="D50" s="25" t="n"/>
      <c r="E50" s="25" t="n"/>
      <c r="F50" s="41" t="n"/>
      <c r="G50" s="23" t="n"/>
      <c r="H50" s="241" t="n"/>
      <c r="I50" s="27">
        <f>-SUMIFS(T_ORCAMENTOS!$E:$E,T_ORCAMENTOS!$C:$C,"Técnico de Som / Luz",T_ORCAMENTOS!$H:$H,"1/2026")</f>
        <v/>
      </c>
      <c r="J50" s="28">
        <f>SUMIFS(Aut_BlueMe_Sem_Pedido!$J:$J,Aut_BlueMe_Sem_Pedido!$Q:$Q,DRE!H$4,Aut_BlueMe_Sem_Pedido!$H:$H,DRE!$A50)+SUMIFS(Aut_Ajustes_Manuais!$G:$G,Aut_Ajustes_Manuais!$I:$I,DRE!H$4,Aut_Ajustes_Manuais!$F:$F,"Técnico de Som / Luz")</f>
        <v/>
      </c>
      <c r="K50" s="241" t="n"/>
      <c r="L50" s="27">
        <f>-SUMIFS(T_ORCAMENTOS!$E:$E,T_ORCAMENTOS!$C:$C,"Técnico de Som / Luz",T_ORCAMENTOS!$H:$H,"2/2026")</f>
        <v/>
      </c>
      <c r="M50" s="28">
        <f>SUMIFS(Aut_BlueMe_Sem_Pedido!$J:$J,Aut_BlueMe_Sem_Pedido!$Q:$Q,DRE!K$4,Aut_BlueMe_Sem_Pedido!$H:$H,DRE!$A50)+SUMIFS(Aut_Ajustes_Manuais!$G:$G,Aut_Ajustes_Manuais!$I:$I,DRE!K$4,Aut_Ajustes_Manuais!$F:$F,"Técnico de Som / Luz")</f>
        <v/>
      </c>
      <c r="N50" s="241" t="n"/>
      <c r="O50" s="27">
        <f>-SUMIFS(T_ORCAMENTOS!$E:$E,T_ORCAMENTOS!$C:$C,"Técnico de Som / Luz",T_ORCAMENTOS!$H:$H,"3/2026")</f>
        <v/>
      </c>
      <c r="P50" s="28">
        <f>SUMIFS(Aut_BlueMe_Sem_Pedido!$J:$J,Aut_BlueMe_Sem_Pedido!$Q:$Q,DRE!N$4,Aut_BlueMe_Sem_Pedido!$H:$H,DRE!$A50)+SUMIFS(Aut_Ajustes_Manuais!$G:$G,Aut_Ajustes_Manuais!$I:$I,DRE!N$4,Aut_Ajustes_Manuais!$F:$F,"Técnico de Som / Luz")</f>
        <v/>
      </c>
      <c r="Q50" s="241" t="n"/>
      <c r="R50" s="27">
        <f>-SUMIFS(T_ORCAMENTOS!$E:$E,T_ORCAMENTOS!$C:$C,"Técnico de Som / Luz",T_ORCAMENTOS!$H:$H,"4/2026")</f>
        <v/>
      </c>
      <c r="S50" s="28">
        <f>SUMIFS(Aut_BlueMe_Sem_Pedido!$J:$J,Aut_BlueMe_Sem_Pedido!$Q:$Q,DRE!Q$4,Aut_BlueMe_Sem_Pedido!$H:$H,DRE!$A50)+SUMIFS(Aut_Ajustes_Manuais!$G:$G,Aut_Ajustes_Manuais!$I:$I,DRE!Q$4,Aut_Ajustes_Manuais!$F:$F,"Técnico de Som / Luz")</f>
        <v/>
      </c>
      <c r="T50" s="241" t="n"/>
      <c r="U50" s="27">
        <f>-SUMIFS(T_ORCAMENTOS!$E:$E,T_ORCAMENTOS!$C:$C,"Técnico de Som / Luz",T_ORCAMENTOS!$H:$H,"5/2026")</f>
        <v/>
      </c>
      <c r="V50" s="28">
        <f>SUMIFS(Aut_BlueMe_Sem_Pedido!$J:$J,Aut_BlueMe_Sem_Pedido!$Q:$Q,DRE!T$4,Aut_BlueMe_Sem_Pedido!$H:$H,DRE!$A50)+SUMIFS(Aut_Ajustes_Manuais!$G:$G,Aut_Ajustes_Manuais!$I:$I,DRE!T$4,Aut_Ajustes_Manuais!$F:$F,"Técnico de Som / Luz")</f>
        <v/>
      </c>
      <c r="W50" s="241" t="n"/>
      <c r="X50" s="27">
        <f>-SUMIFS(T_ORCAMENTOS!$E:$E,T_ORCAMENTOS!$C:$C,"Técnico de Som / Luz",T_ORCAMENTOS!$H:$H,"6/2026")</f>
        <v/>
      </c>
      <c r="Y50" s="28">
        <f>SUMIFS(Aut_BlueMe_Sem_Pedido!$J:$J,Aut_BlueMe_Sem_Pedido!$Q:$Q,DRE!W$4,Aut_BlueMe_Sem_Pedido!$H:$H,DRE!$A50)+SUMIFS(Aut_Ajustes_Manuais!$G:$G,Aut_Ajustes_Manuais!$I:$I,DRE!W$4,Aut_Ajustes_Manuais!$F:$F,"Técnico de Som / Luz")</f>
        <v/>
      </c>
      <c r="Z50" s="241" t="n"/>
      <c r="AA50" s="27">
        <f>-SUMIFS(T_ORCAMENTOS!$E:$E,T_ORCAMENTOS!$C:$C,"Técnico de Som / Luz",T_ORCAMENTOS!$H:$H,"7/2026")</f>
        <v/>
      </c>
      <c r="AB50" s="28">
        <f>SUMIFS(Aut_BlueMe_Sem_Pedido!$J:$J,Aut_BlueMe_Sem_Pedido!$Q:$Q,DRE!Z$4,Aut_BlueMe_Sem_Pedido!$H:$H,DRE!$A50)+SUMIFS(Aut_Ajustes_Manuais!$G:$G,Aut_Ajustes_Manuais!$I:$I,DRE!Z$4,Aut_Ajustes_Manuais!$F:$F,"Técnico de Som / Luz")</f>
        <v/>
      </c>
      <c r="AC50" s="241" t="n"/>
      <c r="AD50" s="27">
        <f>-SUMIFS(T_ORCAMENTOS!$E:$E,T_ORCAMENTOS!$C:$C,"Técnico de Som / Luz",T_ORCAMENTOS!$H:$H,"8/2026")</f>
        <v/>
      </c>
      <c r="AE50" s="28">
        <f>SUMIFS(Aut_BlueMe_Sem_Pedido!$J:$J,Aut_BlueMe_Sem_Pedido!$Q:$Q,DRE!AC$4,Aut_BlueMe_Sem_Pedido!$H:$H,DRE!$A50)+SUMIFS(Aut_Ajustes_Manuais!$G:$G,Aut_Ajustes_Manuais!$I:$I,DRE!AC$4,Aut_Ajustes_Manuais!$F:$F,"Técnico de Som / Luz")</f>
        <v/>
      </c>
      <c r="AF50" s="241" t="n"/>
      <c r="AG50" s="27">
        <f>-SUMIFS(T_ORCAMENTOS!$E:$E,T_ORCAMENTOS!$C:$C,"Técnico de Som / Luz",T_ORCAMENTOS!$H:$H,"9/2026")</f>
        <v/>
      </c>
      <c r="AH50" s="28">
        <f>SUMIFS(Aut_BlueMe_Sem_Pedido!$J:$J,Aut_BlueMe_Sem_Pedido!$Q:$Q,DRE!AF$4,Aut_BlueMe_Sem_Pedido!$H:$H,DRE!$A50)+SUMIFS(Aut_Ajustes_Manuais!$G:$G,Aut_Ajustes_Manuais!$I:$I,DRE!AF$4,Aut_Ajustes_Manuais!$F:$F,"Técnico de Som / Luz")</f>
        <v/>
      </c>
      <c r="AI50" s="241" t="n"/>
      <c r="AJ50" s="27">
        <f>-SUMIFS(T_ORCAMENTOS!$E:$E,T_ORCAMENTOS!$C:$C,"Técnico de Som / Luz",T_ORCAMENTOS!$H:$H,"10/2026")</f>
        <v/>
      </c>
      <c r="AK50" s="28">
        <f>SUMIFS(Aut_BlueMe_Sem_Pedido!$J:$J,Aut_BlueMe_Sem_Pedido!$Q:$Q,DRE!AI$4,Aut_BlueMe_Sem_Pedido!$H:$H,DRE!$A50)+SUMIFS(Aut_Ajustes_Manuais!$G:$G,Aut_Ajustes_Manuais!$I:$I,DRE!AI$4,Aut_Ajustes_Manuais!$F:$F,"Técnico de Som / Luz")</f>
        <v/>
      </c>
      <c r="AL50" s="241" t="n"/>
      <c r="AM50" s="27">
        <f>-SUMIFS(T_ORCAMENTOS!$E:$E,T_ORCAMENTOS!$C:$C,"Técnico de Som / Luz",T_ORCAMENTOS!$H:$H,"11/2026")</f>
        <v/>
      </c>
      <c r="AN50" s="28">
        <f>SUMIFS(Aut_BlueMe_Sem_Pedido!$J:$J,Aut_BlueMe_Sem_Pedido!$Q:$Q,DRE!AL$4,Aut_BlueMe_Sem_Pedido!$H:$H,DRE!$A50)+SUMIFS(Aut_Ajustes_Manuais!$G:$G,Aut_Ajustes_Manuais!$I:$I,DRE!AL$4,Aut_Ajustes_Manuais!$F:$F,"Técnico de Som / Luz")</f>
        <v/>
      </c>
      <c r="AO50" s="241" t="n"/>
      <c r="AP50" s="27">
        <f>-SUMIFS(T_ORCAMENTOS!$E:$E,T_ORCAMENTOS!$C:$C,"Técnico de Som / Luz",T_ORCAMENTOS!$H:$H,"12/2026")</f>
        <v/>
      </c>
      <c r="AQ50" s="28">
        <f>SUMIFS(Aut_BlueMe_Sem_Pedido!$J:$J,Aut_BlueMe_Sem_Pedido!$Q:$Q,DRE!AO$4,Aut_BlueMe_Sem_Pedido!$H:$H,DRE!$A50)+SUMIFS(Aut_Ajustes_Manuais!$G:$G,Aut_Ajustes_Manuais!$I:$I,DRE!AO$4,Aut_Ajustes_Manuais!$F:$F,"Técnico de Som / Luz")</f>
        <v/>
      </c>
      <c r="AR50" s="241">
        <f>SUMIFS($H50:$AO50,$H$5:$AO$5,"&lt;"&amp;MONTH(TODAY()),$H$6:$AO$6,"REAL 25")</f>
        <v/>
      </c>
      <c r="AS50" s="27">
        <f>SUMIFS($I50:$AP50,$I$5:$AP$5,"&lt;"&amp;MONTH(TODAY()),$I$6:$AP$6,"ORÇADO ")</f>
        <v/>
      </c>
      <c r="AT50" s="28">
        <f>SUMIFS($J50:$AQ50,$J$5:$AQ$5,"&lt;"&amp;MONTH(TODAY()),$J$6:$AQ$6,"REAL 26")</f>
        <v/>
      </c>
      <c r="AU50" s="241">
        <f>SUM(H50,K50,N50,Q50,T50,W50,Z50,AC50,AF50,AI50,AL50,AO50)</f>
        <v/>
      </c>
      <c r="AV50" s="27">
        <f>SUM(I50,L50,O50,R50,U50,X50,AA50,AD50,AG50,AJ50,AM50,AP50)</f>
        <v/>
      </c>
      <c r="AW50" s="28">
        <f>SUM(J50,M50,P50,S50,V50,Y50,AB50,AE50,AH50,AK50,AN50,AQ50)</f>
        <v/>
      </c>
      <c r="AX50" s="241">
        <f>SUM(H50,K50,N50)</f>
        <v/>
      </c>
      <c r="AY50" s="27">
        <f>SUM(I50,L50,O50)</f>
        <v/>
      </c>
      <c r="AZ50" s="28">
        <f>SUM(J50,M50,P50)</f>
        <v/>
      </c>
      <c r="BA50" s="241">
        <f>SUM(Q50,T50,W50)</f>
        <v/>
      </c>
      <c r="BB50" s="27">
        <f>SUM(R50,U50,X50)</f>
        <v/>
      </c>
      <c r="BC50" s="28">
        <f>SUM(S50,V50,Y50)</f>
        <v/>
      </c>
      <c r="BD50" s="241">
        <f>SUM(Z50,AC50,AF50)</f>
        <v/>
      </c>
      <c r="BE50" s="27">
        <f>SUM(AA50,AD50,AG50)</f>
        <v/>
      </c>
      <c r="BF50" s="28">
        <f>SUM(AB50,AE50,AH50)</f>
        <v/>
      </c>
      <c r="BG50" s="241">
        <f>SUM(AI50,AL50,AO50)</f>
        <v/>
      </c>
      <c r="BH50" s="27">
        <f>SUM(AJ50,AM50,AP50)</f>
        <v/>
      </c>
      <c r="BI50" s="28">
        <f>SUM(AK50,AN50,AQ50)</f>
        <v/>
      </c>
    </row>
    <row r="51" outlineLevel="1" customFormat="1" s="498">
      <c r="A51" s="22" t="inlineStr">
        <is>
          <t>Locação de Equipamentos Fixo</t>
        </is>
      </c>
      <c r="B51" s="488" t="n"/>
      <c r="C51" s="24" t="inlineStr">
        <is>
          <t>Contr/Prov</t>
        </is>
      </c>
      <c r="D51" s="25" t="n"/>
      <c r="E51" s="25" t="n"/>
      <c r="F51" s="41" t="n"/>
      <c r="G51" s="23" t="n"/>
      <c r="H51" s="241" t="n"/>
      <c r="I51" s="27">
        <f>-SUMIFS(T_ORCAMENTOS!$E:$E,T_ORCAMENTOS!$C:$C,"Locação de Equipamentos Fixo",T_ORCAMENTOS!$H:$H,"1/2026")</f>
        <v/>
      </c>
      <c r="J51" s="28">
        <f>SUMIFS(Aut_BlueMe_Sem_Pedido!$J:$J,Aut_BlueMe_Sem_Pedido!$Q:$Q,DRE!H$4,Aut_BlueMe_Sem_Pedido!$H:$H,DRE!$A51)+SUMIFS(Aut_Ajustes_Manuais!$G:$G,Aut_Ajustes_Manuais!$I:$I,DRE!H$4,Aut_Ajustes_Manuais!$F:$F,"Locação de Equipamentos Fixo")</f>
        <v/>
      </c>
      <c r="K51" s="241" t="n"/>
      <c r="L51" s="27">
        <f>-SUMIFS(T_ORCAMENTOS!$E:$E,T_ORCAMENTOS!$C:$C,"Locação de Equipamentos Fixo",T_ORCAMENTOS!$H:$H,"2/2026")</f>
        <v/>
      </c>
      <c r="M51" s="28">
        <f>SUMIFS(Aut_BlueMe_Sem_Pedido!$J:$J,Aut_BlueMe_Sem_Pedido!$Q:$Q,DRE!K$4,Aut_BlueMe_Sem_Pedido!$H:$H,DRE!$A51)+SUMIFS(Aut_Ajustes_Manuais!$G:$G,Aut_Ajustes_Manuais!$I:$I,DRE!K$4,Aut_Ajustes_Manuais!$F:$F,"Locação de Equipamentos Fixo")</f>
        <v/>
      </c>
      <c r="N51" s="241" t="n"/>
      <c r="O51" s="27">
        <f>-SUMIFS(T_ORCAMENTOS!$E:$E,T_ORCAMENTOS!$C:$C,"Locação de Equipamentos Fixo",T_ORCAMENTOS!$H:$H,"3/2026")</f>
        <v/>
      </c>
      <c r="P51" s="28">
        <f>SUMIFS(Aut_BlueMe_Sem_Pedido!$J:$J,Aut_BlueMe_Sem_Pedido!$Q:$Q,DRE!N$4,Aut_BlueMe_Sem_Pedido!$H:$H,DRE!$A51)+SUMIFS(Aut_Ajustes_Manuais!$G:$G,Aut_Ajustes_Manuais!$I:$I,DRE!N$4,Aut_Ajustes_Manuais!$F:$F,"Locação de Equipamentos Fixo")</f>
        <v/>
      </c>
      <c r="Q51" s="241" t="n"/>
      <c r="R51" s="27">
        <f>-SUMIFS(T_ORCAMENTOS!$E:$E,T_ORCAMENTOS!$C:$C,"Locação de Equipamentos Fixo",T_ORCAMENTOS!$H:$H,"4/2026")</f>
        <v/>
      </c>
      <c r="S51" s="28">
        <f>SUMIFS(Aut_BlueMe_Sem_Pedido!$J:$J,Aut_BlueMe_Sem_Pedido!$Q:$Q,DRE!Q$4,Aut_BlueMe_Sem_Pedido!$H:$H,DRE!$A51)+SUMIFS(Aut_Ajustes_Manuais!$G:$G,Aut_Ajustes_Manuais!$I:$I,DRE!Q$4,Aut_Ajustes_Manuais!$F:$F,"Locação de Equipamentos Fixo")</f>
        <v/>
      </c>
      <c r="T51" s="241" t="n"/>
      <c r="U51" s="27">
        <f>-SUMIFS(T_ORCAMENTOS!$E:$E,T_ORCAMENTOS!$C:$C,"Locação de Equipamentos Fixo",T_ORCAMENTOS!$H:$H,"5/2026")</f>
        <v/>
      </c>
      <c r="V51" s="28">
        <f>SUMIFS(Aut_BlueMe_Sem_Pedido!$J:$J,Aut_BlueMe_Sem_Pedido!$Q:$Q,DRE!T$4,Aut_BlueMe_Sem_Pedido!$H:$H,DRE!$A51)+SUMIFS(Aut_Ajustes_Manuais!$G:$G,Aut_Ajustes_Manuais!$I:$I,DRE!T$4,Aut_Ajustes_Manuais!$F:$F,"Locação de Equipamentos Fixo")</f>
        <v/>
      </c>
      <c r="W51" s="241" t="n"/>
      <c r="X51" s="27">
        <f>-SUMIFS(T_ORCAMENTOS!$E:$E,T_ORCAMENTOS!$C:$C,"Locação de Equipamentos Fixo",T_ORCAMENTOS!$H:$H,"6/2026")</f>
        <v/>
      </c>
      <c r="Y51" s="28">
        <f>SUMIFS(Aut_BlueMe_Sem_Pedido!$J:$J,Aut_BlueMe_Sem_Pedido!$Q:$Q,DRE!W$4,Aut_BlueMe_Sem_Pedido!$H:$H,DRE!$A51)+SUMIFS(Aut_Ajustes_Manuais!$G:$G,Aut_Ajustes_Manuais!$I:$I,DRE!W$4,Aut_Ajustes_Manuais!$F:$F,"Locação de Equipamentos Fixo")</f>
        <v/>
      </c>
      <c r="Z51" s="241" t="n"/>
      <c r="AA51" s="27">
        <f>-SUMIFS(T_ORCAMENTOS!$E:$E,T_ORCAMENTOS!$C:$C,"Locação de Equipamentos Fixo",T_ORCAMENTOS!$H:$H,"7/2026")</f>
        <v/>
      </c>
      <c r="AB51" s="28">
        <f>SUMIFS(Aut_BlueMe_Sem_Pedido!$J:$J,Aut_BlueMe_Sem_Pedido!$Q:$Q,DRE!Z$4,Aut_BlueMe_Sem_Pedido!$H:$H,DRE!$A51)+SUMIFS(Aut_Ajustes_Manuais!$G:$G,Aut_Ajustes_Manuais!$I:$I,DRE!Z$4,Aut_Ajustes_Manuais!$F:$F,"Locação de Equipamentos Fixo")</f>
        <v/>
      </c>
      <c r="AC51" s="241" t="n"/>
      <c r="AD51" s="27">
        <f>-SUMIFS(T_ORCAMENTOS!$E:$E,T_ORCAMENTOS!$C:$C,"Locação de Equipamentos Fixo",T_ORCAMENTOS!$H:$H,"8/2026")</f>
        <v/>
      </c>
      <c r="AE51" s="28">
        <f>SUMIFS(Aut_BlueMe_Sem_Pedido!$J:$J,Aut_BlueMe_Sem_Pedido!$Q:$Q,DRE!AC$4,Aut_BlueMe_Sem_Pedido!$H:$H,DRE!$A51)+SUMIFS(Aut_Ajustes_Manuais!$G:$G,Aut_Ajustes_Manuais!$I:$I,DRE!AC$4,Aut_Ajustes_Manuais!$F:$F,"Locação de Equipamentos Fixo")</f>
        <v/>
      </c>
      <c r="AF51" s="241" t="n"/>
      <c r="AG51" s="27">
        <f>-SUMIFS(T_ORCAMENTOS!$E:$E,T_ORCAMENTOS!$C:$C,"Locação de Equipamentos Fixo",T_ORCAMENTOS!$H:$H,"9/2026")</f>
        <v/>
      </c>
      <c r="AH51" s="28">
        <f>SUMIFS(Aut_BlueMe_Sem_Pedido!$J:$J,Aut_BlueMe_Sem_Pedido!$Q:$Q,DRE!AF$4,Aut_BlueMe_Sem_Pedido!$H:$H,DRE!$A51)+SUMIFS(Aut_Ajustes_Manuais!$G:$G,Aut_Ajustes_Manuais!$I:$I,DRE!AF$4,Aut_Ajustes_Manuais!$F:$F,"Locação de Equipamentos Fixo")</f>
        <v/>
      </c>
      <c r="AI51" s="241" t="n"/>
      <c r="AJ51" s="27">
        <f>-SUMIFS(T_ORCAMENTOS!$E:$E,T_ORCAMENTOS!$C:$C,"Locação de Equipamentos Fixo",T_ORCAMENTOS!$H:$H,"10/2026")</f>
        <v/>
      </c>
      <c r="AK51" s="28">
        <f>SUMIFS(Aut_BlueMe_Sem_Pedido!$J:$J,Aut_BlueMe_Sem_Pedido!$Q:$Q,DRE!AI$4,Aut_BlueMe_Sem_Pedido!$H:$H,DRE!$A51)+SUMIFS(Aut_Ajustes_Manuais!$G:$G,Aut_Ajustes_Manuais!$I:$I,DRE!AI$4,Aut_Ajustes_Manuais!$F:$F,"Locação de Equipamentos Fixo")</f>
        <v/>
      </c>
      <c r="AL51" s="241" t="n"/>
      <c r="AM51" s="27">
        <f>-SUMIFS(T_ORCAMENTOS!$E:$E,T_ORCAMENTOS!$C:$C,"Locação de Equipamentos Fixo",T_ORCAMENTOS!$H:$H,"11/2026")</f>
        <v/>
      </c>
      <c r="AN51" s="28">
        <f>SUMIFS(Aut_BlueMe_Sem_Pedido!$J:$J,Aut_BlueMe_Sem_Pedido!$Q:$Q,DRE!AL$4,Aut_BlueMe_Sem_Pedido!$H:$H,DRE!$A51)+SUMIFS(Aut_Ajustes_Manuais!$G:$G,Aut_Ajustes_Manuais!$I:$I,DRE!AL$4,Aut_Ajustes_Manuais!$F:$F,"Locação de Equipamentos Fixo")</f>
        <v/>
      </c>
      <c r="AO51" s="241" t="n"/>
      <c r="AP51" s="27">
        <f>-SUMIFS(T_ORCAMENTOS!$E:$E,T_ORCAMENTOS!$C:$C,"Locação de Equipamentos Fixo",T_ORCAMENTOS!$H:$H,"12/2026")</f>
        <v/>
      </c>
      <c r="AQ51" s="28">
        <f>SUMIFS(Aut_BlueMe_Sem_Pedido!$J:$J,Aut_BlueMe_Sem_Pedido!$Q:$Q,DRE!AO$4,Aut_BlueMe_Sem_Pedido!$H:$H,DRE!$A51)+SUMIFS(Aut_Ajustes_Manuais!$G:$G,Aut_Ajustes_Manuais!$I:$I,DRE!AO$4,Aut_Ajustes_Manuais!$F:$F,"Locação de Equipamentos Fixo")</f>
        <v/>
      </c>
      <c r="AR51" s="241">
        <f>SUMIFS($H51:$AO51,$H$5:$AO$5,"&lt;"&amp;MONTH(TODAY()),$H$6:$AO$6,"REAL 25")</f>
        <v/>
      </c>
      <c r="AS51" s="27">
        <f>SUMIFS($I51:$AP51,$I$5:$AP$5,"&lt;"&amp;MONTH(TODAY()),$I$6:$AP$6,"ORÇADO ")</f>
        <v/>
      </c>
      <c r="AT51" s="28">
        <f>SUMIFS($J51:$AQ51,$J$5:$AQ$5,"&lt;"&amp;MONTH(TODAY()),$J$6:$AQ$6,"REAL 26")</f>
        <v/>
      </c>
      <c r="AU51" s="241">
        <f>SUM(H51,K51,N51,Q51,T51,W51,Z51,AC51,AF51,AI51,AL51,AO51)</f>
        <v/>
      </c>
      <c r="AV51" s="27">
        <f>SUM(I51,L51,O51,R51,U51,X51,AA51,AD51,AG51,AJ51,AM51,AP51)</f>
        <v/>
      </c>
      <c r="AW51" s="28">
        <f>SUM(J51,M51,P51,S51,V51,Y51,AB51,AE51,AH51,AK51,AN51,AQ51)</f>
        <v/>
      </c>
      <c r="AX51" s="241">
        <f>SUM(H51,K51,N51)</f>
        <v/>
      </c>
      <c r="AY51" s="27">
        <f>SUM(I51,L51,O51)</f>
        <v/>
      </c>
      <c r="AZ51" s="28">
        <f>SUM(J51,M51,P51)</f>
        <v/>
      </c>
      <c r="BA51" s="241">
        <f>SUM(Q51,T51,W51)</f>
        <v/>
      </c>
      <c r="BB51" s="27">
        <f>SUM(R51,U51,X51)</f>
        <v/>
      </c>
      <c r="BC51" s="28">
        <f>SUM(S51,V51,Y51)</f>
        <v/>
      </c>
      <c r="BD51" s="241">
        <f>SUM(Z51,AC51,AF51)</f>
        <v/>
      </c>
      <c r="BE51" s="27">
        <f>SUM(AA51,AD51,AG51)</f>
        <v/>
      </c>
      <c r="BF51" s="28">
        <f>SUM(AB51,AE51,AH51)</f>
        <v/>
      </c>
      <c r="BG51" s="241">
        <f>SUM(AI51,AL51,AO51)</f>
        <v/>
      </c>
      <c r="BH51" s="27">
        <f>SUM(AJ51,AM51,AP51)</f>
        <v/>
      </c>
      <c r="BI51" s="28">
        <f>SUM(AK51,AN51,AQ51)</f>
        <v/>
      </c>
    </row>
    <row r="52" outlineLevel="1" customFormat="1" s="498">
      <c r="A52" s="22" t="inlineStr">
        <is>
          <t>Locação de Equipamentos Variável</t>
        </is>
      </c>
      <c r="B52" s="488" t="n"/>
      <c r="C52" s="24" t="inlineStr">
        <is>
          <t>Estim. Mensal</t>
        </is>
      </c>
      <c r="D52" s="69" t="n"/>
      <c r="E52" s="69" t="n">
        <v>0</v>
      </c>
      <c r="F52" s="41" t="n"/>
      <c r="G52" s="23" t="n"/>
      <c r="H52" s="241" t="n"/>
      <c r="I52" s="27">
        <f>-SUMIFS(T_ORCAMENTOS!$E:$E,T_ORCAMENTOS!$C:$C,"Locação de Equipamentos Variável",T_ORCAMENTOS!$H:$H,"1/2026")</f>
        <v/>
      </c>
      <c r="J52" s="28">
        <f>SUMIFS(Aut_BlueMe_Sem_Pedido!$J:$J,Aut_BlueMe_Sem_Pedido!$Q:$Q,DRE!H$4,Aut_BlueMe_Sem_Pedido!$H:$H,DRE!$A52)+SUMIFS(Aut_Ajustes_Manuais!$G:$G,Aut_Ajustes_Manuais!$I:$I,DRE!H$4,Aut_Ajustes_Manuais!$F:$F,"Locação de Equipamentos Variável")</f>
        <v/>
      </c>
      <c r="K52" s="241" t="n"/>
      <c r="L52" s="27">
        <f>-SUMIFS(T_ORCAMENTOS!$E:$E,T_ORCAMENTOS!$C:$C,"Locação de Equipamentos Variável",T_ORCAMENTOS!$H:$H,"2/2026")</f>
        <v/>
      </c>
      <c r="M52" s="28">
        <f>SUMIFS(Aut_BlueMe_Sem_Pedido!$J:$J,Aut_BlueMe_Sem_Pedido!$Q:$Q,DRE!K$4,Aut_BlueMe_Sem_Pedido!$H:$H,DRE!$A52)+SUMIFS(Aut_Ajustes_Manuais!$G:$G,Aut_Ajustes_Manuais!$I:$I,DRE!K$4,Aut_Ajustes_Manuais!$F:$F,"Locação de Equipamentos Variável")</f>
        <v/>
      </c>
      <c r="N52" s="241" t="n"/>
      <c r="O52" s="27">
        <f>-SUMIFS(T_ORCAMENTOS!$E:$E,T_ORCAMENTOS!$C:$C,"Locação de Equipamentos Variável",T_ORCAMENTOS!$H:$H,"3/2026")</f>
        <v/>
      </c>
      <c r="P52" s="28">
        <f>SUMIFS(Aut_BlueMe_Sem_Pedido!$J:$J,Aut_BlueMe_Sem_Pedido!$Q:$Q,DRE!N$4,Aut_BlueMe_Sem_Pedido!$H:$H,DRE!$A52)+SUMIFS(Aut_Ajustes_Manuais!$G:$G,Aut_Ajustes_Manuais!$I:$I,DRE!N$4,Aut_Ajustes_Manuais!$F:$F,"Locação de Equipamentos Variável")</f>
        <v/>
      </c>
      <c r="Q52" s="241" t="n"/>
      <c r="R52" s="27">
        <f>-SUMIFS(T_ORCAMENTOS!$E:$E,T_ORCAMENTOS!$C:$C,"Locação de Equipamentos Variável",T_ORCAMENTOS!$H:$H,"4/2026")</f>
        <v/>
      </c>
      <c r="S52" s="28">
        <f>SUMIFS(Aut_BlueMe_Sem_Pedido!$J:$J,Aut_BlueMe_Sem_Pedido!$Q:$Q,DRE!Q$4,Aut_BlueMe_Sem_Pedido!$H:$H,DRE!$A52)+SUMIFS(Aut_Ajustes_Manuais!$G:$G,Aut_Ajustes_Manuais!$I:$I,DRE!Q$4,Aut_Ajustes_Manuais!$F:$F,"Locação de Equipamentos Variável")</f>
        <v/>
      </c>
      <c r="T52" s="241" t="n"/>
      <c r="U52" s="27">
        <f>-SUMIFS(T_ORCAMENTOS!$E:$E,T_ORCAMENTOS!$C:$C,"Locação de Equipamentos Variável",T_ORCAMENTOS!$H:$H,"5/2026")</f>
        <v/>
      </c>
      <c r="V52" s="28">
        <f>SUMIFS(Aut_BlueMe_Sem_Pedido!$J:$J,Aut_BlueMe_Sem_Pedido!$Q:$Q,DRE!T$4,Aut_BlueMe_Sem_Pedido!$H:$H,DRE!$A52)+SUMIFS(Aut_Ajustes_Manuais!$G:$G,Aut_Ajustes_Manuais!$I:$I,DRE!T$4,Aut_Ajustes_Manuais!$F:$F,"Locação de Equipamentos Variável")</f>
        <v/>
      </c>
      <c r="W52" s="241" t="n"/>
      <c r="X52" s="27">
        <f>-SUMIFS(T_ORCAMENTOS!$E:$E,T_ORCAMENTOS!$C:$C,"Locação de Equipamentos Variável",T_ORCAMENTOS!$H:$H,"6/2026")</f>
        <v/>
      </c>
      <c r="Y52" s="28">
        <f>SUMIFS(Aut_BlueMe_Sem_Pedido!$J:$J,Aut_BlueMe_Sem_Pedido!$Q:$Q,DRE!W$4,Aut_BlueMe_Sem_Pedido!$H:$H,DRE!$A52)+SUMIFS(Aut_Ajustes_Manuais!$G:$G,Aut_Ajustes_Manuais!$I:$I,DRE!W$4,Aut_Ajustes_Manuais!$F:$F,"Locação de Equipamentos Variável")</f>
        <v/>
      </c>
      <c r="Z52" s="241" t="n"/>
      <c r="AA52" s="27">
        <f>-SUMIFS(T_ORCAMENTOS!$E:$E,T_ORCAMENTOS!$C:$C,"Locação de Equipamentos Variável",T_ORCAMENTOS!$H:$H,"7/2026")</f>
        <v/>
      </c>
      <c r="AB52" s="28">
        <f>SUMIFS(Aut_BlueMe_Sem_Pedido!$J:$J,Aut_BlueMe_Sem_Pedido!$Q:$Q,DRE!Z$4,Aut_BlueMe_Sem_Pedido!$H:$H,DRE!$A52)+SUMIFS(Aut_Ajustes_Manuais!$G:$G,Aut_Ajustes_Manuais!$I:$I,DRE!Z$4,Aut_Ajustes_Manuais!$F:$F,"Locação de Equipamentos Variável")</f>
        <v/>
      </c>
      <c r="AC52" s="241" t="n"/>
      <c r="AD52" s="27">
        <f>-SUMIFS(T_ORCAMENTOS!$E:$E,T_ORCAMENTOS!$C:$C,"Locação de Equipamentos Variável",T_ORCAMENTOS!$H:$H,"8/2026")</f>
        <v/>
      </c>
      <c r="AE52" s="28">
        <f>SUMIFS(Aut_BlueMe_Sem_Pedido!$J:$J,Aut_BlueMe_Sem_Pedido!$Q:$Q,DRE!AC$4,Aut_BlueMe_Sem_Pedido!$H:$H,DRE!$A52)+SUMIFS(Aut_Ajustes_Manuais!$G:$G,Aut_Ajustes_Manuais!$I:$I,DRE!AC$4,Aut_Ajustes_Manuais!$F:$F,"Locação de Equipamentos Variável")</f>
        <v/>
      </c>
      <c r="AF52" s="241" t="n"/>
      <c r="AG52" s="27">
        <f>-SUMIFS(T_ORCAMENTOS!$E:$E,T_ORCAMENTOS!$C:$C,"Locação de Equipamentos Variável",T_ORCAMENTOS!$H:$H,"9/2026")</f>
        <v/>
      </c>
      <c r="AH52" s="28">
        <f>SUMIFS(Aut_BlueMe_Sem_Pedido!$J:$J,Aut_BlueMe_Sem_Pedido!$Q:$Q,DRE!AF$4,Aut_BlueMe_Sem_Pedido!$H:$H,DRE!$A52)+SUMIFS(Aut_Ajustes_Manuais!$G:$G,Aut_Ajustes_Manuais!$I:$I,DRE!AF$4,Aut_Ajustes_Manuais!$F:$F,"Locação de Equipamentos Variável")</f>
        <v/>
      </c>
      <c r="AI52" s="241" t="n"/>
      <c r="AJ52" s="27">
        <f>-SUMIFS(T_ORCAMENTOS!$E:$E,T_ORCAMENTOS!$C:$C,"Locação de Equipamentos Variável",T_ORCAMENTOS!$H:$H,"10/2026")</f>
        <v/>
      </c>
      <c r="AK52" s="28">
        <f>SUMIFS(Aut_BlueMe_Sem_Pedido!$J:$J,Aut_BlueMe_Sem_Pedido!$Q:$Q,DRE!AI$4,Aut_BlueMe_Sem_Pedido!$H:$H,DRE!$A52)+SUMIFS(Aut_Ajustes_Manuais!$G:$G,Aut_Ajustes_Manuais!$I:$I,DRE!AI$4,Aut_Ajustes_Manuais!$F:$F,"Locação de Equipamentos Variável")</f>
        <v/>
      </c>
      <c r="AL52" s="241" t="n"/>
      <c r="AM52" s="27">
        <f>-SUMIFS(T_ORCAMENTOS!$E:$E,T_ORCAMENTOS!$C:$C,"Locação de Equipamentos Variável",T_ORCAMENTOS!$H:$H,"11/2026")</f>
        <v/>
      </c>
      <c r="AN52" s="28">
        <f>SUMIFS(Aut_BlueMe_Sem_Pedido!$J:$J,Aut_BlueMe_Sem_Pedido!$Q:$Q,DRE!AL$4,Aut_BlueMe_Sem_Pedido!$H:$H,DRE!$A52)+SUMIFS(Aut_Ajustes_Manuais!$G:$G,Aut_Ajustes_Manuais!$I:$I,DRE!AL$4,Aut_Ajustes_Manuais!$F:$F,"Locação de Equipamentos Variável")</f>
        <v/>
      </c>
      <c r="AO52" s="241" t="n"/>
      <c r="AP52" s="27">
        <f>-SUMIFS(T_ORCAMENTOS!$E:$E,T_ORCAMENTOS!$C:$C,"Locação de Equipamentos Variável",T_ORCAMENTOS!$H:$H,"12/2026")</f>
        <v/>
      </c>
      <c r="AQ52" s="28">
        <f>SUMIFS(Aut_BlueMe_Sem_Pedido!$J:$J,Aut_BlueMe_Sem_Pedido!$Q:$Q,DRE!AO$4,Aut_BlueMe_Sem_Pedido!$H:$H,DRE!$A52)+SUMIFS(Aut_Ajustes_Manuais!$G:$G,Aut_Ajustes_Manuais!$I:$I,DRE!AO$4,Aut_Ajustes_Manuais!$F:$F,"Locação de Equipamentos Variável")</f>
        <v/>
      </c>
      <c r="AR52" s="241">
        <f>SUMIFS($H52:$AO52,$H$5:$AO$5,"&lt;"&amp;MONTH(TODAY()),$H$6:$AO$6,"REAL 25")</f>
        <v/>
      </c>
      <c r="AS52" s="27">
        <f>SUMIFS($I52:$AP52,$I$5:$AP$5,"&lt;"&amp;MONTH(TODAY()),$I$6:$AP$6,"ORÇADO ")</f>
        <v/>
      </c>
      <c r="AT52" s="28">
        <f>SUMIFS($J52:$AQ52,$J$5:$AQ$5,"&lt;"&amp;MONTH(TODAY()),$J$6:$AQ$6,"REAL 26")</f>
        <v/>
      </c>
      <c r="AU52" s="241">
        <f>SUM(H52,K52,N52,Q52,T52,W52,Z52,AC52,AF52,AI52,AL52,AO52)</f>
        <v/>
      </c>
      <c r="AV52" s="27">
        <f>SUM(I52,L52,O52,R52,U52,X52,AA52,AD52,AG52,AJ52,AM52,AP52)</f>
        <v/>
      </c>
      <c r="AW52" s="28">
        <f>SUM(J52,M52,P52,S52,V52,Y52,AB52,AE52,AH52,AK52,AN52,AQ52)</f>
        <v/>
      </c>
      <c r="AX52" s="241">
        <f>SUM(H52,K52,N52)</f>
        <v/>
      </c>
      <c r="AY52" s="27">
        <f>SUM(I52,L52,O52)</f>
        <v/>
      </c>
      <c r="AZ52" s="28">
        <f>SUM(J52,M52,P52)</f>
        <v/>
      </c>
      <c r="BA52" s="241">
        <f>SUM(Q52,T52,W52)</f>
        <v/>
      </c>
      <c r="BB52" s="27">
        <f>SUM(R52,U52,X52)</f>
        <v/>
      </c>
      <c r="BC52" s="28">
        <f>SUM(S52,V52,Y52)</f>
        <v/>
      </c>
      <c r="BD52" s="241">
        <f>SUM(Z52,AC52,AF52)</f>
        <v/>
      </c>
      <c r="BE52" s="27">
        <f>SUM(AA52,AD52,AG52)</f>
        <v/>
      </c>
      <c r="BF52" s="28">
        <f>SUM(AB52,AE52,AH52)</f>
        <v/>
      </c>
      <c r="BG52" s="241">
        <f>SUM(AI52,AL52,AO52)</f>
        <v/>
      </c>
      <c r="BH52" s="27">
        <f>SUM(AJ52,AM52,AP52)</f>
        <v/>
      </c>
      <c r="BI52" s="28">
        <f>SUM(AK52,AN52,AQ52)</f>
        <v/>
      </c>
    </row>
    <row r="53">
      <c r="A53" s="71" t="inlineStr">
        <is>
          <t>% sobre Receita Artístico</t>
        </is>
      </c>
      <c r="C53" s="24" t="n"/>
      <c r="D53" s="69" t="n"/>
      <c r="E53" s="69" t="n"/>
      <c r="F53" s="41" t="n"/>
      <c r="H53" s="245" t="n"/>
      <c r="I53" s="50">
        <f>IFERROR(I42/I11,0)</f>
        <v/>
      </c>
      <c r="J53" s="51">
        <f>IFERROR(J42/J11,0)+SUMIFS(Aut_Ajustes_Manuais!$G:$G,Aut_Ajustes_Manuais!$I:$I,DRE!H$4,Aut_Ajustes_Manuais!$F:$F,"% sobre Receita Artístico")</f>
        <v/>
      </c>
      <c r="K53" s="245" t="n"/>
      <c r="L53" s="50">
        <f>IFERROR(L42/L11,0)</f>
        <v/>
      </c>
      <c r="M53" s="51">
        <f>IFERROR(M42/M11,0)+SUMIFS(Aut_Ajustes_Manuais!$G:$G,Aut_Ajustes_Manuais!$I:$I,DRE!K$4,Aut_Ajustes_Manuais!$F:$F,"% sobre Receita Artístico")</f>
        <v/>
      </c>
      <c r="N53" s="245" t="n"/>
      <c r="O53" s="50">
        <f>IFERROR(O42/O11,0)</f>
        <v/>
      </c>
      <c r="P53" s="51">
        <f>IFERROR(P42/P11,0)+SUMIFS(Aut_Ajustes_Manuais!$G:$G,Aut_Ajustes_Manuais!$I:$I,DRE!N$4,Aut_Ajustes_Manuais!$F:$F,"% sobre Receita Artístico")</f>
        <v/>
      </c>
      <c r="Q53" s="245" t="n"/>
      <c r="R53" s="50">
        <f>IFERROR(R42/R11,0)</f>
        <v/>
      </c>
      <c r="S53" s="51">
        <f>IFERROR(S42/S11,0)+SUMIFS(Aut_Ajustes_Manuais!$G:$G,Aut_Ajustes_Manuais!$I:$I,DRE!Q$4,Aut_Ajustes_Manuais!$F:$F,"% sobre Receita Artístico")</f>
        <v/>
      </c>
      <c r="T53" s="245" t="n"/>
      <c r="U53" s="50">
        <f>IFERROR(U42/U11,0)</f>
        <v/>
      </c>
      <c r="V53" s="51">
        <f>IFERROR(V42/V11,0)+SUMIFS(Aut_Ajustes_Manuais!$G:$G,Aut_Ajustes_Manuais!$I:$I,DRE!T$4,Aut_Ajustes_Manuais!$F:$F,"% sobre Receita Artístico")</f>
        <v/>
      </c>
      <c r="W53" s="245" t="n"/>
      <c r="X53" s="50">
        <f>IFERROR(X42/X11,0)</f>
        <v/>
      </c>
      <c r="Y53" s="51">
        <f>IFERROR(Y42/Y11,0)+SUMIFS(Aut_Ajustes_Manuais!$G:$G,Aut_Ajustes_Manuais!$I:$I,DRE!W$4,Aut_Ajustes_Manuais!$F:$F,"% sobre Receita Artístico")</f>
        <v/>
      </c>
      <c r="Z53" s="245" t="n"/>
      <c r="AA53" s="50">
        <f>IFERROR(AA42/AA11,0)</f>
        <v/>
      </c>
      <c r="AB53" s="51">
        <f>IFERROR(AB42/AB11,0)+SUMIFS(Aut_Ajustes_Manuais!$G:$G,Aut_Ajustes_Manuais!$I:$I,DRE!Z$4,Aut_Ajustes_Manuais!$F:$F,"% sobre Receita Artístico")</f>
        <v/>
      </c>
      <c r="AC53" s="245" t="n"/>
      <c r="AD53" s="50">
        <f>IFERROR(AD42/AD11,0)</f>
        <v/>
      </c>
      <c r="AE53" s="51">
        <f>IFERROR(AE42/AE11,0)+SUMIFS(Aut_Ajustes_Manuais!$G:$G,Aut_Ajustes_Manuais!$I:$I,DRE!AC$4,Aut_Ajustes_Manuais!$F:$F,"% sobre Receita Artístico")</f>
        <v/>
      </c>
      <c r="AF53" s="245" t="n"/>
      <c r="AG53" s="50">
        <f>IFERROR(AG42/AG11,0)</f>
        <v/>
      </c>
      <c r="AH53" s="51">
        <f>IFERROR(AH42/AH11,0)+SUMIFS(Aut_Ajustes_Manuais!$G:$G,Aut_Ajustes_Manuais!$I:$I,DRE!AF$4,Aut_Ajustes_Manuais!$F:$F,"% sobre Receita Artístico")</f>
        <v/>
      </c>
      <c r="AI53" s="245" t="n"/>
      <c r="AJ53" s="50">
        <f>IFERROR(AJ42/AJ11,0)</f>
        <v/>
      </c>
      <c r="AK53" s="51">
        <f>IFERROR(AK42/AK11,0)+SUMIFS(Aut_Ajustes_Manuais!$G:$G,Aut_Ajustes_Manuais!$I:$I,DRE!AI$4,Aut_Ajustes_Manuais!$F:$F,"% sobre Receita Artístico")</f>
        <v/>
      </c>
      <c r="AL53" s="245" t="n"/>
      <c r="AM53" s="50">
        <f>IFERROR(AM42/AM11,0)</f>
        <v/>
      </c>
      <c r="AN53" s="51">
        <f>IFERROR(AN42/AN11,0)+SUMIFS(Aut_Ajustes_Manuais!$G:$G,Aut_Ajustes_Manuais!$I:$I,DRE!AL$4,Aut_Ajustes_Manuais!$F:$F,"% sobre Receita Artístico")</f>
        <v/>
      </c>
      <c r="AO53" s="245" t="n"/>
      <c r="AP53" s="50">
        <f>IFERROR(AP42/AP11,0)</f>
        <v/>
      </c>
      <c r="AQ53" s="51">
        <f>IFERROR(AQ42/AQ11,0)+SUMIFS(Aut_Ajustes_Manuais!$G:$G,Aut_Ajustes_Manuais!$I:$I,DRE!AO$4,Aut_Ajustes_Manuais!$F:$F,"% sobre Receita Artístico")</f>
        <v/>
      </c>
      <c r="AR53" s="245">
        <f>IFERROR(AR42/AR11,0)</f>
        <v/>
      </c>
      <c r="AS53" s="50">
        <f>IFERROR(AS42/AS11,0)</f>
        <v/>
      </c>
      <c r="AT53" s="51">
        <f>IFERROR(AT42/AT11,0)</f>
        <v/>
      </c>
      <c r="AU53" s="245">
        <f>IFERROR(AU42/AU11,0)</f>
        <v/>
      </c>
      <c r="AV53" s="50">
        <f>IFERROR(AV42/AV11,0)</f>
        <v/>
      </c>
      <c r="AW53" s="51">
        <f>IFERROR(AW42/AW11,0)</f>
        <v/>
      </c>
      <c r="AX53" s="245">
        <f>IFERROR(AX42/AX11,0)</f>
        <v/>
      </c>
      <c r="AY53" s="50">
        <f>IFERROR(AY42/AY11,0)</f>
        <v/>
      </c>
      <c r="AZ53" s="51">
        <f>IFERROR(AZ42/AZ11,0)</f>
        <v/>
      </c>
      <c r="BA53" s="245">
        <f>IFERROR(BA42/BA11,0)</f>
        <v/>
      </c>
      <c r="BB53" s="50">
        <f>IFERROR(BB42/BB11,0)</f>
        <v/>
      </c>
      <c r="BC53" s="51">
        <f>IFERROR(BC42/BC11,0)</f>
        <v/>
      </c>
      <c r="BD53" s="245">
        <f>IFERROR(BD42/BD11,0)</f>
        <v/>
      </c>
      <c r="BE53" s="50">
        <f>IFERROR(BE42/BE11,0)</f>
        <v/>
      </c>
      <c r="BF53" s="51">
        <f>IFERROR(BF42/BF11,0)</f>
        <v/>
      </c>
      <c r="BG53" s="245">
        <f>IFERROR(BG42/BG11,0)</f>
        <v/>
      </c>
      <c r="BH53" s="50">
        <f>IFERROR(BH42/BH11,0)</f>
        <v/>
      </c>
      <c r="BI53" s="51">
        <f>IFERROR(BI42/BI11,0)</f>
        <v/>
      </c>
    </row>
    <row r="54">
      <c r="A54" s="71" t="inlineStr">
        <is>
          <t>% sobre Receita Bruta</t>
        </is>
      </c>
      <c r="C54" s="24" t="n"/>
      <c r="D54" s="69" t="n"/>
      <c r="E54" s="69" t="n"/>
      <c r="F54" s="41" t="n"/>
      <c r="H54" s="253" t="n"/>
      <c r="I54" s="78">
        <f>IFERROR(I42/I8,0)</f>
        <v/>
      </c>
      <c r="J54" s="79">
        <f>IFERROR(J42/J8,0)+SUMIFS(Aut_Ajustes_Manuais!$G:$G,Aut_Ajustes_Manuais!$I:$I,DRE!H$4,Aut_Ajustes_Manuais!$F:$F,"% sobre Receita Bruta")</f>
        <v/>
      </c>
      <c r="K54" s="253" t="n"/>
      <c r="L54" s="78">
        <f>IFERROR(L42/L8,0)</f>
        <v/>
      </c>
      <c r="M54" s="79">
        <f>IFERROR(M42/M8,0)+SUMIFS(Aut_Ajustes_Manuais!$G:$G,Aut_Ajustes_Manuais!$I:$I,DRE!K$4,Aut_Ajustes_Manuais!$F:$F,"% sobre Receita Bruta")</f>
        <v/>
      </c>
      <c r="N54" s="253" t="n"/>
      <c r="O54" s="78">
        <f>IFERROR(O42/O8,0)</f>
        <v/>
      </c>
      <c r="P54" s="79">
        <f>IFERROR(P42/P8,0)+SUMIFS(Aut_Ajustes_Manuais!$G:$G,Aut_Ajustes_Manuais!$I:$I,DRE!N$4,Aut_Ajustes_Manuais!$F:$F,"% sobre Receita Bruta")</f>
        <v/>
      </c>
      <c r="Q54" s="253" t="n"/>
      <c r="R54" s="78">
        <f>IFERROR(R42/R8,0)</f>
        <v/>
      </c>
      <c r="S54" s="79">
        <f>IFERROR(S42/S8,0)+SUMIFS(Aut_Ajustes_Manuais!$G:$G,Aut_Ajustes_Manuais!$I:$I,DRE!Q$4,Aut_Ajustes_Manuais!$F:$F,"% sobre Receita Bruta")</f>
        <v/>
      </c>
      <c r="T54" s="253" t="n"/>
      <c r="U54" s="78">
        <f>IFERROR(U42/U8,0)</f>
        <v/>
      </c>
      <c r="V54" s="79">
        <f>IFERROR(V42/V8,0)+SUMIFS(Aut_Ajustes_Manuais!$G:$G,Aut_Ajustes_Manuais!$I:$I,DRE!T$4,Aut_Ajustes_Manuais!$F:$F,"% sobre Receita Bruta")</f>
        <v/>
      </c>
      <c r="W54" s="253" t="n"/>
      <c r="X54" s="78">
        <f>IFERROR(X42/X8,0)</f>
        <v/>
      </c>
      <c r="Y54" s="79">
        <f>IFERROR(Y42/Y8,0)+SUMIFS(Aut_Ajustes_Manuais!$G:$G,Aut_Ajustes_Manuais!$I:$I,DRE!W$4,Aut_Ajustes_Manuais!$F:$F,"% sobre Receita Bruta")</f>
        <v/>
      </c>
      <c r="Z54" s="253" t="n"/>
      <c r="AA54" s="78">
        <f>IFERROR(AA42/AA8,0)</f>
        <v/>
      </c>
      <c r="AB54" s="79">
        <f>IFERROR(AB42/AB8,0)+SUMIFS(Aut_Ajustes_Manuais!$G:$G,Aut_Ajustes_Manuais!$I:$I,DRE!Z$4,Aut_Ajustes_Manuais!$F:$F,"% sobre Receita Bruta")</f>
        <v/>
      </c>
      <c r="AC54" s="253" t="n"/>
      <c r="AD54" s="78">
        <f>IFERROR(AD42/AD8,0)</f>
        <v/>
      </c>
      <c r="AE54" s="79">
        <f>IFERROR(AE42/AE8,0)+SUMIFS(Aut_Ajustes_Manuais!$G:$G,Aut_Ajustes_Manuais!$I:$I,DRE!AC$4,Aut_Ajustes_Manuais!$F:$F,"% sobre Receita Bruta")</f>
        <v/>
      </c>
      <c r="AF54" s="253" t="n"/>
      <c r="AG54" s="78">
        <f>IFERROR(AG42/AG8,0)</f>
        <v/>
      </c>
      <c r="AH54" s="79">
        <f>IFERROR(AH42/AH8,0)+SUMIFS(Aut_Ajustes_Manuais!$G:$G,Aut_Ajustes_Manuais!$I:$I,DRE!AF$4,Aut_Ajustes_Manuais!$F:$F,"% sobre Receita Bruta")</f>
        <v/>
      </c>
      <c r="AI54" s="253" t="n"/>
      <c r="AJ54" s="78">
        <f>IFERROR(AJ42/AJ8,0)</f>
        <v/>
      </c>
      <c r="AK54" s="79">
        <f>IFERROR(AK42/AK8,0)+SUMIFS(Aut_Ajustes_Manuais!$G:$G,Aut_Ajustes_Manuais!$I:$I,DRE!AI$4,Aut_Ajustes_Manuais!$F:$F,"% sobre Receita Bruta")</f>
        <v/>
      </c>
      <c r="AL54" s="253" t="n"/>
      <c r="AM54" s="78">
        <f>IFERROR(AM42/AM8,0)</f>
        <v/>
      </c>
      <c r="AN54" s="79">
        <f>IFERROR(AN42/AN8,0)+SUMIFS(Aut_Ajustes_Manuais!$G:$G,Aut_Ajustes_Manuais!$I:$I,DRE!AL$4,Aut_Ajustes_Manuais!$F:$F,"% sobre Receita Bruta")</f>
        <v/>
      </c>
      <c r="AO54" s="253" t="n"/>
      <c r="AP54" s="78">
        <f>IFERROR(AP42/AP8,0)</f>
        <v/>
      </c>
      <c r="AQ54" s="79">
        <f>IFERROR(AQ42/AQ8,0)+SUMIFS(Aut_Ajustes_Manuais!$G:$G,Aut_Ajustes_Manuais!$I:$I,DRE!AO$4,Aut_Ajustes_Manuais!$F:$F,"% sobre Receita Bruta")</f>
        <v/>
      </c>
      <c r="AR54" s="253">
        <f>IFERROR(AR42/AR8,0)</f>
        <v/>
      </c>
      <c r="AS54" s="78">
        <f>IFERROR(AS42/AS8,0)</f>
        <v/>
      </c>
      <c r="AT54" s="79">
        <f>IFERROR(AT42/AT8,0)</f>
        <v/>
      </c>
      <c r="AU54" s="253">
        <f>IFERROR(AU42/AU8,0)</f>
        <v/>
      </c>
      <c r="AV54" s="78">
        <f>IFERROR(AV42/AV8,0)</f>
        <v/>
      </c>
      <c r="AW54" s="79">
        <f>IFERROR(AW42/AW8,0)</f>
        <v/>
      </c>
      <c r="AX54" s="253">
        <f>IFERROR(AX42/AX8,0)</f>
        <v/>
      </c>
      <c r="AY54" s="78">
        <f>IFERROR(AY42/AY8,0)</f>
        <v/>
      </c>
      <c r="AZ54" s="79">
        <f>IFERROR(AZ42/AZ8,0)</f>
        <v/>
      </c>
      <c r="BA54" s="253">
        <f>IFERROR(BA42/BA8,0)</f>
        <v/>
      </c>
      <c r="BB54" s="78">
        <f>IFERROR(BB42/BB8,0)</f>
        <v/>
      </c>
      <c r="BC54" s="79">
        <f>IFERROR(BC42/BC8,0)</f>
        <v/>
      </c>
      <c r="BD54" s="253">
        <f>IFERROR(BD42/BD8,0)</f>
        <v/>
      </c>
      <c r="BE54" s="78">
        <f>IFERROR(BE42/BE8,0)</f>
        <v/>
      </c>
      <c r="BF54" s="79">
        <f>IFERROR(BF42/BF8,0)</f>
        <v/>
      </c>
      <c r="BG54" s="253">
        <f>IFERROR(BG42/BG8,0)</f>
        <v/>
      </c>
      <c r="BH54" s="78">
        <f>IFERROR(BH42/BH8,0)</f>
        <v/>
      </c>
      <c r="BI54" s="79">
        <f>IFERROR(BI42/BI8,0)</f>
        <v/>
      </c>
    </row>
    <row r="55" ht="15" customHeight="1">
      <c r="A55" s="18" t="n"/>
      <c r="E55" s="16" t="n"/>
      <c r="F55" s="17" t="n"/>
      <c r="H55" s="247" t="n"/>
      <c r="I55" s="17" t="n"/>
      <c r="J55" s="57" t="n"/>
      <c r="K55" s="247" t="n"/>
      <c r="L55" s="17" t="n"/>
      <c r="M55" s="85" t="n"/>
      <c r="N55" s="247" t="n"/>
      <c r="O55" s="17" t="n"/>
      <c r="P55" s="57" t="n"/>
      <c r="Q55" s="247" t="n"/>
      <c r="R55" s="17" t="n"/>
      <c r="S55" s="57" t="n"/>
      <c r="T55" s="247" t="n"/>
      <c r="U55" s="17" t="n"/>
      <c r="V55" s="57" t="n"/>
      <c r="W55" s="247" t="n"/>
      <c r="X55" s="17" t="n"/>
      <c r="Y55" s="57" t="n"/>
      <c r="Z55" s="247" t="n"/>
      <c r="AA55" s="17" t="n"/>
      <c r="AB55" s="57" t="n"/>
      <c r="AC55" s="247" t="n"/>
      <c r="AD55" s="17" t="n"/>
      <c r="AE55" s="57" t="n"/>
      <c r="AF55" s="247" t="n"/>
      <c r="AG55" s="17" t="n"/>
      <c r="AH55" s="57" t="n"/>
      <c r="AI55" s="247" t="n"/>
      <c r="AJ55" s="17" t="n"/>
      <c r="AK55" s="57" t="n"/>
      <c r="AL55" s="247" t="n"/>
      <c r="AM55" s="17" t="n"/>
      <c r="AN55" s="57" t="n"/>
      <c r="AO55" s="247" t="n"/>
      <c r="AP55" s="17" t="n"/>
      <c r="AQ55" s="57" t="n"/>
      <c r="AR55" s="247" t="n"/>
      <c r="AS55" s="505" t="n"/>
      <c r="AT55" s="507" t="n"/>
      <c r="AU55" s="504" t="n"/>
      <c r="AV55" s="17" t="n"/>
      <c r="AW55" s="57" t="n"/>
      <c r="AX55" s="247" t="n"/>
      <c r="AY55" s="17" t="n"/>
      <c r="AZ55" s="57" t="n"/>
      <c r="BA55" s="247" t="n"/>
      <c r="BB55" s="17" t="n"/>
      <c r="BC55" s="57" t="n"/>
      <c r="BD55" s="247" t="n"/>
      <c r="BE55" s="17" t="n"/>
      <c r="BF55" s="57" t="n"/>
      <c r="BG55" s="247" t="n"/>
      <c r="BH55" s="17" t="n"/>
      <c r="BI55" s="57" t="n"/>
    </row>
    <row r="56">
      <c r="A56" s="39" t="inlineStr">
        <is>
          <t>(-) Custos Eventos</t>
        </is>
      </c>
      <c r="C56" s="40" t="inlineStr">
        <is>
          <t>Premissas</t>
        </is>
      </c>
      <c r="D56" s="40" t="inlineStr">
        <is>
          <t>Valores</t>
        </is>
      </c>
      <c r="E56" s="40" t="inlineStr">
        <is>
          <t>% Incid</t>
        </is>
      </c>
      <c r="F56" s="41" t="n"/>
      <c r="H56" s="251">
        <f>SUM(H57,H60,H65,H70,H73,H77,H82)</f>
        <v/>
      </c>
      <c r="I56" s="67">
        <f>SUM(I57,I60,I65,I70,I73,I77,I82)</f>
        <v/>
      </c>
      <c r="J56" s="68">
        <f>SUM(J57,J60,J65,J70,J73,J77,J82)+SUMIFS(Aut_Ajustes_Manuais!$G:$G,Aut_Ajustes_Manuais!$I:$I,DRE!H$4,Aut_Ajustes_Manuais!$F:$F,"(-) Custos Eventos")</f>
        <v/>
      </c>
      <c r="K56" s="251">
        <f>SUM(K57,K60,K65,K70,K73,K77,K82)</f>
        <v/>
      </c>
      <c r="L56" s="67">
        <f>SUM(L57,L60,L65,L70,L73,L77,L82)</f>
        <v/>
      </c>
      <c r="M56" s="68">
        <f>SUM(M57,M60,M65,M70,M73,M77,M82)+SUMIFS(Aut_Ajustes_Manuais!$G:$G,Aut_Ajustes_Manuais!$I:$I,DRE!K$4,Aut_Ajustes_Manuais!$F:$F,"(-) Custos Eventos")</f>
        <v/>
      </c>
      <c r="N56" s="251">
        <f>SUM(N57,N60,N65,N70,N73,N77,N82)</f>
        <v/>
      </c>
      <c r="O56" s="67">
        <f>SUM(O57,O60,O65,O70,O73,O77,O82)</f>
        <v/>
      </c>
      <c r="P56" s="68">
        <f>SUM(P57,P60,P65,P70,P73,P77,P82)+SUMIFS(Aut_Ajustes_Manuais!$G:$G,Aut_Ajustes_Manuais!$I:$I,DRE!N$4,Aut_Ajustes_Manuais!$F:$F,"(-) Custos Eventos")</f>
        <v/>
      </c>
      <c r="Q56" s="251">
        <f>SUM(Q57,Q60,Q65,Q70,Q73,Q77,Q82)</f>
        <v/>
      </c>
      <c r="R56" s="67">
        <f>SUM(R57,R60,R65,R70,R73,R77,R82)</f>
        <v/>
      </c>
      <c r="S56" s="68">
        <f>SUM(S57,S60,S65,S70,S73,S77,S82)+SUMIFS(Aut_Ajustes_Manuais!$G:$G,Aut_Ajustes_Manuais!$I:$I,DRE!Q$4,Aut_Ajustes_Manuais!$F:$F,"(-) Custos Eventos")</f>
        <v/>
      </c>
      <c r="T56" s="251">
        <f>SUM(T57,T60,T65,T70,T73,T77,T82)</f>
        <v/>
      </c>
      <c r="U56" s="67">
        <f>SUM(U57,U60,U65,U70,U73,U77,U82)</f>
        <v/>
      </c>
      <c r="V56" s="68">
        <f>SUM(V57,V60,V65,V70,V73,V77,V82)+SUMIFS(Aut_Ajustes_Manuais!$G:$G,Aut_Ajustes_Manuais!$I:$I,DRE!T$4,Aut_Ajustes_Manuais!$F:$F,"(-) Custos Eventos")</f>
        <v/>
      </c>
      <c r="W56" s="251">
        <f>SUM(W57,W60,W65,W70,W73,W77,W82)</f>
        <v/>
      </c>
      <c r="X56" s="67">
        <f>SUM(X57,X60,X65,X70,X73,X77,X82)</f>
        <v/>
      </c>
      <c r="Y56" s="68">
        <f>SUM(Y57,Y60,Y65,Y70,Y73,Y77,Y82)+SUMIFS(Aut_Ajustes_Manuais!$G:$G,Aut_Ajustes_Manuais!$I:$I,DRE!W$4,Aut_Ajustes_Manuais!$F:$F,"(-) Custos Eventos")</f>
        <v/>
      </c>
      <c r="Z56" s="251">
        <f>SUM(Z57,Z60,Z65,Z70,Z73,Z77,Z82)</f>
        <v/>
      </c>
      <c r="AA56" s="67">
        <f>SUM(AA57,AA60,AA65,AA70,AA73,AA77,AA82)</f>
        <v/>
      </c>
      <c r="AB56" s="68">
        <f>SUM(AB57,AB60,AB65,AB70,AB73,AB77,AB82)+SUMIFS(Aut_Ajustes_Manuais!$G:$G,Aut_Ajustes_Manuais!$I:$I,DRE!Z$4,Aut_Ajustes_Manuais!$F:$F,"(-) Custos Eventos")</f>
        <v/>
      </c>
      <c r="AC56" s="251">
        <f>SUM(AC57,AC60,AC65,AC70,AC73,AC77,AC82)</f>
        <v/>
      </c>
      <c r="AD56" s="67">
        <f>SUM(AD57,AD60,AD65,AD70,AD73,AD77,AD82)</f>
        <v/>
      </c>
      <c r="AE56" s="68">
        <f>SUM(AE57,AE60,AE65,AE70,AE73,AE77,AE82)+SUMIFS(Aut_Ajustes_Manuais!$G:$G,Aut_Ajustes_Manuais!$I:$I,DRE!AC$4,Aut_Ajustes_Manuais!$F:$F,"(-) Custos Eventos")</f>
        <v/>
      </c>
      <c r="AF56" s="251">
        <f>SUM(AF57,AF60,AF65,AF70,AF73,AF77,AF82)</f>
        <v/>
      </c>
      <c r="AG56" s="67">
        <f>SUM(AG57,AG60,AG65,AG70,AG73,AG77,AG82)</f>
        <v/>
      </c>
      <c r="AH56" s="68">
        <f>SUM(AH57,AH60,AH65,AH70,AH73,AH77,AH82)+SUMIFS(Aut_Ajustes_Manuais!$G:$G,Aut_Ajustes_Manuais!$I:$I,DRE!AF$4,Aut_Ajustes_Manuais!$F:$F,"(-) Custos Eventos")</f>
        <v/>
      </c>
      <c r="AI56" s="251">
        <f>SUM(AI57,AI60,AI65,AI70,AI73,AI77,AI82)</f>
        <v/>
      </c>
      <c r="AJ56" s="67">
        <f>SUM(AJ57,AJ60,AJ65,AJ70,AJ73,AJ77,AJ82)</f>
        <v/>
      </c>
      <c r="AK56" s="68">
        <f>SUM(AK57,AK60,AK65,AK70,AK73,AK77,AK82)+SUMIFS(Aut_Ajustes_Manuais!$G:$G,Aut_Ajustes_Manuais!$I:$I,DRE!AI$4,Aut_Ajustes_Manuais!$F:$F,"(-) Custos Eventos")</f>
        <v/>
      </c>
      <c r="AL56" s="251">
        <f>SUM(AL57,AL60,AL65,AL70,AL73,AL77,AL82)</f>
        <v/>
      </c>
      <c r="AM56" s="67">
        <f>SUM(AM57,AM60,AM65,AM70,AM73,AM77,AM82)</f>
        <v/>
      </c>
      <c r="AN56" s="68">
        <f>SUM(AN57,AN60,AN65,AN70,AN73,AN77,AN82)+SUMIFS(Aut_Ajustes_Manuais!$G:$G,Aut_Ajustes_Manuais!$I:$I,DRE!AL$4,Aut_Ajustes_Manuais!$F:$F,"(-) Custos Eventos")</f>
        <v/>
      </c>
      <c r="AO56" s="251">
        <f>SUM(AO57,AO60,AO65,AO70,AO73,AO77,AO82)</f>
        <v/>
      </c>
      <c r="AP56" s="67">
        <f>SUM(AP57,AP60,AP65,AP70,AP73,AP77,AP82)</f>
        <v/>
      </c>
      <c r="AQ56" s="68">
        <f>SUM(AQ57,AQ60,AQ65,AQ70,AQ73,AQ77,AQ82)+SUMIFS(Aut_Ajustes_Manuais!$G:$G,Aut_Ajustes_Manuais!$I:$I,DRE!AO$4,Aut_Ajustes_Manuais!$F:$F,"(-) Custos Eventos")</f>
        <v/>
      </c>
      <c r="AR56" s="251">
        <f>SUM(AR57,AR60,AR65,AR73,AR77,AR82,AR70)</f>
        <v/>
      </c>
      <c r="AS56" s="67">
        <f>SUM(AS57,AS60,AS65,AS73,AS77,AS82,AS70)</f>
        <v/>
      </c>
      <c r="AT56" s="67">
        <f>SUM(AT57,AT60,AT65,AT73,AT77,AT82,AT70)</f>
        <v/>
      </c>
      <c r="AU56" s="251">
        <f>SUM(AU57,AU60,AU65,AU70,AU73,AU77,AU82)</f>
        <v/>
      </c>
      <c r="AV56" s="67">
        <f>SUM(AV57,AV60,AV65,AV70,AV73,AV77,AV82)</f>
        <v/>
      </c>
      <c r="AW56" s="68">
        <f>SUM(AW57,AW60,AW65,AW70,AW73,AW77,AW82)</f>
        <v/>
      </c>
      <c r="AX56" s="251">
        <f>SUM(AX57,AX60,AX65,AX70,AX73,AX77,AX82)</f>
        <v/>
      </c>
      <c r="AY56" s="67">
        <f>SUM(AY57,AY60,AY65,AY70,AY73,AY77,AY82)</f>
        <v/>
      </c>
      <c r="AZ56" s="68">
        <f>SUM(AZ57,AZ60,AZ65,AZ70,AZ73,AZ77,AZ82)</f>
        <v/>
      </c>
      <c r="BA56" s="251">
        <f>SUM(BA57,BA60,BA65,BA70,BA73,BA77,BA82)</f>
        <v/>
      </c>
      <c r="BB56" s="67">
        <f>SUM(BB57,BB60,BB65,BB70,BB73,BB77,BB82)</f>
        <v/>
      </c>
      <c r="BC56" s="68">
        <f>SUM(BC57,BC60,BC65,BC70,BC73,BC77,BC82)</f>
        <v/>
      </c>
      <c r="BD56" s="251">
        <f>SUM(BD57,BD60,BD65,BD70,BD73,BD77,BD82)</f>
        <v/>
      </c>
      <c r="BE56" s="67">
        <f>SUM(BE57,BE60,BE65,BE70,BE73,BE77,BE82)</f>
        <v/>
      </c>
      <c r="BF56" s="68">
        <f>SUM(BF57,BF60,BF65,BF70,BF73,BF77,BF82)</f>
        <v/>
      </c>
      <c r="BG56" s="251">
        <f>SUM(BG57,BG60,BG65,BG70,BG73,BG77,BG82)</f>
        <v/>
      </c>
      <c r="BH56" s="67">
        <f>SUM(BH57,BH60,BH65,BH70,BH73,BH77,BH82)</f>
        <v/>
      </c>
      <c r="BI56" s="68">
        <f>SUM(BI57,BI60,BI65,BI70,BI73,BI77,BI82)</f>
        <v/>
      </c>
    </row>
    <row r="57" hidden="1" outlineLevel="1">
      <c r="A57" s="73" t="inlineStr">
        <is>
          <t>MDO</t>
        </is>
      </c>
      <c r="C57" s="24" t="n"/>
      <c r="D57" s="69" t="n"/>
      <c r="E57" s="80" t="n"/>
      <c r="F57" s="41" t="n"/>
      <c r="H57" s="252" t="n"/>
      <c r="I57" s="74">
        <f>SUM(I58:I59)</f>
        <v/>
      </c>
      <c r="J57" s="76">
        <f>SUM(J58:J59)+SUMIFS(Aut_Ajustes_Manuais!$G:$G,Aut_Ajustes_Manuais!$I:$I,DRE!H$4,Aut_Ajustes_Manuais!$F:$F,"MDO")</f>
        <v/>
      </c>
      <c r="K57" s="252" t="n"/>
      <c r="L57" s="74">
        <f>SUM(L58:L59)</f>
        <v/>
      </c>
      <c r="M57" s="76">
        <f>SUM(M58:M59)+SUMIFS(Aut_Ajustes_Manuais!$G:$G,Aut_Ajustes_Manuais!$I:$I,DRE!K$4,Aut_Ajustes_Manuais!$F:$F,"MDO")</f>
        <v/>
      </c>
      <c r="N57" s="252" t="n"/>
      <c r="O57" s="74">
        <f>SUM(O58:O59)</f>
        <v/>
      </c>
      <c r="P57" s="76">
        <f>SUM(P58:P59)+SUMIFS(Aut_Ajustes_Manuais!$G:$G,Aut_Ajustes_Manuais!$I:$I,DRE!N$4,Aut_Ajustes_Manuais!$F:$F,"MDO")</f>
        <v/>
      </c>
      <c r="Q57" s="252" t="n"/>
      <c r="R57" s="74">
        <f>SUM(R58:R59)</f>
        <v/>
      </c>
      <c r="S57" s="76">
        <f>SUM(S58:S59)+SUMIFS(Aut_Ajustes_Manuais!$G:$G,Aut_Ajustes_Manuais!$I:$I,DRE!Q$4,Aut_Ajustes_Manuais!$F:$F,"MDO")</f>
        <v/>
      </c>
      <c r="T57" s="252" t="n"/>
      <c r="U57" s="74">
        <f>SUM(U58:U59)</f>
        <v/>
      </c>
      <c r="V57" s="76">
        <f>SUM(V58:V59)+SUMIFS(Aut_Ajustes_Manuais!$G:$G,Aut_Ajustes_Manuais!$I:$I,DRE!T$4,Aut_Ajustes_Manuais!$F:$F,"MDO")</f>
        <v/>
      </c>
      <c r="W57" s="252" t="n"/>
      <c r="X57" s="74">
        <f>SUM(X58:X59)</f>
        <v/>
      </c>
      <c r="Y57" s="76">
        <f>SUM(Y58:Y59)+SUMIFS(Aut_Ajustes_Manuais!$G:$G,Aut_Ajustes_Manuais!$I:$I,DRE!W$4,Aut_Ajustes_Manuais!$F:$F,"MDO")</f>
        <v/>
      </c>
      <c r="Z57" s="252" t="n"/>
      <c r="AA57" s="74">
        <f>SUM(AA58:AA59)</f>
        <v/>
      </c>
      <c r="AB57" s="76">
        <f>SUM(AB58:AB59)+SUMIFS(Aut_Ajustes_Manuais!$G:$G,Aut_Ajustes_Manuais!$I:$I,DRE!Z$4,Aut_Ajustes_Manuais!$F:$F,"MDO")</f>
        <v/>
      </c>
      <c r="AC57" s="252" t="n"/>
      <c r="AD57" s="74">
        <f>SUM(AD58:AD59)</f>
        <v/>
      </c>
      <c r="AE57" s="76">
        <f>SUM(AE58:AE59)+SUMIFS(Aut_Ajustes_Manuais!$G:$G,Aut_Ajustes_Manuais!$I:$I,DRE!AC$4,Aut_Ajustes_Manuais!$F:$F,"MDO")</f>
        <v/>
      </c>
      <c r="AF57" s="252" t="n"/>
      <c r="AG57" s="74">
        <f>SUM(AG58:AG59)</f>
        <v/>
      </c>
      <c r="AH57" s="76">
        <f>SUM(AH58:AH59)+SUMIFS(Aut_Ajustes_Manuais!$G:$G,Aut_Ajustes_Manuais!$I:$I,DRE!AF$4,Aut_Ajustes_Manuais!$F:$F,"MDO")</f>
        <v/>
      </c>
      <c r="AI57" s="252" t="n"/>
      <c r="AJ57" s="74">
        <f>SUM(AJ58:AJ59)</f>
        <v/>
      </c>
      <c r="AK57" s="76">
        <f>SUM(AK58:AK59)+SUMIFS(Aut_Ajustes_Manuais!$G:$G,Aut_Ajustes_Manuais!$I:$I,DRE!AI$4,Aut_Ajustes_Manuais!$F:$F,"MDO")</f>
        <v/>
      </c>
      <c r="AL57" s="252" t="n"/>
      <c r="AM57" s="74">
        <f>SUM(AM58:AM59)</f>
        <v/>
      </c>
      <c r="AN57" s="76">
        <f>SUM(AN58:AN59)+SUMIFS(Aut_Ajustes_Manuais!$G:$G,Aut_Ajustes_Manuais!$I:$I,DRE!AL$4,Aut_Ajustes_Manuais!$F:$F,"MDO")</f>
        <v/>
      </c>
      <c r="AO57" s="252" t="n"/>
      <c r="AP57" s="74">
        <f>SUM(AP58:AP59)</f>
        <v/>
      </c>
      <c r="AQ57" s="76">
        <f>SUM(AQ58:AQ59)+SUMIFS(Aut_Ajustes_Manuais!$G:$G,Aut_Ajustes_Manuais!$I:$I,DRE!AO$4,Aut_Ajustes_Manuais!$F:$F,"MDO")</f>
        <v/>
      </c>
      <c r="AR57" s="252">
        <f>SUMIFS($H57:$AO57,$H$5:$AO$5,"&lt;"&amp;MONTH(TODAY()),$H$6:$AO$6,"REAL 25")</f>
        <v/>
      </c>
      <c r="AS57" s="74">
        <f>SUMIFS($I57:$AP57,$I$5:$AP$5,"&lt;"&amp;MONTH(TODAY()),$I$6:$AP$6,"ORÇADO ")</f>
        <v/>
      </c>
      <c r="AT57" s="76">
        <f>SUMIFS($J57:$AQ57,$J$5:$AQ$5,"&lt;"&amp;MONTH(TODAY()),$J$6:$AQ$6,"REAL 26")</f>
        <v/>
      </c>
      <c r="AU57" s="252">
        <f>SUM(AU58:AU59)</f>
        <v/>
      </c>
      <c r="AV57" s="74">
        <f>SUM(AV58:AV59)</f>
        <v/>
      </c>
      <c r="AW57" s="76">
        <f>SUM(AW58:AW59)</f>
        <v/>
      </c>
      <c r="AX57" s="252">
        <f>SUM(AX58:AX59)</f>
        <v/>
      </c>
      <c r="AY57" s="74">
        <f>SUM(AY58:AY59)</f>
        <v/>
      </c>
      <c r="AZ57" s="76">
        <f>SUM(AZ58:AZ59)</f>
        <v/>
      </c>
      <c r="BA57" s="252">
        <f>SUM(BA58:BA59)</f>
        <v/>
      </c>
      <c r="BB57" s="74">
        <f>SUM(BB58:BB59)</f>
        <v/>
      </c>
      <c r="BC57" s="76">
        <f>SUM(BC58:BC59)</f>
        <v/>
      </c>
      <c r="BD57" s="252">
        <f>SUM(BD58:BD59)</f>
        <v/>
      </c>
      <c r="BE57" s="74">
        <f>SUM(BE58:BE59)</f>
        <v/>
      </c>
      <c r="BF57" s="76">
        <f>SUM(BF58:BF59)</f>
        <v/>
      </c>
      <c r="BG57" s="252">
        <f>SUM(BG58:BG59)</f>
        <v/>
      </c>
      <c r="BH57" s="74">
        <f>SUM(BH58:BH59)</f>
        <v/>
      </c>
      <c r="BI57" s="76">
        <f>SUM(BI58:BI59)</f>
        <v/>
      </c>
    </row>
    <row r="58" hidden="1" outlineLevel="2" customFormat="1" s="498">
      <c r="A58" s="22" t="inlineStr">
        <is>
          <t>MDO Terceirizada - Eventos</t>
        </is>
      </c>
      <c r="B58" s="488" t="n"/>
      <c r="C58" s="24" t="inlineStr">
        <is>
          <t>Equipe de Eventos</t>
        </is>
      </c>
      <c r="D58" s="69" t="n"/>
      <c r="E58" s="80" t="n"/>
      <c r="F58" s="41" t="n"/>
      <c r="G58" s="23" t="n"/>
      <c r="H58" s="241" t="n"/>
      <c r="I58" s="27">
        <f>-SUMIFS(T_ORCAMENTOS!$E:$E,T_ORCAMENTOS!$C:$C,"MDO Terceirizada - Eventos",T_ORCAMENTOS!$H:$H,"1/2026")</f>
        <v/>
      </c>
      <c r="J58" s="28">
        <f>SUMIFS(Aut_BlueMe_Sem_Pedido!$J:$J,Aut_BlueMe_Sem_Pedido!$H:$H,$A58,Aut_BlueMe_Sem_Pedido!$Q:$Q,DRE!H$4)+SUMIFS(Aut_BlueMe_Sem_Pedido!$J:$J,Aut_BlueMe_Sem_Pedido!$H:$H,"MDO PJ Fixo",Aut_BlueMe_Sem_Pedido!$Q:$Q,DRE!H$4,Aut_BlueMe_Sem_Pedido!$N:$N,$A58)+SUMIFS(Aut_Ajustes_Manuais!$G:$G,Aut_Ajustes_Manuais!$I:$I,DRE!H$4,Aut_Ajustes_Manuais!$F:$F,"MDO Terceirizada - Eventos")</f>
        <v/>
      </c>
      <c r="K58" s="241" t="n"/>
      <c r="L58" s="27">
        <f>-SUMIFS(T_ORCAMENTOS!$E:$E,T_ORCAMENTOS!$C:$C,"MDO Terceirizada - Eventos",T_ORCAMENTOS!$H:$H,"2/2026")</f>
        <v/>
      </c>
      <c r="M58" s="28">
        <f>SUMIFS(Aut_BlueMe_Sem_Pedido!$J:$J,Aut_BlueMe_Sem_Pedido!$H:$H,$A58,Aut_BlueMe_Sem_Pedido!$Q:$Q,DRE!K$4)+SUMIFS(Aut_BlueMe_Sem_Pedido!$J:$J,Aut_BlueMe_Sem_Pedido!$H:$H,"MDO PJ Fixo",Aut_BlueMe_Sem_Pedido!$Q:$Q,DRE!K$4,Aut_BlueMe_Sem_Pedido!$N:$N,$A58)+SUMIFS(Aut_Ajustes_Manuais!$G:$G,Aut_Ajustes_Manuais!$I:$I,DRE!K$4,Aut_Ajustes_Manuais!$F:$F,"MDO Terceirizada - Eventos")</f>
        <v/>
      </c>
      <c r="N58" s="241" t="n"/>
      <c r="O58" s="27">
        <f>-SUMIFS(T_ORCAMENTOS!$E:$E,T_ORCAMENTOS!$C:$C,"MDO Terceirizada - Eventos",T_ORCAMENTOS!$H:$H,"3/2026")</f>
        <v/>
      </c>
      <c r="P58" s="28">
        <f>SUMIFS(Aut_BlueMe_Sem_Pedido!$J:$J,Aut_BlueMe_Sem_Pedido!$H:$H,$A58,Aut_BlueMe_Sem_Pedido!$Q:$Q,DRE!N$4)+SUMIFS(Aut_BlueMe_Sem_Pedido!$J:$J,Aut_BlueMe_Sem_Pedido!$H:$H,"MDO PJ Fixo",Aut_BlueMe_Sem_Pedido!$Q:$Q,DRE!N$4,Aut_BlueMe_Sem_Pedido!$N:$N,$A58)+SUMIFS(Aut_Ajustes_Manuais!$G:$G,Aut_Ajustes_Manuais!$I:$I,DRE!N$4,Aut_Ajustes_Manuais!$F:$F,"MDO Terceirizada - Eventos")</f>
        <v/>
      </c>
      <c r="Q58" s="241" t="n"/>
      <c r="R58" s="27">
        <f>-SUMIFS(T_ORCAMENTOS!$E:$E,T_ORCAMENTOS!$C:$C,"MDO Terceirizada - Eventos",T_ORCAMENTOS!$H:$H,"4/2026")</f>
        <v/>
      </c>
      <c r="S58" s="28">
        <f>SUMIFS(Aut_BlueMe_Sem_Pedido!$J:$J,Aut_BlueMe_Sem_Pedido!$H:$H,$A58,Aut_BlueMe_Sem_Pedido!$Q:$Q,DRE!Q$4)+SUMIFS(Aut_BlueMe_Sem_Pedido!$J:$J,Aut_BlueMe_Sem_Pedido!$H:$H,"MDO PJ Fixo",Aut_BlueMe_Sem_Pedido!$Q:$Q,DRE!Q$4,Aut_BlueMe_Sem_Pedido!$N:$N,$A58)+SUMIFS(Aut_Ajustes_Manuais!$G:$G,Aut_Ajustes_Manuais!$I:$I,DRE!Q$4,Aut_Ajustes_Manuais!$F:$F,"MDO Terceirizada - Eventos")</f>
        <v/>
      </c>
      <c r="T58" s="241" t="n"/>
      <c r="U58" s="27">
        <f>-SUMIFS(T_ORCAMENTOS!$E:$E,T_ORCAMENTOS!$C:$C,"MDO Terceirizada - Eventos",T_ORCAMENTOS!$H:$H,"5/2026")</f>
        <v/>
      </c>
      <c r="V58" s="28">
        <f>SUMIFS(Aut_BlueMe_Sem_Pedido!$J:$J,Aut_BlueMe_Sem_Pedido!$H:$H,$A58,Aut_BlueMe_Sem_Pedido!$Q:$Q,DRE!T$4)+SUMIFS(Aut_BlueMe_Sem_Pedido!$J:$J,Aut_BlueMe_Sem_Pedido!$H:$H,"MDO PJ Fixo",Aut_BlueMe_Sem_Pedido!$Q:$Q,DRE!T$4,Aut_BlueMe_Sem_Pedido!$N:$N,$A58)+SUMIFS(Aut_Ajustes_Manuais!$G:$G,Aut_Ajustes_Manuais!$I:$I,DRE!T$4,Aut_Ajustes_Manuais!$F:$F,"MDO Terceirizada - Eventos")</f>
        <v/>
      </c>
      <c r="W58" s="241" t="n"/>
      <c r="X58" s="27">
        <f>-SUMIFS(T_ORCAMENTOS!$E:$E,T_ORCAMENTOS!$C:$C,"MDO Terceirizada - Eventos",T_ORCAMENTOS!$H:$H,"6/2026")</f>
        <v/>
      </c>
      <c r="Y58" s="28">
        <f>SUMIFS(Aut_BlueMe_Sem_Pedido!$J:$J,Aut_BlueMe_Sem_Pedido!$H:$H,$A58,Aut_BlueMe_Sem_Pedido!$Q:$Q,DRE!W$4)+SUMIFS(Aut_BlueMe_Sem_Pedido!$J:$J,Aut_BlueMe_Sem_Pedido!$H:$H,"MDO PJ Fixo",Aut_BlueMe_Sem_Pedido!$Q:$Q,DRE!W$4,Aut_BlueMe_Sem_Pedido!$N:$N,$A58)+SUMIFS(Aut_Ajustes_Manuais!$G:$G,Aut_Ajustes_Manuais!$I:$I,DRE!W$4,Aut_Ajustes_Manuais!$F:$F,"MDO Terceirizada - Eventos")</f>
        <v/>
      </c>
      <c r="Z58" s="241" t="n"/>
      <c r="AA58" s="27">
        <f>-SUMIFS(T_ORCAMENTOS!$E:$E,T_ORCAMENTOS!$C:$C,"MDO Terceirizada - Eventos",T_ORCAMENTOS!$H:$H,"7/2026")</f>
        <v/>
      </c>
      <c r="AB58" s="28">
        <f>SUMIFS(Aut_BlueMe_Sem_Pedido!$J:$J,Aut_BlueMe_Sem_Pedido!$H:$H,$A58,Aut_BlueMe_Sem_Pedido!$Q:$Q,DRE!Z$4)+SUMIFS(Aut_BlueMe_Sem_Pedido!$J:$J,Aut_BlueMe_Sem_Pedido!$H:$H,"MDO PJ Fixo",Aut_BlueMe_Sem_Pedido!$Q:$Q,DRE!Z$4,Aut_BlueMe_Sem_Pedido!$N:$N,$A58)+SUMIFS(Aut_Ajustes_Manuais!$G:$G,Aut_Ajustes_Manuais!$I:$I,DRE!Z$4,Aut_Ajustes_Manuais!$F:$F,"MDO Terceirizada - Eventos")</f>
        <v/>
      </c>
      <c r="AC58" s="241" t="n"/>
      <c r="AD58" s="27">
        <f>-SUMIFS(T_ORCAMENTOS!$E:$E,T_ORCAMENTOS!$C:$C,"MDO Terceirizada - Eventos",T_ORCAMENTOS!$H:$H,"8/2026")</f>
        <v/>
      </c>
      <c r="AE58" s="28">
        <f>SUMIFS(Aut_BlueMe_Sem_Pedido!$J:$J,Aut_BlueMe_Sem_Pedido!$H:$H,$A58,Aut_BlueMe_Sem_Pedido!$Q:$Q,DRE!AC$4)+SUMIFS(Aut_BlueMe_Sem_Pedido!$J:$J,Aut_BlueMe_Sem_Pedido!$H:$H,"MDO PJ Fixo",Aut_BlueMe_Sem_Pedido!$Q:$Q,DRE!AC$4,Aut_BlueMe_Sem_Pedido!$N:$N,$A58)+SUMIFS(Aut_Ajustes_Manuais!$G:$G,Aut_Ajustes_Manuais!$I:$I,DRE!AC$4,Aut_Ajustes_Manuais!$F:$F,"MDO Terceirizada - Eventos")</f>
        <v/>
      </c>
      <c r="AF58" s="241" t="n"/>
      <c r="AG58" s="27">
        <f>-SUMIFS(T_ORCAMENTOS!$E:$E,T_ORCAMENTOS!$C:$C,"MDO Terceirizada - Eventos",T_ORCAMENTOS!$H:$H,"9/2026")</f>
        <v/>
      </c>
      <c r="AH58" s="28">
        <f>SUMIFS(Aut_BlueMe_Sem_Pedido!$J:$J,Aut_BlueMe_Sem_Pedido!$H:$H,$A58,Aut_BlueMe_Sem_Pedido!$Q:$Q,DRE!AF$4)+SUMIFS(Aut_BlueMe_Sem_Pedido!$J:$J,Aut_BlueMe_Sem_Pedido!$H:$H,"MDO PJ Fixo",Aut_BlueMe_Sem_Pedido!$Q:$Q,DRE!AF$4,Aut_BlueMe_Sem_Pedido!$N:$N,$A58)+SUMIFS(Aut_Ajustes_Manuais!$G:$G,Aut_Ajustes_Manuais!$I:$I,DRE!AF$4,Aut_Ajustes_Manuais!$F:$F,"MDO Terceirizada - Eventos")</f>
        <v/>
      </c>
      <c r="AI58" s="241" t="n"/>
      <c r="AJ58" s="27">
        <f>-SUMIFS(T_ORCAMENTOS!$E:$E,T_ORCAMENTOS!$C:$C,"MDO Terceirizada - Eventos",T_ORCAMENTOS!$H:$H,"10/2026")</f>
        <v/>
      </c>
      <c r="AK58" s="28">
        <f>SUMIFS(Aut_BlueMe_Sem_Pedido!$J:$J,Aut_BlueMe_Sem_Pedido!$H:$H,$A58,Aut_BlueMe_Sem_Pedido!$Q:$Q,DRE!AI$4)+SUMIFS(Aut_BlueMe_Sem_Pedido!$J:$J,Aut_BlueMe_Sem_Pedido!$H:$H,"MDO PJ Fixo",Aut_BlueMe_Sem_Pedido!$Q:$Q,DRE!AI$4,Aut_BlueMe_Sem_Pedido!$N:$N,$A58)+SUMIFS(Aut_Ajustes_Manuais!$G:$G,Aut_Ajustes_Manuais!$I:$I,DRE!AI$4,Aut_Ajustes_Manuais!$F:$F,"MDO Terceirizada - Eventos")</f>
        <v/>
      </c>
      <c r="AL58" s="241" t="n"/>
      <c r="AM58" s="27">
        <f>-SUMIFS(T_ORCAMENTOS!$E:$E,T_ORCAMENTOS!$C:$C,"MDO Terceirizada - Eventos",T_ORCAMENTOS!$H:$H,"11/2026")</f>
        <v/>
      </c>
      <c r="AN58" s="28">
        <f>SUMIFS(Aut_BlueMe_Sem_Pedido!$J:$J,Aut_BlueMe_Sem_Pedido!$H:$H,$A58,Aut_BlueMe_Sem_Pedido!$Q:$Q,DRE!AL$4)+SUMIFS(Aut_BlueMe_Sem_Pedido!$J:$J,Aut_BlueMe_Sem_Pedido!$H:$H,"MDO PJ Fixo",Aut_BlueMe_Sem_Pedido!$Q:$Q,DRE!AL$4,Aut_BlueMe_Sem_Pedido!$N:$N,$A58)+SUMIFS(Aut_Ajustes_Manuais!$G:$G,Aut_Ajustes_Manuais!$I:$I,DRE!AL$4,Aut_Ajustes_Manuais!$F:$F,"MDO Terceirizada - Eventos")</f>
        <v/>
      </c>
      <c r="AO58" s="241" t="n"/>
      <c r="AP58" s="27">
        <f>-SUMIFS(T_ORCAMENTOS!$E:$E,T_ORCAMENTOS!$C:$C,"MDO Terceirizada - Eventos",T_ORCAMENTOS!$H:$H,"12/2026")</f>
        <v/>
      </c>
      <c r="AQ58" s="28">
        <f>SUMIFS(Aut_BlueMe_Sem_Pedido!$J:$J,Aut_BlueMe_Sem_Pedido!$H:$H,$A58,Aut_BlueMe_Sem_Pedido!$Q:$Q,DRE!AO$4)+SUMIFS(Aut_BlueMe_Sem_Pedido!$J:$J,Aut_BlueMe_Sem_Pedido!$H:$H,"MDO PJ Fixo",Aut_BlueMe_Sem_Pedido!$Q:$Q,DRE!AO$4,Aut_BlueMe_Sem_Pedido!$N:$N,$A58)+SUMIFS(Aut_Ajustes_Manuais!$G:$G,Aut_Ajustes_Manuais!$I:$I,DRE!AO$4,Aut_Ajustes_Manuais!$F:$F,"MDO Terceirizada - Eventos")</f>
        <v/>
      </c>
      <c r="AR58" s="241">
        <f>SUMIFS($H58:$AO58,$H$5:$AO$5,"&lt;"&amp;MONTH(TODAY()),$H$6:$AO$6,"REAL 25")</f>
        <v/>
      </c>
      <c r="AS58" s="27">
        <f>SUMIFS($I58:$AP58,$I$5:$AP$5,"&lt;"&amp;MONTH(TODAY()),$I$6:$AP$6,"ORÇADO ")</f>
        <v/>
      </c>
      <c r="AT58" s="28">
        <f>SUMIFS($J58:$AQ58,$J$5:$AQ$5,"&lt;"&amp;MONTH(TODAY()),$J$6:$AQ$6,"REAL 26")</f>
        <v/>
      </c>
      <c r="AU58" s="241">
        <f>SUM(H58,K58,N58,Q58,T58,W58,Z58,AC58,AF58,AI58,AL58,AO58)</f>
        <v/>
      </c>
      <c r="AV58" s="27">
        <f>SUM(I58,L58,O58,R58,U58,X58,AA58,AD58,AG58,AJ58,AM58,AP58)</f>
        <v/>
      </c>
      <c r="AW58" s="28">
        <f>SUM(J58,M58,P58,S58,V58,Y58,AB58,AE58,AH58,AK58,AN58,AQ58)</f>
        <v/>
      </c>
      <c r="AX58" s="241">
        <f>SUM(H58,K58,N58)</f>
        <v/>
      </c>
      <c r="AY58" s="27">
        <f>SUM(I58,L58,O58)</f>
        <v/>
      </c>
      <c r="AZ58" s="28">
        <f>SUM(J58,M58,P58)</f>
        <v/>
      </c>
      <c r="BA58" s="241">
        <f>SUM(Q58,T58,W58)</f>
        <v/>
      </c>
      <c r="BB58" s="27">
        <f>SUM(R58,U58,X58)</f>
        <v/>
      </c>
      <c r="BC58" s="28">
        <f>SUM(S58,V58,Y58)</f>
        <v/>
      </c>
      <c r="BD58" s="241">
        <f>SUM(Z58,AC58,AF58)</f>
        <v/>
      </c>
      <c r="BE58" s="27">
        <f>SUM(AA58,AD58,AG58)</f>
        <v/>
      </c>
      <c r="BF58" s="28">
        <f>SUM(AB58,AE58,AH58)</f>
        <v/>
      </c>
      <c r="BG58" s="241">
        <f>SUM(AI58,AL58,AO58)</f>
        <v/>
      </c>
      <c r="BH58" s="27">
        <f>SUM(AJ58,AM58,AP58)</f>
        <v/>
      </c>
      <c r="BI58" s="28">
        <f>SUM(AK58,AN58,AQ58)</f>
        <v/>
      </c>
    </row>
    <row r="59" hidden="1" outlineLevel="2" customFormat="1" s="498">
      <c r="A59" s="22" t="inlineStr">
        <is>
          <t>Comissões de Vendas - Eventos</t>
        </is>
      </c>
      <c r="B59" s="488" t="n"/>
      <c r="C59" s="24" t="n"/>
      <c r="D59" s="69" t="inlineStr">
        <is>
          <t>% sobre o Faturamento de Eventos</t>
        </is>
      </c>
      <c r="E59" s="80" t="n">
        <v>-0.02</v>
      </c>
      <c r="F59" s="41" t="n"/>
      <c r="G59" s="23" t="n"/>
      <c r="H59" s="241" t="n"/>
      <c r="I59" s="81">
        <f>-SUMIFS(T_ORCAMENTOS!$E:$E,T_ORCAMENTOS!$C:$C,"Comissões de Vendas - Eventos",T_ORCAMENTOS!$H:$H,"1/2026")</f>
        <v/>
      </c>
      <c r="J59" s="82">
        <f>SUMIFS(Aut_BlueMe_Sem_Pedido!$J:$J,Aut_BlueMe_Sem_Pedido!$Q:$Q,DRE!H$4,Aut_BlueMe_Sem_Pedido!$H:$H,DRE!$A59)+SUMIFS(Aut_Ajustes_Manuais!$G:$G,Aut_Ajustes_Manuais!$I:$I,DRE!H$4,Aut_Ajustes_Manuais!$F:$F,"Comissões de Vendas - Eventos")</f>
        <v/>
      </c>
      <c r="K59" s="254" t="n"/>
      <c r="L59" s="81">
        <f>-SUMIFS(T_ORCAMENTOS!$E:$E,T_ORCAMENTOS!$C:$C,"Comissões de Vendas - Eventos",T_ORCAMENTOS!$H:$H,"2/2026")</f>
        <v/>
      </c>
      <c r="M59" s="82">
        <f>SUMIFS(Aut_BlueMe_Sem_Pedido!$J:$J,Aut_BlueMe_Sem_Pedido!$Q:$Q,DRE!K$4,Aut_BlueMe_Sem_Pedido!$H:$H,DRE!$A59)+SUMIFS(Aut_Ajustes_Manuais!$G:$G,Aut_Ajustes_Manuais!$I:$I,DRE!K$4,Aut_Ajustes_Manuais!$F:$F,"Comissões de Vendas - Eventos")</f>
        <v/>
      </c>
      <c r="N59" s="254" t="n"/>
      <c r="O59" s="81">
        <f>-SUMIFS(T_ORCAMENTOS!$E:$E,T_ORCAMENTOS!$C:$C,"Comissões de Vendas - Eventos",T_ORCAMENTOS!$H:$H,"3/2026")</f>
        <v/>
      </c>
      <c r="P59" s="82">
        <f>SUMIFS(Aut_BlueMe_Sem_Pedido!$J:$J,Aut_BlueMe_Sem_Pedido!$Q:$Q,DRE!N$4,Aut_BlueMe_Sem_Pedido!$H:$H,DRE!$A59)+SUMIFS(Aut_Ajustes_Manuais!$G:$G,Aut_Ajustes_Manuais!$I:$I,DRE!N$4,Aut_Ajustes_Manuais!$F:$F,"Comissões de Vendas - Eventos")</f>
        <v/>
      </c>
      <c r="Q59" s="241" t="n"/>
      <c r="R59" s="81">
        <f>-SUMIFS(T_ORCAMENTOS!$E:$E,T_ORCAMENTOS!$C:$C,"Comissões de Vendas - Eventos",T_ORCAMENTOS!$H:$H,"4/2026")</f>
        <v/>
      </c>
      <c r="S59" s="27">
        <f>SUMIFS(Aut_BlueMe_Sem_Pedido!$J:$J,Aut_BlueMe_Sem_Pedido!$Q:$Q,DRE!Q$4,Aut_BlueMe_Sem_Pedido!$H:$H,DRE!$A59)+SUMIFS(Aut_Ajustes_Manuais!$G:$G,Aut_Ajustes_Manuais!$I:$I,DRE!Q$4,Aut_Ajustes_Manuais!$F:$F,"Comissões de Vendas - Eventos")</f>
        <v/>
      </c>
      <c r="T59" s="241" t="n"/>
      <c r="U59" s="81">
        <f>-SUMIFS(T_ORCAMENTOS!$E:$E,T_ORCAMENTOS!$C:$C,"Comissões de Vendas - Eventos",T_ORCAMENTOS!$H:$H,"5/2026")</f>
        <v/>
      </c>
      <c r="V59" s="82">
        <f>SUMIFS(Aut_BlueMe_Sem_Pedido!$J:$J,Aut_BlueMe_Sem_Pedido!$Q:$Q,DRE!T$4,Aut_BlueMe_Sem_Pedido!$H:$H,DRE!$A59)+SUMIFS(Aut_Ajustes_Manuais!$G:$G,Aut_Ajustes_Manuais!$I:$I,DRE!T$4,Aut_Ajustes_Manuais!$F:$F,"Comissões de Vendas - Eventos")</f>
        <v/>
      </c>
      <c r="W59" s="241" t="n"/>
      <c r="X59" s="81">
        <f>-SUMIFS(T_ORCAMENTOS!$E:$E,T_ORCAMENTOS!$C:$C,"Comissões de Vendas - Eventos",T_ORCAMENTOS!$H:$H,"6/2026")</f>
        <v/>
      </c>
      <c r="Y59" s="82">
        <f>SUMIFS(Aut_BlueMe_Sem_Pedido!$J:$J,Aut_BlueMe_Sem_Pedido!$Q:$Q,DRE!W$4,Aut_BlueMe_Sem_Pedido!$H:$H,DRE!$A59)+SUMIFS(Aut_Ajustes_Manuais!$G:$G,Aut_Ajustes_Manuais!$I:$I,DRE!W$4,Aut_Ajustes_Manuais!$F:$F,"Comissões de Vendas - Eventos")</f>
        <v/>
      </c>
      <c r="Z59" s="241" t="n"/>
      <c r="AA59" s="81">
        <f>-SUMIFS(T_ORCAMENTOS!$E:$E,T_ORCAMENTOS!$C:$C,"Comissões de Vendas - Eventos",T_ORCAMENTOS!$H:$H,"7/2026")</f>
        <v/>
      </c>
      <c r="AB59" s="82">
        <f>SUMIFS(Aut_BlueMe_Sem_Pedido!$J:$J,Aut_BlueMe_Sem_Pedido!$Q:$Q,DRE!Z$4,Aut_BlueMe_Sem_Pedido!$H:$H,DRE!$A59)+SUMIFS(Aut_Ajustes_Manuais!$G:$G,Aut_Ajustes_Manuais!$I:$I,DRE!Z$4,Aut_Ajustes_Manuais!$F:$F,"Comissões de Vendas - Eventos")</f>
        <v/>
      </c>
      <c r="AC59" s="241" t="n"/>
      <c r="AD59" s="81">
        <f>-SUMIFS(T_ORCAMENTOS!$E:$E,T_ORCAMENTOS!$C:$C,"Comissões de Vendas - Eventos",T_ORCAMENTOS!$H:$H,"8/2026")</f>
        <v/>
      </c>
      <c r="AE59" s="82">
        <f>SUMIFS(Aut_BlueMe_Sem_Pedido!$J:$J,Aut_BlueMe_Sem_Pedido!$Q:$Q,DRE!AC$4,Aut_BlueMe_Sem_Pedido!$H:$H,DRE!$A59)+SUMIFS(Aut_Ajustes_Manuais!$G:$G,Aut_Ajustes_Manuais!$I:$I,DRE!AC$4,Aut_Ajustes_Manuais!$F:$F,"Comissões de Vendas - Eventos")</f>
        <v/>
      </c>
      <c r="AF59" s="241" t="n"/>
      <c r="AG59" s="81">
        <f>-SUMIFS(T_ORCAMENTOS!$E:$E,T_ORCAMENTOS!$C:$C,"Comissões de Vendas - Eventos",T_ORCAMENTOS!$H:$H,"9/2026")</f>
        <v/>
      </c>
      <c r="AH59" s="82">
        <f>SUMIFS(Aut_BlueMe_Sem_Pedido!$J:$J,Aut_BlueMe_Sem_Pedido!$Q:$Q,DRE!AF$4,Aut_BlueMe_Sem_Pedido!$H:$H,DRE!$A59)+SUMIFS(Aut_Ajustes_Manuais!$G:$G,Aut_Ajustes_Manuais!$I:$I,DRE!AF$4,Aut_Ajustes_Manuais!$F:$F,"Comissões de Vendas - Eventos")</f>
        <v/>
      </c>
      <c r="AI59" s="241" t="n"/>
      <c r="AJ59" s="81">
        <f>-SUMIFS(T_ORCAMENTOS!$E:$E,T_ORCAMENTOS!$C:$C,"Comissões de Vendas - Eventos",T_ORCAMENTOS!$H:$H,"10/2026")</f>
        <v/>
      </c>
      <c r="AK59" s="82">
        <f>SUMIFS(Aut_BlueMe_Sem_Pedido!$J:$J,Aut_BlueMe_Sem_Pedido!$Q:$Q,DRE!AI$4,Aut_BlueMe_Sem_Pedido!$H:$H,DRE!$A59)+SUMIFS(Aut_Ajustes_Manuais!$G:$G,Aut_Ajustes_Manuais!$I:$I,DRE!AI$4,Aut_Ajustes_Manuais!$F:$F,"Comissões de Vendas - Eventos")</f>
        <v/>
      </c>
      <c r="AL59" s="241" t="n"/>
      <c r="AM59" s="81">
        <f>-SUMIFS(T_ORCAMENTOS!$E:$E,T_ORCAMENTOS!$C:$C,"Comissões de Vendas - Eventos",T_ORCAMENTOS!$H:$H,"11/2026")</f>
        <v/>
      </c>
      <c r="AN59" s="82">
        <f>SUMIFS(Aut_BlueMe_Sem_Pedido!$J:$J,Aut_BlueMe_Sem_Pedido!$Q:$Q,DRE!AL$4,Aut_BlueMe_Sem_Pedido!$H:$H,DRE!$A59)+SUMIFS(Aut_Ajustes_Manuais!$G:$G,Aut_Ajustes_Manuais!$I:$I,DRE!AL$4,Aut_Ajustes_Manuais!$F:$F,"Comissões de Vendas - Eventos")</f>
        <v/>
      </c>
      <c r="AO59" s="241" t="n"/>
      <c r="AP59" s="81">
        <f>-SUMIFS(T_ORCAMENTOS!$E:$E,T_ORCAMENTOS!$C:$C,"Comissões de Vendas - Eventos",T_ORCAMENTOS!$H:$H,"12/2026")</f>
        <v/>
      </c>
      <c r="AQ59" s="82">
        <f>SUMIFS(Aut_BlueMe_Sem_Pedido!$J:$J,Aut_BlueMe_Sem_Pedido!$Q:$Q,DRE!AO$4,Aut_BlueMe_Sem_Pedido!$H:$H,DRE!$A59)+SUMIFS(Aut_Ajustes_Manuais!$G:$G,Aut_Ajustes_Manuais!$I:$I,DRE!AO$4,Aut_Ajustes_Manuais!$F:$F,"Comissões de Vendas - Eventos")</f>
        <v/>
      </c>
      <c r="AR59" s="241">
        <f>SUMIFS($H59:$AO59,$H$5:$AO$5,"&lt;"&amp;MONTH(TODAY()),$H$6:$AO$6,"REAL 25")</f>
        <v/>
      </c>
      <c r="AS59" s="27">
        <f>SUMIFS($I59:$AP59,$I$5:$AP$5,"&lt;"&amp;MONTH(TODAY()),$I$6:$AP$6,"ORÇADO ")</f>
        <v/>
      </c>
      <c r="AT59" s="28">
        <f>SUMIFS($J59:$AQ59,$J$5:$AQ$5,"&lt;"&amp;MONTH(TODAY()),$J$6:$AQ$6,"REAL 26")</f>
        <v/>
      </c>
      <c r="AU59" s="241">
        <f>SUM(H59,K59,N59,Q59,T59,W59,Z59,AC59,AF59,AI59,AL59,AO59)</f>
        <v/>
      </c>
      <c r="AV59" s="81">
        <f>SUM(I59,L59,O59,R59,U59,X59,AA59,AD59,AG59,AJ59,AM59,AP59)</f>
        <v/>
      </c>
      <c r="AW59" s="82">
        <f>SUM(J59,M59,P59,S59,V59,Y59,AB59,AE59,AH59,AK59,AN59,AQ59)</f>
        <v/>
      </c>
      <c r="AX59" s="241">
        <f>SUM(H59,K59,N59)</f>
        <v/>
      </c>
      <c r="AY59" s="81">
        <f>SUM(I59,L59,O59)</f>
        <v/>
      </c>
      <c r="AZ59" s="82">
        <f>SUM(J59,M59,P59)</f>
        <v/>
      </c>
      <c r="BA59" s="241">
        <f>SUM(Q59,T59,W59)</f>
        <v/>
      </c>
      <c r="BB59" s="81">
        <f>SUM(R59,U59,X59)</f>
        <v/>
      </c>
      <c r="BC59" s="82">
        <f>SUM(S59,V59,Y59)</f>
        <v/>
      </c>
      <c r="BD59" s="241">
        <f>SUM(Z59,AC59,AF59)</f>
        <v/>
      </c>
      <c r="BE59" s="81">
        <f>SUM(AA59,AD59,AG59)</f>
        <v/>
      </c>
      <c r="BF59" s="82">
        <f>SUM(AB59,AE59,AH59)</f>
        <v/>
      </c>
      <c r="BG59" s="241">
        <f>SUM(AI59,AL59,AO59)</f>
        <v/>
      </c>
      <c r="BH59" s="81">
        <f>SUM(AJ59,AM59,AP59)</f>
        <v/>
      </c>
      <c r="BI59" s="82">
        <f>SUM(AK59,AN59,AQ59)</f>
        <v/>
      </c>
    </row>
    <row r="60" hidden="1" outlineLevel="1" ht="18" customHeight="1">
      <c r="A60" s="73" t="inlineStr">
        <is>
          <t>Serviços de Terceiros - Eventos</t>
        </is>
      </c>
      <c r="C60" s="24" t="n"/>
      <c r="D60" s="69" t="n"/>
      <c r="E60" s="80" t="n"/>
      <c r="F60" s="41" t="n"/>
      <c r="H60" s="252" t="n"/>
      <c r="I60" s="74">
        <f>SUM(I61:I64)</f>
        <v/>
      </c>
      <c r="J60" s="76">
        <f>SUM(J61:J64)+SUMIFS(Aut_Ajustes_Manuais!$G:$G,Aut_Ajustes_Manuais!$I:$I,DRE!H$4,Aut_Ajustes_Manuais!$F:$F,"Serviços de Terceiros - Eventos")</f>
        <v/>
      </c>
      <c r="K60" s="252" t="n"/>
      <c r="L60" s="74">
        <f>SUM(L61:L64)</f>
        <v/>
      </c>
      <c r="M60" s="76">
        <f>SUM(M61:M64)+SUMIFS(Aut_Ajustes_Manuais!$G:$G,Aut_Ajustes_Manuais!$I:$I,DRE!K$4,Aut_Ajustes_Manuais!$F:$F,"Serviços de Terceiros - Eventos")</f>
        <v/>
      </c>
      <c r="N60" s="252" t="n"/>
      <c r="O60" s="74">
        <f>SUM(O61:O64)</f>
        <v/>
      </c>
      <c r="P60" s="76">
        <f>SUM(P61:P64)+SUMIFS(Aut_Ajustes_Manuais!$G:$G,Aut_Ajustes_Manuais!$I:$I,DRE!N$4,Aut_Ajustes_Manuais!$F:$F,"Serviços de Terceiros - Eventos")</f>
        <v/>
      </c>
      <c r="Q60" s="252" t="n"/>
      <c r="R60" s="74">
        <f>SUM(R61:R64)</f>
        <v/>
      </c>
      <c r="S60" s="76">
        <f>SUM(S61:S64)+SUMIFS(Aut_Ajustes_Manuais!$G:$G,Aut_Ajustes_Manuais!$I:$I,DRE!Q$4,Aut_Ajustes_Manuais!$F:$F,"Serviços de Terceiros - Eventos")</f>
        <v/>
      </c>
      <c r="T60" s="252" t="n"/>
      <c r="U60" s="74">
        <f>SUM(U61:U64)</f>
        <v/>
      </c>
      <c r="V60" s="76">
        <f>SUM(V61:V64)+SUMIFS(Aut_Ajustes_Manuais!$G:$G,Aut_Ajustes_Manuais!$I:$I,DRE!T$4,Aut_Ajustes_Manuais!$F:$F,"Serviços de Terceiros - Eventos")</f>
        <v/>
      </c>
      <c r="W60" s="252" t="n"/>
      <c r="X60" s="74">
        <f>SUM(X61:X64)</f>
        <v/>
      </c>
      <c r="Y60" s="76">
        <f>SUM(Y61:Y64)+SUMIFS(Aut_Ajustes_Manuais!$G:$G,Aut_Ajustes_Manuais!$I:$I,DRE!W$4,Aut_Ajustes_Manuais!$F:$F,"Serviços de Terceiros - Eventos")</f>
        <v/>
      </c>
      <c r="Z60" s="252" t="n"/>
      <c r="AA60" s="74">
        <f>SUM(AA61:AA64)</f>
        <v/>
      </c>
      <c r="AB60" s="76">
        <f>SUM(AB61:AB64)+SUMIFS(Aut_Ajustes_Manuais!$G:$G,Aut_Ajustes_Manuais!$I:$I,DRE!Z$4,Aut_Ajustes_Manuais!$F:$F,"Serviços de Terceiros - Eventos")</f>
        <v/>
      </c>
      <c r="AC60" s="252" t="n"/>
      <c r="AD60" s="74">
        <f>SUM(AD61:AD64)</f>
        <v/>
      </c>
      <c r="AE60" s="76">
        <f>SUM(AE61:AE64)+SUMIFS(Aut_Ajustes_Manuais!$G:$G,Aut_Ajustes_Manuais!$I:$I,DRE!AC$4,Aut_Ajustes_Manuais!$F:$F,"Serviços de Terceiros - Eventos")</f>
        <v/>
      </c>
      <c r="AF60" s="252" t="n"/>
      <c r="AG60" s="74">
        <f>SUM(AG61:AG64)</f>
        <v/>
      </c>
      <c r="AH60" s="76">
        <f>SUM(AH61:AH64)+SUMIFS(Aut_Ajustes_Manuais!$G:$G,Aut_Ajustes_Manuais!$I:$I,DRE!AF$4,Aut_Ajustes_Manuais!$F:$F,"Serviços de Terceiros - Eventos")</f>
        <v/>
      </c>
      <c r="AI60" s="252" t="n"/>
      <c r="AJ60" s="74">
        <f>SUM(AJ61:AJ64)</f>
        <v/>
      </c>
      <c r="AK60" s="76">
        <f>SUM(AK61:AK64)+SUMIFS(Aut_Ajustes_Manuais!$G:$G,Aut_Ajustes_Manuais!$I:$I,DRE!AI$4,Aut_Ajustes_Manuais!$F:$F,"Serviços de Terceiros - Eventos")</f>
        <v/>
      </c>
      <c r="AL60" s="252" t="n"/>
      <c r="AM60" s="74">
        <f>SUM(AM61:AM64)</f>
        <v/>
      </c>
      <c r="AN60" s="76">
        <f>SUM(AN61:AN64)+SUMIFS(Aut_Ajustes_Manuais!$G:$G,Aut_Ajustes_Manuais!$I:$I,DRE!AL$4,Aut_Ajustes_Manuais!$F:$F,"Serviços de Terceiros - Eventos")</f>
        <v/>
      </c>
      <c r="AO60" s="252" t="n"/>
      <c r="AP60" s="74">
        <f>SUM(AP61:AP64)</f>
        <v/>
      </c>
      <c r="AQ60" s="76">
        <f>SUM(AQ61:AQ64)+SUMIFS(Aut_Ajustes_Manuais!$G:$G,Aut_Ajustes_Manuais!$I:$I,DRE!AO$4,Aut_Ajustes_Manuais!$F:$F,"Serviços de Terceiros - Eventos")</f>
        <v/>
      </c>
      <c r="AR60" s="74">
        <f>SUMIFS($H60:$AO60,$H$5:$AO$5,"&lt;"&amp;MONTH(TODAY()),$H$6:$AO$6,"REAL 25")</f>
        <v/>
      </c>
      <c r="AS60" s="74">
        <f>SUMIFS($I60:$AP60,$I$5:$AP$5,"&lt;"&amp;MONTH(TODAY()),$I$6:$AP$6,"ORÇADO ")</f>
        <v/>
      </c>
      <c r="AT60" s="76">
        <f>SUMIFS($J60:$AQ60,$J$5:$AQ$5,"&lt;"&amp;MONTH(TODAY()),$J$6:$AQ$6,"REAL 26")</f>
        <v/>
      </c>
      <c r="AU60" s="252">
        <f>SUM(AU61:AU64)</f>
        <v/>
      </c>
      <c r="AV60" s="74">
        <f>SUM(AV61:AV64)</f>
        <v/>
      </c>
      <c r="AW60" s="76">
        <f>SUM(AW61:AW64)</f>
        <v/>
      </c>
      <c r="AX60" s="252">
        <f>SUM(AX61:AX64)</f>
        <v/>
      </c>
      <c r="AY60" s="74">
        <f>SUM(AY61:AY64)</f>
        <v/>
      </c>
      <c r="AZ60" s="76">
        <f>SUM(AZ61:AZ64)</f>
        <v/>
      </c>
      <c r="BA60" s="252">
        <f>SUM(BA61:BA64)</f>
        <v/>
      </c>
      <c r="BB60" s="74">
        <f>SUM(BB61:BB64)</f>
        <v/>
      </c>
      <c r="BC60" s="76">
        <f>SUM(BC61:BC64)</f>
        <v/>
      </c>
      <c r="BD60" s="252">
        <f>SUM(BD61:BD64)</f>
        <v/>
      </c>
      <c r="BE60" s="74">
        <f>SUM(BE61:BE64)</f>
        <v/>
      </c>
      <c r="BF60" s="76">
        <f>SUM(BF61:BF64)</f>
        <v/>
      </c>
      <c r="BG60" s="252">
        <f>SUM(BG61:BG64)</f>
        <v/>
      </c>
      <c r="BH60" s="74">
        <f>SUM(BH61:BH64)</f>
        <v/>
      </c>
      <c r="BI60" s="76">
        <f>SUM(BI61:BI64)</f>
        <v/>
      </c>
    </row>
    <row r="61" hidden="1" outlineLevel="2" customFormat="1" s="498">
      <c r="A61" s="22" t="inlineStr">
        <is>
          <t>Serviços Terceirizados - Eventos</t>
        </is>
      </c>
      <c r="B61" s="488" t="n"/>
      <c r="C61" s="24" t="inlineStr">
        <is>
          <t xml:space="preserve">Estaff / Limpeza </t>
        </is>
      </c>
      <c r="D61" s="69" t="inlineStr">
        <is>
          <t>% sobre o Faturamento de Eventos</t>
        </is>
      </c>
      <c r="E61" s="80" t="n">
        <v>-0.02</v>
      </c>
      <c r="F61" s="41" t="n"/>
      <c r="G61" s="23" t="n"/>
      <c r="H61" s="241" t="n"/>
      <c r="I61" s="81">
        <f>-SUMIFS(T_ORCAMENTOS!$E:$E,T_ORCAMENTOS!$C:$C,"Serviços Terceirizados - Eventos",T_ORCAMENTOS!$H:$H,"1/2026")</f>
        <v/>
      </c>
      <c r="J61" s="82">
        <f>SUMIFS(Aut_BlueMe_Sem_Pedido!$J:$J,Aut_BlueMe_Sem_Pedido!$Q:$Q,DRE!H$4,Aut_BlueMe_Sem_Pedido!$H:$H,DRE!$A61)+SUMIFS(Aut_Ajustes_Manuais!$G:$G,Aut_Ajustes_Manuais!$I:$I,DRE!H$4,Aut_Ajustes_Manuais!$F:$F,"Serviços Terceirizados - Eventos")</f>
        <v/>
      </c>
      <c r="K61" s="254" t="n"/>
      <c r="L61" s="81">
        <f>-SUMIFS(T_ORCAMENTOS!$E:$E,T_ORCAMENTOS!$C:$C,"Serviços Terceirizados - Eventos",T_ORCAMENTOS!$H:$H,"2/2026")</f>
        <v/>
      </c>
      <c r="M61" s="82">
        <f>SUMIFS(Aut_BlueMe_Sem_Pedido!$J:$J,Aut_BlueMe_Sem_Pedido!$Q:$Q,DRE!K$4,Aut_BlueMe_Sem_Pedido!$H:$H,DRE!$A61)+SUMIFS(Aut_Ajustes_Manuais!$G:$G,Aut_Ajustes_Manuais!$I:$I,DRE!K$4,Aut_Ajustes_Manuais!$F:$F,"Serviços Terceirizados - Eventos")</f>
        <v/>
      </c>
      <c r="N61" s="254" t="n"/>
      <c r="O61" s="81">
        <f>-SUMIFS(T_ORCAMENTOS!$E:$E,T_ORCAMENTOS!$C:$C,"Serviços Terceirizados - Eventos",T_ORCAMENTOS!$H:$H,"3/2026")</f>
        <v/>
      </c>
      <c r="P61" s="27">
        <f>SUMIFS(Aut_BlueMe_Sem_Pedido!$J:$J,Aut_BlueMe_Sem_Pedido!$Q:$Q,DRE!N$4,Aut_BlueMe_Sem_Pedido!$H:$H,DRE!$A61)+SUMIFS(Aut_Ajustes_Manuais!$G:$G,Aut_Ajustes_Manuais!$I:$I,DRE!N$4,Aut_Ajustes_Manuais!$F:$F,"Serviços Terceirizados - Eventos")</f>
        <v/>
      </c>
      <c r="Q61" s="241" t="n"/>
      <c r="R61" s="81">
        <f>-SUMIFS(T_ORCAMENTOS!$E:$E,T_ORCAMENTOS!$C:$C,"Serviços Terceirizados - Eventos",T_ORCAMENTOS!$H:$H,"4/2026")</f>
        <v/>
      </c>
      <c r="S61" s="82">
        <f>SUMIFS(Aut_BlueMe_Sem_Pedido!$J:$J,Aut_BlueMe_Sem_Pedido!$Q:$Q,DRE!Q$4,Aut_BlueMe_Sem_Pedido!$H:$H,DRE!$A61)+SUMIFS(Aut_Ajustes_Manuais!$G:$G,Aut_Ajustes_Manuais!$I:$I,DRE!Q$4,Aut_Ajustes_Manuais!$F:$F,"Serviços Terceirizados - Eventos")</f>
        <v/>
      </c>
      <c r="T61" s="241" t="n"/>
      <c r="U61" s="81">
        <f>-SUMIFS(T_ORCAMENTOS!$E:$E,T_ORCAMENTOS!$C:$C,"Serviços Terceirizados - Eventos",T_ORCAMENTOS!$H:$H,"5/2026")</f>
        <v/>
      </c>
      <c r="V61" s="82">
        <f>SUMIFS(Aut_BlueMe_Sem_Pedido!$J:$J,Aut_BlueMe_Sem_Pedido!$Q:$Q,DRE!T$4,Aut_BlueMe_Sem_Pedido!$H:$H,DRE!$A61)+SUMIFS(Aut_Ajustes_Manuais!$G:$G,Aut_Ajustes_Manuais!$I:$I,DRE!T$4,Aut_Ajustes_Manuais!$F:$F,"Serviços Terceirizados - Eventos")</f>
        <v/>
      </c>
      <c r="W61" s="241" t="n"/>
      <c r="X61" s="81">
        <f>-SUMIFS(T_ORCAMENTOS!$E:$E,T_ORCAMENTOS!$C:$C,"Serviços Terceirizados - Eventos",T_ORCAMENTOS!$H:$H,"6/2026")</f>
        <v/>
      </c>
      <c r="Y61" s="82">
        <f>SUMIFS(Aut_BlueMe_Sem_Pedido!$J:$J,Aut_BlueMe_Sem_Pedido!$Q:$Q,DRE!W$4,Aut_BlueMe_Sem_Pedido!$H:$H,DRE!$A61)+SUMIFS(Aut_Ajustes_Manuais!$G:$G,Aut_Ajustes_Manuais!$I:$I,DRE!W$4,Aut_Ajustes_Manuais!$F:$F,"Serviços Terceirizados - Eventos")</f>
        <v/>
      </c>
      <c r="Z61" s="241" t="n"/>
      <c r="AA61" s="81">
        <f>-SUMIFS(T_ORCAMENTOS!$E:$E,T_ORCAMENTOS!$C:$C,"Serviços Terceirizados - Eventos",T_ORCAMENTOS!$H:$H,"7/2026")</f>
        <v/>
      </c>
      <c r="AB61" s="82">
        <f>SUMIFS(Aut_BlueMe_Sem_Pedido!$J:$J,Aut_BlueMe_Sem_Pedido!$Q:$Q,DRE!Z$4,Aut_BlueMe_Sem_Pedido!$H:$H,DRE!$A61)+SUMIFS(Aut_Ajustes_Manuais!$G:$G,Aut_Ajustes_Manuais!$I:$I,DRE!Z$4,Aut_Ajustes_Manuais!$F:$F,"Serviços Terceirizados - Eventos")</f>
        <v/>
      </c>
      <c r="AC61" s="241" t="n"/>
      <c r="AD61" s="81">
        <f>-SUMIFS(T_ORCAMENTOS!$E:$E,T_ORCAMENTOS!$C:$C,"Serviços Terceirizados - Eventos",T_ORCAMENTOS!$H:$H,"8/2026")</f>
        <v/>
      </c>
      <c r="AE61" s="82">
        <f>SUMIFS(Aut_BlueMe_Sem_Pedido!$J:$J,Aut_BlueMe_Sem_Pedido!$Q:$Q,DRE!AC$4,Aut_BlueMe_Sem_Pedido!$H:$H,DRE!$A61)+SUMIFS(Aut_Ajustes_Manuais!$G:$G,Aut_Ajustes_Manuais!$I:$I,DRE!AC$4,Aut_Ajustes_Manuais!$F:$F,"Serviços Terceirizados - Eventos")</f>
        <v/>
      </c>
      <c r="AF61" s="241" t="n"/>
      <c r="AG61" s="81">
        <f>-SUMIFS(T_ORCAMENTOS!$E:$E,T_ORCAMENTOS!$C:$C,"Serviços Terceirizados - Eventos",T_ORCAMENTOS!$H:$H,"9/2026")</f>
        <v/>
      </c>
      <c r="AH61" s="82">
        <f>SUMIFS(Aut_BlueMe_Sem_Pedido!$J:$J,Aut_BlueMe_Sem_Pedido!$Q:$Q,DRE!AF$4,Aut_BlueMe_Sem_Pedido!$H:$H,DRE!$A61)+SUMIFS(Aut_Ajustes_Manuais!$G:$G,Aut_Ajustes_Manuais!$I:$I,DRE!AF$4,Aut_Ajustes_Manuais!$F:$F,"Serviços Terceirizados - Eventos")</f>
        <v/>
      </c>
      <c r="AI61" s="241" t="n"/>
      <c r="AJ61" s="81">
        <f>-SUMIFS(T_ORCAMENTOS!$E:$E,T_ORCAMENTOS!$C:$C,"Serviços Terceirizados - Eventos",T_ORCAMENTOS!$H:$H,"10/2026")</f>
        <v/>
      </c>
      <c r="AK61" s="82">
        <f>SUMIFS(Aut_BlueMe_Sem_Pedido!$J:$J,Aut_BlueMe_Sem_Pedido!$Q:$Q,DRE!AI$4,Aut_BlueMe_Sem_Pedido!$H:$H,DRE!$A61)+SUMIFS(Aut_Ajustes_Manuais!$G:$G,Aut_Ajustes_Manuais!$I:$I,DRE!AI$4,Aut_Ajustes_Manuais!$F:$F,"Serviços Terceirizados - Eventos")</f>
        <v/>
      </c>
      <c r="AL61" s="241" t="n"/>
      <c r="AM61" s="81">
        <f>-SUMIFS(T_ORCAMENTOS!$E:$E,T_ORCAMENTOS!$C:$C,"Serviços Terceirizados - Eventos",T_ORCAMENTOS!$H:$H,"11/2026")</f>
        <v/>
      </c>
      <c r="AN61" s="82">
        <f>SUMIFS(Aut_BlueMe_Sem_Pedido!$J:$J,Aut_BlueMe_Sem_Pedido!$Q:$Q,DRE!AL$4,Aut_BlueMe_Sem_Pedido!$H:$H,DRE!$A61)+SUMIFS(Aut_Ajustes_Manuais!$G:$G,Aut_Ajustes_Manuais!$I:$I,DRE!AL$4,Aut_Ajustes_Manuais!$F:$F,"Serviços Terceirizados - Eventos")</f>
        <v/>
      </c>
      <c r="AO61" s="241" t="n"/>
      <c r="AP61" s="81">
        <f>-SUMIFS(T_ORCAMENTOS!$E:$E,T_ORCAMENTOS!$C:$C,"Serviços Terceirizados - Eventos",T_ORCAMENTOS!$H:$H,"12/2026")</f>
        <v/>
      </c>
      <c r="AQ61" s="82">
        <f>SUMIFS(Aut_BlueMe_Sem_Pedido!$J:$J,Aut_BlueMe_Sem_Pedido!$Q:$Q,DRE!AO$4,Aut_BlueMe_Sem_Pedido!$H:$H,DRE!$A61)+SUMIFS(Aut_Ajustes_Manuais!$G:$G,Aut_Ajustes_Manuais!$I:$I,DRE!AO$4,Aut_Ajustes_Manuais!$F:$F,"Serviços Terceirizados - Eventos")</f>
        <v/>
      </c>
      <c r="AR61" s="241">
        <f>SUMIFS($H61:$AO61,$H$5:$AO$5,"&lt;"&amp;MONTH(TODAY()),$H$6:$AO$6,"REAL 25")</f>
        <v/>
      </c>
      <c r="AS61" s="27">
        <f>SUMIFS($I61:$AP61,$I$5:$AP$5,"&lt;"&amp;MONTH(TODAY()),$I$6:$AP$6,"ORÇADO ")</f>
        <v/>
      </c>
      <c r="AT61" s="82">
        <f>SUMIFS($J61:$AQ61,$J$5:$AQ$5,"&lt;"&amp;MONTH(TODAY()),$J$6:$AQ$6,"REAL 26")</f>
        <v/>
      </c>
      <c r="AU61" s="241">
        <f>SUM(H61,K61,N61,Q61,T61,W61,Z61,AC61,AF61,AI61,AL61,AO61)</f>
        <v/>
      </c>
      <c r="AV61" s="81">
        <f>SUM(I61,L61,O61,R61,U61,X61,AA61,AD61,AG61,AJ61,AM61,AP61)</f>
        <v/>
      </c>
      <c r="AW61" s="82">
        <f>SUM(J61,M61,P61,S61,V61,Y61,AB61,AE61,AH61,AK61,AN61,AQ61)</f>
        <v/>
      </c>
      <c r="AX61" s="241">
        <f>SUM(H61,K61,N61)</f>
        <v/>
      </c>
      <c r="AY61" s="81">
        <f>SUM(I61,L61,O61)</f>
        <v/>
      </c>
      <c r="AZ61" s="82">
        <f>SUM(J61,M61,P61)</f>
        <v/>
      </c>
      <c r="BA61" s="241">
        <f>SUM(Q61,T61,W61)</f>
        <v/>
      </c>
      <c r="BB61" s="81">
        <f>SUM(R61,U61,X61)</f>
        <v/>
      </c>
      <c r="BC61" s="82">
        <f>SUM(S61,V61,Y61)</f>
        <v/>
      </c>
      <c r="BD61" s="241">
        <f>SUM(Z61,AC61,AF61)</f>
        <v/>
      </c>
      <c r="BE61" s="81">
        <f>SUM(AA61,AD61,AG61)</f>
        <v/>
      </c>
      <c r="BF61" s="82">
        <f>SUM(AB61,AE61,AH61)</f>
        <v/>
      </c>
      <c r="BG61" s="241">
        <f>SUM(AI61,AL61,AO61)</f>
        <v/>
      </c>
      <c r="BH61" s="81">
        <f>SUM(AJ61,AM61,AP61)</f>
        <v/>
      </c>
      <c r="BI61" s="82">
        <f>SUM(AK61,AN61,AQ61)</f>
        <v/>
      </c>
    </row>
    <row r="62" hidden="1" outlineLevel="2" customFormat="1" s="498">
      <c r="A62" s="22" t="inlineStr">
        <is>
          <t>Serviço de Segurança - Eventos</t>
        </is>
      </c>
      <c r="B62" s="488" t="n"/>
      <c r="C62" s="24" t="inlineStr">
        <is>
          <t>Estaff</t>
        </is>
      </c>
      <c r="D62" s="69" t="inlineStr">
        <is>
          <t>% sobre o Faturamento de Eventos</t>
        </is>
      </c>
      <c r="E62" s="80" t="n">
        <v>0</v>
      </c>
      <c r="F62" s="41" t="n"/>
      <c r="G62" s="23" t="n"/>
      <c r="H62" s="241" t="n"/>
      <c r="I62" s="81">
        <f>-SUMIFS(T_ORCAMENTOS!$E:$E,T_ORCAMENTOS!$C:$C,"Serviço de Segurança - Eventos",T_ORCAMENTOS!$H:$H,"1/2026")</f>
        <v/>
      </c>
      <c r="J62" s="82">
        <f>SUMIFS(Aut_BlueMe_Sem_Pedido!$J:$J,Aut_BlueMe_Sem_Pedido!$Q:$Q,DRE!H$4,Aut_BlueMe_Sem_Pedido!$H:$H,DRE!$A62)+SUMIFS(Aut_Ajustes_Manuais!$G:$G,Aut_Ajustes_Manuais!$I:$I,DRE!H$4,Aut_Ajustes_Manuais!$F:$F,"Serviço de Segurança - Eventos")</f>
        <v/>
      </c>
      <c r="K62" s="254" t="n"/>
      <c r="L62" s="81">
        <f>-SUMIFS(T_ORCAMENTOS!$E:$E,T_ORCAMENTOS!$C:$C,"Serviço de Segurança - Eventos",T_ORCAMENTOS!$H:$H,"2/2026")</f>
        <v/>
      </c>
      <c r="M62" s="82">
        <f>SUMIFS(Aut_BlueMe_Sem_Pedido!$J:$J,Aut_BlueMe_Sem_Pedido!$Q:$Q,DRE!K$4,Aut_BlueMe_Sem_Pedido!$H:$H,DRE!$A62)+SUMIFS(Aut_Ajustes_Manuais!$G:$G,Aut_Ajustes_Manuais!$I:$I,DRE!K$4,Aut_Ajustes_Manuais!$F:$F,"Serviço de Segurança - Eventos")</f>
        <v/>
      </c>
      <c r="N62" s="254" t="n"/>
      <c r="O62" s="81">
        <f>-SUMIFS(T_ORCAMENTOS!$E:$E,T_ORCAMENTOS!$C:$C,"Serviço de Segurança - Eventos",T_ORCAMENTOS!$H:$H,"3/2026")</f>
        <v/>
      </c>
      <c r="P62" s="82">
        <f>SUMIFS(Aut_BlueMe_Sem_Pedido!$J:$J,Aut_BlueMe_Sem_Pedido!$Q:$Q,DRE!N$4,Aut_BlueMe_Sem_Pedido!$H:$H,DRE!$A62)+SUMIFS(Aut_Ajustes_Manuais!$G:$G,Aut_Ajustes_Manuais!$I:$I,DRE!N$4,Aut_Ajustes_Manuais!$F:$F,"Serviço de Segurança - Eventos")</f>
        <v/>
      </c>
      <c r="Q62" s="241" t="n"/>
      <c r="R62" s="81">
        <f>-SUMIFS(T_ORCAMENTOS!$E:$E,T_ORCAMENTOS!$C:$C,"Serviço de Segurança - Eventos",T_ORCAMENTOS!$H:$H,"4/2026")</f>
        <v/>
      </c>
      <c r="S62" s="82">
        <f>SUMIFS(Aut_BlueMe_Sem_Pedido!$J:$J,Aut_BlueMe_Sem_Pedido!$Q:$Q,DRE!Q$4,Aut_BlueMe_Sem_Pedido!$H:$H,DRE!$A62)+SUMIFS(Aut_Ajustes_Manuais!$G:$G,Aut_Ajustes_Manuais!$I:$I,DRE!Q$4,Aut_Ajustes_Manuais!$F:$F,"Serviço de Segurança - Eventos")</f>
        <v/>
      </c>
      <c r="T62" s="241" t="n"/>
      <c r="U62" s="81">
        <f>-SUMIFS(T_ORCAMENTOS!$E:$E,T_ORCAMENTOS!$C:$C,"Serviço de Segurança - Eventos",T_ORCAMENTOS!$H:$H,"5/2026")</f>
        <v/>
      </c>
      <c r="V62" s="82">
        <f>SUMIFS(Aut_BlueMe_Sem_Pedido!$J:$J,Aut_BlueMe_Sem_Pedido!$Q:$Q,DRE!T$4,Aut_BlueMe_Sem_Pedido!$H:$H,DRE!$A62)+SUMIFS(Aut_Ajustes_Manuais!$G:$G,Aut_Ajustes_Manuais!$I:$I,DRE!T$4,Aut_Ajustes_Manuais!$F:$F,"Serviço de Segurança - Eventos")</f>
        <v/>
      </c>
      <c r="W62" s="241" t="n"/>
      <c r="X62" s="81">
        <f>-SUMIFS(T_ORCAMENTOS!$E:$E,T_ORCAMENTOS!$C:$C,"Serviço de Segurança - Eventos",T_ORCAMENTOS!$H:$H,"6/2026")</f>
        <v/>
      </c>
      <c r="Y62" s="82">
        <f>SUMIFS(Aut_BlueMe_Sem_Pedido!$J:$J,Aut_BlueMe_Sem_Pedido!$Q:$Q,DRE!W$4,Aut_BlueMe_Sem_Pedido!$H:$H,DRE!$A62)+SUMIFS(Aut_Ajustes_Manuais!$G:$G,Aut_Ajustes_Manuais!$I:$I,DRE!W$4,Aut_Ajustes_Manuais!$F:$F,"Serviço de Segurança - Eventos")</f>
        <v/>
      </c>
      <c r="Z62" s="241" t="n"/>
      <c r="AA62" s="81">
        <f>-SUMIFS(T_ORCAMENTOS!$E:$E,T_ORCAMENTOS!$C:$C,"Serviço de Segurança - Eventos",T_ORCAMENTOS!$H:$H,"7/2026")</f>
        <v/>
      </c>
      <c r="AB62" s="82">
        <f>SUMIFS(Aut_BlueMe_Sem_Pedido!$J:$J,Aut_BlueMe_Sem_Pedido!$Q:$Q,DRE!Z$4,Aut_BlueMe_Sem_Pedido!$H:$H,DRE!$A62)+SUMIFS(Aut_Ajustes_Manuais!$G:$G,Aut_Ajustes_Manuais!$I:$I,DRE!Z$4,Aut_Ajustes_Manuais!$F:$F,"Serviço de Segurança - Eventos")</f>
        <v/>
      </c>
      <c r="AC62" s="241" t="n"/>
      <c r="AD62" s="81">
        <f>-SUMIFS(T_ORCAMENTOS!$E:$E,T_ORCAMENTOS!$C:$C,"Serviço de Segurança - Eventos",T_ORCAMENTOS!$H:$H,"8/2026")</f>
        <v/>
      </c>
      <c r="AE62" s="82">
        <f>SUMIFS(Aut_BlueMe_Sem_Pedido!$J:$J,Aut_BlueMe_Sem_Pedido!$Q:$Q,DRE!AC$4,Aut_BlueMe_Sem_Pedido!$H:$H,DRE!$A62)+SUMIFS(Aut_Ajustes_Manuais!$G:$G,Aut_Ajustes_Manuais!$I:$I,DRE!AC$4,Aut_Ajustes_Manuais!$F:$F,"Serviço de Segurança - Eventos")</f>
        <v/>
      </c>
      <c r="AF62" s="241" t="n"/>
      <c r="AG62" s="81">
        <f>-SUMIFS(T_ORCAMENTOS!$E:$E,T_ORCAMENTOS!$C:$C,"Serviço de Segurança - Eventos",T_ORCAMENTOS!$H:$H,"9/2026")</f>
        <v/>
      </c>
      <c r="AH62" s="82">
        <f>SUMIFS(Aut_BlueMe_Sem_Pedido!$J:$J,Aut_BlueMe_Sem_Pedido!$Q:$Q,DRE!AF$4,Aut_BlueMe_Sem_Pedido!$H:$H,DRE!$A62)+SUMIFS(Aut_Ajustes_Manuais!$G:$G,Aut_Ajustes_Manuais!$I:$I,DRE!AF$4,Aut_Ajustes_Manuais!$F:$F,"Serviço de Segurança - Eventos")</f>
        <v/>
      </c>
      <c r="AI62" s="241" t="n"/>
      <c r="AJ62" s="81">
        <f>-SUMIFS(T_ORCAMENTOS!$E:$E,T_ORCAMENTOS!$C:$C,"Serviço de Segurança - Eventos",T_ORCAMENTOS!$H:$H,"10/2026")</f>
        <v/>
      </c>
      <c r="AK62" s="82">
        <f>SUMIFS(Aut_BlueMe_Sem_Pedido!$J:$J,Aut_BlueMe_Sem_Pedido!$Q:$Q,DRE!AI$4,Aut_BlueMe_Sem_Pedido!$H:$H,DRE!$A62)+SUMIFS(Aut_Ajustes_Manuais!$G:$G,Aut_Ajustes_Manuais!$I:$I,DRE!AI$4,Aut_Ajustes_Manuais!$F:$F,"Serviço de Segurança - Eventos")</f>
        <v/>
      </c>
      <c r="AL62" s="241" t="n"/>
      <c r="AM62" s="81">
        <f>-SUMIFS(T_ORCAMENTOS!$E:$E,T_ORCAMENTOS!$C:$C,"Serviço de Segurança - Eventos",T_ORCAMENTOS!$H:$H,"11/2026")</f>
        <v/>
      </c>
      <c r="AN62" s="82">
        <f>SUMIFS(Aut_BlueMe_Sem_Pedido!$J:$J,Aut_BlueMe_Sem_Pedido!$Q:$Q,DRE!AL$4,Aut_BlueMe_Sem_Pedido!$H:$H,DRE!$A62)+SUMIFS(Aut_Ajustes_Manuais!$G:$G,Aut_Ajustes_Manuais!$I:$I,DRE!AL$4,Aut_Ajustes_Manuais!$F:$F,"Serviço de Segurança - Eventos")</f>
        <v/>
      </c>
      <c r="AO62" s="241" t="n"/>
      <c r="AP62" s="81">
        <f>-SUMIFS(T_ORCAMENTOS!$E:$E,T_ORCAMENTOS!$C:$C,"Serviço de Segurança - Eventos",T_ORCAMENTOS!$H:$H,"12/2026")</f>
        <v/>
      </c>
      <c r="AQ62" s="82">
        <f>SUMIFS(Aut_BlueMe_Sem_Pedido!$J:$J,Aut_BlueMe_Sem_Pedido!$Q:$Q,DRE!AO$4,Aut_BlueMe_Sem_Pedido!$H:$H,DRE!$A62)+SUMIFS(Aut_Ajustes_Manuais!$G:$G,Aut_Ajustes_Manuais!$I:$I,DRE!AO$4,Aut_Ajustes_Manuais!$F:$F,"Serviço de Segurança - Eventos")</f>
        <v/>
      </c>
      <c r="AR62" s="241">
        <f>SUMIFS($H62:$AO62,$H$5:$AO$5,"&lt;"&amp;MONTH(TODAY()),$H$6:$AO$6,"REAL 25")</f>
        <v/>
      </c>
      <c r="AS62" s="27">
        <f>SUMIFS($I62:$AP62,$I$5:$AP$5,"&lt;"&amp;MONTH(TODAY()),$I$6:$AP$6,"ORÇADO ")</f>
        <v/>
      </c>
      <c r="AT62" s="82">
        <f>SUMIFS($J62:$AQ62,$J$5:$AQ$5,"&lt;"&amp;MONTH(TODAY()),$J$6:$AQ$6,"REAL 26")</f>
        <v/>
      </c>
      <c r="AU62" s="241">
        <f>SUM(H62,K62,N62,Q62,T62,W62,Z62,AC62,AF62,AI62,AL62,AO62)</f>
        <v/>
      </c>
      <c r="AV62" s="81">
        <f>SUM(I62,L62,O62,R62,U62,X62,AA62,AD62,AG62,AJ62,AM62,AP62)</f>
        <v/>
      </c>
      <c r="AW62" s="82">
        <f>SUM(J62,M62,P62,S62,V62,Y62,AB62,AE62,AH62,AK62,AN62,AQ62)</f>
        <v/>
      </c>
      <c r="AX62" s="241">
        <f>SUM(H62,K62,N62)</f>
        <v/>
      </c>
      <c r="AY62" s="81">
        <f>SUM(I62,L62,O62)</f>
        <v/>
      </c>
      <c r="AZ62" s="82">
        <f>SUM(J62,M62,P62)</f>
        <v/>
      </c>
      <c r="BA62" s="241">
        <f>SUM(Q62,T62,W62)</f>
        <v/>
      </c>
      <c r="BB62" s="81">
        <f>SUM(R62,U62,X62)</f>
        <v/>
      </c>
      <c r="BC62" s="82">
        <f>SUM(S62,V62,Y62)</f>
        <v/>
      </c>
      <c r="BD62" s="241">
        <f>SUM(Z62,AC62,AF62)</f>
        <v/>
      </c>
      <c r="BE62" s="81">
        <f>SUM(AA62,AD62,AG62)</f>
        <v/>
      </c>
      <c r="BF62" s="82">
        <f>SUM(AB62,AE62,AH62)</f>
        <v/>
      </c>
      <c r="BG62" s="241">
        <f>SUM(AI62,AL62,AO62)</f>
        <v/>
      </c>
      <c r="BH62" s="81">
        <f>SUM(AJ62,AM62,AP62)</f>
        <v/>
      </c>
      <c r="BI62" s="82">
        <f>SUM(AK62,AN62,AQ62)</f>
        <v/>
      </c>
    </row>
    <row r="63" hidden="1" outlineLevel="2" customFormat="1" s="498">
      <c r="A63" s="22" t="inlineStr">
        <is>
          <t>Artistas e Palestrantes - Eventos</t>
        </is>
      </c>
      <c r="B63" s="488" t="n"/>
      <c r="C63" s="24" t="inlineStr">
        <is>
          <t>Convidados</t>
        </is>
      </c>
      <c r="D63" s="69" t="inlineStr">
        <is>
          <t>% sobre o Faturamento de Eventos</t>
        </is>
      </c>
      <c r="E63" s="80" t="n"/>
      <c r="F63" s="41" t="n"/>
      <c r="G63" s="23" t="n"/>
      <c r="H63" s="241" t="n"/>
      <c r="I63" s="81">
        <f>-SUMIFS(T_ORCAMENTOS!$E:$E,T_ORCAMENTOS!$C:$C,"Artistas e Palestrantes - Eventos",T_ORCAMENTOS!$H:$H,"1/2026")</f>
        <v/>
      </c>
      <c r="J63" s="82">
        <f>SUMIFS(Aut_BlueMe_Sem_Pedido!$J:$J,Aut_BlueMe_Sem_Pedido!$Q:$Q,DRE!H$4,Aut_BlueMe_Sem_Pedido!$H:$H,DRE!$A63)+SUMIFS(Aut_Ajustes_Manuais!$G:$G,Aut_Ajustes_Manuais!$I:$I,DRE!H$4,Aut_Ajustes_Manuais!$F:$F,"Artistas e Palestrantes - Eventos")</f>
        <v/>
      </c>
      <c r="K63" s="254" t="n"/>
      <c r="L63" s="81">
        <f>-SUMIFS(T_ORCAMENTOS!$E:$E,T_ORCAMENTOS!$C:$C,"Artistas e Palestrantes - Eventos",T_ORCAMENTOS!$H:$H,"2/2026")</f>
        <v/>
      </c>
      <c r="M63" s="82">
        <f>SUMIFS(Aut_BlueMe_Sem_Pedido!$J:$J,Aut_BlueMe_Sem_Pedido!$Q:$Q,DRE!K$4,Aut_BlueMe_Sem_Pedido!$H:$H,DRE!$A63)+SUMIFS(Aut_Ajustes_Manuais!$G:$G,Aut_Ajustes_Manuais!$I:$I,DRE!K$4,Aut_Ajustes_Manuais!$F:$F,"Artistas e Palestrantes - Eventos")</f>
        <v/>
      </c>
      <c r="N63" s="254" t="n"/>
      <c r="O63" s="81">
        <f>-SUMIFS(T_ORCAMENTOS!$E:$E,T_ORCAMENTOS!$C:$C,"Artistas e Palestrantes - Eventos",T_ORCAMENTOS!$H:$H,"3/2026")</f>
        <v/>
      </c>
      <c r="P63" s="82">
        <f>SUMIFS(Aut_BlueMe_Sem_Pedido!$J:$J,Aut_BlueMe_Sem_Pedido!$Q:$Q,DRE!N$4,Aut_BlueMe_Sem_Pedido!$H:$H,DRE!$A63)+SUMIFS(Aut_Ajustes_Manuais!$G:$G,Aut_Ajustes_Manuais!$I:$I,DRE!N$4,Aut_Ajustes_Manuais!$F:$F,"Artistas e Palestrantes - Eventos")</f>
        <v/>
      </c>
      <c r="Q63" s="241" t="n"/>
      <c r="R63" s="81">
        <f>-SUMIFS(T_ORCAMENTOS!$E:$E,T_ORCAMENTOS!$C:$C,"Artistas e Palestrantes - Eventos",T_ORCAMENTOS!$H:$H,"4/2026")</f>
        <v/>
      </c>
      <c r="S63" s="82">
        <f>SUMIFS(Aut_BlueMe_Sem_Pedido!$J:$J,Aut_BlueMe_Sem_Pedido!$Q:$Q,DRE!Q$4,Aut_BlueMe_Sem_Pedido!$H:$H,DRE!$A63)+SUMIFS(Aut_Ajustes_Manuais!$G:$G,Aut_Ajustes_Manuais!$I:$I,DRE!Q$4,Aut_Ajustes_Manuais!$F:$F,"Artistas e Palestrantes - Eventos")</f>
        <v/>
      </c>
      <c r="T63" s="241" t="n"/>
      <c r="U63" s="81">
        <f>-SUMIFS(T_ORCAMENTOS!$E:$E,T_ORCAMENTOS!$C:$C,"Artistas e Palestrantes - Eventos",T_ORCAMENTOS!$H:$H,"5/2026")</f>
        <v/>
      </c>
      <c r="V63" s="82">
        <f>SUMIFS(Aut_BlueMe_Sem_Pedido!$J:$J,Aut_BlueMe_Sem_Pedido!$Q:$Q,DRE!T$4,Aut_BlueMe_Sem_Pedido!$H:$H,DRE!$A63)+SUMIFS(Aut_Ajustes_Manuais!$G:$G,Aut_Ajustes_Manuais!$I:$I,DRE!T$4,Aut_Ajustes_Manuais!$F:$F,"Artistas e Palestrantes - Eventos")</f>
        <v/>
      </c>
      <c r="W63" s="241" t="n"/>
      <c r="X63" s="81">
        <f>-SUMIFS(T_ORCAMENTOS!$E:$E,T_ORCAMENTOS!$C:$C,"Artistas e Palestrantes - Eventos",T_ORCAMENTOS!$H:$H,"6/2026")</f>
        <v/>
      </c>
      <c r="Y63" s="82">
        <f>SUMIFS(Aut_BlueMe_Sem_Pedido!$J:$J,Aut_BlueMe_Sem_Pedido!$Q:$Q,DRE!W$4,Aut_BlueMe_Sem_Pedido!$H:$H,DRE!$A63)+SUMIFS(Aut_Ajustes_Manuais!$G:$G,Aut_Ajustes_Manuais!$I:$I,DRE!W$4,Aut_Ajustes_Manuais!$F:$F,"Artistas e Palestrantes - Eventos")</f>
        <v/>
      </c>
      <c r="Z63" s="241" t="n"/>
      <c r="AA63" s="81">
        <f>-SUMIFS(T_ORCAMENTOS!$E:$E,T_ORCAMENTOS!$C:$C,"Artistas e Palestrantes - Eventos",T_ORCAMENTOS!$H:$H,"7/2026")</f>
        <v/>
      </c>
      <c r="AB63" s="82">
        <f>SUMIFS(Aut_BlueMe_Sem_Pedido!$J:$J,Aut_BlueMe_Sem_Pedido!$Q:$Q,DRE!Z$4,Aut_BlueMe_Sem_Pedido!$H:$H,DRE!$A63)+SUMIFS(Aut_Ajustes_Manuais!$G:$G,Aut_Ajustes_Manuais!$I:$I,DRE!Z$4,Aut_Ajustes_Manuais!$F:$F,"Artistas e Palestrantes - Eventos")</f>
        <v/>
      </c>
      <c r="AC63" s="241" t="n"/>
      <c r="AD63" s="81">
        <f>-SUMIFS(T_ORCAMENTOS!$E:$E,T_ORCAMENTOS!$C:$C,"Artistas e Palestrantes - Eventos",T_ORCAMENTOS!$H:$H,"8/2026")</f>
        <v/>
      </c>
      <c r="AE63" s="82">
        <f>SUMIFS(Aut_BlueMe_Sem_Pedido!$J:$J,Aut_BlueMe_Sem_Pedido!$Q:$Q,DRE!AC$4,Aut_BlueMe_Sem_Pedido!$H:$H,DRE!$A63)+SUMIFS(Aut_Ajustes_Manuais!$G:$G,Aut_Ajustes_Manuais!$I:$I,DRE!AC$4,Aut_Ajustes_Manuais!$F:$F,"Artistas e Palestrantes - Eventos")</f>
        <v/>
      </c>
      <c r="AF63" s="241" t="n"/>
      <c r="AG63" s="81">
        <f>-SUMIFS(T_ORCAMENTOS!$E:$E,T_ORCAMENTOS!$C:$C,"Artistas e Palestrantes - Eventos",T_ORCAMENTOS!$H:$H,"9/2026")</f>
        <v/>
      </c>
      <c r="AH63" s="82">
        <f>SUMIFS(Aut_BlueMe_Sem_Pedido!$J:$J,Aut_BlueMe_Sem_Pedido!$Q:$Q,DRE!AF$4,Aut_BlueMe_Sem_Pedido!$H:$H,DRE!$A63)+SUMIFS(Aut_Ajustes_Manuais!$G:$G,Aut_Ajustes_Manuais!$I:$I,DRE!AF$4,Aut_Ajustes_Manuais!$F:$F,"Artistas e Palestrantes - Eventos")</f>
        <v/>
      </c>
      <c r="AI63" s="241" t="n"/>
      <c r="AJ63" s="81">
        <f>-SUMIFS(T_ORCAMENTOS!$E:$E,T_ORCAMENTOS!$C:$C,"Artistas e Palestrantes - Eventos",T_ORCAMENTOS!$H:$H,"10/2026")</f>
        <v/>
      </c>
      <c r="AK63" s="82">
        <f>SUMIFS(Aut_BlueMe_Sem_Pedido!$J:$J,Aut_BlueMe_Sem_Pedido!$Q:$Q,DRE!AI$4,Aut_BlueMe_Sem_Pedido!$H:$H,DRE!$A63)+SUMIFS(Aut_Ajustes_Manuais!$G:$G,Aut_Ajustes_Manuais!$I:$I,DRE!AI$4,Aut_Ajustes_Manuais!$F:$F,"Artistas e Palestrantes - Eventos")</f>
        <v/>
      </c>
      <c r="AL63" s="241" t="n"/>
      <c r="AM63" s="81">
        <f>-SUMIFS(T_ORCAMENTOS!$E:$E,T_ORCAMENTOS!$C:$C,"Artistas e Palestrantes - Eventos",T_ORCAMENTOS!$H:$H,"11/2026")</f>
        <v/>
      </c>
      <c r="AN63" s="82">
        <f>SUMIFS(Aut_BlueMe_Sem_Pedido!$J:$J,Aut_BlueMe_Sem_Pedido!$Q:$Q,DRE!AL$4,Aut_BlueMe_Sem_Pedido!$H:$H,DRE!$A63)+SUMIFS(Aut_Ajustes_Manuais!$G:$G,Aut_Ajustes_Manuais!$I:$I,DRE!AL$4,Aut_Ajustes_Manuais!$F:$F,"Artistas e Palestrantes - Eventos")</f>
        <v/>
      </c>
      <c r="AO63" s="241" t="n"/>
      <c r="AP63" s="81">
        <f>-SUMIFS(T_ORCAMENTOS!$E:$E,T_ORCAMENTOS!$C:$C,"Artistas e Palestrantes - Eventos",T_ORCAMENTOS!$H:$H,"12/2026")</f>
        <v/>
      </c>
      <c r="AQ63" s="82">
        <f>SUMIFS(Aut_BlueMe_Sem_Pedido!$J:$J,Aut_BlueMe_Sem_Pedido!$Q:$Q,DRE!AO$4,Aut_BlueMe_Sem_Pedido!$H:$H,DRE!$A63)+SUMIFS(Aut_Ajustes_Manuais!$G:$G,Aut_Ajustes_Manuais!$I:$I,DRE!AO$4,Aut_Ajustes_Manuais!$F:$F,"Artistas e Palestrantes - Eventos")</f>
        <v/>
      </c>
      <c r="AR63" s="241">
        <f>SUMIFS($H63:$AO63,$H$5:$AO$5,"&lt;"&amp;MONTH(TODAY()),$H$6:$AO$6,"REAL 25")</f>
        <v/>
      </c>
      <c r="AS63" s="27">
        <f>SUMIFS($I63:$AP63,$I$5:$AP$5,"&lt;"&amp;MONTH(TODAY()),$I$6:$AP$6,"ORÇADO ")</f>
        <v/>
      </c>
      <c r="AT63" s="82">
        <f>SUMIFS($J63:$AQ63,$J$5:$AQ$5,"&lt;"&amp;MONTH(TODAY()),$J$6:$AQ$6,"REAL 26")</f>
        <v/>
      </c>
      <c r="AU63" s="241">
        <f>SUM(H63,K63,N63,Q63,T63,W63,Z63,AC63,AF63,AI63,AL63,AO63)</f>
        <v/>
      </c>
      <c r="AV63" s="81">
        <f>SUM(I63,L63,O63,R63,U63,X63,AA63,AD63,AG63,AJ63,AM63,AP63)</f>
        <v/>
      </c>
      <c r="AW63" s="82">
        <f>SUM(J63,M63,P63,S63,V63,Y63,AB63,AE63,AH63,AK63,AN63,AQ63)</f>
        <v/>
      </c>
      <c r="AX63" s="241">
        <f>SUM(H63,K63,N63)</f>
        <v/>
      </c>
      <c r="AY63" s="81">
        <f>SUM(I63,L63,O63)</f>
        <v/>
      </c>
      <c r="AZ63" s="82">
        <f>SUM(J63,M63,P63)</f>
        <v/>
      </c>
      <c r="BA63" s="241">
        <f>SUM(Q63,T63,W63)</f>
        <v/>
      </c>
      <c r="BB63" s="81">
        <f>SUM(R63,U63,X63)</f>
        <v/>
      </c>
      <c r="BC63" s="82">
        <f>SUM(S63,V63,Y63)</f>
        <v/>
      </c>
      <c r="BD63" s="241">
        <f>SUM(Z63,AC63,AF63)</f>
        <v/>
      </c>
      <c r="BE63" s="81">
        <f>SUM(AA63,AD63,AG63)</f>
        <v/>
      </c>
      <c r="BF63" s="82">
        <f>SUM(AB63,AE63,AH63)</f>
        <v/>
      </c>
      <c r="BG63" s="241">
        <f>SUM(AI63,AL63,AO63)</f>
        <v/>
      </c>
      <c r="BH63" s="81">
        <f>SUM(AJ63,AM63,AP63)</f>
        <v/>
      </c>
      <c r="BI63" s="82">
        <f>SUM(AK63,AN63,AQ63)</f>
        <v/>
      </c>
    </row>
    <row r="64" hidden="1" outlineLevel="2" customFormat="1" s="498">
      <c r="A64" s="22" t="inlineStr">
        <is>
          <t>Decoração - Eventos</t>
        </is>
      </c>
      <c r="B64" s="488" t="n"/>
      <c r="C64" s="24" t="n"/>
      <c r="D64" s="69" t="inlineStr">
        <is>
          <t>% sobre o Faturamento de Eventos</t>
        </is>
      </c>
      <c r="E64" s="45" t="n">
        <v>-0.003</v>
      </c>
      <c r="F64" s="41" t="n"/>
      <c r="G64" s="23" t="n"/>
      <c r="H64" s="241" t="n"/>
      <c r="I64" s="81">
        <f>-SUMIFS(T_ORCAMENTOS!$E:$E,T_ORCAMENTOS!$C:$C,"Decoração - Eventos",T_ORCAMENTOS!$H:$H,"1/2026")</f>
        <v/>
      </c>
      <c r="J64" s="82">
        <f>SUMIFS(Aut_BlueMe_Sem_Pedido!$J:$J,Aut_BlueMe_Sem_Pedido!$Q:$Q,DRE!H$4,Aut_BlueMe_Sem_Pedido!$H:$H,DRE!$A64)+SUMIFS(Aut_Ajustes_Manuais!$G:$G,Aut_Ajustes_Manuais!$I:$I,DRE!H$4,Aut_Ajustes_Manuais!$F:$F,"Decoração - Eventos")</f>
        <v/>
      </c>
      <c r="K64" s="254" t="n"/>
      <c r="L64" s="81">
        <f>-SUMIFS(T_ORCAMENTOS!$E:$E,T_ORCAMENTOS!$C:$C,"Decoração - Eventos",T_ORCAMENTOS!$H:$H,"2/2026")</f>
        <v/>
      </c>
      <c r="M64" s="82">
        <f>SUMIFS(Aut_BlueMe_Sem_Pedido!$J:$J,Aut_BlueMe_Sem_Pedido!$Q:$Q,DRE!K$4,Aut_BlueMe_Sem_Pedido!$H:$H,DRE!$A64)+SUMIFS(Aut_Ajustes_Manuais!$G:$G,Aut_Ajustes_Manuais!$I:$I,DRE!K$4,Aut_Ajustes_Manuais!$F:$F,"Decoração - Eventos")</f>
        <v/>
      </c>
      <c r="N64" s="254" t="n"/>
      <c r="O64" s="81">
        <f>-SUMIFS(T_ORCAMENTOS!$E:$E,T_ORCAMENTOS!$C:$C,"Decoração - Eventos",T_ORCAMENTOS!$H:$H,"3/2026")</f>
        <v/>
      </c>
      <c r="P64" s="82">
        <f>SUMIFS(Aut_BlueMe_Sem_Pedido!$J:$J,Aut_BlueMe_Sem_Pedido!$Q:$Q,DRE!N$4,Aut_BlueMe_Sem_Pedido!$H:$H,DRE!$A64)+SUMIFS(Aut_Ajustes_Manuais!$G:$G,Aut_Ajustes_Manuais!$I:$I,DRE!N$4,Aut_Ajustes_Manuais!$F:$F,"Decoração - Eventos")</f>
        <v/>
      </c>
      <c r="Q64" s="241" t="n"/>
      <c r="R64" s="81">
        <f>-SUMIFS(T_ORCAMENTOS!$E:$E,T_ORCAMENTOS!$C:$C,"Decoração - Eventos",T_ORCAMENTOS!$H:$H,"4/2026")</f>
        <v/>
      </c>
      <c r="S64" s="82">
        <f>SUMIFS(Aut_BlueMe_Sem_Pedido!$J:$J,Aut_BlueMe_Sem_Pedido!$Q:$Q,DRE!Q$4,Aut_BlueMe_Sem_Pedido!$H:$H,DRE!$A64)+SUMIFS(Aut_Ajustes_Manuais!$G:$G,Aut_Ajustes_Manuais!$I:$I,DRE!Q$4,Aut_Ajustes_Manuais!$F:$F,"Decoração - Eventos")</f>
        <v/>
      </c>
      <c r="T64" s="241" t="n"/>
      <c r="U64" s="81">
        <f>-SUMIFS(T_ORCAMENTOS!$E:$E,T_ORCAMENTOS!$C:$C,"Decoração - Eventos",T_ORCAMENTOS!$H:$H,"5/2026")</f>
        <v/>
      </c>
      <c r="V64" s="82">
        <f>SUMIFS(Aut_BlueMe_Sem_Pedido!$J:$J,Aut_BlueMe_Sem_Pedido!$Q:$Q,DRE!T$4,Aut_BlueMe_Sem_Pedido!$H:$H,DRE!$A64)+SUMIFS(Aut_Ajustes_Manuais!$G:$G,Aut_Ajustes_Manuais!$I:$I,DRE!T$4,Aut_Ajustes_Manuais!$F:$F,"Decoração - Eventos")</f>
        <v/>
      </c>
      <c r="W64" s="241" t="n"/>
      <c r="X64" s="81">
        <f>-SUMIFS(T_ORCAMENTOS!$E:$E,T_ORCAMENTOS!$C:$C,"Decoração - Eventos",T_ORCAMENTOS!$H:$H,"6/2026")</f>
        <v/>
      </c>
      <c r="Y64" s="82">
        <f>SUMIFS(Aut_BlueMe_Sem_Pedido!$J:$J,Aut_BlueMe_Sem_Pedido!$Q:$Q,DRE!W$4,Aut_BlueMe_Sem_Pedido!$H:$H,DRE!$A64)+SUMIFS(Aut_Ajustes_Manuais!$G:$G,Aut_Ajustes_Manuais!$I:$I,DRE!W$4,Aut_Ajustes_Manuais!$F:$F,"Decoração - Eventos")</f>
        <v/>
      </c>
      <c r="Z64" s="241" t="n"/>
      <c r="AA64" s="81">
        <f>-SUMIFS(T_ORCAMENTOS!$E:$E,T_ORCAMENTOS!$C:$C,"Decoração - Eventos",T_ORCAMENTOS!$H:$H,"7/2026")</f>
        <v/>
      </c>
      <c r="AB64" s="82">
        <f>SUMIFS(Aut_BlueMe_Sem_Pedido!$J:$J,Aut_BlueMe_Sem_Pedido!$Q:$Q,DRE!Z$4,Aut_BlueMe_Sem_Pedido!$H:$H,DRE!$A64)+SUMIFS(Aut_Ajustes_Manuais!$G:$G,Aut_Ajustes_Manuais!$I:$I,DRE!Z$4,Aut_Ajustes_Manuais!$F:$F,"Decoração - Eventos")</f>
        <v/>
      </c>
      <c r="AC64" s="241" t="n"/>
      <c r="AD64" s="81">
        <f>-SUMIFS(T_ORCAMENTOS!$E:$E,T_ORCAMENTOS!$C:$C,"Decoração - Eventos",T_ORCAMENTOS!$H:$H,"8/2026")</f>
        <v/>
      </c>
      <c r="AE64" s="82">
        <f>SUMIFS(Aut_BlueMe_Sem_Pedido!$J:$J,Aut_BlueMe_Sem_Pedido!$Q:$Q,DRE!AC$4,Aut_BlueMe_Sem_Pedido!$H:$H,DRE!$A64)+SUMIFS(Aut_Ajustes_Manuais!$G:$G,Aut_Ajustes_Manuais!$I:$I,DRE!AC$4,Aut_Ajustes_Manuais!$F:$F,"Decoração - Eventos")</f>
        <v/>
      </c>
      <c r="AF64" s="241" t="n"/>
      <c r="AG64" s="81">
        <f>-SUMIFS(T_ORCAMENTOS!$E:$E,T_ORCAMENTOS!$C:$C,"Decoração - Eventos",T_ORCAMENTOS!$H:$H,"9/2026")</f>
        <v/>
      </c>
      <c r="AH64" s="82">
        <f>SUMIFS(Aut_BlueMe_Sem_Pedido!$J:$J,Aut_BlueMe_Sem_Pedido!$Q:$Q,DRE!AF$4,Aut_BlueMe_Sem_Pedido!$H:$H,DRE!$A64)+SUMIFS(Aut_Ajustes_Manuais!$G:$G,Aut_Ajustes_Manuais!$I:$I,DRE!AF$4,Aut_Ajustes_Manuais!$F:$F,"Decoração - Eventos")</f>
        <v/>
      </c>
      <c r="AI64" s="241" t="n"/>
      <c r="AJ64" s="81">
        <f>-SUMIFS(T_ORCAMENTOS!$E:$E,T_ORCAMENTOS!$C:$C,"Decoração - Eventos",T_ORCAMENTOS!$H:$H,"10/2026")</f>
        <v/>
      </c>
      <c r="AK64" s="82">
        <f>SUMIFS(Aut_BlueMe_Sem_Pedido!$J:$J,Aut_BlueMe_Sem_Pedido!$Q:$Q,DRE!AI$4,Aut_BlueMe_Sem_Pedido!$H:$H,DRE!$A64)+SUMIFS(Aut_Ajustes_Manuais!$G:$G,Aut_Ajustes_Manuais!$I:$I,DRE!AI$4,Aut_Ajustes_Manuais!$F:$F,"Decoração - Eventos")</f>
        <v/>
      </c>
      <c r="AL64" s="241" t="n"/>
      <c r="AM64" s="81">
        <f>-SUMIFS(T_ORCAMENTOS!$E:$E,T_ORCAMENTOS!$C:$C,"Decoração - Eventos",T_ORCAMENTOS!$H:$H,"11/2026")</f>
        <v/>
      </c>
      <c r="AN64" s="82">
        <f>SUMIFS(Aut_BlueMe_Sem_Pedido!$J:$J,Aut_BlueMe_Sem_Pedido!$Q:$Q,DRE!AL$4,Aut_BlueMe_Sem_Pedido!$H:$H,DRE!$A64)+SUMIFS(Aut_Ajustes_Manuais!$G:$G,Aut_Ajustes_Manuais!$I:$I,DRE!AL$4,Aut_Ajustes_Manuais!$F:$F,"Decoração - Eventos")</f>
        <v/>
      </c>
      <c r="AO64" s="241" t="n"/>
      <c r="AP64" s="81">
        <f>-SUMIFS(T_ORCAMENTOS!$E:$E,T_ORCAMENTOS!$C:$C,"Decoração - Eventos",T_ORCAMENTOS!$H:$H,"12/2026")</f>
        <v/>
      </c>
      <c r="AQ64" s="82">
        <f>SUMIFS(Aut_BlueMe_Sem_Pedido!$J:$J,Aut_BlueMe_Sem_Pedido!$Q:$Q,DRE!AO$4,Aut_BlueMe_Sem_Pedido!$H:$H,DRE!$A64)+SUMIFS(Aut_Ajustes_Manuais!$G:$G,Aut_Ajustes_Manuais!$I:$I,DRE!AO$4,Aut_Ajustes_Manuais!$F:$F,"Decoração - Eventos")</f>
        <v/>
      </c>
      <c r="AR64" s="241">
        <f>SUMIFS($H64:$AO64,$H$5:$AO$5,"&lt;"&amp;MONTH(TODAY()),$H$6:$AO$6,"REAL 25")</f>
        <v/>
      </c>
      <c r="AS64" s="27">
        <f>SUMIFS($I64:$AP64,$I$5:$AP$5,"&lt;"&amp;MONTH(TODAY()),$I$6:$AP$6,"ORÇADO ")</f>
        <v/>
      </c>
      <c r="AT64" s="82">
        <f>SUMIFS($J64:$AQ64,$J$5:$AQ$5,"&lt;"&amp;MONTH(TODAY()),$J$6:$AQ$6,"REAL 26")</f>
        <v/>
      </c>
      <c r="AU64" s="241">
        <f>SUM(H64,K64,N64,Q64,T64,W64,Z64,AC64,AF64,AI64,AL64,AO64)</f>
        <v/>
      </c>
      <c r="AV64" s="81">
        <f>SUM(I64,L64,O64,R64,U64,X64,AA64,AD64,AG64,AJ64,AM64,AP64)</f>
        <v/>
      </c>
      <c r="AW64" s="82">
        <f>SUM(J64,M64,P64,S64,V64,Y64,AB64,AE64,AH64,AK64,AN64,AQ64)</f>
        <v/>
      </c>
      <c r="AX64" s="241">
        <f>SUM(H64,K64,N64)</f>
        <v/>
      </c>
      <c r="AY64" s="81">
        <f>SUM(I64,L64,O64)</f>
        <v/>
      </c>
      <c r="AZ64" s="82">
        <f>SUM(J64,M64,P64)</f>
        <v/>
      </c>
      <c r="BA64" s="241">
        <f>SUM(Q64,T64,W64)</f>
        <v/>
      </c>
      <c r="BB64" s="81">
        <f>SUM(R64,U64,X64)</f>
        <v/>
      </c>
      <c r="BC64" s="82">
        <f>SUM(S64,V64,Y64)</f>
        <v/>
      </c>
      <c r="BD64" s="241">
        <f>SUM(Z64,AC64,AF64)</f>
        <v/>
      </c>
      <c r="BE64" s="81">
        <f>SUM(AA64,AD64,AG64)</f>
        <v/>
      </c>
      <c r="BF64" s="82">
        <f>SUM(AB64,AE64,AH64)</f>
        <v/>
      </c>
      <c r="BG64" s="241">
        <f>SUM(AI64,AL64,AO64)</f>
        <v/>
      </c>
      <c r="BH64" s="81">
        <f>SUM(AJ64,AM64,AP64)</f>
        <v/>
      </c>
      <c r="BI64" s="82">
        <f>SUM(AK64,AN64,AQ64)</f>
        <v/>
      </c>
    </row>
    <row r="65" hidden="1" outlineLevel="1" ht="18" customHeight="1">
      <c r="A65" s="73" t="inlineStr">
        <is>
          <t>Material de Consumo</t>
        </is>
      </c>
      <c r="C65" s="24" t="n"/>
      <c r="D65" s="69" t="n"/>
      <c r="E65" s="80" t="n"/>
      <c r="F65" s="41" t="n"/>
      <c r="H65" s="252" t="n"/>
      <c r="I65" s="74">
        <f>SUM(I66:I69)</f>
        <v/>
      </c>
      <c r="J65" s="76">
        <f>SUM(J66:J69)+SUMIFS(Aut_Ajustes_Manuais!$G:$G,Aut_Ajustes_Manuais!$I:$I,DRE!H$4,Aut_Ajustes_Manuais!$F:$F,"Material de Consumo")</f>
        <v/>
      </c>
      <c r="K65" s="252" t="n"/>
      <c r="L65" s="74">
        <f>SUM(L66:L69)</f>
        <v/>
      </c>
      <c r="M65" s="76">
        <f>SUM(M66:M69)+SUMIFS(Aut_Ajustes_Manuais!$G:$G,Aut_Ajustes_Manuais!$I:$I,DRE!K$4,Aut_Ajustes_Manuais!$F:$F,"Material de Consumo")</f>
        <v/>
      </c>
      <c r="N65" s="252" t="n"/>
      <c r="O65" s="74">
        <f>SUM(O66:O69)</f>
        <v/>
      </c>
      <c r="P65" s="76">
        <f>SUM(P66:P69)+SUMIFS(Aut_Ajustes_Manuais!$G:$G,Aut_Ajustes_Manuais!$I:$I,DRE!N$4,Aut_Ajustes_Manuais!$F:$F,"Material de Consumo")</f>
        <v/>
      </c>
      <c r="Q65" s="252" t="n"/>
      <c r="R65" s="74">
        <f>SUM(R66:R69)</f>
        <v/>
      </c>
      <c r="S65" s="76">
        <f>SUM(S66:S69)+SUMIFS(Aut_Ajustes_Manuais!$G:$G,Aut_Ajustes_Manuais!$I:$I,DRE!Q$4,Aut_Ajustes_Manuais!$F:$F,"Material de Consumo")</f>
        <v/>
      </c>
      <c r="T65" s="252" t="n"/>
      <c r="U65" s="74">
        <f>SUM(U66:U69)</f>
        <v/>
      </c>
      <c r="V65" s="76">
        <f>SUM(V66:V69)+SUMIFS(Aut_Ajustes_Manuais!$G:$G,Aut_Ajustes_Manuais!$I:$I,DRE!T$4,Aut_Ajustes_Manuais!$F:$F,"Material de Consumo")</f>
        <v/>
      </c>
      <c r="W65" s="252" t="n"/>
      <c r="X65" s="74">
        <f>SUM(X66:X69)</f>
        <v/>
      </c>
      <c r="Y65" s="76">
        <f>SUM(Y66:Y69)+SUMIFS(Aut_Ajustes_Manuais!$G:$G,Aut_Ajustes_Manuais!$I:$I,DRE!W$4,Aut_Ajustes_Manuais!$F:$F,"Material de Consumo")</f>
        <v/>
      </c>
      <c r="Z65" s="252" t="n"/>
      <c r="AA65" s="74">
        <f>SUM(AA66:AA69)</f>
        <v/>
      </c>
      <c r="AB65" s="76">
        <f>SUM(AB66:AB69)+SUMIFS(Aut_Ajustes_Manuais!$G:$G,Aut_Ajustes_Manuais!$I:$I,DRE!Z$4,Aut_Ajustes_Manuais!$F:$F,"Material de Consumo")</f>
        <v/>
      </c>
      <c r="AC65" s="252" t="n"/>
      <c r="AD65" s="74">
        <f>SUM(AD66:AD69)</f>
        <v/>
      </c>
      <c r="AE65" s="76">
        <f>SUM(AE66:AE69)+SUMIFS(Aut_Ajustes_Manuais!$G:$G,Aut_Ajustes_Manuais!$I:$I,DRE!AC$4,Aut_Ajustes_Manuais!$F:$F,"Material de Consumo")</f>
        <v/>
      </c>
      <c r="AF65" s="252" t="n"/>
      <c r="AG65" s="74">
        <f>SUM(AG66:AG69)</f>
        <v/>
      </c>
      <c r="AH65" s="76">
        <f>SUM(AH66:AH69)+SUMIFS(Aut_Ajustes_Manuais!$G:$G,Aut_Ajustes_Manuais!$I:$I,DRE!AF$4,Aut_Ajustes_Manuais!$F:$F,"Material de Consumo")</f>
        <v/>
      </c>
      <c r="AI65" s="252" t="n"/>
      <c r="AJ65" s="74">
        <f>SUM(AJ66:AJ69)</f>
        <v/>
      </c>
      <c r="AK65" s="76">
        <f>SUM(AK66:AK69)+SUMIFS(Aut_Ajustes_Manuais!$G:$G,Aut_Ajustes_Manuais!$I:$I,DRE!AI$4,Aut_Ajustes_Manuais!$F:$F,"Material de Consumo")</f>
        <v/>
      </c>
      <c r="AL65" s="252" t="n"/>
      <c r="AM65" s="74">
        <f>SUM(AM66:AM69)</f>
        <v/>
      </c>
      <c r="AN65" s="76">
        <f>SUM(AN66:AN69)+SUMIFS(Aut_Ajustes_Manuais!$G:$G,Aut_Ajustes_Manuais!$I:$I,DRE!AL$4,Aut_Ajustes_Manuais!$F:$F,"Material de Consumo")</f>
        <v/>
      </c>
      <c r="AO65" s="252" t="n"/>
      <c r="AP65" s="74">
        <f>SUM(AP66:AP69)</f>
        <v/>
      </c>
      <c r="AQ65" s="76">
        <f>SUM(AQ66:AQ69)+SUMIFS(Aut_Ajustes_Manuais!$G:$G,Aut_Ajustes_Manuais!$I:$I,DRE!AO$4,Aut_Ajustes_Manuais!$F:$F,"Material de Consumo")</f>
        <v/>
      </c>
      <c r="AR65" s="74">
        <f>SUMIFS($H65:$AO65,$H$5:$AO$5,"&lt;"&amp;MONTH(TODAY()),$H$6:$AO$6,"REAL 25")</f>
        <v/>
      </c>
      <c r="AS65" s="74">
        <f>SUMIFS($I65:$AP65,$I$5:$AP$5,"&lt;"&amp;MONTH(TODAY()),$I$6:$AP$6,"ORÇADO ")</f>
        <v/>
      </c>
      <c r="AT65" s="76">
        <f>SUMIFS($J65:$AQ65,$J$5:$AQ$5,"&lt;"&amp;MONTH(TODAY()),$J$6:$AQ$6,"REAL 26")</f>
        <v/>
      </c>
      <c r="AU65" s="252">
        <f>SUM(AU66:AU69)</f>
        <v/>
      </c>
      <c r="AV65" s="74">
        <f>SUM(AV66:AV69)</f>
        <v/>
      </c>
      <c r="AW65" s="76">
        <f>SUM(AW66:AW69)</f>
        <v/>
      </c>
      <c r="AX65" s="252">
        <f>SUM(AX66:AX69)</f>
        <v/>
      </c>
      <c r="AY65" s="74">
        <f>SUM(AY66:AY69)</f>
        <v/>
      </c>
      <c r="AZ65" s="76">
        <f>SUM(AZ66:AZ69)</f>
        <v/>
      </c>
      <c r="BA65" s="252">
        <f>SUM(BA66:BA69)</f>
        <v/>
      </c>
      <c r="BB65" s="74">
        <f>SUM(BB66:BB69)</f>
        <v/>
      </c>
      <c r="BC65" s="76">
        <f>SUM(BC66:BC69)</f>
        <v/>
      </c>
      <c r="BD65" s="252">
        <f>SUM(BD66:BD69)</f>
        <v/>
      </c>
      <c r="BE65" s="74">
        <f>SUM(BE66:BE69)</f>
        <v/>
      </c>
      <c r="BF65" s="76">
        <f>SUM(BF66:BF69)</f>
        <v/>
      </c>
      <c r="BG65" s="252">
        <f>SUM(BG66:BG69)</f>
        <v/>
      </c>
      <c r="BH65" s="74">
        <f>SUM(BH66:BH69)</f>
        <v/>
      </c>
      <c r="BI65" s="76">
        <f>SUM(BI66:BI69)</f>
        <v/>
      </c>
    </row>
    <row r="66" hidden="1" outlineLevel="2" customFormat="1" s="498">
      <c r="A66" s="22" t="inlineStr">
        <is>
          <t>Material Descartável - Eventos</t>
        </is>
      </c>
      <c r="B66" s="488" t="n"/>
      <c r="C66" s="24" t="n"/>
      <c r="D66" s="69" t="inlineStr">
        <is>
          <t>% sobre o Faturamento de Eventos</t>
        </is>
      </c>
      <c r="E66" s="80" t="n"/>
      <c r="F66" s="41" t="n"/>
      <c r="G66" s="23" t="n"/>
      <c r="H66" s="241" t="n"/>
      <c r="I66" s="81">
        <f>-SUMIFS(T_ORCAMENTOS!$E:$E,T_ORCAMENTOS!$C:$C,"Material Descartável - Eventos",T_ORCAMENTOS!$H:$H,"1/2026")</f>
        <v/>
      </c>
      <c r="J66" s="82">
        <f>SUMIFS(Aut_BlueMe_Sem_Pedido!$J:$J,Aut_BlueMe_Sem_Pedido!$Q:$Q,DRE!H$4,Aut_BlueMe_Sem_Pedido!$H:$H,DRE!$A66)+SUMIFS(Aut_Ajustes_Manuais!$G:$G,Aut_Ajustes_Manuais!$I:$I,DRE!H$4,Aut_Ajustes_Manuais!$F:$F,"Material Descartável - Eventos")</f>
        <v/>
      </c>
      <c r="K66" s="254" t="n"/>
      <c r="L66" s="81">
        <f>-SUMIFS(T_ORCAMENTOS!$E:$E,T_ORCAMENTOS!$C:$C,"Material Descartável - Eventos",T_ORCAMENTOS!$H:$H,"2/2026")</f>
        <v/>
      </c>
      <c r="M66" s="82">
        <f>SUMIFS(Aut_BlueMe_Sem_Pedido!$J:$J,Aut_BlueMe_Sem_Pedido!$Q:$Q,DRE!K$4,Aut_BlueMe_Sem_Pedido!$H:$H,DRE!$A66)+SUMIFS(Aut_Ajustes_Manuais!$G:$G,Aut_Ajustes_Manuais!$I:$I,DRE!K$4,Aut_Ajustes_Manuais!$F:$F,"Material Descartável - Eventos")</f>
        <v/>
      </c>
      <c r="N66" s="254" t="n"/>
      <c r="O66" s="81">
        <f>-SUMIFS(T_ORCAMENTOS!$E:$E,T_ORCAMENTOS!$C:$C,"Material Descartável - Eventos",T_ORCAMENTOS!$H:$H,"3/2026")</f>
        <v/>
      </c>
      <c r="P66" s="82">
        <f>SUMIFS(Aut_BlueMe_Sem_Pedido!$J:$J,Aut_BlueMe_Sem_Pedido!$Q:$Q,DRE!N$4,Aut_BlueMe_Sem_Pedido!$H:$H,DRE!$A66)+SUMIFS(Aut_Ajustes_Manuais!$G:$G,Aut_Ajustes_Manuais!$I:$I,DRE!N$4,Aut_Ajustes_Manuais!$F:$F,"Material Descartável - Eventos")</f>
        <v/>
      </c>
      <c r="Q66" s="241" t="n"/>
      <c r="R66" s="81">
        <f>-SUMIFS(T_ORCAMENTOS!$E:$E,T_ORCAMENTOS!$C:$C,"Material Descartável - Eventos",T_ORCAMENTOS!$H:$H,"4/2026")</f>
        <v/>
      </c>
      <c r="S66" s="82">
        <f>SUMIFS(Aut_BlueMe_Sem_Pedido!$J:$J,Aut_BlueMe_Sem_Pedido!$Q:$Q,DRE!Q$4,Aut_BlueMe_Sem_Pedido!$H:$H,DRE!$A66)+SUMIFS(Aut_Ajustes_Manuais!$G:$G,Aut_Ajustes_Manuais!$I:$I,DRE!Q$4,Aut_Ajustes_Manuais!$F:$F,"Material Descartável - Eventos")</f>
        <v/>
      </c>
      <c r="T66" s="241" t="n"/>
      <c r="U66" s="81">
        <f>-SUMIFS(T_ORCAMENTOS!$E:$E,T_ORCAMENTOS!$C:$C,"Material Descartável - Eventos",T_ORCAMENTOS!$H:$H,"5/2026")</f>
        <v/>
      </c>
      <c r="V66" s="82">
        <f>SUMIFS(Aut_BlueMe_Sem_Pedido!$J:$J,Aut_BlueMe_Sem_Pedido!$Q:$Q,DRE!T$4,Aut_BlueMe_Sem_Pedido!$H:$H,DRE!$A66)+SUMIFS(Aut_Ajustes_Manuais!$G:$G,Aut_Ajustes_Manuais!$I:$I,DRE!T$4,Aut_Ajustes_Manuais!$F:$F,"Material Descartável - Eventos")</f>
        <v/>
      </c>
      <c r="W66" s="241" t="n"/>
      <c r="X66" s="81">
        <f>-SUMIFS(T_ORCAMENTOS!$E:$E,T_ORCAMENTOS!$C:$C,"Material Descartável - Eventos",T_ORCAMENTOS!$H:$H,"6/2026")</f>
        <v/>
      </c>
      <c r="Y66" s="82">
        <f>SUMIFS(Aut_BlueMe_Sem_Pedido!$J:$J,Aut_BlueMe_Sem_Pedido!$Q:$Q,DRE!W$4,Aut_BlueMe_Sem_Pedido!$H:$H,DRE!$A66)+SUMIFS(Aut_Ajustes_Manuais!$G:$G,Aut_Ajustes_Manuais!$I:$I,DRE!W$4,Aut_Ajustes_Manuais!$F:$F,"Material Descartável - Eventos")</f>
        <v/>
      </c>
      <c r="Z66" s="241" t="n"/>
      <c r="AA66" s="81">
        <f>-SUMIFS(T_ORCAMENTOS!$E:$E,T_ORCAMENTOS!$C:$C,"Material Descartável - Eventos",T_ORCAMENTOS!$H:$H,"7/2026")</f>
        <v/>
      </c>
      <c r="AB66" s="82">
        <f>SUMIFS(Aut_BlueMe_Sem_Pedido!$J:$J,Aut_BlueMe_Sem_Pedido!$Q:$Q,DRE!Z$4,Aut_BlueMe_Sem_Pedido!$H:$H,DRE!$A66)+SUMIFS(Aut_Ajustes_Manuais!$G:$G,Aut_Ajustes_Manuais!$I:$I,DRE!Z$4,Aut_Ajustes_Manuais!$F:$F,"Material Descartável - Eventos")</f>
        <v/>
      </c>
      <c r="AC66" s="241" t="n"/>
      <c r="AD66" s="81">
        <f>-SUMIFS(T_ORCAMENTOS!$E:$E,T_ORCAMENTOS!$C:$C,"Material Descartável - Eventos",T_ORCAMENTOS!$H:$H,"8/2026")</f>
        <v/>
      </c>
      <c r="AE66" s="82">
        <f>SUMIFS(Aut_BlueMe_Sem_Pedido!$J:$J,Aut_BlueMe_Sem_Pedido!$Q:$Q,DRE!AC$4,Aut_BlueMe_Sem_Pedido!$H:$H,DRE!$A66)+SUMIFS(Aut_Ajustes_Manuais!$G:$G,Aut_Ajustes_Manuais!$I:$I,DRE!AC$4,Aut_Ajustes_Manuais!$F:$F,"Material Descartável - Eventos")</f>
        <v/>
      </c>
      <c r="AF66" s="241" t="n"/>
      <c r="AG66" s="81">
        <f>-SUMIFS(T_ORCAMENTOS!$E:$E,T_ORCAMENTOS!$C:$C,"Material Descartável - Eventos",T_ORCAMENTOS!$H:$H,"9/2026")</f>
        <v/>
      </c>
      <c r="AH66" s="82">
        <f>SUMIFS(Aut_BlueMe_Sem_Pedido!$J:$J,Aut_BlueMe_Sem_Pedido!$Q:$Q,DRE!AF$4,Aut_BlueMe_Sem_Pedido!$H:$H,DRE!$A66)+SUMIFS(Aut_Ajustes_Manuais!$G:$G,Aut_Ajustes_Manuais!$I:$I,DRE!AF$4,Aut_Ajustes_Manuais!$F:$F,"Material Descartável - Eventos")</f>
        <v/>
      </c>
      <c r="AI66" s="241" t="n"/>
      <c r="AJ66" s="81">
        <f>-SUMIFS(T_ORCAMENTOS!$E:$E,T_ORCAMENTOS!$C:$C,"Material Descartável - Eventos",T_ORCAMENTOS!$H:$H,"10/2026")</f>
        <v/>
      </c>
      <c r="AK66" s="82">
        <f>SUMIFS(Aut_BlueMe_Sem_Pedido!$J:$J,Aut_BlueMe_Sem_Pedido!$Q:$Q,DRE!AI$4,Aut_BlueMe_Sem_Pedido!$H:$H,DRE!$A66)+SUMIFS(Aut_Ajustes_Manuais!$G:$G,Aut_Ajustes_Manuais!$I:$I,DRE!AI$4,Aut_Ajustes_Manuais!$F:$F,"Material Descartável - Eventos")</f>
        <v/>
      </c>
      <c r="AL66" s="241" t="n"/>
      <c r="AM66" s="81">
        <f>-SUMIFS(T_ORCAMENTOS!$E:$E,T_ORCAMENTOS!$C:$C,"Material Descartável - Eventos",T_ORCAMENTOS!$H:$H,"11/2026")</f>
        <v/>
      </c>
      <c r="AN66" s="82">
        <f>SUMIFS(Aut_BlueMe_Sem_Pedido!$J:$J,Aut_BlueMe_Sem_Pedido!$Q:$Q,DRE!AL$4,Aut_BlueMe_Sem_Pedido!$H:$H,DRE!$A66)+SUMIFS(Aut_Ajustes_Manuais!$G:$G,Aut_Ajustes_Manuais!$I:$I,DRE!AL$4,Aut_Ajustes_Manuais!$F:$F,"Material Descartável - Eventos")</f>
        <v/>
      </c>
      <c r="AO66" s="241" t="n"/>
      <c r="AP66" s="81">
        <f>-SUMIFS(T_ORCAMENTOS!$E:$E,T_ORCAMENTOS!$C:$C,"Material Descartável - Eventos",T_ORCAMENTOS!$H:$H,"12/2026")</f>
        <v/>
      </c>
      <c r="AQ66" s="82">
        <f>SUMIFS(Aut_BlueMe_Sem_Pedido!$J:$J,Aut_BlueMe_Sem_Pedido!$Q:$Q,DRE!AO$4,Aut_BlueMe_Sem_Pedido!$H:$H,DRE!$A66)+SUMIFS(Aut_Ajustes_Manuais!$G:$G,Aut_Ajustes_Manuais!$I:$I,DRE!AO$4,Aut_Ajustes_Manuais!$F:$F,"Material Descartável - Eventos")</f>
        <v/>
      </c>
      <c r="AR66" s="241">
        <f>SUMIFS($H66:$AO66,$H$5:$AO$5,"&lt;"&amp;MONTH(TODAY()),$H$6:$AO$6,"REAL 25")</f>
        <v/>
      </c>
      <c r="AS66" s="27">
        <f>SUMIFS($I66:$AP66,$I$5:$AP$5,"&lt;"&amp;MONTH(TODAY()),$I$6:$AP$6,"ORÇADO ")</f>
        <v/>
      </c>
      <c r="AT66" s="82">
        <f>SUMIFS($J66:$AQ66,$J$5:$AQ$5,"&lt;"&amp;MONTH(TODAY()),$J$6:$AQ$6,"REAL 26")</f>
        <v/>
      </c>
      <c r="AU66" s="241">
        <f>SUM(H66,K66,N66,Q66,T66,W66,Z66,AC66,AF66,AI66,AL66,AO66)</f>
        <v/>
      </c>
      <c r="AV66" s="81">
        <f>SUM(I66,L66,O66,R66,U66,X66,AA66,AD66,AG66,AJ66,AM66,AP66)</f>
        <v/>
      </c>
      <c r="AW66" s="82">
        <f>SUM(J66,M66,P66,S66,V66,Y66,AB66,AE66,AH66,AK66,AN66,AQ66)</f>
        <v/>
      </c>
      <c r="AX66" s="241">
        <f>SUM(H66,K66,N66)</f>
        <v/>
      </c>
      <c r="AY66" s="81">
        <f>SUM(I66,L66,O66)</f>
        <v/>
      </c>
      <c r="AZ66" s="82">
        <f>SUM(J66,M66,P66)</f>
        <v/>
      </c>
      <c r="BA66" s="241">
        <f>SUM(Q66,T66,W66)</f>
        <v/>
      </c>
      <c r="BB66" s="81">
        <f>SUM(R66,U66,X66)</f>
        <v/>
      </c>
      <c r="BC66" s="82">
        <f>SUM(S66,V66,Y66)</f>
        <v/>
      </c>
      <c r="BD66" s="241">
        <f>SUM(Z66,AC66,AF66)</f>
        <v/>
      </c>
      <c r="BE66" s="81">
        <f>SUM(AA66,AD66,AG66)</f>
        <v/>
      </c>
      <c r="BF66" s="82">
        <f>SUM(AB66,AE66,AH66)</f>
        <v/>
      </c>
      <c r="BG66" s="241">
        <f>SUM(AI66,AL66,AO66)</f>
        <v/>
      </c>
      <c r="BH66" s="81">
        <f>SUM(AJ66,AM66,AP66)</f>
        <v/>
      </c>
      <c r="BI66" s="82">
        <f>SUM(AK66,AN66,AQ66)</f>
        <v/>
      </c>
    </row>
    <row r="67" hidden="1" outlineLevel="2" customFormat="1" s="498">
      <c r="A67" s="22" t="inlineStr">
        <is>
          <t>Brindes e Confraternizações - Eventos</t>
        </is>
      </c>
      <c r="B67" s="488" t="n"/>
      <c r="C67" s="24" t="n"/>
      <c r="D67" s="69" t="inlineStr">
        <is>
          <t>% sobre o Faturamento de Eventos</t>
        </is>
      </c>
      <c r="E67" s="80" t="n"/>
      <c r="F67" s="41" t="n"/>
      <c r="G67" s="23" t="n"/>
      <c r="H67" s="241" t="n"/>
      <c r="I67" s="81">
        <f>-SUMIFS(T_ORCAMENTOS!$E:$E,T_ORCAMENTOS!$C:$C,"Brindes e Confraternizações - Eventos",T_ORCAMENTOS!$H:$H,"1/2026")</f>
        <v/>
      </c>
      <c r="J67" s="82">
        <f>SUMIFS(Aut_BlueMe_Sem_Pedido!$J:$J,Aut_BlueMe_Sem_Pedido!$Q:$Q,DRE!H$4,Aut_BlueMe_Sem_Pedido!$H:$H,DRE!$A67)+SUMIFS(Aut_Ajustes_Manuais!$G:$G,Aut_Ajustes_Manuais!$I:$I,DRE!H$4,Aut_Ajustes_Manuais!$F:$F,"Brindes e Confraternizações - Eventos")</f>
        <v/>
      </c>
      <c r="K67" s="254" t="n"/>
      <c r="L67" s="81">
        <f>-SUMIFS(T_ORCAMENTOS!$E:$E,T_ORCAMENTOS!$C:$C,"Brindes e Confraternizações - Eventos",T_ORCAMENTOS!$H:$H,"2/2026")</f>
        <v/>
      </c>
      <c r="M67" s="82">
        <f>SUMIFS(Aut_BlueMe_Sem_Pedido!$J:$J,Aut_BlueMe_Sem_Pedido!$Q:$Q,DRE!K$4,Aut_BlueMe_Sem_Pedido!$H:$H,DRE!$A67)+SUMIFS(Aut_Ajustes_Manuais!$G:$G,Aut_Ajustes_Manuais!$I:$I,DRE!K$4,Aut_Ajustes_Manuais!$F:$F,"Brindes e Confraternizações - Eventos")</f>
        <v/>
      </c>
      <c r="N67" s="254" t="n"/>
      <c r="O67" s="81">
        <f>-SUMIFS(T_ORCAMENTOS!$E:$E,T_ORCAMENTOS!$C:$C,"Brindes e Confraternizações - Eventos",T_ORCAMENTOS!$H:$H,"3/2026")</f>
        <v/>
      </c>
      <c r="P67" s="82">
        <f>SUMIFS(Aut_BlueMe_Sem_Pedido!$J:$J,Aut_BlueMe_Sem_Pedido!$Q:$Q,DRE!N$4,Aut_BlueMe_Sem_Pedido!$H:$H,DRE!$A67)+SUMIFS(Aut_Ajustes_Manuais!$G:$G,Aut_Ajustes_Manuais!$I:$I,DRE!N$4,Aut_Ajustes_Manuais!$F:$F,"Brindes e Confraternizações - Eventos")</f>
        <v/>
      </c>
      <c r="Q67" s="241" t="n"/>
      <c r="R67" s="81">
        <f>-SUMIFS(T_ORCAMENTOS!$E:$E,T_ORCAMENTOS!$C:$C,"Brindes e Confraternizações - Eventos",T_ORCAMENTOS!$H:$H,"4/2026")</f>
        <v/>
      </c>
      <c r="S67" s="82">
        <f>SUMIFS(Aut_BlueMe_Sem_Pedido!$J:$J,Aut_BlueMe_Sem_Pedido!$Q:$Q,DRE!Q$4,Aut_BlueMe_Sem_Pedido!$H:$H,DRE!$A67)+SUMIFS(Aut_Ajustes_Manuais!$G:$G,Aut_Ajustes_Manuais!$I:$I,DRE!Q$4,Aut_Ajustes_Manuais!$F:$F,"Brindes e Confraternizações - Eventos")</f>
        <v/>
      </c>
      <c r="T67" s="241" t="n"/>
      <c r="U67" s="81">
        <f>-SUMIFS(T_ORCAMENTOS!$E:$E,T_ORCAMENTOS!$C:$C,"Brindes e Confraternizações - Eventos",T_ORCAMENTOS!$H:$H,"5/2026")</f>
        <v/>
      </c>
      <c r="V67" s="82">
        <f>SUMIFS(Aut_BlueMe_Sem_Pedido!$J:$J,Aut_BlueMe_Sem_Pedido!$Q:$Q,DRE!T$4,Aut_BlueMe_Sem_Pedido!$H:$H,DRE!$A67)+SUMIFS(Aut_Ajustes_Manuais!$G:$G,Aut_Ajustes_Manuais!$I:$I,DRE!T$4,Aut_Ajustes_Manuais!$F:$F,"Brindes e Confraternizações - Eventos")</f>
        <v/>
      </c>
      <c r="W67" s="241" t="n"/>
      <c r="X67" s="81">
        <f>-SUMIFS(T_ORCAMENTOS!$E:$E,T_ORCAMENTOS!$C:$C,"Brindes e Confraternizações - Eventos",T_ORCAMENTOS!$H:$H,"6/2026")</f>
        <v/>
      </c>
      <c r="Y67" s="82">
        <f>SUMIFS(Aut_BlueMe_Sem_Pedido!$J:$J,Aut_BlueMe_Sem_Pedido!$Q:$Q,DRE!W$4,Aut_BlueMe_Sem_Pedido!$H:$H,DRE!$A67)+SUMIFS(Aut_Ajustes_Manuais!$G:$G,Aut_Ajustes_Manuais!$I:$I,DRE!W$4,Aut_Ajustes_Manuais!$F:$F,"Brindes e Confraternizações - Eventos")</f>
        <v/>
      </c>
      <c r="Z67" s="241" t="n"/>
      <c r="AA67" s="81">
        <f>-SUMIFS(T_ORCAMENTOS!$E:$E,T_ORCAMENTOS!$C:$C,"Brindes e Confraternizações - Eventos",T_ORCAMENTOS!$H:$H,"7/2026")</f>
        <v/>
      </c>
      <c r="AB67" s="82">
        <f>SUMIFS(Aut_BlueMe_Sem_Pedido!$J:$J,Aut_BlueMe_Sem_Pedido!$Q:$Q,DRE!Z$4,Aut_BlueMe_Sem_Pedido!$H:$H,DRE!$A67)+SUMIFS(Aut_Ajustes_Manuais!$G:$G,Aut_Ajustes_Manuais!$I:$I,DRE!Z$4,Aut_Ajustes_Manuais!$F:$F,"Brindes e Confraternizações - Eventos")</f>
        <v/>
      </c>
      <c r="AC67" s="241" t="n"/>
      <c r="AD67" s="81">
        <f>-SUMIFS(T_ORCAMENTOS!$E:$E,T_ORCAMENTOS!$C:$C,"Brindes e Confraternizações - Eventos",T_ORCAMENTOS!$H:$H,"8/2026")</f>
        <v/>
      </c>
      <c r="AE67" s="82">
        <f>SUMIFS(Aut_BlueMe_Sem_Pedido!$J:$J,Aut_BlueMe_Sem_Pedido!$Q:$Q,DRE!AC$4,Aut_BlueMe_Sem_Pedido!$H:$H,DRE!$A67)+SUMIFS(Aut_Ajustes_Manuais!$G:$G,Aut_Ajustes_Manuais!$I:$I,DRE!AC$4,Aut_Ajustes_Manuais!$F:$F,"Brindes e Confraternizações - Eventos")</f>
        <v/>
      </c>
      <c r="AF67" s="241" t="n"/>
      <c r="AG67" s="81">
        <f>-SUMIFS(T_ORCAMENTOS!$E:$E,T_ORCAMENTOS!$C:$C,"Brindes e Confraternizações - Eventos",T_ORCAMENTOS!$H:$H,"9/2026")</f>
        <v/>
      </c>
      <c r="AH67" s="82">
        <f>SUMIFS(Aut_BlueMe_Sem_Pedido!$J:$J,Aut_BlueMe_Sem_Pedido!$Q:$Q,DRE!AF$4,Aut_BlueMe_Sem_Pedido!$H:$H,DRE!$A67)+SUMIFS(Aut_Ajustes_Manuais!$G:$G,Aut_Ajustes_Manuais!$I:$I,DRE!AF$4,Aut_Ajustes_Manuais!$F:$F,"Brindes e Confraternizações - Eventos")</f>
        <v/>
      </c>
      <c r="AI67" s="241" t="n"/>
      <c r="AJ67" s="81">
        <f>-SUMIFS(T_ORCAMENTOS!$E:$E,T_ORCAMENTOS!$C:$C,"Brindes e Confraternizações - Eventos",T_ORCAMENTOS!$H:$H,"10/2026")</f>
        <v/>
      </c>
      <c r="AK67" s="82">
        <f>SUMIFS(Aut_BlueMe_Sem_Pedido!$J:$J,Aut_BlueMe_Sem_Pedido!$Q:$Q,DRE!AI$4,Aut_BlueMe_Sem_Pedido!$H:$H,DRE!$A67)+SUMIFS(Aut_Ajustes_Manuais!$G:$G,Aut_Ajustes_Manuais!$I:$I,DRE!AI$4,Aut_Ajustes_Manuais!$F:$F,"Brindes e Confraternizações - Eventos")</f>
        <v/>
      </c>
      <c r="AL67" s="241" t="n"/>
      <c r="AM67" s="81">
        <f>-SUMIFS(T_ORCAMENTOS!$E:$E,T_ORCAMENTOS!$C:$C,"Brindes e Confraternizações - Eventos",T_ORCAMENTOS!$H:$H,"11/2026")</f>
        <v/>
      </c>
      <c r="AN67" s="82">
        <f>SUMIFS(Aut_BlueMe_Sem_Pedido!$J:$J,Aut_BlueMe_Sem_Pedido!$Q:$Q,DRE!AL$4,Aut_BlueMe_Sem_Pedido!$H:$H,DRE!$A67)+SUMIFS(Aut_Ajustes_Manuais!$G:$G,Aut_Ajustes_Manuais!$I:$I,DRE!AL$4,Aut_Ajustes_Manuais!$F:$F,"Brindes e Confraternizações - Eventos")</f>
        <v/>
      </c>
      <c r="AO67" s="241" t="n"/>
      <c r="AP67" s="81">
        <f>-SUMIFS(T_ORCAMENTOS!$E:$E,T_ORCAMENTOS!$C:$C,"Brindes e Confraternizações - Eventos",T_ORCAMENTOS!$H:$H,"12/2026")</f>
        <v/>
      </c>
      <c r="AQ67" s="82">
        <f>SUMIFS(Aut_BlueMe_Sem_Pedido!$J:$J,Aut_BlueMe_Sem_Pedido!$Q:$Q,DRE!AO$4,Aut_BlueMe_Sem_Pedido!$H:$H,DRE!$A67)+SUMIFS(Aut_Ajustes_Manuais!$G:$G,Aut_Ajustes_Manuais!$I:$I,DRE!AO$4,Aut_Ajustes_Manuais!$F:$F,"Brindes e Confraternizações - Eventos")</f>
        <v/>
      </c>
      <c r="AR67" s="241">
        <f>SUMIFS($H67:$AO67,$H$5:$AO$5,"&lt;"&amp;MONTH(TODAY()),$H$6:$AO$6,"REAL 25")</f>
        <v/>
      </c>
      <c r="AS67" s="27">
        <f>SUMIFS($I67:$AP67,$I$5:$AP$5,"&lt;"&amp;MONTH(TODAY()),$I$6:$AP$6,"ORÇADO ")</f>
        <v/>
      </c>
      <c r="AT67" s="82">
        <f>SUMIFS($J67:$AQ67,$J$5:$AQ$5,"&lt;"&amp;MONTH(TODAY()),$J$6:$AQ$6,"REAL 26")</f>
        <v/>
      </c>
      <c r="AU67" s="241">
        <f>SUM(H67,K67,N67,Q67,T67,W67,Z67,AC67,AF67,AI67,AL67,AO67)</f>
        <v/>
      </c>
      <c r="AV67" s="81">
        <f>SUM(I67,L67,O67,R67,U67,X67,AA67,AD67,AG67,AJ67,AM67,AP67)</f>
        <v/>
      </c>
      <c r="AW67" s="82">
        <f>SUM(J67,M67,P67,S67,V67,Y67,AB67,AE67,AH67,AK67,AN67,AQ67)</f>
        <v/>
      </c>
      <c r="AX67" s="241">
        <f>SUM(H67,K67,N67)</f>
        <v/>
      </c>
      <c r="AY67" s="81">
        <f>SUM(I67,L67,O67)</f>
        <v/>
      </c>
      <c r="AZ67" s="82">
        <f>SUM(J67,M67,P67)</f>
        <v/>
      </c>
      <c r="BA67" s="241">
        <f>SUM(Q67,T67,W67)</f>
        <v/>
      </c>
      <c r="BB67" s="81">
        <f>SUM(R67,U67,X67)</f>
        <v/>
      </c>
      <c r="BC67" s="82">
        <f>SUM(S67,V67,Y67)</f>
        <v/>
      </c>
      <c r="BD67" s="241">
        <f>SUM(Z67,AC67,AF67)</f>
        <v/>
      </c>
      <c r="BE67" s="81">
        <f>SUM(AA67,AD67,AG67)</f>
        <v/>
      </c>
      <c r="BF67" s="82">
        <f>SUM(AB67,AE67,AH67)</f>
        <v/>
      </c>
      <c r="BG67" s="241">
        <f>SUM(AI67,AL67,AO67)</f>
        <v/>
      </c>
      <c r="BH67" s="81">
        <f>SUM(AJ67,AM67,AP67)</f>
        <v/>
      </c>
      <c r="BI67" s="82">
        <f>SUM(AK67,AN67,AQ67)</f>
        <v/>
      </c>
    </row>
    <row r="68" hidden="1" outlineLevel="2" customFormat="1" s="498">
      <c r="A68" s="22" t="inlineStr">
        <is>
          <t>Material de Escritório - Eventos</t>
        </is>
      </c>
      <c r="B68" s="488" t="n"/>
      <c r="C68" s="24" t="n"/>
      <c r="D68" s="69" t="inlineStr">
        <is>
          <t>% sobre o Faturamento de Eventos</t>
        </is>
      </c>
      <c r="E68" s="80" t="n"/>
      <c r="F68" s="41" t="n"/>
      <c r="G68" s="23" t="n"/>
      <c r="H68" s="241" t="n"/>
      <c r="I68" s="81">
        <f>-SUMIFS(T_ORCAMENTOS!$E:$E,T_ORCAMENTOS!$C:$C,"Material de Escritório - Eventos",T_ORCAMENTOS!$H:$H,"1/2026")</f>
        <v/>
      </c>
      <c r="J68" s="82">
        <f>SUMIFS(Aut_BlueMe_Sem_Pedido!$J:$J,Aut_BlueMe_Sem_Pedido!$Q:$Q,DRE!H$4,Aut_BlueMe_Sem_Pedido!$H:$H,DRE!$A68)+SUMIFS(Aut_Ajustes_Manuais!$G:$G,Aut_Ajustes_Manuais!$I:$I,DRE!H$4,Aut_Ajustes_Manuais!$F:$F,"Material de Escritório - Eventos")</f>
        <v/>
      </c>
      <c r="K68" s="254" t="n"/>
      <c r="L68" s="81">
        <f>-SUMIFS(T_ORCAMENTOS!$E:$E,T_ORCAMENTOS!$C:$C,"Material de Escritório - Eventos",T_ORCAMENTOS!$H:$H,"2/2026")</f>
        <v/>
      </c>
      <c r="M68" s="82">
        <f>SUMIFS(Aut_BlueMe_Sem_Pedido!$J:$J,Aut_BlueMe_Sem_Pedido!$Q:$Q,DRE!K$4,Aut_BlueMe_Sem_Pedido!$H:$H,DRE!$A68)+SUMIFS(Aut_Ajustes_Manuais!$G:$G,Aut_Ajustes_Manuais!$I:$I,DRE!K$4,Aut_Ajustes_Manuais!$F:$F,"Material de Escritório - Eventos")</f>
        <v/>
      </c>
      <c r="N68" s="254" t="n"/>
      <c r="O68" s="81">
        <f>-SUMIFS(T_ORCAMENTOS!$E:$E,T_ORCAMENTOS!$C:$C,"Material de Escritório - Eventos",T_ORCAMENTOS!$H:$H,"3/2026")</f>
        <v/>
      </c>
      <c r="P68" s="82">
        <f>SUMIFS(Aut_BlueMe_Sem_Pedido!$J:$J,Aut_BlueMe_Sem_Pedido!$Q:$Q,DRE!N$4,Aut_BlueMe_Sem_Pedido!$H:$H,DRE!$A68)+SUMIFS(Aut_Ajustes_Manuais!$G:$G,Aut_Ajustes_Manuais!$I:$I,DRE!N$4,Aut_Ajustes_Manuais!$F:$F,"Material de Escritório - Eventos")</f>
        <v/>
      </c>
      <c r="Q68" s="241" t="n"/>
      <c r="R68" s="81">
        <f>-SUMIFS(T_ORCAMENTOS!$E:$E,T_ORCAMENTOS!$C:$C,"Material de Escritório - Eventos",T_ORCAMENTOS!$H:$H,"4/2026")</f>
        <v/>
      </c>
      <c r="S68" s="82">
        <f>SUMIFS(Aut_BlueMe_Sem_Pedido!$J:$J,Aut_BlueMe_Sem_Pedido!$Q:$Q,DRE!Q$4,Aut_BlueMe_Sem_Pedido!$H:$H,DRE!$A68)+SUMIFS(Aut_Ajustes_Manuais!$G:$G,Aut_Ajustes_Manuais!$I:$I,DRE!Q$4,Aut_Ajustes_Manuais!$F:$F,"Material de Escritório - Eventos")</f>
        <v/>
      </c>
      <c r="T68" s="241" t="n"/>
      <c r="U68" s="81">
        <f>-SUMIFS(T_ORCAMENTOS!$E:$E,T_ORCAMENTOS!$C:$C,"Material de Escritório - Eventos",T_ORCAMENTOS!$H:$H,"5/2026")</f>
        <v/>
      </c>
      <c r="V68" s="82">
        <f>SUMIFS(Aut_BlueMe_Sem_Pedido!$J:$J,Aut_BlueMe_Sem_Pedido!$Q:$Q,DRE!T$4,Aut_BlueMe_Sem_Pedido!$H:$H,DRE!$A68)+SUMIFS(Aut_Ajustes_Manuais!$G:$G,Aut_Ajustes_Manuais!$I:$I,DRE!T$4,Aut_Ajustes_Manuais!$F:$F,"Material de Escritório - Eventos")</f>
        <v/>
      </c>
      <c r="W68" s="241" t="n"/>
      <c r="X68" s="81">
        <f>-SUMIFS(T_ORCAMENTOS!$E:$E,T_ORCAMENTOS!$C:$C,"Material de Escritório - Eventos",T_ORCAMENTOS!$H:$H,"6/2026")</f>
        <v/>
      </c>
      <c r="Y68" s="82">
        <f>SUMIFS(Aut_BlueMe_Sem_Pedido!$J:$J,Aut_BlueMe_Sem_Pedido!$Q:$Q,DRE!W$4,Aut_BlueMe_Sem_Pedido!$H:$H,DRE!$A68)+SUMIFS(Aut_Ajustes_Manuais!$G:$G,Aut_Ajustes_Manuais!$I:$I,DRE!W$4,Aut_Ajustes_Manuais!$F:$F,"Material de Escritório - Eventos")</f>
        <v/>
      </c>
      <c r="Z68" s="241" t="n"/>
      <c r="AA68" s="81">
        <f>-SUMIFS(T_ORCAMENTOS!$E:$E,T_ORCAMENTOS!$C:$C,"Material de Escritório - Eventos",T_ORCAMENTOS!$H:$H,"7/2026")</f>
        <v/>
      </c>
      <c r="AB68" s="82">
        <f>SUMIFS(Aut_BlueMe_Sem_Pedido!$J:$J,Aut_BlueMe_Sem_Pedido!$Q:$Q,DRE!Z$4,Aut_BlueMe_Sem_Pedido!$H:$H,DRE!$A68)+SUMIFS(Aut_Ajustes_Manuais!$G:$G,Aut_Ajustes_Manuais!$I:$I,DRE!Z$4,Aut_Ajustes_Manuais!$F:$F,"Material de Escritório - Eventos")</f>
        <v/>
      </c>
      <c r="AC68" s="241" t="n"/>
      <c r="AD68" s="81">
        <f>-SUMIFS(T_ORCAMENTOS!$E:$E,T_ORCAMENTOS!$C:$C,"Material de Escritório - Eventos",T_ORCAMENTOS!$H:$H,"8/2026")</f>
        <v/>
      </c>
      <c r="AE68" s="82">
        <f>SUMIFS(Aut_BlueMe_Sem_Pedido!$J:$J,Aut_BlueMe_Sem_Pedido!$Q:$Q,DRE!AC$4,Aut_BlueMe_Sem_Pedido!$H:$H,DRE!$A68)+SUMIFS(Aut_Ajustes_Manuais!$G:$G,Aut_Ajustes_Manuais!$I:$I,DRE!AC$4,Aut_Ajustes_Manuais!$F:$F,"Material de Escritório - Eventos")</f>
        <v/>
      </c>
      <c r="AF68" s="241" t="n"/>
      <c r="AG68" s="81">
        <f>-SUMIFS(T_ORCAMENTOS!$E:$E,T_ORCAMENTOS!$C:$C,"Material de Escritório - Eventos",T_ORCAMENTOS!$H:$H,"9/2026")</f>
        <v/>
      </c>
      <c r="AH68" s="82">
        <f>SUMIFS(Aut_BlueMe_Sem_Pedido!$J:$J,Aut_BlueMe_Sem_Pedido!$Q:$Q,DRE!AF$4,Aut_BlueMe_Sem_Pedido!$H:$H,DRE!$A68)+SUMIFS(Aut_Ajustes_Manuais!$G:$G,Aut_Ajustes_Manuais!$I:$I,DRE!AF$4,Aut_Ajustes_Manuais!$F:$F,"Material de Escritório - Eventos")</f>
        <v/>
      </c>
      <c r="AI68" s="241" t="n"/>
      <c r="AJ68" s="81">
        <f>-SUMIFS(T_ORCAMENTOS!$E:$E,T_ORCAMENTOS!$C:$C,"Material de Escritório - Eventos",T_ORCAMENTOS!$H:$H,"10/2026")</f>
        <v/>
      </c>
      <c r="AK68" s="82">
        <f>SUMIFS(Aut_BlueMe_Sem_Pedido!$J:$J,Aut_BlueMe_Sem_Pedido!$Q:$Q,DRE!AI$4,Aut_BlueMe_Sem_Pedido!$H:$H,DRE!$A68)+SUMIFS(Aut_Ajustes_Manuais!$G:$G,Aut_Ajustes_Manuais!$I:$I,DRE!AI$4,Aut_Ajustes_Manuais!$F:$F,"Material de Escritório - Eventos")</f>
        <v/>
      </c>
      <c r="AL68" s="241" t="n"/>
      <c r="AM68" s="81">
        <f>-SUMIFS(T_ORCAMENTOS!$E:$E,T_ORCAMENTOS!$C:$C,"Material de Escritório - Eventos",T_ORCAMENTOS!$H:$H,"11/2026")</f>
        <v/>
      </c>
      <c r="AN68" s="82">
        <f>SUMIFS(Aut_BlueMe_Sem_Pedido!$J:$J,Aut_BlueMe_Sem_Pedido!$Q:$Q,DRE!AL$4,Aut_BlueMe_Sem_Pedido!$H:$H,DRE!$A68)+SUMIFS(Aut_Ajustes_Manuais!$G:$G,Aut_Ajustes_Manuais!$I:$I,DRE!AL$4,Aut_Ajustes_Manuais!$F:$F,"Material de Escritório - Eventos")</f>
        <v/>
      </c>
      <c r="AO68" s="241" t="n"/>
      <c r="AP68" s="81">
        <f>-SUMIFS(T_ORCAMENTOS!$E:$E,T_ORCAMENTOS!$C:$C,"Material de Escritório - Eventos",T_ORCAMENTOS!$H:$H,"12/2026")</f>
        <v/>
      </c>
      <c r="AQ68" s="82">
        <f>SUMIFS(Aut_BlueMe_Sem_Pedido!$J:$J,Aut_BlueMe_Sem_Pedido!$Q:$Q,DRE!AO$4,Aut_BlueMe_Sem_Pedido!$H:$H,DRE!$A68)+SUMIFS(Aut_Ajustes_Manuais!$G:$G,Aut_Ajustes_Manuais!$I:$I,DRE!AO$4,Aut_Ajustes_Manuais!$F:$F,"Material de Escritório - Eventos")</f>
        <v/>
      </c>
      <c r="AR68" s="241">
        <f>SUMIFS($H68:$AO68,$H$5:$AO$5,"&lt;"&amp;MONTH(TODAY()),$H$6:$AO$6,"REAL 25")</f>
        <v/>
      </c>
      <c r="AS68" s="27">
        <f>SUMIFS($I68:$AP68,$I$5:$AP$5,"&lt;"&amp;MONTH(TODAY()),$I$6:$AP$6,"ORÇADO ")</f>
        <v/>
      </c>
      <c r="AT68" s="82">
        <f>SUMIFS($J68:$AQ68,$J$5:$AQ$5,"&lt;"&amp;MONTH(TODAY()),$J$6:$AQ$6,"REAL 26")</f>
        <v/>
      </c>
      <c r="AU68" s="241">
        <f>SUM(H68,K68,N68,Q68,T68,W68,Z68,AC68,AF68,AI68,AL68,AO68)</f>
        <v/>
      </c>
      <c r="AV68" s="81">
        <f>SUM(I68,L68,O68,R68,U68,X68,AA68,AD68,AG68,AJ68,AM68,AP68)</f>
        <v/>
      </c>
      <c r="AW68" s="82">
        <f>SUM(J68,M68,P68,S68,V68,Y68,AB68,AE68,AH68,AK68,AN68,AQ68)</f>
        <v/>
      </c>
      <c r="AX68" s="241">
        <f>SUM(H68,K68,N68)</f>
        <v/>
      </c>
      <c r="AY68" s="81">
        <f>SUM(I68,L68,O68)</f>
        <v/>
      </c>
      <c r="AZ68" s="82">
        <f>SUM(J68,M68,P68)</f>
        <v/>
      </c>
      <c r="BA68" s="241">
        <f>SUM(Q68,T68,W68)</f>
        <v/>
      </c>
      <c r="BB68" s="81">
        <f>SUM(R68,U68,X68)</f>
        <v/>
      </c>
      <c r="BC68" s="82">
        <f>SUM(S68,V68,Y68)</f>
        <v/>
      </c>
      <c r="BD68" s="241">
        <f>SUM(Z68,AC68,AF68)</f>
        <v/>
      </c>
      <c r="BE68" s="81">
        <f>SUM(AA68,AD68,AG68)</f>
        <v/>
      </c>
      <c r="BF68" s="82">
        <f>SUM(AB68,AE68,AH68)</f>
        <v/>
      </c>
      <c r="BG68" s="241">
        <f>SUM(AI68,AL68,AO68)</f>
        <v/>
      </c>
      <c r="BH68" s="81">
        <f>SUM(AJ68,AM68,AP68)</f>
        <v/>
      </c>
      <c r="BI68" s="82">
        <f>SUM(AK68,AN68,AQ68)</f>
        <v/>
      </c>
    </row>
    <row r="69" hidden="1" outlineLevel="2" customFormat="1" s="498">
      <c r="A69" s="22" t="inlineStr">
        <is>
          <t>Material de Manutenção - Eventos</t>
        </is>
      </c>
      <c r="B69" s="488" t="n"/>
      <c r="C69" s="24" t="n"/>
      <c r="D69" s="69" t="inlineStr">
        <is>
          <t>% sobre o Faturamento de Eventos</t>
        </is>
      </c>
      <c r="E69" s="80" t="n"/>
      <c r="F69" s="41" t="n"/>
      <c r="G69" s="23" t="n"/>
      <c r="H69" s="241" t="n"/>
      <c r="I69" s="81">
        <f>-SUMIFS(T_ORCAMENTOS!$E:$E,T_ORCAMENTOS!$C:$C,"Material de Manutenção - Eventos",T_ORCAMENTOS!$H:$H,"1/2026")</f>
        <v/>
      </c>
      <c r="J69" s="82">
        <f>SUMIFS(Aut_BlueMe_Sem_Pedido!$J:$J,Aut_BlueMe_Sem_Pedido!$Q:$Q,DRE!H$4,Aut_BlueMe_Sem_Pedido!$H:$H,DRE!$A69)+SUMIFS(Aut_Ajustes_Manuais!$G:$G,Aut_Ajustes_Manuais!$I:$I,DRE!H$4,Aut_Ajustes_Manuais!$F:$F,"Material de Manutenção - Eventos")</f>
        <v/>
      </c>
      <c r="K69" s="254" t="n"/>
      <c r="L69" s="81">
        <f>-SUMIFS(T_ORCAMENTOS!$E:$E,T_ORCAMENTOS!$C:$C,"Material de Manutenção - Eventos",T_ORCAMENTOS!$H:$H,"2/2026")</f>
        <v/>
      </c>
      <c r="M69" s="82">
        <f>SUMIFS(Aut_BlueMe_Sem_Pedido!$J:$J,Aut_BlueMe_Sem_Pedido!$Q:$Q,DRE!K$4,Aut_BlueMe_Sem_Pedido!$H:$H,DRE!$A69)+SUMIFS(Aut_Ajustes_Manuais!$G:$G,Aut_Ajustes_Manuais!$I:$I,DRE!K$4,Aut_Ajustes_Manuais!$F:$F,"Material de Manutenção - Eventos")</f>
        <v/>
      </c>
      <c r="N69" s="254" t="n"/>
      <c r="O69" s="81">
        <f>-SUMIFS(T_ORCAMENTOS!$E:$E,T_ORCAMENTOS!$C:$C,"Material de Manutenção - Eventos",T_ORCAMENTOS!$H:$H,"3/2026")</f>
        <v/>
      </c>
      <c r="P69" s="82">
        <f>SUMIFS(Aut_BlueMe_Sem_Pedido!$J:$J,Aut_BlueMe_Sem_Pedido!$Q:$Q,DRE!N$4,Aut_BlueMe_Sem_Pedido!$H:$H,DRE!$A69)+SUMIFS(Aut_Ajustes_Manuais!$G:$G,Aut_Ajustes_Manuais!$I:$I,DRE!N$4,Aut_Ajustes_Manuais!$F:$F,"Material de Manutenção - Eventos")</f>
        <v/>
      </c>
      <c r="Q69" s="241" t="n"/>
      <c r="R69" s="81">
        <f>-SUMIFS(T_ORCAMENTOS!$E:$E,T_ORCAMENTOS!$C:$C,"Material de Manutenção - Eventos",T_ORCAMENTOS!$H:$H,"4/2026")</f>
        <v/>
      </c>
      <c r="S69" s="82">
        <f>SUMIFS(Aut_BlueMe_Sem_Pedido!$J:$J,Aut_BlueMe_Sem_Pedido!$Q:$Q,DRE!Q$4,Aut_BlueMe_Sem_Pedido!$H:$H,DRE!$A69)+SUMIFS(Aut_Ajustes_Manuais!$G:$G,Aut_Ajustes_Manuais!$I:$I,DRE!Q$4,Aut_Ajustes_Manuais!$F:$F,"Material de Manutenção - Eventos")</f>
        <v/>
      </c>
      <c r="T69" s="241" t="n"/>
      <c r="U69" s="81">
        <f>-SUMIFS(T_ORCAMENTOS!$E:$E,T_ORCAMENTOS!$C:$C,"Material de Manutenção - Eventos",T_ORCAMENTOS!$H:$H,"5/2026")</f>
        <v/>
      </c>
      <c r="V69" s="82">
        <f>SUMIFS(Aut_BlueMe_Sem_Pedido!$J:$J,Aut_BlueMe_Sem_Pedido!$Q:$Q,DRE!T$4,Aut_BlueMe_Sem_Pedido!$H:$H,DRE!$A69)+SUMIFS(Aut_Ajustes_Manuais!$G:$G,Aut_Ajustes_Manuais!$I:$I,DRE!T$4,Aut_Ajustes_Manuais!$F:$F,"Material de Manutenção - Eventos")</f>
        <v/>
      </c>
      <c r="W69" s="241" t="n"/>
      <c r="X69" s="81">
        <f>-SUMIFS(T_ORCAMENTOS!$E:$E,T_ORCAMENTOS!$C:$C,"Material de Manutenção - Eventos",T_ORCAMENTOS!$H:$H,"6/2026")</f>
        <v/>
      </c>
      <c r="Y69" s="82">
        <f>SUMIFS(Aut_BlueMe_Sem_Pedido!$J:$J,Aut_BlueMe_Sem_Pedido!$Q:$Q,DRE!W$4,Aut_BlueMe_Sem_Pedido!$H:$H,DRE!$A69)+SUMIFS(Aut_Ajustes_Manuais!$G:$G,Aut_Ajustes_Manuais!$I:$I,DRE!W$4,Aut_Ajustes_Manuais!$F:$F,"Material de Manutenção - Eventos")</f>
        <v/>
      </c>
      <c r="Z69" s="241" t="n"/>
      <c r="AA69" s="81">
        <f>-SUMIFS(T_ORCAMENTOS!$E:$E,T_ORCAMENTOS!$C:$C,"Material de Manutenção - Eventos",T_ORCAMENTOS!$H:$H,"7/2026")</f>
        <v/>
      </c>
      <c r="AB69" s="82">
        <f>SUMIFS(Aut_BlueMe_Sem_Pedido!$J:$J,Aut_BlueMe_Sem_Pedido!$Q:$Q,DRE!Z$4,Aut_BlueMe_Sem_Pedido!$H:$H,DRE!$A69)+SUMIFS(Aut_Ajustes_Manuais!$G:$G,Aut_Ajustes_Manuais!$I:$I,DRE!Z$4,Aut_Ajustes_Manuais!$F:$F,"Material de Manutenção - Eventos")</f>
        <v/>
      </c>
      <c r="AC69" s="241" t="n"/>
      <c r="AD69" s="81">
        <f>-SUMIFS(T_ORCAMENTOS!$E:$E,T_ORCAMENTOS!$C:$C,"Material de Manutenção - Eventos",T_ORCAMENTOS!$H:$H,"8/2026")</f>
        <v/>
      </c>
      <c r="AE69" s="82">
        <f>SUMIFS(Aut_BlueMe_Sem_Pedido!$J:$J,Aut_BlueMe_Sem_Pedido!$Q:$Q,DRE!AC$4,Aut_BlueMe_Sem_Pedido!$H:$H,DRE!$A69)+SUMIFS(Aut_Ajustes_Manuais!$G:$G,Aut_Ajustes_Manuais!$I:$I,DRE!AC$4,Aut_Ajustes_Manuais!$F:$F,"Material de Manutenção - Eventos")</f>
        <v/>
      </c>
      <c r="AF69" s="241" t="n"/>
      <c r="AG69" s="81">
        <f>-SUMIFS(T_ORCAMENTOS!$E:$E,T_ORCAMENTOS!$C:$C,"Material de Manutenção - Eventos",T_ORCAMENTOS!$H:$H,"9/2026")</f>
        <v/>
      </c>
      <c r="AH69" s="82">
        <f>SUMIFS(Aut_BlueMe_Sem_Pedido!$J:$J,Aut_BlueMe_Sem_Pedido!$Q:$Q,DRE!AF$4,Aut_BlueMe_Sem_Pedido!$H:$H,DRE!$A69)+SUMIFS(Aut_Ajustes_Manuais!$G:$G,Aut_Ajustes_Manuais!$I:$I,DRE!AF$4,Aut_Ajustes_Manuais!$F:$F,"Material de Manutenção - Eventos")</f>
        <v/>
      </c>
      <c r="AI69" s="241" t="n"/>
      <c r="AJ69" s="81">
        <f>-SUMIFS(T_ORCAMENTOS!$E:$E,T_ORCAMENTOS!$C:$C,"Material de Manutenção - Eventos",T_ORCAMENTOS!$H:$H,"10/2026")</f>
        <v/>
      </c>
      <c r="AK69" s="82">
        <f>SUMIFS(Aut_BlueMe_Sem_Pedido!$J:$J,Aut_BlueMe_Sem_Pedido!$Q:$Q,DRE!AI$4,Aut_BlueMe_Sem_Pedido!$H:$H,DRE!$A69)+SUMIFS(Aut_Ajustes_Manuais!$G:$G,Aut_Ajustes_Manuais!$I:$I,DRE!AI$4,Aut_Ajustes_Manuais!$F:$F,"Material de Manutenção - Eventos")</f>
        <v/>
      </c>
      <c r="AL69" s="241" t="n"/>
      <c r="AM69" s="81">
        <f>-SUMIFS(T_ORCAMENTOS!$E:$E,T_ORCAMENTOS!$C:$C,"Material de Manutenção - Eventos",T_ORCAMENTOS!$H:$H,"11/2026")</f>
        <v/>
      </c>
      <c r="AN69" s="82">
        <f>SUMIFS(Aut_BlueMe_Sem_Pedido!$J:$J,Aut_BlueMe_Sem_Pedido!$Q:$Q,DRE!AL$4,Aut_BlueMe_Sem_Pedido!$H:$H,DRE!$A69)+SUMIFS(Aut_Ajustes_Manuais!$G:$G,Aut_Ajustes_Manuais!$I:$I,DRE!AL$4,Aut_Ajustes_Manuais!$F:$F,"Material de Manutenção - Eventos")</f>
        <v/>
      </c>
      <c r="AO69" s="241" t="n"/>
      <c r="AP69" s="81">
        <f>-SUMIFS(T_ORCAMENTOS!$E:$E,T_ORCAMENTOS!$C:$C,"Material de Manutenção - Eventos",T_ORCAMENTOS!$H:$H,"12/2026")</f>
        <v/>
      </c>
      <c r="AQ69" s="82">
        <f>SUMIFS(Aut_BlueMe_Sem_Pedido!$J:$J,Aut_BlueMe_Sem_Pedido!$Q:$Q,DRE!AO$4,Aut_BlueMe_Sem_Pedido!$H:$H,DRE!$A69)+SUMIFS(Aut_Ajustes_Manuais!$G:$G,Aut_Ajustes_Manuais!$I:$I,DRE!AO$4,Aut_Ajustes_Manuais!$F:$F,"Material de Manutenção - Eventos")</f>
        <v/>
      </c>
      <c r="AR69" s="241">
        <f>SUMIFS($H69:$AO69,$H$5:$AO$5,"&lt;"&amp;MONTH(TODAY()),$H$6:$AO$6,"REAL 25")</f>
        <v/>
      </c>
      <c r="AS69" s="27">
        <f>SUMIFS($I69:$AP69,$I$5:$AP$5,"&lt;"&amp;MONTH(TODAY()),$I$6:$AP$6,"ORÇADO ")</f>
        <v/>
      </c>
      <c r="AT69" s="82">
        <f>SUMIFS($J69:$AQ69,$J$5:$AQ$5,"&lt;"&amp;MONTH(TODAY()),$J$6:$AQ$6,"REAL 26")</f>
        <v/>
      </c>
      <c r="AU69" s="241">
        <f>SUM(H69,K69,N69,Q69,T69,W69,Z69,AC69,AF69,AI69,AL69,AO69)</f>
        <v/>
      </c>
      <c r="AV69" s="81">
        <f>SUM(I69,L69,O69,R69,U69,X69,AA69,AD69,AG69,AJ69,AM69,AP69)</f>
        <v/>
      </c>
      <c r="AW69" s="82">
        <f>SUM(J69,M69,P69,S69,V69,Y69,AB69,AE69,AH69,AK69,AN69,AQ69)</f>
        <v/>
      </c>
      <c r="AX69" s="241">
        <f>SUM(H69,K69,N69)</f>
        <v/>
      </c>
      <c r="AY69" s="81">
        <f>SUM(I69,L69,O69)</f>
        <v/>
      </c>
      <c r="AZ69" s="82">
        <f>SUM(J69,M69,P69)</f>
        <v/>
      </c>
      <c r="BA69" s="241">
        <f>SUM(Q69,T69,W69)</f>
        <v/>
      </c>
      <c r="BB69" s="81">
        <f>SUM(R69,U69,X69)</f>
        <v/>
      </c>
      <c r="BC69" s="82">
        <f>SUM(S69,V69,Y69)</f>
        <v/>
      </c>
      <c r="BD69" s="241">
        <f>SUM(Z69,AC69,AF69)</f>
        <v/>
      </c>
      <c r="BE69" s="81">
        <f>SUM(AA69,AD69,AG69)</f>
        <v/>
      </c>
      <c r="BF69" s="82">
        <f>SUM(AB69,AE69,AH69)</f>
        <v/>
      </c>
      <c r="BG69" s="241">
        <f>SUM(AI69,AL69,AO69)</f>
        <v/>
      </c>
      <c r="BH69" s="81">
        <f>SUM(AJ69,AM69,AP69)</f>
        <v/>
      </c>
      <c r="BI69" s="82">
        <f>SUM(AK69,AN69,AQ69)</f>
        <v/>
      </c>
    </row>
    <row r="70" hidden="1" outlineLevel="1" ht="18" customHeight="1">
      <c r="A70" s="73" t="inlineStr">
        <is>
          <t>Manutenção Geral</t>
        </is>
      </c>
      <c r="C70" s="24" t="n"/>
      <c r="D70" s="69" t="n"/>
      <c r="E70" s="80" t="n"/>
      <c r="F70" s="41" t="n"/>
      <c r="H70" s="252" t="n"/>
      <c r="I70" s="74">
        <f>SUM(I71:I72)</f>
        <v/>
      </c>
      <c r="J70" s="76">
        <f>SUM(J71:J72)+SUMIFS(Aut_Ajustes_Manuais!$G:$G,Aut_Ajustes_Manuais!$I:$I,DRE!H$4,Aut_Ajustes_Manuais!$F:$F,"Manutenção Geral")</f>
        <v/>
      </c>
      <c r="K70" s="252" t="n"/>
      <c r="L70" s="74">
        <f>SUM(L71:L72)</f>
        <v/>
      </c>
      <c r="M70" s="76">
        <f>SUM(M71:M72)+SUMIFS(Aut_Ajustes_Manuais!$G:$G,Aut_Ajustes_Manuais!$I:$I,DRE!K$4,Aut_Ajustes_Manuais!$F:$F,"Manutenção Geral")</f>
        <v/>
      </c>
      <c r="N70" s="252" t="n"/>
      <c r="O70" s="74">
        <f>SUM(O71:O72)</f>
        <v/>
      </c>
      <c r="P70" s="76">
        <f>SUM(P71:P72)+SUMIFS(Aut_Ajustes_Manuais!$G:$G,Aut_Ajustes_Manuais!$I:$I,DRE!N$4,Aut_Ajustes_Manuais!$F:$F,"Manutenção Geral")</f>
        <v/>
      </c>
      <c r="Q70" s="252" t="n"/>
      <c r="R70" s="74">
        <f>SUM(R71:R72)</f>
        <v/>
      </c>
      <c r="S70" s="76">
        <f>SUM(S71:S72)+SUMIFS(Aut_Ajustes_Manuais!$G:$G,Aut_Ajustes_Manuais!$I:$I,DRE!Q$4,Aut_Ajustes_Manuais!$F:$F,"Manutenção Geral")</f>
        <v/>
      </c>
      <c r="T70" s="252" t="n"/>
      <c r="U70" s="74">
        <f>SUM(U71:U72)</f>
        <v/>
      </c>
      <c r="V70" s="76">
        <f>SUM(V71:V72)+SUMIFS(Aut_Ajustes_Manuais!$G:$G,Aut_Ajustes_Manuais!$I:$I,DRE!T$4,Aut_Ajustes_Manuais!$F:$F,"Manutenção Geral")</f>
        <v/>
      </c>
      <c r="W70" s="252" t="n"/>
      <c r="X70" s="74">
        <f>SUM(X71:X72)</f>
        <v/>
      </c>
      <c r="Y70" s="76">
        <f>SUM(Y71:Y72)+SUMIFS(Aut_Ajustes_Manuais!$G:$G,Aut_Ajustes_Manuais!$I:$I,DRE!W$4,Aut_Ajustes_Manuais!$F:$F,"Manutenção Geral")</f>
        <v/>
      </c>
      <c r="Z70" s="252" t="n"/>
      <c r="AA70" s="74">
        <f>SUM(AA71:AA72)</f>
        <v/>
      </c>
      <c r="AB70" s="76">
        <f>SUM(AB71:AB72)+SUMIFS(Aut_Ajustes_Manuais!$G:$G,Aut_Ajustes_Manuais!$I:$I,DRE!Z$4,Aut_Ajustes_Manuais!$F:$F,"Manutenção Geral")</f>
        <v/>
      </c>
      <c r="AC70" s="252" t="n"/>
      <c r="AD70" s="74">
        <f>SUM(AD71:AD72)</f>
        <v/>
      </c>
      <c r="AE70" s="76">
        <f>SUM(AE71:AE72)+SUMIFS(Aut_Ajustes_Manuais!$G:$G,Aut_Ajustes_Manuais!$I:$I,DRE!AC$4,Aut_Ajustes_Manuais!$F:$F,"Manutenção Geral")</f>
        <v/>
      </c>
      <c r="AF70" s="252" t="n"/>
      <c r="AG70" s="74">
        <f>SUM(AG71:AG72)</f>
        <v/>
      </c>
      <c r="AH70" s="76">
        <f>SUM(AH71:AH72)+SUMIFS(Aut_Ajustes_Manuais!$G:$G,Aut_Ajustes_Manuais!$I:$I,DRE!AF$4,Aut_Ajustes_Manuais!$F:$F,"Manutenção Geral")</f>
        <v/>
      </c>
      <c r="AI70" s="252" t="n"/>
      <c r="AJ70" s="74">
        <f>SUM(AJ71:AJ72)</f>
        <v/>
      </c>
      <c r="AK70" s="76">
        <f>SUM(AK71:AK72)+SUMIFS(Aut_Ajustes_Manuais!$G:$G,Aut_Ajustes_Manuais!$I:$I,DRE!AI$4,Aut_Ajustes_Manuais!$F:$F,"Manutenção Geral")</f>
        <v/>
      </c>
      <c r="AL70" s="252" t="n"/>
      <c r="AM70" s="74">
        <f>SUM(AM71:AM72)</f>
        <v/>
      </c>
      <c r="AN70" s="76">
        <f>SUM(AN71:AN72)+SUMIFS(Aut_Ajustes_Manuais!$G:$G,Aut_Ajustes_Manuais!$I:$I,DRE!AL$4,Aut_Ajustes_Manuais!$F:$F,"Manutenção Geral")</f>
        <v/>
      </c>
      <c r="AO70" s="252" t="n"/>
      <c r="AP70" s="74">
        <f>SUM(AP71:AP72)</f>
        <v/>
      </c>
      <c r="AQ70" s="76">
        <f>SUM(AQ71:AQ72)+SUMIFS(Aut_Ajustes_Manuais!$G:$G,Aut_Ajustes_Manuais!$I:$I,DRE!AO$4,Aut_Ajustes_Manuais!$F:$F,"Manutenção Geral")</f>
        <v/>
      </c>
      <c r="AR70" s="74">
        <f>SUMIFS($H70:$AO70,$H$5:$AO$5,"&lt;"&amp;MONTH(TODAY()),$H$6:$AO$6,"REAL 25")</f>
        <v/>
      </c>
      <c r="AS70" s="74">
        <f>SUMIFS($I70:$AP70,$I$5:$AP$5,"&lt;"&amp;MONTH(TODAY()),$I$6:$AP$6,"ORÇADO ")</f>
        <v/>
      </c>
      <c r="AT70" s="76">
        <f>SUMIFS($J70:$AQ70,$J$5:$AQ$5,"&lt;"&amp;MONTH(TODAY()),$J$6:$AQ$6,"REAL 26")</f>
        <v/>
      </c>
      <c r="AU70" s="252">
        <f>SUM(AU71:AU72)</f>
        <v/>
      </c>
      <c r="AV70" s="74">
        <f>SUM(AV71:AV72)</f>
        <v/>
      </c>
      <c r="AW70" s="76">
        <f>SUM(AW71:AW72)</f>
        <v/>
      </c>
      <c r="AX70" s="252">
        <f>SUM(AX71:AX72)</f>
        <v/>
      </c>
      <c r="AY70" s="74">
        <f>SUM(AY71:AY72)</f>
        <v/>
      </c>
      <c r="AZ70" s="76">
        <f>SUM(AZ71:AZ72)</f>
        <v/>
      </c>
      <c r="BA70" s="252">
        <f>SUM(BA71:BA72)</f>
        <v/>
      </c>
      <c r="BB70" s="74">
        <f>SUM(BB71:BB72)</f>
        <v/>
      </c>
      <c r="BC70" s="76">
        <f>SUM(BC71:BC72)</f>
        <v/>
      </c>
      <c r="BD70" s="252">
        <f>SUM(BD71:BD72)</f>
        <v/>
      </c>
      <c r="BE70" s="74">
        <f>SUM(BE71:BE72)</f>
        <v/>
      </c>
      <c r="BF70" s="76">
        <f>SUM(BF71:BF72)</f>
        <v/>
      </c>
      <c r="BG70" s="252">
        <f>SUM(BG71:BG72)</f>
        <v/>
      </c>
      <c r="BH70" s="74">
        <f>SUM(BH71:BH72)</f>
        <v/>
      </c>
      <c r="BI70" s="76">
        <f>SUM(BI71:BI72)</f>
        <v/>
      </c>
    </row>
    <row r="71" hidden="1" outlineLevel="2" customFormat="1" s="498">
      <c r="A71" s="22" t="inlineStr">
        <is>
          <t>Serviço de Manutenção - Estrutura - Eventos</t>
        </is>
      </c>
      <c r="B71" s="488" t="n"/>
      <c r="C71" s="24" t="inlineStr">
        <is>
          <t>Estrutura Predial</t>
        </is>
      </c>
      <c r="D71" s="69" t="inlineStr">
        <is>
          <t>% sobre o Faturamento de Eventos</t>
        </is>
      </c>
      <c r="E71" s="80" t="n"/>
      <c r="F71" s="41" t="n"/>
      <c r="G71" s="23" t="n"/>
      <c r="H71" s="241" t="n"/>
      <c r="I71" s="81">
        <f>-SUMIFS(T_ORCAMENTOS!$E:$E,T_ORCAMENTOS!$C:$C,"Serviço de Manutenção - Estrutura - Eventos",T_ORCAMENTOS!$H:$H,"1/2026")</f>
        <v/>
      </c>
      <c r="J71" s="82">
        <f>SUMIFS(Aut_BlueMe_Sem_Pedido!$J:$J,Aut_BlueMe_Sem_Pedido!$Q:$Q,DRE!H$4,Aut_BlueMe_Sem_Pedido!$H:$H,DRE!$A71)+SUMIFS(Aut_Ajustes_Manuais!$G:$G,Aut_Ajustes_Manuais!$I:$I,DRE!H$4,Aut_Ajustes_Manuais!$F:$F,"Serviço de Manutenção - Estrutura - Eventos")</f>
        <v/>
      </c>
      <c r="K71" s="254" t="n"/>
      <c r="L71" s="81">
        <f>-SUMIFS(T_ORCAMENTOS!$E:$E,T_ORCAMENTOS!$C:$C,"Serviço de Manutenção - Estrutura - Eventos",T_ORCAMENTOS!$H:$H,"2/2026")</f>
        <v/>
      </c>
      <c r="M71" s="82">
        <f>SUMIFS(Aut_BlueMe_Sem_Pedido!$J:$J,Aut_BlueMe_Sem_Pedido!$Q:$Q,DRE!K$4,Aut_BlueMe_Sem_Pedido!$H:$H,DRE!$A71)+SUMIFS(Aut_Ajustes_Manuais!$G:$G,Aut_Ajustes_Manuais!$I:$I,DRE!K$4,Aut_Ajustes_Manuais!$F:$F,"Serviço de Manutenção - Estrutura - Eventos")</f>
        <v/>
      </c>
      <c r="N71" s="254" t="n"/>
      <c r="O71" s="81">
        <f>-SUMIFS(T_ORCAMENTOS!$E:$E,T_ORCAMENTOS!$C:$C,"Serviço de Manutenção - Estrutura - Eventos",T_ORCAMENTOS!$H:$H,"3/2026")</f>
        <v/>
      </c>
      <c r="P71" s="82">
        <f>SUMIFS(Aut_BlueMe_Sem_Pedido!$J:$J,Aut_BlueMe_Sem_Pedido!$Q:$Q,DRE!N$4,Aut_BlueMe_Sem_Pedido!$H:$H,DRE!$A71)+SUMIFS(Aut_Ajustes_Manuais!$G:$G,Aut_Ajustes_Manuais!$I:$I,DRE!N$4,Aut_Ajustes_Manuais!$F:$F,"Serviço de Manutenção - Estrutura - Eventos")</f>
        <v/>
      </c>
      <c r="Q71" s="241" t="n"/>
      <c r="R71" s="81">
        <f>-SUMIFS(T_ORCAMENTOS!$E:$E,T_ORCAMENTOS!$C:$C,"Serviço de Manutenção - Estrutura - Eventos",T_ORCAMENTOS!$H:$H,"4/2026")</f>
        <v/>
      </c>
      <c r="S71" s="28">
        <f>SUMIFS(Aut_BlueMe_Sem_Pedido!$J:$J,Aut_BlueMe_Sem_Pedido!$Q:$Q,DRE!Q$4,Aut_BlueMe_Sem_Pedido!$H:$H,DRE!$A71)+SUMIFS(Aut_Ajustes_Manuais!$G:$G,Aut_Ajustes_Manuais!$I:$I,DRE!Q$4,Aut_Ajustes_Manuais!$F:$F,"Serviço de Manutenção - Estrutura - Eventos")</f>
        <v/>
      </c>
      <c r="T71" s="241" t="n"/>
      <c r="U71" s="81">
        <f>-SUMIFS(T_ORCAMENTOS!$E:$E,T_ORCAMENTOS!$C:$C,"Serviço de Manutenção - Estrutura - Eventos",T_ORCAMENTOS!$H:$H,"5/2026")</f>
        <v/>
      </c>
      <c r="V71" s="82">
        <f>SUMIFS(Aut_BlueMe_Sem_Pedido!$J:$J,Aut_BlueMe_Sem_Pedido!$Q:$Q,DRE!T$4,Aut_BlueMe_Sem_Pedido!$H:$H,DRE!$A71)+SUMIFS(Aut_Ajustes_Manuais!$G:$G,Aut_Ajustes_Manuais!$I:$I,DRE!T$4,Aut_Ajustes_Manuais!$F:$F,"Serviço de Manutenção - Estrutura - Eventos")</f>
        <v/>
      </c>
      <c r="W71" s="241" t="n"/>
      <c r="X71" s="81">
        <f>-SUMIFS(T_ORCAMENTOS!$E:$E,T_ORCAMENTOS!$C:$C,"Serviço de Manutenção - Estrutura - Eventos",T_ORCAMENTOS!$H:$H,"6/2026")</f>
        <v/>
      </c>
      <c r="Y71" s="82">
        <f>SUMIFS(Aut_BlueMe_Sem_Pedido!$J:$J,Aut_BlueMe_Sem_Pedido!$Q:$Q,DRE!W$4,Aut_BlueMe_Sem_Pedido!$H:$H,DRE!$A71)+SUMIFS(Aut_Ajustes_Manuais!$G:$G,Aut_Ajustes_Manuais!$I:$I,DRE!W$4,Aut_Ajustes_Manuais!$F:$F,"Serviço de Manutenção - Estrutura - Eventos")</f>
        <v/>
      </c>
      <c r="Z71" s="241" t="n"/>
      <c r="AA71" s="81">
        <f>-SUMIFS(T_ORCAMENTOS!$E:$E,T_ORCAMENTOS!$C:$C,"Serviço de Manutenção - Estrutura - Eventos",T_ORCAMENTOS!$H:$H,"7/2026")</f>
        <v/>
      </c>
      <c r="AB71" s="82">
        <f>SUMIFS(Aut_BlueMe_Sem_Pedido!$J:$J,Aut_BlueMe_Sem_Pedido!$Q:$Q,DRE!Z$4,Aut_BlueMe_Sem_Pedido!$H:$H,DRE!$A71)+SUMIFS(Aut_Ajustes_Manuais!$G:$G,Aut_Ajustes_Manuais!$I:$I,DRE!Z$4,Aut_Ajustes_Manuais!$F:$F,"Serviço de Manutenção - Estrutura - Eventos")</f>
        <v/>
      </c>
      <c r="AC71" s="241" t="n"/>
      <c r="AD71" s="81">
        <f>-SUMIFS(T_ORCAMENTOS!$E:$E,T_ORCAMENTOS!$C:$C,"Serviço de Manutenção - Estrutura - Eventos",T_ORCAMENTOS!$H:$H,"8/2026")</f>
        <v/>
      </c>
      <c r="AE71" s="82">
        <f>SUMIFS(Aut_BlueMe_Sem_Pedido!$J:$J,Aut_BlueMe_Sem_Pedido!$Q:$Q,DRE!AC$4,Aut_BlueMe_Sem_Pedido!$H:$H,DRE!$A71)+SUMIFS(Aut_Ajustes_Manuais!$G:$G,Aut_Ajustes_Manuais!$I:$I,DRE!AC$4,Aut_Ajustes_Manuais!$F:$F,"Serviço de Manutenção - Estrutura - Eventos")</f>
        <v/>
      </c>
      <c r="AF71" s="241" t="n"/>
      <c r="AG71" s="81">
        <f>-SUMIFS(T_ORCAMENTOS!$E:$E,T_ORCAMENTOS!$C:$C,"Serviço de Manutenção - Estrutura - Eventos",T_ORCAMENTOS!$H:$H,"9/2026")</f>
        <v/>
      </c>
      <c r="AH71" s="82">
        <f>SUMIFS(Aut_BlueMe_Sem_Pedido!$J:$J,Aut_BlueMe_Sem_Pedido!$Q:$Q,DRE!AF$4,Aut_BlueMe_Sem_Pedido!$H:$H,DRE!$A71)+SUMIFS(Aut_Ajustes_Manuais!$G:$G,Aut_Ajustes_Manuais!$I:$I,DRE!AF$4,Aut_Ajustes_Manuais!$F:$F,"Serviço de Manutenção - Estrutura - Eventos")</f>
        <v/>
      </c>
      <c r="AI71" s="241" t="n"/>
      <c r="AJ71" s="81">
        <f>-SUMIFS(T_ORCAMENTOS!$E:$E,T_ORCAMENTOS!$C:$C,"Serviço de Manutenção - Estrutura - Eventos",T_ORCAMENTOS!$H:$H,"10/2026")</f>
        <v/>
      </c>
      <c r="AK71" s="82">
        <f>SUMIFS(Aut_BlueMe_Sem_Pedido!$J:$J,Aut_BlueMe_Sem_Pedido!$Q:$Q,DRE!AI$4,Aut_BlueMe_Sem_Pedido!$H:$H,DRE!$A71)+SUMIFS(Aut_Ajustes_Manuais!$G:$G,Aut_Ajustes_Manuais!$I:$I,DRE!AI$4,Aut_Ajustes_Manuais!$F:$F,"Serviço de Manutenção - Estrutura - Eventos")</f>
        <v/>
      </c>
      <c r="AL71" s="241" t="n"/>
      <c r="AM71" s="81">
        <f>-SUMIFS(T_ORCAMENTOS!$E:$E,T_ORCAMENTOS!$C:$C,"Serviço de Manutenção - Estrutura - Eventos",T_ORCAMENTOS!$H:$H,"11/2026")</f>
        <v/>
      </c>
      <c r="AN71" s="82">
        <f>SUMIFS(Aut_BlueMe_Sem_Pedido!$J:$J,Aut_BlueMe_Sem_Pedido!$Q:$Q,DRE!AL$4,Aut_BlueMe_Sem_Pedido!$H:$H,DRE!$A71)+SUMIFS(Aut_Ajustes_Manuais!$G:$G,Aut_Ajustes_Manuais!$I:$I,DRE!AL$4,Aut_Ajustes_Manuais!$F:$F,"Serviço de Manutenção - Estrutura - Eventos")</f>
        <v/>
      </c>
      <c r="AO71" s="241" t="n"/>
      <c r="AP71" s="81">
        <f>-SUMIFS(T_ORCAMENTOS!$E:$E,T_ORCAMENTOS!$C:$C,"Serviço de Manutenção - Estrutura - Eventos",T_ORCAMENTOS!$H:$H,"12/2026")</f>
        <v/>
      </c>
      <c r="AQ71" s="82">
        <f>SUMIFS(Aut_BlueMe_Sem_Pedido!$J:$J,Aut_BlueMe_Sem_Pedido!$Q:$Q,DRE!AO$4,Aut_BlueMe_Sem_Pedido!$H:$H,DRE!$A71)+SUMIFS(Aut_Ajustes_Manuais!$G:$G,Aut_Ajustes_Manuais!$I:$I,DRE!AO$4,Aut_Ajustes_Manuais!$F:$F,"Serviço de Manutenção - Estrutura - Eventos")</f>
        <v/>
      </c>
      <c r="AR71" s="241">
        <f>SUMIFS($H71:$AO71,$H$5:$AO$5,"&lt;"&amp;MONTH(TODAY()),$H$6:$AO$6,"REAL 25")</f>
        <v/>
      </c>
      <c r="AS71" s="27">
        <f>SUMIFS($I71:$AP71,$I$5:$AP$5,"&lt;"&amp;MONTH(TODAY()),$I$6:$AP$6,"ORÇADO ")</f>
        <v/>
      </c>
      <c r="AT71" s="82">
        <f>SUMIFS($J71:$AQ71,$J$5:$AQ$5,"&lt;"&amp;MONTH(TODAY()),$J$6:$AQ$6,"REAL 26")</f>
        <v/>
      </c>
      <c r="AU71" s="241">
        <f>SUM(H71,K71,N71,Q71,T71,W71,Z71,AC71,AF71,AI71,AL71,AO71)</f>
        <v/>
      </c>
      <c r="AV71" s="81">
        <f>SUM(I71,L71,O71,R71,U71,X71,AA71,AD71,AG71,AJ71,AM71,AP71)</f>
        <v/>
      </c>
      <c r="AW71" s="82">
        <f>SUM(J71,M71,P71,S71,V71,Y71,AB71,AE71,AH71,AK71,AN71,AQ71)</f>
        <v/>
      </c>
      <c r="AX71" s="241">
        <f>SUM(H71,K71,N71)</f>
        <v/>
      </c>
      <c r="AY71" s="81">
        <f>SUM(I71,L71,O71)</f>
        <v/>
      </c>
      <c r="AZ71" s="82">
        <f>SUM(J71,M71,P71)</f>
        <v/>
      </c>
      <c r="BA71" s="241">
        <f>SUM(Q71,T71,W71)</f>
        <v/>
      </c>
      <c r="BB71" s="81">
        <f>SUM(R71,U71,X71)</f>
        <v/>
      </c>
      <c r="BC71" s="82">
        <f>SUM(S71,V71,Y71)</f>
        <v/>
      </c>
      <c r="BD71" s="241">
        <f>SUM(Z71,AC71,AF71)</f>
        <v/>
      </c>
      <c r="BE71" s="81">
        <f>SUM(AA71,AD71,AG71)</f>
        <v/>
      </c>
      <c r="BF71" s="82">
        <f>SUM(AB71,AE71,AH71)</f>
        <v/>
      </c>
      <c r="BG71" s="241">
        <f>SUM(AI71,AL71,AO71)</f>
        <v/>
      </c>
      <c r="BH71" s="81">
        <f>SUM(AJ71,AM71,AP71)</f>
        <v/>
      </c>
      <c r="BI71" s="82">
        <f>SUM(AK71,AN71,AQ71)</f>
        <v/>
      </c>
    </row>
    <row r="72" hidden="1" outlineLevel="2" customFormat="1" s="498">
      <c r="A72" s="22" t="inlineStr">
        <is>
          <t>Serviço de Manutenção - Equipamentos - Eventos</t>
        </is>
      </c>
      <c r="B72" s="488" t="n"/>
      <c r="C72" s="24" t="inlineStr">
        <is>
          <t>Equipamentos</t>
        </is>
      </c>
      <c r="D72" s="69" t="inlineStr">
        <is>
          <t>% sobre o Faturamento de Eventos</t>
        </is>
      </c>
      <c r="E72" s="80" t="n"/>
      <c r="F72" s="41" t="n"/>
      <c r="G72" s="23" t="n"/>
      <c r="H72" s="241" t="n"/>
      <c r="I72" s="81">
        <f>-SUMIFS(T_ORCAMENTOS!$E:$E,T_ORCAMENTOS!$C:$C,"Serviço de Manutenção - Equipamentos - Eventos",T_ORCAMENTOS!$H:$H,"1/2026")</f>
        <v/>
      </c>
      <c r="J72" s="82">
        <f>SUMIFS(Aut_BlueMe_Sem_Pedido!$J:$J,Aut_BlueMe_Sem_Pedido!$Q:$Q,DRE!H$4,Aut_BlueMe_Sem_Pedido!$H:$H,DRE!$A72)+SUMIFS(Aut_Ajustes_Manuais!$G:$G,Aut_Ajustes_Manuais!$I:$I,DRE!H$4,Aut_Ajustes_Manuais!$F:$F,"Serviço de Manutenção - Equipamentos - Eventos")</f>
        <v/>
      </c>
      <c r="K72" s="254" t="n"/>
      <c r="L72" s="81">
        <f>-SUMIFS(T_ORCAMENTOS!$E:$E,T_ORCAMENTOS!$C:$C,"Serviço de Manutenção - Equipamentos - Eventos",T_ORCAMENTOS!$H:$H,"2/2026")</f>
        <v/>
      </c>
      <c r="M72" s="82">
        <f>SUMIFS(Aut_BlueMe_Sem_Pedido!$J:$J,Aut_BlueMe_Sem_Pedido!$Q:$Q,DRE!K$4,Aut_BlueMe_Sem_Pedido!$H:$H,DRE!$A72)+SUMIFS(Aut_Ajustes_Manuais!$G:$G,Aut_Ajustes_Manuais!$I:$I,DRE!K$4,Aut_Ajustes_Manuais!$F:$F,"Serviço de Manutenção - Equipamentos - Eventos")</f>
        <v/>
      </c>
      <c r="N72" s="254" t="n"/>
      <c r="O72" s="81">
        <f>-SUMIFS(T_ORCAMENTOS!$E:$E,T_ORCAMENTOS!$C:$C,"Serviço de Manutenção - Equipamentos - Eventos",T_ORCAMENTOS!$H:$H,"3/2026")</f>
        <v/>
      </c>
      <c r="P72" s="82">
        <f>SUMIFS(Aut_BlueMe_Sem_Pedido!$J:$J,Aut_BlueMe_Sem_Pedido!$Q:$Q,DRE!N$4,Aut_BlueMe_Sem_Pedido!$H:$H,DRE!$A72)+SUMIFS(Aut_Ajustes_Manuais!$G:$G,Aut_Ajustes_Manuais!$I:$I,DRE!N$4,Aut_Ajustes_Manuais!$F:$F,"Serviço de Manutenção - Equipamentos - Eventos")</f>
        <v/>
      </c>
      <c r="Q72" s="241" t="n"/>
      <c r="R72" s="81">
        <f>-SUMIFS(T_ORCAMENTOS!$E:$E,T_ORCAMENTOS!$C:$C,"Serviço de Manutenção - Equipamentos - Eventos",T_ORCAMENTOS!$H:$H,"4/2026")</f>
        <v/>
      </c>
      <c r="S72" s="82">
        <f>SUMIFS(Aut_BlueMe_Sem_Pedido!$J:$J,Aut_BlueMe_Sem_Pedido!$Q:$Q,DRE!Q$4,Aut_BlueMe_Sem_Pedido!$H:$H,DRE!$A72)+SUMIFS(Aut_Ajustes_Manuais!$G:$G,Aut_Ajustes_Manuais!$I:$I,DRE!Q$4,Aut_Ajustes_Manuais!$F:$F,"Serviço de Manutenção - Equipamentos - Eventos")</f>
        <v/>
      </c>
      <c r="T72" s="241" t="n"/>
      <c r="U72" s="81">
        <f>-SUMIFS(T_ORCAMENTOS!$E:$E,T_ORCAMENTOS!$C:$C,"Serviço de Manutenção - Equipamentos - Eventos",T_ORCAMENTOS!$H:$H,"5/2026")</f>
        <v/>
      </c>
      <c r="V72" s="82">
        <f>SUMIFS(Aut_BlueMe_Sem_Pedido!$J:$J,Aut_BlueMe_Sem_Pedido!$Q:$Q,DRE!T$4,Aut_BlueMe_Sem_Pedido!$H:$H,DRE!$A72)+SUMIFS(Aut_Ajustes_Manuais!$G:$G,Aut_Ajustes_Manuais!$I:$I,DRE!T$4,Aut_Ajustes_Manuais!$F:$F,"Serviço de Manutenção - Equipamentos - Eventos")</f>
        <v/>
      </c>
      <c r="W72" s="241" t="n"/>
      <c r="X72" s="81">
        <f>-SUMIFS(T_ORCAMENTOS!$E:$E,T_ORCAMENTOS!$C:$C,"Serviço de Manutenção - Equipamentos - Eventos",T_ORCAMENTOS!$H:$H,"6/2026")</f>
        <v/>
      </c>
      <c r="Y72" s="82">
        <f>SUMIFS(Aut_BlueMe_Sem_Pedido!$J:$J,Aut_BlueMe_Sem_Pedido!$Q:$Q,DRE!W$4,Aut_BlueMe_Sem_Pedido!$H:$H,DRE!$A72)+SUMIFS(Aut_Ajustes_Manuais!$G:$G,Aut_Ajustes_Manuais!$I:$I,DRE!W$4,Aut_Ajustes_Manuais!$F:$F,"Serviço de Manutenção - Equipamentos - Eventos")</f>
        <v/>
      </c>
      <c r="Z72" s="241" t="n"/>
      <c r="AA72" s="81">
        <f>-SUMIFS(T_ORCAMENTOS!$E:$E,T_ORCAMENTOS!$C:$C,"Serviço de Manutenção - Equipamentos - Eventos",T_ORCAMENTOS!$H:$H,"7/2026")</f>
        <v/>
      </c>
      <c r="AB72" s="82">
        <f>SUMIFS(Aut_BlueMe_Sem_Pedido!$J:$J,Aut_BlueMe_Sem_Pedido!$Q:$Q,DRE!Z$4,Aut_BlueMe_Sem_Pedido!$H:$H,DRE!$A72)+SUMIFS(Aut_Ajustes_Manuais!$G:$G,Aut_Ajustes_Manuais!$I:$I,DRE!Z$4,Aut_Ajustes_Manuais!$F:$F,"Serviço de Manutenção - Equipamentos - Eventos")</f>
        <v/>
      </c>
      <c r="AC72" s="241" t="n"/>
      <c r="AD72" s="81">
        <f>-SUMIFS(T_ORCAMENTOS!$E:$E,T_ORCAMENTOS!$C:$C,"Serviço de Manutenção - Equipamentos - Eventos",T_ORCAMENTOS!$H:$H,"8/2026")</f>
        <v/>
      </c>
      <c r="AE72" s="82">
        <f>SUMIFS(Aut_BlueMe_Sem_Pedido!$J:$J,Aut_BlueMe_Sem_Pedido!$Q:$Q,DRE!AC$4,Aut_BlueMe_Sem_Pedido!$H:$H,DRE!$A72)+SUMIFS(Aut_Ajustes_Manuais!$G:$G,Aut_Ajustes_Manuais!$I:$I,DRE!AC$4,Aut_Ajustes_Manuais!$F:$F,"Serviço de Manutenção - Equipamentos - Eventos")</f>
        <v/>
      </c>
      <c r="AF72" s="241" t="n"/>
      <c r="AG72" s="81">
        <f>-SUMIFS(T_ORCAMENTOS!$E:$E,T_ORCAMENTOS!$C:$C,"Serviço de Manutenção - Equipamentos - Eventos",T_ORCAMENTOS!$H:$H,"9/2026")</f>
        <v/>
      </c>
      <c r="AH72" s="82">
        <f>SUMIFS(Aut_BlueMe_Sem_Pedido!$J:$J,Aut_BlueMe_Sem_Pedido!$Q:$Q,DRE!AF$4,Aut_BlueMe_Sem_Pedido!$H:$H,DRE!$A72)+SUMIFS(Aut_Ajustes_Manuais!$G:$G,Aut_Ajustes_Manuais!$I:$I,DRE!AF$4,Aut_Ajustes_Manuais!$F:$F,"Serviço de Manutenção - Equipamentos - Eventos")</f>
        <v/>
      </c>
      <c r="AI72" s="241" t="n"/>
      <c r="AJ72" s="81">
        <f>-SUMIFS(T_ORCAMENTOS!$E:$E,T_ORCAMENTOS!$C:$C,"Serviço de Manutenção - Equipamentos - Eventos",T_ORCAMENTOS!$H:$H,"10/2026")</f>
        <v/>
      </c>
      <c r="AK72" s="82">
        <f>SUMIFS(Aut_BlueMe_Sem_Pedido!$J:$J,Aut_BlueMe_Sem_Pedido!$Q:$Q,DRE!AI$4,Aut_BlueMe_Sem_Pedido!$H:$H,DRE!$A72)+SUMIFS(Aut_Ajustes_Manuais!$G:$G,Aut_Ajustes_Manuais!$I:$I,DRE!AI$4,Aut_Ajustes_Manuais!$F:$F,"Serviço de Manutenção - Equipamentos - Eventos")</f>
        <v/>
      </c>
      <c r="AL72" s="241" t="n"/>
      <c r="AM72" s="81">
        <f>-SUMIFS(T_ORCAMENTOS!$E:$E,T_ORCAMENTOS!$C:$C,"Serviço de Manutenção - Equipamentos - Eventos",T_ORCAMENTOS!$H:$H,"11/2026")</f>
        <v/>
      </c>
      <c r="AN72" s="82">
        <f>SUMIFS(Aut_BlueMe_Sem_Pedido!$J:$J,Aut_BlueMe_Sem_Pedido!$Q:$Q,DRE!AL$4,Aut_BlueMe_Sem_Pedido!$H:$H,DRE!$A72)+SUMIFS(Aut_Ajustes_Manuais!$G:$G,Aut_Ajustes_Manuais!$I:$I,DRE!AL$4,Aut_Ajustes_Manuais!$F:$F,"Serviço de Manutenção - Equipamentos - Eventos")</f>
        <v/>
      </c>
      <c r="AO72" s="241" t="n"/>
      <c r="AP72" s="81">
        <f>-SUMIFS(T_ORCAMENTOS!$E:$E,T_ORCAMENTOS!$C:$C,"Serviço de Manutenção - Equipamentos - Eventos",T_ORCAMENTOS!$H:$H,"12/2026")</f>
        <v/>
      </c>
      <c r="AQ72" s="82">
        <f>SUMIFS(Aut_BlueMe_Sem_Pedido!$J:$J,Aut_BlueMe_Sem_Pedido!$Q:$Q,DRE!AO$4,Aut_BlueMe_Sem_Pedido!$H:$H,DRE!$A72)+SUMIFS(Aut_Ajustes_Manuais!$G:$G,Aut_Ajustes_Manuais!$I:$I,DRE!AO$4,Aut_Ajustes_Manuais!$F:$F,"Serviço de Manutenção - Equipamentos - Eventos")</f>
        <v/>
      </c>
      <c r="AR72" s="241">
        <f>SUMIFS($H72:$AO72,$H$5:$AO$5,"&lt;"&amp;MONTH(TODAY()),$H$6:$AO$6,"REAL 25")</f>
        <v/>
      </c>
      <c r="AS72" s="27">
        <f>SUMIFS($I72:$AP72,$I$5:$AP$5,"&lt;"&amp;MONTH(TODAY()),$I$6:$AP$6,"ORÇADO ")</f>
        <v/>
      </c>
      <c r="AT72" s="82">
        <f>SUMIFS($J72:$AQ72,$J$5:$AQ$5,"&lt;"&amp;MONTH(TODAY()),$J$6:$AQ$6,"REAL 26")</f>
        <v/>
      </c>
      <c r="AU72" s="241">
        <f>SUM(H72,K72,N72,Q72,T72,W72,Z72,AC72,AF72,AI72,AL72,AO72)</f>
        <v/>
      </c>
      <c r="AV72" s="81">
        <f>SUM(I72,L72,O72,R72,U72,X72,AA72,AD72,AG72,AJ72,AM72,AP72)</f>
        <v/>
      </c>
      <c r="AW72" s="82">
        <f>SUM(J72,M72,P72,S72,V72,Y72,AB72,AE72,AH72,AK72,AN72,AQ72)</f>
        <v/>
      </c>
      <c r="AX72" s="241">
        <f>SUM(H72,K72,N72)</f>
        <v/>
      </c>
      <c r="AY72" s="81">
        <f>SUM(I72,L72,O72)</f>
        <v/>
      </c>
      <c r="AZ72" s="82">
        <f>SUM(J72,M72,P72)</f>
        <v/>
      </c>
      <c r="BA72" s="241">
        <f>SUM(Q72,T72,W72)</f>
        <v/>
      </c>
      <c r="BB72" s="81">
        <f>SUM(R72,U72,X72)</f>
        <v/>
      </c>
      <c r="BC72" s="82">
        <f>SUM(S72,V72,Y72)</f>
        <v/>
      </c>
      <c r="BD72" s="241">
        <f>SUM(Z72,AC72,AF72)</f>
        <v/>
      </c>
      <c r="BE72" s="81">
        <f>SUM(AA72,AD72,AG72)</f>
        <v/>
      </c>
      <c r="BF72" s="82">
        <f>SUM(AB72,AE72,AH72)</f>
        <v/>
      </c>
      <c r="BG72" s="241">
        <f>SUM(AI72,AL72,AO72)</f>
        <v/>
      </c>
      <c r="BH72" s="81">
        <f>SUM(AJ72,AM72,AP72)</f>
        <v/>
      </c>
      <c r="BI72" s="82">
        <f>SUM(AK72,AN72,AQ72)</f>
        <v/>
      </c>
    </row>
    <row r="73" hidden="1" outlineLevel="1" ht="18.6" customHeight="1">
      <c r="A73" s="73" t="inlineStr">
        <is>
          <t>Transportes</t>
        </is>
      </c>
      <c r="C73" s="24" t="n"/>
      <c r="D73" s="69" t="n"/>
      <c r="E73" s="80" t="n"/>
      <c r="F73" s="41" t="n"/>
      <c r="H73" s="252" t="n"/>
      <c r="I73" s="74">
        <f>SUM(I74:I76)</f>
        <v/>
      </c>
      <c r="J73" s="76">
        <f>SUM(J74:J76)+SUMIFS(Aut_Ajustes_Manuais!$G:$G,Aut_Ajustes_Manuais!$I:$I,DRE!H$4,Aut_Ajustes_Manuais!$F:$F,"Transportes")</f>
        <v/>
      </c>
      <c r="K73" s="252" t="n"/>
      <c r="L73" s="74">
        <f>SUM(L74:L76)</f>
        <v/>
      </c>
      <c r="M73" s="76">
        <f>SUM(M74:M76)+SUMIFS(Aut_Ajustes_Manuais!$G:$G,Aut_Ajustes_Manuais!$I:$I,DRE!K$4,Aut_Ajustes_Manuais!$F:$F,"Transportes")</f>
        <v/>
      </c>
      <c r="N73" s="252" t="n"/>
      <c r="O73" s="74">
        <f>SUM(O74:O76)</f>
        <v/>
      </c>
      <c r="P73" s="76">
        <f>SUM(P74:P76)+SUMIFS(Aut_Ajustes_Manuais!$G:$G,Aut_Ajustes_Manuais!$I:$I,DRE!N$4,Aut_Ajustes_Manuais!$F:$F,"Transportes")</f>
        <v/>
      </c>
      <c r="Q73" s="252" t="n"/>
      <c r="R73" s="74">
        <f>SUM(R74:R76)</f>
        <v/>
      </c>
      <c r="S73" s="76">
        <f>SUM(S74:S76)+SUMIFS(Aut_Ajustes_Manuais!$G:$G,Aut_Ajustes_Manuais!$I:$I,DRE!Q$4,Aut_Ajustes_Manuais!$F:$F,"Transportes")</f>
        <v/>
      </c>
      <c r="T73" s="252" t="n"/>
      <c r="U73" s="74">
        <f>SUM(U74:U76)</f>
        <v/>
      </c>
      <c r="V73" s="76">
        <f>SUM(V74:V76)+SUMIFS(Aut_Ajustes_Manuais!$G:$G,Aut_Ajustes_Manuais!$I:$I,DRE!T$4,Aut_Ajustes_Manuais!$F:$F,"Transportes")</f>
        <v/>
      </c>
      <c r="W73" s="252" t="n"/>
      <c r="X73" s="74">
        <f>SUM(X74:X76)</f>
        <v/>
      </c>
      <c r="Y73" s="76">
        <f>SUM(Y74:Y76)+SUMIFS(Aut_Ajustes_Manuais!$G:$G,Aut_Ajustes_Manuais!$I:$I,DRE!W$4,Aut_Ajustes_Manuais!$F:$F,"Transportes")</f>
        <v/>
      </c>
      <c r="Z73" s="252" t="n"/>
      <c r="AA73" s="74">
        <f>SUM(AA74:AA76)</f>
        <v/>
      </c>
      <c r="AB73" s="76">
        <f>SUM(AB74:AB76)+SUMIFS(Aut_Ajustes_Manuais!$G:$G,Aut_Ajustes_Manuais!$I:$I,DRE!Z$4,Aut_Ajustes_Manuais!$F:$F,"Transportes")</f>
        <v/>
      </c>
      <c r="AC73" s="252" t="n"/>
      <c r="AD73" s="74">
        <f>SUM(AD74:AD76)</f>
        <v/>
      </c>
      <c r="AE73" s="76">
        <f>SUM(AE74:AE76)+SUMIFS(Aut_Ajustes_Manuais!$G:$G,Aut_Ajustes_Manuais!$I:$I,DRE!AC$4,Aut_Ajustes_Manuais!$F:$F,"Transportes")</f>
        <v/>
      </c>
      <c r="AF73" s="252" t="n"/>
      <c r="AG73" s="74">
        <f>SUM(AG74:AG76)</f>
        <v/>
      </c>
      <c r="AH73" s="76">
        <f>SUM(AH74:AH76)+SUMIFS(Aut_Ajustes_Manuais!$G:$G,Aut_Ajustes_Manuais!$I:$I,DRE!AF$4,Aut_Ajustes_Manuais!$F:$F,"Transportes")</f>
        <v/>
      </c>
      <c r="AI73" s="252" t="n"/>
      <c r="AJ73" s="74">
        <f>SUM(AJ74:AJ76)</f>
        <v/>
      </c>
      <c r="AK73" s="76">
        <f>SUM(AK74:AK76)+SUMIFS(Aut_Ajustes_Manuais!$G:$G,Aut_Ajustes_Manuais!$I:$I,DRE!AI$4,Aut_Ajustes_Manuais!$F:$F,"Transportes")</f>
        <v/>
      </c>
      <c r="AL73" s="252" t="n"/>
      <c r="AM73" s="74">
        <f>SUM(AM74:AM76)</f>
        <v/>
      </c>
      <c r="AN73" s="76">
        <f>SUM(AN74:AN76)+SUMIFS(Aut_Ajustes_Manuais!$G:$G,Aut_Ajustes_Manuais!$I:$I,DRE!AL$4,Aut_Ajustes_Manuais!$F:$F,"Transportes")</f>
        <v/>
      </c>
      <c r="AO73" s="252" t="n"/>
      <c r="AP73" s="74">
        <f>SUM(AP74:AP76)</f>
        <v/>
      </c>
      <c r="AQ73" s="76">
        <f>SUM(AQ74:AQ76)+SUMIFS(Aut_Ajustes_Manuais!$G:$G,Aut_Ajustes_Manuais!$I:$I,DRE!AO$4,Aut_Ajustes_Manuais!$F:$F,"Transportes")</f>
        <v/>
      </c>
      <c r="AR73" s="74">
        <f>SUMIFS($H73:$AO73,$H$5:$AO$5,"&lt;"&amp;MONTH(TODAY()),$H$6:$AO$6,"REAL 25")</f>
        <v/>
      </c>
      <c r="AS73" s="74">
        <f>SUMIFS($I73:$AP73,$I$5:$AP$5,"&lt;"&amp;MONTH(TODAY()),$I$6:$AP$6,"ORÇADO ")</f>
        <v/>
      </c>
      <c r="AT73" s="76">
        <f>SUMIFS($J73:$AQ73,$J$5:$AQ$5,"&lt;"&amp;MONTH(TODAY()),$J$6:$AQ$6,"REAL 26")</f>
        <v/>
      </c>
      <c r="AU73" s="252">
        <f>SUM(AU74:AU76)</f>
        <v/>
      </c>
      <c r="AV73" s="74">
        <f>SUM(AV74:AV76)</f>
        <v/>
      </c>
      <c r="AW73" s="76">
        <f>SUM(AW74:AW76)</f>
        <v/>
      </c>
      <c r="AX73" s="252">
        <f>SUM(AX74:AX76)</f>
        <v/>
      </c>
      <c r="AY73" s="74">
        <f>SUM(AY74:AY76)</f>
        <v/>
      </c>
      <c r="AZ73" s="76">
        <f>SUM(AZ74:AZ76)</f>
        <v/>
      </c>
      <c r="BA73" s="252">
        <f>SUM(BA74:BA76)</f>
        <v/>
      </c>
      <c r="BB73" s="74">
        <f>SUM(BB74:BB76)</f>
        <v/>
      </c>
      <c r="BC73" s="76">
        <f>SUM(BC74:BC76)</f>
        <v/>
      </c>
      <c r="BD73" s="252">
        <f>SUM(BD74:BD76)</f>
        <v/>
      </c>
      <c r="BE73" s="74">
        <f>SUM(BE74:BE76)</f>
        <v/>
      </c>
      <c r="BF73" s="76">
        <f>SUM(BF74:BF76)</f>
        <v/>
      </c>
      <c r="BG73" s="252">
        <f>SUM(BG74:BG76)</f>
        <v/>
      </c>
      <c r="BH73" s="74">
        <f>SUM(BH74:BH76)</f>
        <v/>
      </c>
      <c r="BI73" s="76">
        <f>SUM(BI74:BI76)</f>
        <v/>
      </c>
    </row>
    <row r="74" hidden="1" outlineLevel="2" customFormat="1" s="498">
      <c r="A74" s="22" t="inlineStr">
        <is>
          <t>Viagens e Estadias - Eventos</t>
        </is>
      </c>
      <c r="B74" s="488" t="n"/>
      <c r="C74" s="24" t="inlineStr">
        <is>
          <t>Passagem aérea/Hotel</t>
        </is>
      </c>
      <c r="D74" s="69" t="inlineStr">
        <is>
          <t>% sobre o Faturamento de Eventos</t>
        </is>
      </c>
      <c r="E74" s="80" t="n"/>
      <c r="F74" s="41" t="n"/>
      <c r="G74" s="23" t="n"/>
      <c r="H74" s="241" t="n"/>
      <c r="I74" s="81">
        <f>-SUMIFS(T_ORCAMENTOS!$E:$E,T_ORCAMENTOS!$C:$C,"Viagens e Estadias - Eventos",T_ORCAMENTOS!$H:$H,"1/2026")</f>
        <v/>
      </c>
      <c r="J74" s="82">
        <f>SUMIFS(Aut_BlueMe_Sem_Pedido!$J:$J,Aut_BlueMe_Sem_Pedido!$Q:$Q,DRE!H$4,Aut_BlueMe_Sem_Pedido!$H:$H,DRE!$A74)+SUMIFS(Aut_Ajustes_Manuais!$G:$G,Aut_Ajustes_Manuais!$I:$I,DRE!H$4,Aut_Ajustes_Manuais!$F:$F,"Viagens e Estadias - Eventos")</f>
        <v/>
      </c>
      <c r="K74" s="254" t="n"/>
      <c r="L74" s="81">
        <f>-SUMIFS(T_ORCAMENTOS!$E:$E,T_ORCAMENTOS!$C:$C,"Viagens e Estadias - Eventos",T_ORCAMENTOS!$H:$H,"2/2026")</f>
        <v/>
      </c>
      <c r="M74" s="82">
        <f>SUMIFS(Aut_BlueMe_Sem_Pedido!$J:$J,Aut_BlueMe_Sem_Pedido!$Q:$Q,DRE!K$4,Aut_BlueMe_Sem_Pedido!$H:$H,DRE!$A74)+SUMIFS(Aut_Ajustes_Manuais!$G:$G,Aut_Ajustes_Manuais!$I:$I,DRE!K$4,Aut_Ajustes_Manuais!$F:$F,"Viagens e Estadias - Eventos")</f>
        <v/>
      </c>
      <c r="N74" s="254" t="n"/>
      <c r="O74" s="81">
        <f>-SUMIFS(T_ORCAMENTOS!$E:$E,T_ORCAMENTOS!$C:$C,"Viagens e Estadias - Eventos",T_ORCAMENTOS!$H:$H,"3/2026")</f>
        <v/>
      </c>
      <c r="P74" s="82">
        <f>SUMIFS(Aut_BlueMe_Sem_Pedido!$J:$J,Aut_BlueMe_Sem_Pedido!$Q:$Q,DRE!N$4,Aut_BlueMe_Sem_Pedido!$H:$H,DRE!$A74)+SUMIFS(Aut_Ajustes_Manuais!$G:$G,Aut_Ajustes_Manuais!$I:$I,DRE!N$4,Aut_Ajustes_Manuais!$F:$F,"Viagens e Estadias - Eventos")</f>
        <v/>
      </c>
      <c r="Q74" s="241" t="n"/>
      <c r="R74" s="81">
        <f>-SUMIFS(T_ORCAMENTOS!$E:$E,T_ORCAMENTOS!$C:$C,"Viagens e Estadias - Eventos",T_ORCAMENTOS!$H:$H,"4/2026")</f>
        <v/>
      </c>
      <c r="S74" s="82">
        <f>SUMIFS(Aut_BlueMe_Sem_Pedido!$J:$J,Aut_BlueMe_Sem_Pedido!$Q:$Q,DRE!Q$4,Aut_BlueMe_Sem_Pedido!$H:$H,DRE!$A74)+SUMIFS(Aut_Ajustes_Manuais!$G:$G,Aut_Ajustes_Manuais!$I:$I,DRE!Q$4,Aut_Ajustes_Manuais!$F:$F,"Viagens e Estadias - Eventos")</f>
        <v/>
      </c>
      <c r="T74" s="241" t="n"/>
      <c r="U74" s="81">
        <f>-SUMIFS(T_ORCAMENTOS!$E:$E,T_ORCAMENTOS!$C:$C,"Viagens e Estadias - Eventos",T_ORCAMENTOS!$H:$H,"5/2026")</f>
        <v/>
      </c>
      <c r="V74" s="82">
        <f>SUMIFS(Aut_BlueMe_Sem_Pedido!$J:$J,Aut_BlueMe_Sem_Pedido!$Q:$Q,DRE!T$4,Aut_BlueMe_Sem_Pedido!$H:$H,DRE!$A74)+SUMIFS(Aut_Ajustes_Manuais!$G:$G,Aut_Ajustes_Manuais!$I:$I,DRE!T$4,Aut_Ajustes_Manuais!$F:$F,"Viagens e Estadias - Eventos")</f>
        <v/>
      </c>
      <c r="W74" s="241" t="n"/>
      <c r="X74" s="81">
        <f>-SUMIFS(T_ORCAMENTOS!$E:$E,T_ORCAMENTOS!$C:$C,"Viagens e Estadias - Eventos",T_ORCAMENTOS!$H:$H,"6/2026")</f>
        <v/>
      </c>
      <c r="Y74" s="82">
        <f>SUMIFS(Aut_BlueMe_Sem_Pedido!$J:$J,Aut_BlueMe_Sem_Pedido!$Q:$Q,DRE!W$4,Aut_BlueMe_Sem_Pedido!$H:$H,DRE!$A74)+SUMIFS(Aut_Ajustes_Manuais!$G:$G,Aut_Ajustes_Manuais!$I:$I,DRE!W$4,Aut_Ajustes_Manuais!$F:$F,"Viagens e Estadias - Eventos")</f>
        <v/>
      </c>
      <c r="Z74" s="241" t="n"/>
      <c r="AA74" s="81">
        <f>-SUMIFS(T_ORCAMENTOS!$E:$E,T_ORCAMENTOS!$C:$C,"Viagens e Estadias - Eventos",T_ORCAMENTOS!$H:$H,"7/2026")</f>
        <v/>
      </c>
      <c r="AB74" s="82">
        <f>SUMIFS(Aut_BlueMe_Sem_Pedido!$J:$J,Aut_BlueMe_Sem_Pedido!$Q:$Q,DRE!Z$4,Aut_BlueMe_Sem_Pedido!$H:$H,DRE!$A74)+SUMIFS(Aut_Ajustes_Manuais!$G:$G,Aut_Ajustes_Manuais!$I:$I,DRE!Z$4,Aut_Ajustes_Manuais!$F:$F,"Viagens e Estadias - Eventos")</f>
        <v/>
      </c>
      <c r="AC74" s="241" t="n"/>
      <c r="AD74" s="81">
        <f>-SUMIFS(T_ORCAMENTOS!$E:$E,T_ORCAMENTOS!$C:$C,"Viagens e Estadias - Eventos",T_ORCAMENTOS!$H:$H,"8/2026")</f>
        <v/>
      </c>
      <c r="AE74" s="82">
        <f>SUMIFS(Aut_BlueMe_Sem_Pedido!$J:$J,Aut_BlueMe_Sem_Pedido!$Q:$Q,DRE!AC$4,Aut_BlueMe_Sem_Pedido!$H:$H,DRE!$A74)+SUMIFS(Aut_Ajustes_Manuais!$G:$G,Aut_Ajustes_Manuais!$I:$I,DRE!AC$4,Aut_Ajustes_Manuais!$F:$F,"Viagens e Estadias - Eventos")</f>
        <v/>
      </c>
      <c r="AF74" s="241" t="n"/>
      <c r="AG74" s="81">
        <f>-SUMIFS(T_ORCAMENTOS!$E:$E,T_ORCAMENTOS!$C:$C,"Viagens e Estadias - Eventos",T_ORCAMENTOS!$H:$H,"9/2026")</f>
        <v/>
      </c>
      <c r="AH74" s="82">
        <f>SUMIFS(Aut_BlueMe_Sem_Pedido!$J:$J,Aut_BlueMe_Sem_Pedido!$Q:$Q,DRE!AF$4,Aut_BlueMe_Sem_Pedido!$H:$H,DRE!$A74)+SUMIFS(Aut_Ajustes_Manuais!$G:$G,Aut_Ajustes_Manuais!$I:$I,DRE!AF$4,Aut_Ajustes_Manuais!$F:$F,"Viagens e Estadias - Eventos")</f>
        <v/>
      </c>
      <c r="AI74" s="241" t="n"/>
      <c r="AJ74" s="81">
        <f>-SUMIFS(T_ORCAMENTOS!$E:$E,T_ORCAMENTOS!$C:$C,"Viagens e Estadias - Eventos",T_ORCAMENTOS!$H:$H,"10/2026")</f>
        <v/>
      </c>
      <c r="AK74" s="82">
        <f>SUMIFS(Aut_BlueMe_Sem_Pedido!$J:$J,Aut_BlueMe_Sem_Pedido!$Q:$Q,DRE!AI$4,Aut_BlueMe_Sem_Pedido!$H:$H,DRE!$A74)+SUMIFS(Aut_Ajustes_Manuais!$G:$G,Aut_Ajustes_Manuais!$I:$I,DRE!AI$4,Aut_Ajustes_Manuais!$F:$F,"Viagens e Estadias - Eventos")</f>
        <v/>
      </c>
      <c r="AL74" s="241" t="n"/>
      <c r="AM74" s="81">
        <f>-SUMIFS(T_ORCAMENTOS!$E:$E,T_ORCAMENTOS!$C:$C,"Viagens e Estadias - Eventos",T_ORCAMENTOS!$H:$H,"11/2026")</f>
        <v/>
      </c>
      <c r="AN74" s="82">
        <f>SUMIFS(Aut_BlueMe_Sem_Pedido!$J:$J,Aut_BlueMe_Sem_Pedido!$Q:$Q,DRE!AL$4,Aut_BlueMe_Sem_Pedido!$H:$H,DRE!$A74)+SUMIFS(Aut_Ajustes_Manuais!$G:$G,Aut_Ajustes_Manuais!$I:$I,DRE!AL$4,Aut_Ajustes_Manuais!$F:$F,"Viagens e Estadias - Eventos")</f>
        <v/>
      </c>
      <c r="AO74" s="241" t="n"/>
      <c r="AP74" s="81">
        <f>-SUMIFS(T_ORCAMENTOS!$E:$E,T_ORCAMENTOS!$C:$C,"Viagens e Estadias - Eventos",T_ORCAMENTOS!$H:$H,"12/2026")</f>
        <v/>
      </c>
      <c r="AQ74" s="82">
        <f>SUMIFS(Aut_BlueMe_Sem_Pedido!$J:$J,Aut_BlueMe_Sem_Pedido!$Q:$Q,DRE!AO$4,Aut_BlueMe_Sem_Pedido!$H:$H,DRE!$A74)+SUMIFS(Aut_Ajustes_Manuais!$G:$G,Aut_Ajustes_Manuais!$I:$I,DRE!AO$4,Aut_Ajustes_Manuais!$F:$F,"Viagens e Estadias - Eventos")</f>
        <v/>
      </c>
      <c r="AR74" s="241">
        <f>SUMIFS($H74:$AO74,$H$5:$AO$5,"&lt;"&amp;MONTH(TODAY()),$H$6:$AO$6,"REAL 25")</f>
        <v/>
      </c>
      <c r="AS74" s="27">
        <f>SUMIFS($I74:$AP74,$I$5:$AP$5,"&lt;"&amp;MONTH(TODAY()),$I$6:$AP$6,"ORÇADO ")</f>
        <v/>
      </c>
      <c r="AT74" s="82">
        <f>SUMIFS($J74:$AQ74,$J$5:$AQ$5,"&lt;"&amp;MONTH(TODAY()),$J$6:$AQ$6,"REAL 26")</f>
        <v/>
      </c>
      <c r="AU74" s="241">
        <f>SUM(H74,K74,N74,Q74,T74,W74,Z74,AC74,AF74,AI74,AL74,AO74)</f>
        <v/>
      </c>
      <c r="AV74" s="81">
        <f>SUM(I74,L74,O74,R74,U74,X74,AA74,AD74,AG74,AJ74,AM74,AP74)</f>
        <v/>
      </c>
      <c r="AW74" s="82">
        <f>SUM(J74,M74,P74,S74,V74,Y74,AB74,AE74,AH74,AK74,AN74,AQ74)</f>
        <v/>
      </c>
      <c r="AX74" s="241">
        <f>SUM(H74,K74,N74)</f>
        <v/>
      </c>
      <c r="AY74" s="81">
        <f>SUM(I74,L74,O74)</f>
        <v/>
      </c>
      <c r="AZ74" s="82">
        <f>SUM(J74,M74,P74)</f>
        <v/>
      </c>
      <c r="BA74" s="241">
        <f>SUM(Q74,T74,W74)</f>
        <v/>
      </c>
      <c r="BB74" s="81">
        <f>SUM(R74,U74,X74)</f>
        <v/>
      </c>
      <c r="BC74" s="82">
        <f>SUM(S74,V74,Y74)</f>
        <v/>
      </c>
      <c r="BD74" s="241">
        <f>SUM(Z74,AC74,AF74)</f>
        <v/>
      </c>
      <c r="BE74" s="81">
        <f>SUM(AA74,AD74,AG74)</f>
        <v/>
      </c>
      <c r="BF74" s="82">
        <f>SUM(AB74,AE74,AH74)</f>
        <v/>
      </c>
      <c r="BG74" s="241">
        <f>SUM(AI74,AL74,AO74)</f>
        <v/>
      </c>
      <c r="BH74" s="81">
        <f>SUM(AJ74,AM74,AP74)</f>
        <v/>
      </c>
      <c r="BI74" s="82">
        <f>SUM(AK74,AN74,AQ74)</f>
        <v/>
      </c>
    </row>
    <row r="75" hidden="1" outlineLevel="2" ht="25.2" customFormat="1" customHeight="1" s="498">
      <c r="A75" s="22" t="inlineStr">
        <is>
          <t>Transporte Equipe - Eventos</t>
        </is>
      </c>
      <c r="B75" s="488" t="n"/>
      <c r="C75" s="24" t="inlineStr">
        <is>
          <t>Uber/Taxi/Estacionamento para Equipe</t>
        </is>
      </c>
      <c r="D75" s="69" t="inlineStr">
        <is>
          <t>% sobre o Faturamento de Eventos</t>
        </is>
      </c>
      <c r="E75" s="80" t="n"/>
      <c r="F75" s="41" t="n"/>
      <c r="G75" s="23" t="n"/>
      <c r="H75" s="241" t="n"/>
      <c r="I75" s="81">
        <f>-SUMIFS(T_ORCAMENTOS!$E:$E,T_ORCAMENTOS!$C:$C,"Transporte Equipe - Eventos",T_ORCAMENTOS!$H:$H,"1/2026")</f>
        <v/>
      </c>
      <c r="J75" s="82">
        <f>SUMIFS(Aut_BlueMe_Sem_Pedido!$J:$J,Aut_BlueMe_Sem_Pedido!$Q:$Q,DRE!H$4,Aut_BlueMe_Sem_Pedido!$H:$H,DRE!$A75)+SUMIFS(Aut_Ajustes_Manuais!$G:$G,Aut_Ajustes_Manuais!$I:$I,DRE!H$4,Aut_Ajustes_Manuais!$F:$F,"Transporte Equipe - Eventos")</f>
        <v/>
      </c>
      <c r="K75" s="254" t="n"/>
      <c r="L75" s="81">
        <f>-SUMIFS(T_ORCAMENTOS!$E:$E,T_ORCAMENTOS!$C:$C,"Transporte Equipe - Eventos",T_ORCAMENTOS!$H:$H,"2/2026")</f>
        <v/>
      </c>
      <c r="M75" s="82">
        <f>SUMIFS(Aut_BlueMe_Sem_Pedido!$J:$J,Aut_BlueMe_Sem_Pedido!$Q:$Q,DRE!K$4,Aut_BlueMe_Sem_Pedido!$H:$H,DRE!$A75)+SUMIFS(Aut_Ajustes_Manuais!$G:$G,Aut_Ajustes_Manuais!$I:$I,DRE!K$4,Aut_Ajustes_Manuais!$F:$F,"Transporte Equipe - Eventos")</f>
        <v/>
      </c>
      <c r="N75" s="254" t="n"/>
      <c r="O75" s="81">
        <f>-SUMIFS(T_ORCAMENTOS!$E:$E,T_ORCAMENTOS!$C:$C,"Transporte Equipe - Eventos",T_ORCAMENTOS!$H:$H,"3/2026")</f>
        <v/>
      </c>
      <c r="P75" s="82">
        <f>SUMIFS(Aut_BlueMe_Sem_Pedido!$J:$J,Aut_BlueMe_Sem_Pedido!$Q:$Q,DRE!N$4,Aut_BlueMe_Sem_Pedido!$H:$H,DRE!$A75)+SUMIFS(Aut_Ajustes_Manuais!$G:$G,Aut_Ajustes_Manuais!$I:$I,DRE!N$4,Aut_Ajustes_Manuais!$F:$F,"Transporte Equipe - Eventos")</f>
        <v/>
      </c>
      <c r="Q75" s="241" t="n"/>
      <c r="R75" s="81">
        <f>-SUMIFS(T_ORCAMENTOS!$E:$E,T_ORCAMENTOS!$C:$C,"Transporte Equipe - Eventos",T_ORCAMENTOS!$H:$H,"4/2026")</f>
        <v/>
      </c>
      <c r="S75" s="82">
        <f>SUMIFS(Aut_BlueMe_Sem_Pedido!$J:$J,Aut_BlueMe_Sem_Pedido!$Q:$Q,DRE!Q$4,Aut_BlueMe_Sem_Pedido!$H:$H,DRE!$A75)+SUMIFS(Aut_Ajustes_Manuais!$G:$G,Aut_Ajustes_Manuais!$I:$I,DRE!Q$4,Aut_Ajustes_Manuais!$F:$F,"Transporte Equipe - Eventos")</f>
        <v/>
      </c>
      <c r="T75" s="241" t="n"/>
      <c r="U75" s="81">
        <f>-SUMIFS(T_ORCAMENTOS!$E:$E,T_ORCAMENTOS!$C:$C,"Transporte Equipe - Eventos",T_ORCAMENTOS!$H:$H,"5/2026")</f>
        <v/>
      </c>
      <c r="V75" s="82">
        <f>SUMIFS(Aut_BlueMe_Sem_Pedido!$J:$J,Aut_BlueMe_Sem_Pedido!$Q:$Q,DRE!T$4,Aut_BlueMe_Sem_Pedido!$H:$H,DRE!$A75)+SUMIFS(Aut_Ajustes_Manuais!$G:$G,Aut_Ajustes_Manuais!$I:$I,DRE!T$4,Aut_Ajustes_Manuais!$F:$F,"Transporte Equipe - Eventos")</f>
        <v/>
      </c>
      <c r="W75" s="241" t="n"/>
      <c r="X75" s="81">
        <f>-SUMIFS(T_ORCAMENTOS!$E:$E,T_ORCAMENTOS!$C:$C,"Transporte Equipe - Eventos",T_ORCAMENTOS!$H:$H,"6/2026")</f>
        <v/>
      </c>
      <c r="Y75" s="82">
        <f>SUMIFS(Aut_BlueMe_Sem_Pedido!$J:$J,Aut_BlueMe_Sem_Pedido!$Q:$Q,DRE!W$4,Aut_BlueMe_Sem_Pedido!$H:$H,DRE!$A75)+SUMIFS(Aut_Ajustes_Manuais!$G:$G,Aut_Ajustes_Manuais!$I:$I,DRE!W$4,Aut_Ajustes_Manuais!$F:$F,"Transporte Equipe - Eventos")</f>
        <v/>
      </c>
      <c r="Z75" s="241" t="n"/>
      <c r="AA75" s="81">
        <f>-SUMIFS(T_ORCAMENTOS!$E:$E,T_ORCAMENTOS!$C:$C,"Transporte Equipe - Eventos",T_ORCAMENTOS!$H:$H,"7/2026")</f>
        <v/>
      </c>
      <c r="AB75" s="82">
        <f>SUMIFS(Aut_BlueMe_Sem_Pedido!$J:$J,Aut_BlueMe_Sem_Pedido!$Q:$Q,DRE!Z$4,Aut_BlueMe_Sem_Pedido!$H:$H,DRE!$A75)+SUMIFS(Aut_Ajustes_Manuais!$G:$G,Aut_Ajustes_Manuais!$I:$I,DRE!Z$4,Aut_Ajustes_Manuais!$F:$F,"Transporte Equipe - Eventos")</f>
        <v/>
      </c>
      <c r="AC75" s="241" t="n"/>
      <c r="AD75" s="81">
        <f>-SUMIFS(T_ORCAMENTOS!$E:$E,T_ORCAMENTOS!$C:$C,"Transporte Equipe - Eventos",T_ORCAMENTOS!$H:$H,"8/2026")</f>
        <v/>
      </c>
      <c r="AE75" s="82">
        <f>SUMIFS(Aut_BlueMe_Sem_Pedido!$J:$J,Aut_BlueMe_Sem_Pedido!$Q:$Q,DRE!AC$4,Aut_BlueMe_Sem_Pedido!$H:$H,DRE!$A75)+SUMIFS(Aut_Ajustes_Manuais!$G:$G,Aut_Ajustes_Manuais!$I:$I,DRE!AC$4,Aut_Ajustes_Manuais!$F:$F,"Transporte Equipe - Eventos")</f>
        <v/>
      </c>
      <c r="AF75" s="241" t="n"/>
      <c r="AG75" s="81">
        <f>-SUMIFS(T_ORCAMENTOS!$E:$E,T_ORCAMENTOS!$C:$C,"Transporte Equipe - Eventos",T_ORCAMENTOS!$H:$H,"9/2026")</f>
        <v/>
      </c>
      <c r="AH75" s="82">
        <f>SUMIFS(Aut_BlueMe_Sem_Pedido!$J:$J,Aut_BlueMe_Sem_Pedido!$Q:$Q,DRE!AF$4,Aut_BlueMe_Sem_Pedido!$H:$H,DRE!$A75)+SUMIFS(Aut_Ajustes_Manuais!$G:$G,Aut_Ajustes_Manuais!$I:$I,DRE!AF$4,Aut_Ajustes_Manuais!$F:$F,"Transporte Equipe - Eventos")</f>
        <v/>
      </c>
      <c r="AI75" s="241" t="n"/>
      <c r="AJ75" s="81">
        <f>-SUMIFS(T_ORCAMENTOS!$E:$E,T_ORCAMENTOS!$C:$C,"Transporte Equipe - Eventos",T_ORCAMENTOS!$H:$H,"10/2026")</f>
        <v/>
      </c>
      <c r="AK75" s="82">
        <f>SUMIFS(Aut_BlueMe_Sem_Pedido!$J:$J,Aut_BlueMe_Sem_Pedido!$Q:$Q,DRE!AI$4,Aut_BlueMe_Sem_Pedido!$H:$H,DRE!$A75)+SUMIFS(Aut_Ajustes_Manuais!$G:$G,Aut_Ajustes_Manuais!$I:$I,DRE!AI$4,Aut_Ajustes_Manuais!$F:$F,"Transporte Equipe - Eventos")</f>
        <v/>
      </c>
      <c r="AL75" s="241" t="n"/>
      <c r="AM75" s="81">
        <f>-SUMIFS(T_ORCAMENTOS!$E:$E,T_ORCAMENTOS!$C:$C,"Transporte Equipe - Eventos",T_ORCAMENTOS!$H:$H,"11/2026")</f>
        <v/>
      </c>
      <c r="AN75" s="82">
        <f>SUMIFS(Aut_BlueMe_Sem_Pedido!$J:$J,Aut_BlueMe_Sem_Pedido!$Q:$Q,DRE!AL$4,Aut_BlueMe_Sem_Pedido!$H:$H,DRE!$A75)+SUMIFS(Aut_Ajustes_Manuais!$G:$G,Aut_Ajustes_Manuais!$I:$I,DRE!AL$4,Aut_Ajustes_Manuais!$F:$F,"Transporte Equipe - Eventos")</f>
        <v/>
      </c>
      <c r="AO75" s="241" t="n"/>
      <c r="AP75" s="81">
        <f>-SUMIFS(T_ORCAMENTOS!$E:$E,T_ORCAMENTOS!$C:$C,"Transporte Equipe - Eventos",T_ORCAMENTOS!$H:$H,"12/2026")</f>
        <v/>
      </c>
      <c r="AQ75" s="82">
        <f>SUMIFS(Aut_BlueMe_Sem_Pedido!$J:$J,Aut_BlueMe_Sem_Pedido!$Q:$Q,DRE!AO$4,Aut_BlueMe_Sem_Pedido!$H:$H,DRE!$A75)+SUMIFS(Aut_Ajustes_Manuais!$G:$G,Aut_Ajustes_Manuais!$I:$I,DRE!AO$4,Aut_Ajustes_Manuais!$F:$F,"Transporte Equipe - Eventos")</f>
        <v/>
      </c>
      <c r="AR75" s="241">
        <f>SUMIFS($H75:$AO75,$H$5:$AO$5,"&lt;"&amp;MONTH(TODAY()),$H$6:$AO$6,"REAL 25")</f>
        <v/>
      </c>
      <c r="AS75" s="27">
        <f>SUMIFS($I75:$AP75,$I$5:$AP$5,"&lt;"&amp;MONTH(TODAY()),$I$6:$AP$6,"ORÇADO ")</f>
        <v/>
      </c>
      <c r="AT75" s="82">
        <f>SUMIFS($J75:$AQ75,$J$5:$AQ$5,"&lt;"&amp;MONTH(TODAY()),$J$6:$AQ$6,"REAL 26")</f>
        <v/>
      </c>
      <c r="AU75" s="241">
        <f>SUM(H75,K75,N75,Q75,T75,W75,Z75,AC75,AF75,AI75,AL75,AO75)</f>
        <v/>
      </c>
      <c r="AV75" s="81">
        <f>SUM(I75,L75,O75,R75,U75,X75,AA75,AD75,AG75,AJ75,AM75,AP75)</f>
        <v/>
      </c>
      <c r="AW75" s="82">
        <f>SUM(J75,M75,P75,S75,V75,Y75,AB75,AE75,AH75,AK75,AN75,AQ75)</f>
        <v/>
      </c>
      <c r="AX75" s="241">
        <f>SUM(H75,K75,N75)</f>
        <v/>
      </c>
      <c r="AY75" s="81">
        <f>SUM(I75,L75,O75)</f>
        <v/>
      </c>
      <c r="AZ75" s="82">
        <f>SUM(J75,M75,P75)</f>
        <v/>
      </c>
      <c r="BA75" s="241">
        <f>SUM(Q75,T75,W75)</f>
        <v/>
      </c>
      <c r="BB75" s="81">
        <f>SUM(R75,U75,X75)</f>
        <v/>
      </c>
      <c r="BC75" s="82">
        <f>SUM(S75,V75,Y75)</f>
        <v/>
      </c>
      <c r="BD75" s="241">
        <f>SUM(Z75,AC75,AF75)</f>
        <v/>
      </c>
      <c r="BE75" s="81">
        <f>SUM(AA75,AD75,AG75)</f>
        <v/>
      </c>
      <c r="BF75" s="82">
        <f>SUM(AB75,AE75,AH75)</f>
        <v/>
      </c>
      <c r="BG75" s="241">
        <f>SUM(AI75,AL75,AO75)</f>
        <v/>
      </c>
      <c r="BH75" s="81">
        <f>SUM(AJ75,AM75,AP75)</f>
        <v/>
      </c>
      <c r="BI75" s="82">
        <f>SUM(AK75,AN75,AQ75)</f>
        <v/>
      </c>
    </row>
    <row r="76" hidden="1" outlineLevel="2" customFormat="1" s="498">
      <c r="A76" s="22" t="inlineStr">
        <is>
          <t>Fretes e Carretos - Eventos</t>
        </is>
      </c>
      <c r="B76" s="488" t="n"/>
      <c r="C76" s="24" t="n"/>
      <c r="D76" s="69" t="inlineStr">
        <is>
          <t>% sobre o Faturamento de Eventos</t>
        </is>
      </c>
      <c r="E76" s="45" t="n">
        <v>-0.002</v>
      </c>
      <c r="F76" s="41" t="n"/>
      <c r="G76" s="23" t="n"/>
      <c r="H76" s="241" t="n"/>
      <c r="I76" s="81">
        <f>-SUMIFS(T_ORCAMENTOS!$E:$E,T_ORCAMENTOS!$C:$C,"Fretes e Carretos - Eventos",T_ORCAMENTOS!$H:$H,"1/2026")</f>
        <v/>
      </c>
      <c r="J76" s="82">
        <f>SUMIFS(Aut_BlueMe_Sem_Pedido!$J:$J,Aut_BlueMe_Sem_Pedido!$Q:$Q,DRE!H$4,Aut_BlueMe_Sem_Pedido!$H:$H,DRE!$A76)+SUMIFS(Aut_Ajustes_Manuais!$G:$G,Aut_Ajustes_Manuais!$I:$I,DRE!H$4,Aut_Ajustes_Manuais!$F:$F,"Fretes e Carretos - Eventos")</f>
        <v/>
      </c>
      <c r="K76" s="254" t="n"/>
      <c r="L76" s="81">
        <f>-SUMIFS(T_ORCAMENTOS!$E:$E,T_ORCAMENTOS!$C:$C,"Fretes e Carretos - Eventos",T_ORCAMENTOS!$H:$H,"2/2026")</f>
        <v/>
      </c>
      <c r="M76" s="82">
        <f>SUMIFS(Aut_BlueMe_Sem_Pedido!$J:$J,Aut_BlueMe_Sem_Pedido!$Q:$Q,DRE!K$4,Aut_BlueMe_Sem_Pedido!$H:$H,DRE!$A76)+SUMIFS(Aut_Ajustes_Manuais!$G:$G,Aut_Ajustes_Manuais!$I:$I,DRE!K$4,Aut_Ajustes_Manuais!$F:$F,"Fretes e Carretos - Eventos")</f>
        <v/>
      </c>
      <c r="N76" s="254" t="n"/>
      <c r="O76" s="81">
        <f>-SUMIFS(T_ORCAMENTOS!$E:$E,T_ORCAMENTOS!$C:$C,"Fretes e Carretos - Eventos",T_ORCAMENTOS!$H:$H,"3/2026")</f>
        <v/>
      </c>
      <c r="P76" s="82">
        <f>SUMIFS(Aut_BlueMe_Sem_Pedido!$J:$J,Aut_BlueMe_Sem_Pedido!$Q:$Q,DRE!N$4,Aut_BlueMe_Sem_Pedido!$H:$H,DRE!$A76)+SUMIFS(Aut_Ajustes_Manuais!$G:$G,Aut_Ajustes_Manuais!$I:$I,DRE!N$4,Aut_Ajustes_Manuais!$F:$F,"Fretes e Carretos - Eventos")</f>
        <v/>
      </c>
      <c r="Q76" s="241" t="n"/>
      <c r="R76" s="81">
        <f>-SUMIFS(T_ORCAMENTOS!$E:$E,T_ORCAMENTOS!$C:$C,"Fretes e Carretos - Eventos",T_ORCAMENTOS!$H:$H,"4/2026")</f>
        <v/>
      </c>
      <c r="S76" s="82">
        <f>SUMIFS(Aut_BlueMe_Sem_Pedido!$J:$J,Aut_BlueMe_Sem_Pedido!$Q:$Q,DRE!Q$4,Aut_BlueMe_Sem_Pedido!$H:$H,DRE!$A76)+SUMIFS(Aut_Ajustes_Manuais!$G:$G,Aut_Ajustes_Manuais!$I:$I,DRE!Q$4,Aut_Ajustes_Manuais!$F:$F,"Fretes e Carretos - Eventos")</f>
        <v/>
      </c>
      <c r="T76" s="241" t="n"/>
      <c r="U76" s="81">
        <f>-SUMIFS(T_ORCAMENTOS!$E:$E,T_ORCAMENTOS!$C:$C,"Fretes e Carretos - Eventos",T_ORCAMENTOS!$H:$H,"5/2026")</f>
        <v/>
      </c>
      <c r="V76" s="82">
        <f>SUMIFS(Aut_BlueMe_Sem_Pedido!$J:$J,Aut_BlueMe_Sem_Pedido!$Q:$Q,DRE!T$4,Aut_BlueMe_Sem_Pedido!$H:$H,DRE!$A76)+SUMIFS(Aut_Ajustes_Manuais!$G:$G,Aut_Ajustes_Manuais!$I:$I,DRE!T$4,Aut_Ajustes_Manuais!$F:$F,"Fretes e Carretos - Eventos")</f>
        <v/>
      </c>
      <c r="W76" s="241" t="n"/>
      <c r="X76" s="81">
        <f>-SUMIFS(T_ORCAMENTOS!$E:$E,T_ORCAMENTOS!$C:$C,"Fretes e Carretos - Eventos",T_ORCAMENTOS!$H:$H,"6/2026")</f>
        <v/>
      </c>
      <c r="Y76" s="82">
        <f>SUMIFS(Aut_BlueMe_Sem_Pedido!$J:$J,Aut_BlueMe_Sem_Pedido!$Q:$Q,DRE!W$4,Aut_BlueMe_Sem_Pedido!$H:$H,DRE!$A76)+SUMIFS(Aut_Ajustes_Manuais!$G:$G,Aut_Ajustes_Manuais!$I:$I,DRE!W$4,Aut_Ajustes_Manuais!$F:$F,"Fretes e Carretos - Eventos")</f>
        <v/>
      </c>
      <c r="Z76" s="241" t="n"/>
      <c r="AA76" s="81">
        <f>-SUMIFS(T_ORCAMENTOS!$E:$E,T_ORCAMENTOS!$C:$C,"Fretes e Carretos - Eventos",T_ORCAMENTOS!$H:$H,"7/2026")</f>
        <v/>
      </c>
      <c r="AB76" s="82">
        <f>SUMIFS(Aut_BlueMe_Sem_Pedido!$J:$J,Aut_BlueMe_Sem_Pedido!$Q:$Q,DRE!Z$4,Aut_BlueMe_Sem_Pedido!$H:$H,DRE!$A76)+SUMIFS(Aut_Ajustes_Manuais!$G:$G,Aut_Ajustes_Manuais!$I:$I,DRE!Z$4,Aut_Ajustes_Manuais!$F:$F,"Fretes e Carretos - Eventos")</f>
        <v/>
      </c>
      <c r="AC76" s="241" t="n"/>
      <c r="AD76" s="81">
        <f>-SUMIFS(T_ORCAMENTOS!$E:$E,T_ORCAMENTOS!$C:$C,"Fretes e Carretos - Eventos",T_ORCAMENTOS!$H:$H,"8/2026")</f>
        <v/>
      </c>
      <c r="AE76" s="82">
        <f>SUMIFS(Aut_BlueMe_Sem_Pedido!$J:$J,Aut_BlueMe_Sem_Pedido!$Q:$Q,DRE!AC$4,Aut_BlueMe_Sem_Pedido!$H:$H,DRE!$A76)+SUMIFS(Aut_Ajustes_Manuais!$G:$G,Aut_Ajustes_Manuais!$I:$I,DRE!AC$4,Aut_Ajustes_Manuais!$F:$F,"Fretes e Carretos - Eventos")</f>
        <v/>
      </c>
      <c r="AF76" s="241" t="n"/>
      <c r="AG76" s="81">
        <f>-SUMIFS(T_ORCAMENTOS!$E:$E,T_ORCAMENTOS!$C:$C,"Fretes e Carretos - Eventos",T_ORCAMENTOS!$H:$H,"9/2026")</f>
        <v/>
      </c>
      <c r="AH76" s="82">
        <f>SUMIFS(Aut_BlueMe_Sem_Pedido!$J:$J,Aut_BlueMe_Sem_Pedido!$Q:$Q,DRE!AF$4,Aut_BlueMe_Sem_Pedido!$H:$H,DRE!$A76)+SUMIFS(Aut_Ajustes_Manuais!$G:$G,Aut_Ajustes_Manuais!$I:$I,DRE!AF$4,Aut_Ajustes_Manuais!$F:$F,"Fretes e Carretos - Eventos")</f>
        <v/>
      </c>
      <c r="AI76" s="241" t="n"/>
      <c r="AJ76" s="81">
        <f>-SUMIFS(T_ORCAMENTOS!$E:$E,T_ORCAMENTOS!$C:$C,"Fretes e Carretos - Eventos",T_ORCAMENTOS!$H:$H,"10/2026")</f>
        <v/>
      </c>
      <c r="AK76" s="82">
        <f>SUMIFS(Aut_BlueMe_Sem_Pedido!$J:$J,Aut_BlueMe_Sem_Pedido!$Q:$Q,DRE!AI$4,Aut_BlueMe_Sem_Pedido!$H:$H,DRE!$A76)+SUMIFS(Aut_Ajustes_Manuais!$G:$G,Aut_Ajustes_Manuais!$I:$I,DRE!AI$4,Aut_Ajustes_Manuais!$F:$F,"Fretes e Carretos - Eventos")</f>
        <v/>
      </c>
      <c r="AL76" s="241" t="n"/>
      <c r="AM76" s="81">
        <f>-SUMIFS(T_ORCAMENTOS!$E:$E,T_ORCAMENTOS!$C:$C,"Fretes e Carretos - Eventos",T_ORCAMENTOS!$H:$H,"11/2026")</f>
        <v/>
      </c>
      <c r="AN76" s="82">
        <f>SUMIFS(Aut_BlueMe_Sem_Pedido!$J:$J,Aut_BlueMe_Sem_Pedido!$Q:$Q,DRE!AL$4,Aut_BlueMe_Sem_Pedido!$H:$H,DRE!$A76)+SUMIFS(Aut_Ajustes_Manuais!$G:$G,Aut_Ajustes_Manuais!$I:$I,DRE!AL$4,Aut_Ajustes_Manuais!$F:$F,"Fretes e Carretos - Eventos")</f>
        <v/>
      </c>
      <c r="AO76" s="241" t="n"/>
      <c r="AP76" s="81">
        <f>-SUMIFS(T_ORCAMENTOS!$E:$E,T_ORCAMENTOS!$C:$C,"Fretes e Carretos - Eventos",T_ORCAMENTOS!$H:$H,"12/2026")</f>
        <v/>
      </c>
      <c r="AQ76" s="82">
        <f>SUMIFS(Aut_BlueMe_Sem_Pedido!$J:$J,Aut_BlueMe_Sem_Pedido!$Q:$Q,DRE!AO$4,Aut_BlueMe_Sem_Pedido!$H:$H,DRE!$A76)+SUMIFS(Aut_Ajustes_Manuais!$G:$G,Aut_Ajustes_Manuais!$I:$I,DRE!AO$4,Aut_Ajustes_Manuais!$F:$F,"Fretes e Carretos - Eventos")</f>
        <v/>
      </c>
      <c r="AR76" s="241">
        <f>SUMIFS($H76:$AO76,$H$5:$AO$5,"&lt;"&amp;MONTH(TODAY()),$H$6:$AO$6,"REAL 25")</f>
        <v/>
      </c>
      <c r="AS76" s="27">
        <f>SUMIFS($I76:$AP76,$I$5:$AP$5,"&lt;"&amp;MONTH(TODAY()),$I$6:$AP$6,"ORÇADO ")</f>
        <v/>
      </c>
      <c r="AT76" s="82">
        <f>SUMIFS($J76:$AQ76,$J$5:$AQ$5,"&lt;"&amp;MONTH(TODAY()),$J$6:$AQ$6,"REAL 26")</f>
        <v/>
      </c>
      <c r="AU76" s="241">
        <f>SUM(H76,K76,N76,Q76,T76,W76,Z76,AC76,AF76,AI76,AL76,AO76)</f>
        <v/>
      </c>
      <c r="AV76" s="81">
        <f>SUM(I76,L76,O76,R76,U76,X76,AA76,AD76,AG76,AJ76,AM76,AP76)</f>
        <v/>
      </c>
      <c r="AW76" s="82">
        <f>SUM(J76,M76,P76,S76,V76,Y76,AB76,AE76,AH76,AK76,AN76,AQ76)</f>
        <v/>
      </c>
      <c r="AX76" s="241">
        <f>SUM(H76,K76,N76)</f>
        <v/>
      </c>
      <c r="AY76" s="81">
        <f>SUM(I76,L76,O76)</f>
        <v/>
      </c>
      <c r="AZ76" s="82">
        <f>SUM(J76,M76,P76)</f>
        <v/>
      </c>
      <c r="BA76" s="241">
        <f>SUM(Q76,T76,W76)</f>
        <v/>
      </c>
      <c r="BB76" s="81">
        <f>SUM(R76,U76,X76)</f>
        <v/>
      </c>
      <c r="BC76" s="82">
        <f>SUM(S76,V76,Y76)</f>
        <v/>
      </c>
      <c r="BD76" s="241">
        <f>SUM(Z76,AC76,AF76)</f>
        <v/>
      </c>
      <c r="BE76" s="81">
        <f>SUM(AA76,AD76,AG76)</f>
        <v/>
      </c>
      <c r="BF76" s="82">
        <f>SUM(AB76,AE76,AH76)</f>
        <v/>
      </c>
      <c r="BG76" s="241">
        <f>SUM(AI76,AL76,AO76)</f>
        <v/>
      </c>
      <c r="BH76" s="81">
        <f>SUM(AJ76,AM76,AP76)</f>
        <v/>
      </c>
      <c r="BI76" s="82">
        <f>SUM(AK76,AN76,AQ76)</f>
        <v/>
      </c>
    </row>
    <row r="77" hidden="1" outlineLevel="1" ht="18.6" customHeight="1">
      <c r="A77" s="73" t="inlineStr">
        <is>
          <t>Locações</t>
        </is>
      </c>
      <c r="C77" s="24" t="n"/>
      <c r="D77" s="69" t="n"/>
      <c r="E77" s="80" t="n"/>
      <c r="F77" s="41" t="n"/>
      <c r="H77" s="252" t="n"/>
      <c r="I77" s="74">
        <f>SUM(I78:I81)</f>
        <v/>
      </c>
      <c r="J77" s="76">
        <f>SUM(J78:J81)+SUMIFS(Aut_Ajustes_Manuais!$G:$G,Aut_Ajustes_Manuais!$I:$I,DRE!H$4,Aut_Ajustes_Manuais!$F:$F,"Locações")</f>
        <v/>
      </c>
      <c r="K77" s="252" t="n"/>
      <c r="L77" s="74">
        <f>SUM(L78:L81)</f>
        <v/>
      </c>
      <c r="M77" s="76">
        <f>SUM(M78:M81)+SUMIFS(Aut_Ajustes_Manuais!$G:$G,Aut_Ajustes_Manuais!$I:$I,DRE!K$4,Aut_Ajustes_Manuais!$F:$F,"Locações")</f>
        <v/>
      </c>
      <c r="N77" s="252" t="n"/>
      <c r="O77" s="74">
        <f>SUM(O78:O81)</f>
        <v/>
      </c>
      <c r="P77" s="76">
        <f>SUM(P78:P81)+SUMIFS(Aut_Ajustes_Manuais!$G:$G,Aut_Ajustes_Manuais!$I:$I,DRE!N$4,Aut_Ajustes_Manuais!$F:$F,"Locações")</f>
        <v/>
      </c>
      <c r="Q77" s="252">
        <f>SUM(Q78:Q81)</f>
        <v/>
      </c>
      <c r="R77" s="74">
        <f>SUM(R78:R81)</f>
        <v/>
      </c>
      <c r="S77" s="76">
        <f>SUM(S78:S81)+SUMIFS(Aut_Ajustes_Manuais!$G:$G,Aut_Ajustes_Manuais!$I:$I,DRE!Q$4,Aut_Ajustes_Manuais!$F:$F,"Locações")</f>
        <v/>
      </c>
      <c r="T77" s="252">
        <f>SUM(T78:T81)</f>
        <v/>
      </c>
      <c r="U77" s="74">
        <f>SUM(U78:U81)</f>
        <v/>
      </c>
      <c r="V77" s="76">
        <f>SUM(V78:V81)+SUMIFS(Aut_Ajustes_Manuais!$G:$G,Aut_Ajustes_Manuais!$I:$I,DRE!T$4,Aut_Ajustes_Manuais!$F:$F,"Locações")</f>
        <v/>
      </c>
      <c r="W77" s="252">
        <f>SUM(W78:W81)</f>
        <v/>
      </c>
      <c r="X77" s="74">
        <f>SUM(X78:X81)</f>
        <v/>
      </c>
      <c r="Y77" s="76">
        <f>SUM(Y78:Y81)+SUMIFS(Aut_Ajustes_Manuais!$G:$G,Aut_Ajustes_Manuais!$I:$I,DRE!W$4,Aut_Ajustes_Manuais!$F:$F,"Locações")</f>
        <v/>
      </c>
      <c r="Z77" s="252">
        <f>SUM(Z78:Z81)</f>
        <v/>
      </c>
      <c r="AA77" s="74">
        <f>SUM(AA78:AA81)</f>
        <v/>
      </c>
      <c r="AB77" s="76">
        <f>SUM(AB78:AB81)+SUMIFS(Aut_Ajustes_Manuais!$G:$G,Aut_Ajustes_Manuais!$I:$I,DRE!Z$4,Aut_Ajustes_Manuais!$F:$F,"Locações")</f>
        <v/>
      </c>
      <c r="AC77" s="252">
        <f>SUM(AC78:AC81)</f>
        <v/>
      </c>
      <c r="AD77" s="74">
        <f>SUM(AD78:AD81)</f>
        <v/>
      </c>
      <c r="AE77" s="76">
        <f>SUM(AE78:AE81)+SUMIFS(Aut_Ajustes_Manuais!$G:$G,Aut_Ajustes_Manuais!$I:$I,DRE!AC$4,Aut_Ajustes_Manuais!$F:$F,"Locações")</f>
        <v/>
      </c>
      <c r="AF77" s="252">
        <f>SUM(AF78:AF81)</f>
        <v/>
      </c>
      <c r="AG77" s="74">
        <f>SUM(AG78:AG81)</f>
        <v/>
      </c>
      <c r="AH77" s="76">
        <f>SUM(AH78:AH81)+SUMIFS(Aut_Ajustes_Manuais!$G:$G,Aut_Ajustes_Manuais!$I:$I,DRE!AF$4,Aut_Ajustes_Manuais!$F:$F,"Locações")</f>
        <v/>
      </c>
      <c r="AI77" s="252">
        <f>SUM(AI78:AI81)</f>
        <v/>
      </c>
      <c r="AJ77" s="74">
        <f>SUM(AJ78:AJ81)</f>
        <v/>
      </c>
      <c r="AK77" s="76">
        <f>SUM(AK78:AK81)+SUMIFS(Aut_Ajustes_Manuais!$G:$G,Aut_Ajustes_Manuais!$I:$I,DRE!AI$4,Aut_Ajustes_Manuais!$F:$F,"Locações")</f>
        <v/>
      </c>
      <c r="AL77" s="252">
        <f>SUM(AL78:AL81)</f>
        <v/>
      </c>
      <c r="AM77" s="74">
        <f>SUM(AM78:AM81)</f>
        <v/>
      </c>
      <c r="AN77" s="76">
        <f>SUM(AN78:AN81)+SUMIFS(Aut_Ajustes_Manuais!$G:$G,Aut_Ajustes_Manuais!$I:$I,DRE!AL$4,Aut_Ajustes_Manuais!$F:$F,"Locações")</f>
        <v/>
      </c>
      <c r="AO77" s="252">
        <f>SUM(AO78:AO81)</f>
        <v/>
      </c>
      <c r="AP77" s="74">
        <f>SUM(AP78:AP81)</f>
        <v/>
      </c>
      <c r="AQ77" s="76">
        <f>SUM(AQ78:AQ81)+SUMIFS(Aut_Ajustes_Manuais!$G:$G,Aut_Ajustes_Manuais!$I:$I,DRE!AO$4,Aut_Ajustes_Manuais!$F:$F,"Locações")</f>
        <v/>
      </c>
      <c r="AR77" s="74">
        <f>SUMIFS($H77:$AO77,$H$5:$AO$5,"&lt;"&amp;MONTH(TODAY()),$H$6:$AO$6,"REAL 25")</f>
        <v/>
      </c>
      <c r="AS77" s="74">
        <f>SUMIFS($I77:$AP77,$I$5:$AP$5,"&lt;"&amp;MONTH(TODAY()),$I$6:$AP$6,"ORÇADO ")</f>
        <v/>
      </c>
      <c r="AT77" s="76">
        <f>SUMIFS($J77:$AQ77,$J$5:$AQ$5,"&lt;"&amp;MONTH(TODAY()),$J$6:$AQ$6,"REAL 26")</f>
        <v/>
      </c>
      <c r="AU77" s="252">
        <f>SUM(AU78:AU81)</f>
        <v/>
      </c>
      <c r="AV77" s="74">
        <f>SUM(AV78:AV81)</f>
        <v/>
      </c>
      <c r="AW77" s="76">
        <f>SUM(AW78:AW81)</f>
        <v/>
      </c>
      <c r="AX77" s="252">
        <f>SUM(AX78:AX81)</f>
        <v/>
      </c>
      <c r="AY77" s="74">
        <f>SUM(AY78:AY81)</f>
        <v/>
      </c>
      <c r="AZ77" s="76">
        <f>SUM(AZ78:AZ81)</f>
        <v/>
      </c>
      <c r="BA77" s="252">
        <f>SUM(BA78:BA81)</f>
        <v/>
      </c>
      <c r="BB77" s="74">
        <f>SUM(BB78:BB81)</f>
        <v/>
      </c>
      <c r="BC77" s="76">
        <f>SUM(BC78:BC81)</f>
        <v/>
      </c>
      <c r="BD77" s="252">
        <f>SUM(BD78:BD81)</f>
        <v/>
      </c>
      <c r="BE77" s="74">
        <f>SUM(BE78:BE81)</f>
        <v/>
      </c>
      <c r="BF77" s="76">
        <f>SUM(BF78:BF81)</f>
        <v/>
      </c>
      <c r="BG77" s="252">
        <f>SUM(BG78:BG81)</f>
        <v/>
      </c>
      <c r="BH77" s="74">
        <f>SUM(BH78:BH81)</f>
        <v/>
      </c>
      <c r="BI77" s="76">
        <f>SUM(BI78:BI81)</f>
        <v/>
      </c>
    </row>
    <row r="78" hidden="1" outlineLevel="2" customFormat="1" s="498">
      <c r="A78" s="22" t="inlineStr">
        <is>
          <t>Locação de Utensílios - Eventos</t>
        </is>
      </c>
      <c r="B78" s="488" t="n"/>
      <c r="C78" s="24" t="n"/>
      <c r="D78" s="69" t="inlineStr">
        <is>
          <t>% sobre o Faturamento de Eventos</t>
        </is>
      </c>
      <c r="E78" s="45" t="n">
        <v>-0.018</v>
      </c>
      <c r="F78" s="41" t="n"/>
      <c r="G78" s="23" t="n"/>
      <c r="H78" s="241" t="n"/>
      <c r="I78" s="81">
        <f>-SUMIFS(T_ORCAMENTOS!$E:$E,T_ORCAMENTOS!$C:$C,"Locação de Utensílios - Eventos",T_ORCAMENTOS!$H:$H,"1/2026")</f>
        <v/>
      </c>
      <c r="J78" s="82">
        <f>SUMIFS(Aut_BlueMe_Sem_Pedido!$J:$J,Aut_BlueMe_Sem_Pedido!$Q:$Q,DRE!H$4,Aut_BlueMe_Sem_Pedido!$H:$H,DRE!$A78)+SUMIFS(Aut_Ajustes_Manuais!$G:$G,Aut_Ajustes_Manuais!$I:$I,DRE!H$4,Aut_Ajustes_Manuais!$F:$F,"Locação de Utensílios - Eventos")</f>
        <v/>
      </c>
      <c r="K78" s="254" t="n"/>
      <c r="L78" s="81">
        <f>-SUMIFS(T_ORCAMENTOS!$E:$E,T_ORCAMENTOS!$C:$C,"Locação de Utensílios - Eventos",T_ORCAMENTOS!$H:$H,"2/2026")</f>
        <v/>
      </c>
      <c r="M78" s="82">
        <f>SUMIFS(Aut_BlueMe_Sem_Pedido!$J:$J,Aut_BlueMe_Sem_Pedido!$Q:$Q,DRE!K$4,Aut_BlueMe_Sem_Pedido!$H:$H,DRE!$A78)+SUMIFS(Aut_Ajustes_Manuais!$G:$G,Aut_Ajustes_Manuais!$I:$I,DRE!K$4,Aut_Ajustes_Manuais!$F:$F,"Locação de Utensílios - Eventos")</f>
        <v/>
      </c>
      <c r="N78" s="254" t="n"/>
      <c r="O78" s="81">
        <f>-SUMIFS(T_ORCAMENTOS!$E:$E,T_ORCAMENTOS!$C:$C,"Locação de Utensílios - Eventos",T_ORCAMENTOS!$H:$H,"3/2026")</f>
        <v/>
      </c>
      <c r="P78" s="82">
        <f>SUMIFS(Aut_BlueMe_Sem_Pedido!$J:$J,Aut_BlueMe_Sem_Pedido!$Q:$Q,DRE!N$4,Aut_BlueMe_Sem_Pedido!$H:$H,DRE!$A78)+SUMIFS(Aut_Ajustes_Manuais!$G:$G,Aut_Ajustes_Manuais!$I:$I,DRE!N$4,Aut_Ajustes_Manuais!$F:$F,"Locação de Utensílios - Eventos")</f>
        <v/>
      </c>
      <c r="Q78" s="241" t="n"/>
      <c r="R78" s="81">
        <f>-SUMIFS(T_ORCAMENTOS!$E:$E,T_ORCAMENTOS!$C:$C,"Locação de Utensílios - Eventos",T_ORCAMENTOS!$H:$H,"4/2026")</f>
        <v/>
      </c>
      <c r="S78" s="82">
        <f>SUMIFS(Aut_BlueMe_Sem_Pedido!$J:$J,Aut_BlueMe_Sem_Pedido!$Q:$Q,DRE!Q$4,Aut_BlueMe_Sem_Pedido!$H:$H,DRE!$A78)+SUMIFS(Aut_Ajustes_Manuais!$G:$G,Aut_Ajustes_Manuais!$I:$I,DRE!Q$4,Aut_Ajustes_Manuais!$F:$F,"Locação de Utensílios - Eventos")</f>
        <v/>
      </c>
      <c r="T78" s="241" t="n"/>
      <c r="U78" s="81">
        <f>-SUMIFS(T_ORCAMENTOS!$E:$E,T_ORCAMENTOS!$C:$C,"Locação de Utensílios - Eventos",T_ORCAMENTOS!$H:$H,"5/2026")</f>
        <v/>
      </c>
      <c r="V78" s="82">
        <f>SUMIFS(Aut_BlueMe_Sem_Pedido!$J:$J,Aut_BlueMe_Sem_Pedido!$Q:$Q,DRE!T$4,Aut_BlueMe_Sem_Pedido!$H:$H,DRE!$A78)+SUMIFS(Aut_Ajustes_Manuais!$G:$G,Aut_Ajustes_Manuais!$I:$I,DRE!T$4,Aut_Ajustes_Manuais!$F:$F,"Locação de Utensílios - Eventos")</f>
        <v/>
      </c>
      <c r="W78" s="241" t="n"/>
      <c r="X78" s="81">
        <f>-SUMIFS(T_ORCAMENTOS!$E:$E,T_ORCAMENTOS!$C:$C,"Locação de Utensílios - Eventos",T_ORCAMENTOS!$H:$H,"6/2026")</f>
        <v/>
      </c>
      <c r="Y78" s="82">
        <f>SUMIFS(Aut_BlueMe_Sem_Pedido!$J:$J,Aut_BlueMe_Sem_Pedido!$Q:$Q,DRE!W$4,Aut_BlueMe_Sem_Pedido!$H:$H,DRE!$A78)+SUMIFS(Aut_Ajustes_Manuais!$G:$G,Aut_Ajustes_Manuais!$I:$I,DRE!W$4,Aut_Ajustes_Manuais!$F:$F,"Locação de Utensílios - Eventos")</f>
        <v/>
      </c>
      <c r="Z78" s="241" t="n"/>
      <c r="AA78" s="81">
        <f>-SUMIFS(T_ORCAMENTOS!$E:$E,T_ORCAMENTOS!$C:$C,"Locação de Utensílios - Eventos",T_ORCAMENTOS!$H:$H,"7/2026")</f>
        <v/>
      </c>
      <c r="AB78" s="82">
        <f>SUMIFS(Aut_BlueMe_Sem_Pedido!$J:$J,Aut_BlueMe_Sem_Pedido!$Q:$Q,DRE!Z$4,Aut_BlueMe_Sem_Pedido!$H:$H,DRE!$A78)+SUMIFS(Aut_Ajustes_Manuais!$G:$G,Aut_Ajustes_Manuais!$I:$I,DRE!Z$4,Aut_Ajustes_Manuais!$F:$F,"Locação de Utensílios - Eventos")</f>
        <v/>
      </c>
      <c r="AC78" s="241" t="n"/>
      <c r="AD78" s="81">
        <f>-SUMIFS(T_ORCAMENTOS!$E:$E,T_ORCAMENTOS!$C:$C,"Locação de Utensílios - Eventos",T_ORCAMENTOS!$H:$H,"8/2026")</f>
        <v/>
      </c>
      <c r="AE78" s="82">
        <f>SUMIFS(Aut_BlueMe_Sem_Pedido!$J:$J,Aut_BlueMe_Sem_Pedido!$Q:$Q,DRE!AC$4,Aut_BlueMe_Sem_Pedido!$H:$H,DRE!$A78)+SUMIFS(Aut_Ajustes_Manuais!$G:$G,Aut_Ajustes_Manuais!$I:$I,DRE!AC$4,Aut_Ajustes_Manuais!$F:$F,"Locação de Utensílios - Eventos")</f>
        <v/>
      </c>
      <c r="AF78" s="241" t="n"/>
      <c r="AG78" s="81">
        <f>-SUMIFS(T_ORCAMENTOS!$E:$E,T_ORCAMENTOS!$C:$C,"Locação de Utensílios - Eventos",T_ORCAMENTOS!$H:$H,"9/2026")</f>
        <v/>
      </c>
      <c r="AH78" s="82">
        <f>SUMIFS(Aut_BlueMe_Sem_Pedido!$J:$J,Aut_BlueMe_Sem_Pedido!$Q:$Q,DRE!AF$4,Aut_BlueMe_Sem_Pedido!$H:$H,DRE!$A78)+SUMIFS(Aut_Ajustes_Manuais!$G:$G,Aut_Ajustes_Manuais!$I:$I,DRE!AF$4,Aut_Ajustes_Manuais!$F:$F,"Locação de Utensílios - Eventos")</f>
        <v/>
      </c>
      <c r="AI78" s="241" t="n"/>
      <c r="AJ78" s="81">
        <f>-SUMIFS(T_ORCAMENTOS!$E:$E,T_ORCAMENTOS!$C:$C,"Locação de Utensílios - Eventos",T_ORCAMENTOS!$H:$H,"10/2026")</f>
        <v/>
      </c>
      <c r="AK78" s="82">
        <f>SUMIFS(Aut_BlueMe_Sem_Pedido!$J:$J,Aut_BlueMe_Sem_Pedido!$Q:$Q,DRE!AI$4,Aut_BlueMe_Sem_Pedido!$H:$H,DRE!$A78)+SUMIFS(Aut_Ajustes_Manuais!$G:$G,Aut_Ajustes_Manuais!$I:$I,DRE!AI$4,Aut_Ajustes_Manuais!$F:$F,"Locação de Utensílios - Eventos")</f>
        <v/>
      </c>
      <c r="AL78" s="241" t="n"/>
      <c r="AM78" s="81">
        <f>-SUMIFS(T_ORCAMENTOS!$E:$E,T_ORCAMENTOS!$C:$C,"Locação de Utensílios - Eventos",T_ORCAMENTOS!$H:$H,"11/2026")</f>
        <v/>
      </c>
      <c r="AN78" s="82">
        <f>SUMIFS(Aut_BlueMe_Sem_Pedido!$J:$J,Aut_BlueMe_Sem_Pedido!$Q:$Q,DRE!AL$4,Aut_BlueMe_Sem_Pedido!$H:$H,DRE!$A78)+SUMIFS(Aut_Ajustes_Manuais!$G:$G,Aut_Ajustes_Manuais!$I:$I,DRE!AL$4,Aut_Ajustes_Manuais!$F:$F,"Locação de Utensílios - Eventos")</f>
        <v/>
      </c>
      <c r="AO78" s="241" t="n"/>
      <c r="AP78" s="81">
        <f>-SUMIFS(T_ORCAMENTOS!$E:$E,T_ORCAMENTOS!$C:$C,"Locação de Utensílios - Eventos",T_ORCAMENTOS!$H:$H,"12/2026")</f>
        <v/>
      </c>
      <c r="AQ78" s="82">
        <f>SUMIFS(Aut_BlueMe_Sem_Pedido!$J:$J,Aut_BlueMe_Sem_Pedido!$Q:$Q,DRE!AO$4,Aut_BlueMe_Sem_Pedido!$H:$H,DRE!$A78)+SUMIFS(Aut_Ajustes_Manuais!$G:$G,Aut_Ajustes_Manuais!$I:$I,DRE!AO$4,Aut_Ajustes_Manuais!$F:$F,"Locação de Utensílios - Eventos")</f>
        <v/>
      </c>
      <c r="AR78" s="241">
        <f>SUMIFS($H78:$AO78,$H$5:$AO$5,"&lt;"&amp;MONTH(TODAY()),$H$6:$AO$6,"REAL 25")</f>
        <v/>
      </c>
      <c r="AS78" s="27">
        <f>SUMIFS($I78:$AP78,$I$5:$AP$5,"&lt;"&amp;MONTH(TODAY()),$I$6:$AP$6,"ORÇADO ")</f>
        <v/>
      </c>
      <c r="AT78" s="82">
        <f>SUMIFS($J78:$AQ78,$J$5:$AQ$5,"&lt;"&amp;MONTH(TODAY()),$J$6:$AQ$6,"REAL 26")</f>
        <v/>
      </c>
      <c r="AU78" s="241">
        <f>SUM(H78,K78,N78,Q78,T78,W78,Z78,AC78,AF78,AI78,AL78,AO78)</f>
        <v/>
      </c>
      <c r="AV78" s="81">
        <f>SUM(I78,L78,O78,R78,U78,X78,AA78,AD78,AG78,AJ78,AM78,AP78)</f>
        <v/>
      </c>
      <c r="AW78" s="82">
        <f>SUM(J78,M78,P78,S78,V78,Y78,AB78,AE78,AH78,AK78,AN78,AQ78)</f>
        <v/>
      </c>
      <c r="AX78" s="241">
        <f>SUM(H78,K78,N78)</f>
        <v/>
      </c>
      <c r="AY78" s="81">
        <f>SUM(I78,L78,O78)</f>
        <v/>
      </c>
      <c r="AZ78" s="82">
        <f>SUM(J78,M78,P78)</f>
        <v/>
      </c>
      <c r="BA78" s="241">
        <f>SUM(Q78,T78,W78)</f>
        <v/>
      </c>
      <c r="BB78" s="81">
        <f>SUM(R78,U78,X78)</f>
        <v/>
      </c>
      <c r="BC78" s="82">
        <f>SUM(S78,V78,Y78)</f>
        <v/>
      </c>
      <c r="BD78" s="241">
        <f>SUM(Z78,AC78,AF78)</f>
        <v/>
      </c>
      <c r="BE78" s="81">
        <f>SUM(AA78,AD78,AG78)</f>
        <v/>
      </c>
      <c r="BF78" s="82">
        <f>SUM(AB78,AE78,AH78)</f>
        <v/>
      </c>
      <c r="BG78" s="241">
        <f>SUM(AI78,AL78,AO78)</f>
        <v/>
      </c>
      <c r="BH78" s="81">
        <f>SUM(AJ78,AM78,AP78)</f>
        <v/>
      </c>
      <c r="BI78" s="82">
        <f>SUM(AK78,AN78,AQ78)</f>
        <v/>
      </c>
    </row>
    <row r="79" hidden="1" outlineLevel="2" customFormat="1" s="498">
      <c r="A79" s="22" t="inlineStr">
        <is>
          <t>Locação de Equipamentos - Eventos</t>
        </is>
      </c>
      <c r="B79" s="488" t="n"/>
      <c r="C79" s="24" t="n"/>
      <c r="D79" s="69" t="inlineStr">
        <is>
          <t>% sobre o Faturamento de Eventos</t>
        </is>
      </c>
      <c r="E79" s="45" t="n">
        <v>-0.003</v>
      </c>
      <c r="F79" s="41" t="n"/>
      <c r="G79" s="23" t="n"/>
      <c r="H79" s="241" t="n"/>
      <c r="I79" s="81">
        <f>-SUMIFS(T_ORCAMENTOS!$E:$E,T_ORCAMENTOS!$C:$C,"Locação de Equipamentos - Eventos",T_ORCAMENTOS!$H:$H,"1/2026")</f>
        <v/>
      </c>
      <c r="J79" s="82">
        <f>SUMIFS(Aut_BlueMe_Sem_Pedido!$J:$J,Aut_BlueMe_Sem_Pedido!$Q:$Q,DRE!H$4,Aut_BlueMe_Sem_Pedido!$H:$H,DRE!$A79)+SUMIFS(Aut_Ajustes_Manuais!$G:$G,Aut_Ajustes_Manuais!$I:$I,DRE!H$4,Aut_Ajustes_Manuais!$F:$F,"Locação de Equipamentos - Eventos")</f>
        <v/>
      </c>
      <c r="K79" s="254" t="n"/>
      <c r="L79" s="81">
        <f>-SUMIFS(T_ORCAMENTOS!$E:$E,T_ORCAMENTOS!$C:$C,"Locação de Equipamentos - Eventos",T_ORCAMENTOS!$H:$H,"2/2026")</f>
        <v/>
      </c>
      <c r="M79" s="82">
        <f>SUMIFS(Aut_BlueMe_Sem_Pedido!$J:$J,Aut_BlueMe_Sem_Pedido!$Q:$Q,DRE!K$4,Aut_BlueMe_Sem_Pedido!$H:$H,DRE!$A79)+SUMIFS(Aut_Ajustes_Manuais!$G:$G,Aut_Ajustes_Manuais!$I:$I,DRE!K$4,Aut_Ajustes_Manuais!$F:$F,"Locação de Equipamentos - Eventos")</f>
        <v/>
      </c>
      <c r="N79" s="254" t="n"/>
      <c r="O79" s="81">
        <f>-SUMIFS(T_ORCAMENTOS!$E:$E,T_ORCAMENTOS!$C:$C,"Locação de Equipamentos - Eventos",T_ORCAMENTOS!$H:$H,"3/2026")</f>
        <v/>
      </c>
      <c r="P79" s="82">
        <f>SUMIFS(Aut_BlueMe_Sem_Pedido!$J:$J,Aut_BlueMe_Sem_Pedido!$Q:$Q,DRE!N$4,Aut_BlueMe_Sem_Pedido!$H:$H,DRE!$A79)+SUMIFS(Aut_Ajustes_Manuais!$G:$G,Aut_Ajustes_Manuais!$I:$I,DRE!N$4,Aut_Ajustes_Manuais!$F:$F,"Locação de Equipamentos - Eventos")</f>
        <v/>
      </c>
      <c r="Q79" s="241" t="n"/>
      <c r="R79" s="81">
        <f>-SUMIFS(T_ORCAMENTOS!$E:$E,T_ORCAMENTOS!$C:$C,"Locação de Equipamentos - Eventos",T_ORCAMENTOS!$H:$H,"4/2026")</f>
        <v/>
      </c>
      <c r="S79" s="82">
        <f>SUMIFS(Aut_BlueMe_Sem_Pedido!$J:$J,Aut_BlueMe_Sem_Pedido!$Q:$Q,DRE!Q$4,Aut_BlueMe_Sem_Pedido!$H:$H,DRE!$A79)+SUMIFS(Aut_Ajustes_Manuais!$G:$G,Aut_Ajustes_Manuais!$I:$I,DRE!Q$4,Aut_Ajustes_Manuais!$F:$F,"Locação de Equipamentos - Eventos")</f>
        <v/>
      </c>
      <c r="T79" s="241" t="n"/>
      <c r="U79" s="81">
        <f>-SUMIFS(T_ORCAMENTOS!$E:$E,T_ORCAMENTOS!$C:$C,"Locação de Equipamentos - Eventos",T_ORCAMENTOS!$H:$H,"5/2026")</f>
        <v/>
      </c>
      <c r="V79" s="82">
        <f>SUMIFS(Aut_BlueMe_Sem_Pedido!$J:$J,Aut_BlueMe_Sem_Pedido!$Q:$Q,DRE!T$4,Aut_BlueMe_Sem_Pedido!$H:$H,DRE!$A79)+SUMIFS(Aut_Ajustes_Manuais!$G:$G,Aut_Ajustes_Manuais!$I:$I,DRE!T$4,Aut_Ajustes_Manuais!$F:$F,"Locação de Equipamentos - Eventos")</f>
        <v/>
      </c>
      <c r="W79" s="241" t="n"/>
      <c r="X79" s="81">
        <f>-SUMIFS(T_ORCAMENTOS!$E:$E,T_ORCAMENTOS!$C:$C,"Locação de Equipamentos - Eventos",T_ORCAMENTOS!$H:$H,"6/2026")</f>
        <v/>
      </c>
      <c r="Y79" s="82">
        <f>SUMIFS(Aut_BlueMe_Sem_Pedido!$J:$J,Aut_BlueMe_Sem_Pedido!$Q:$Q,DRE!W$4,Aut_BlueMe_Sem_Pedido!$H:$H,DRE!$A79)+SUMIFS(Aut_Ajustes_Manuais!$G:$G,Aut_Ajustes_Manuais!$I:$I,DRE!W$4,Aut_Ajustes_Manuais!$F:$F,"Locação de Equipamentos - Eventos")</f>
        <v/>
      </c>
      <c r="Z79" s="241" t="n"/>
      <c r="AA79" s="81">
        <f>-SUMIFS(T_ORCAMENTOS!$E:$E,T_ORCAMENTOS!$C:$C,"Locação de Equipamentos - Eventos",T_ORCAMENTOS!$H:$H,"7/2026")</f>
        <v/>
      </c>
      <c r="AB79" s="82">
        <f>SUMIFS(Aut_BlueMe_Sem_Pedido!$J:$J,Aut_BlueMe_Sem_Pedido!$Q:$Q,DRE!Z$4,Aut_BlueMe_Sem_Pedido!$H:$H,DRE!$A79)+SUMIFS(Aut_Ajustes_Manuais!$G:$G,Aut_Ajustes_Manuais!$I:$I,DRE!Z$4,Aut_Ajustes_Manuais!$F:$F,"Locação de Equipamentos - Eventos")</f>
        <v/>
      </c>
      <c r="AC79" s="241" t="n"/>
      <c r="AD79" s="81">
        <f>-SUMIFS(T_ORCAMENTOS!$E:$E,T_ORCAMENTOS!$C:$C,"Locação de Equipamentos - Eventos",T_ORCAMENTOS!$H:$H,"8/2026")</f>
        <v/>
      </c>
      <c r="AE79" s="82">
        <f>SUMIFS(Aut_BlueMe_Sem_Pedido!$J:$J,Aut_BlueMe_Sem_Pedido!$Q:$Q,DRE!AC$4,Aut_BlueMe_Sem_Pedido!$H:$H,DRE!$A79)+SUMIFS(Aut_Ajustes_Manuais!$G:$G,Aut_Ajustes_Manuais!$I:$I,DRE!AC$4,Aut_Ajustes_Manuais!$F:$F,"Locação de Equipamentos - Eventos")</f>
        <v/>
      </c>
      <c r="AF79" s="241" t="n"/>
      <c r="AG79" s="81">
        <f>-SUMIFS(T_ORCAMENTOS!$E:$E,T_ORCAMENTOS!$C:$C,"Locação de Equipamentos - Eventos",T_ORCAMENTOS!$H:$H,"9/2026")</f>
        <v/>
      </c>
      <c r="AH79" s="82">
        <f>SUMIFS(Aut_BlueMe_Sem_Pedido!$J:$J,Aut_BlueMe_Sem_Pedido!$Q:$Q,DRE!AF$4,Aut_BlueMe_Sem_Pedido!$H:$H,DRE!$A79)+SUMIFS(Aut_Ajustes_Manuais!$G:$G,Aut_Ajustes_Manuais!$I:$I,DRE!AF$4,Aut_Ajustes_Manuais!$F:$F,"Locação de Equipamentos - Eventos")</f>
        <v/>
      </c>
      <c r="AI79" s="241" t="n"/>
      <c r="AJ79" s="81">
        <f>-SUMIFS(T_ORCAMENTOS!$E:$E,T_ORCAMENTOS!$C:$C,"Locação de Equipamentos - Eventos",T_ORCAMENTOS!$H:$H,"10/2026")</f>
        <v/>
      </c>
      <c r="AK79" s="82">
        <f>SUMIFS(Aut_BlueMe_Sem_Pedido!$J:$J,Aut_BlueMe_Sem_Pedido!$Q:$Q,DRE!AI$4,Aut_BlueMe_Sem_Pedido!$H:$H,DRE!$A79)+SUMIFS(Aut_Ajustes_Manuais!$G:$G,Aut_Ajustes_Manuais!$I:$I,DRE!AI$4,Aut_Ajustes_Manuais!$F:$F,"Locação de Equipamentos - Eventos")</f>
        <v/>
      </c>
      <c r="AL79" s="241" t="n"/>
      <c r="AM79" s="81">
        <f>-SUMIFS(T_ORCAMENTOS!$E:$E,T_ORCAMENTOS!$C:$C,"Locação de Equipamentos - Eventos",T_ORCAMENTOS!$H:$H,"11/2026")</f>
        <v/>
      </c>
      <c r="AN79" s="82">
        <f>SUMIFS(Aut_BlueMe_Sem_Pedido!$J:$J,Aut_BlueMe_Sem_Pedido!$Q:$Q,DRE!AL$4,Aut_BlueMe_Sem_Pedido!$H:$H,DRE!$A79)+SUMIFS(Aut_Ajustes_Manuais!$G:$G,Aut_Ajustes_Manuais!$I:$I,DRE!AL$4,Aut_Ajustes_Manuais!$F:$F,"Locação de Equipamentos - Eventos")</f>
        <v/>
      </c>
      <c r="AO79" s="241" t="n"/>
      <c r="AP79" s="81">
        <f>-SUMIFS(T_ORCAMENTOS!$E:$E,T_ORCAMENTOS!$C:$C,"Locação de Equipamentos - Eventos",T_ORCAMENTOS!$H:$H,"12/2026")</f>
        <v/>
      </c>
      <c r="AQ79" s="82">
        <f>SUMIFS(Aut_BlueMe_Sem_Pedido!$J:$J,Aut_BlueMe_Sem_Pedido!$Q:$Q,DRE!AO$4,Aut_BlueMe_Sem_Pedido!$H:$H,DRE!$A79)+SUMIFS(Aut_Ajustes_Manuais!$G:$G,Aut_Ajustes_Manuais!$I:$I,DRE!AO$4,Aut_Ajustes_Manuais!$F:$F,"Locação de Equipamentos - Eventos")</f>
        <v/>
      </c>
      <c r="AR79" s="241">
        <f>SUMIFS($H79:$AO79,$H$5:$AO$5,"&lt;"&amp;MONTH(TODAY()),$H$6:$AO$6,"REAL 25")</f>
        <v/>
      </c>
      <c r="AS79" s="27">
        <f>SUMIFS($I79:$AP79,$I$5:$AP$5,"&lt;"&amp;MONTH(TODAY()),$I$6:$AP$6,"ORÇADO ")</f>
        <v/>
      </c>
      <c r="AT79" s="82">
        <f>SUMIFS($J79:$AQ79,$J$5:$AQ$5,"&lt;"&amp;MONTH(TODAY()),$J$6:$AQ$6,"REAL 26")</f>
        <v/>
      </c>
      <c r="AU79" s="241">
        <f>SUM(H79,K79,N79,Q79,T79,W79,Z79,AC79,AF79,AI79,AL79,AO79)</f>
        <v/>
      </c>
      <c r="AV79" s="81">
        <f>SUM(I79,L79,O79,R79,U79,X79,AA79,AD79,AG79,AJ79,AM79,AP79)</f>
        <v/>
      </c>
      <c r="AW79" s="82">
        <f>SUM(J79,M79,P79,S79,V79,Y79,AB79,AE79,AH79,AK79,AN79,AQ79)</f>
        <v/>
      </c>
      <c r="AX79" s="241">
        <f>SUM(H79,K79,N79)</f>
        <v/>
      </c>
      <c r="AY79" s="81">
        <f>SUM(I79,L79,O79)</f>
        <v/>
      </c>
      <c r="AZ79" s="82">
        <f>SUM(J79,M79,P79)</f>
        <v/>
      </c>
      <c r="BA79" s="241">
        <f>SUM(Q79,T79,W79)</f>
        <v/>
      </c>
      <c r="BB79" s="81">
        <f>SUM(R79,U79,X79)</f>
        <v/>
      </c>
      <c r="BC79" s="82">
        <f>SUM(S79,V79,Y79)</f>
        <v/>
      </c>
      <c r="BD79" s="241">
        <f>SUM(Z79,AC79,AF79)</f>
        <v/>
      </c>
      <c r="BE79" s="81">
        <f>SUM(AA79,AD79,AG79)</f>
        <v/>
      </c>
      <c r="BF79" s="82">
        <f>SUM(AB79,AE79,AH79)</f>
        <v/>
      </c>
      <c r="BG79" s="241">
        <f>SUM(AI79,AL79,AO79)</f>
        <v/>
      </c>
      <c r="BH79" s="81">
        <f>SUM(AJ79,AM79,AP79)</f>
        <v/>
      </c>
      <c r="BI79" s="82">
        <f>SUM(AK79,AN79,AQ79)</f>
        <v/>
      </c>
    </row>
    <row r="80" hidden="1" outlineLevel="2" customFormat="1" s="498">
      <c r="A80" s="22" t="inlineStr">
        <is>
          <t>Locação de Mobiliário - Eventos</t>
        </is>
      </c>
      <c r="B80" s="488" t="n"/>
      <c r="C80" s="24" t="n"/>
      <c r="D80" s="69" t="inlineStr">
        <is>
          <t>% sobre o Faturamento de Eventos</t>
        </is>
      </c>
      <c r="E80" s="69" t="n"/>
      <c r="F80" s="41" t="n"/>
      <c r="G80" s="23" t="n"/>
      <c r="H80" s="241" t="n"/>
      <c r="I80" s="81">
        <f>-SUMIFS(T_ORCAMENTOS!$E:$E,T_ORCAMENTOS!$C:$C,"Locação de Mobiliário - Eventos",T_ORCAMENTOS!$H:$H,"1/2026")</f>
        <v/>
      </c>
      <c r="J80" s="82">
        <f>SUMIFS(Aut_BlueMe_Sem_Pedido!$J:$J,Aut_BlueMe_Sem_Pedido!$Q:$Q,DRE!H$4,Aut_BlueMe_Sem_Pedido!$H:$H,DRE!$A80)+SUMIFS(Aut_Ajustes_Manuais!$G:$G,Aut_Ajustes_Manuais!$I:$I,DRE!H$4,Aut_Ajustes_Manuais!$F:$F,"Locação de Mobiliário - Eventos")</f>
        <v/>
      </c>
      <c r="K80" s="254" t="n"/>
      <c r="L80" s="81">
        <f>-SUMIFS(T_ORCAMENTOS!$E:$E,T_ORCAMENTOS!$C:$C,"Locação de Mobiliário - Eventos",T_ORCAMENTOS!$H:$H,"2/2026")</f>
        <v/>
      </c>
      <c r="M80" s="82">
        <f>SUMIFS(Aut_BlueMe_Sem_Pedido!$J:$J,Aut_BlueMe_Sem_Pedido!$Q:$Q,DRE!K$4,Aut_BlueMe_Sem_Pedido!$H:$H,DRE!$A80)+SUMIFS(Aut_Ajustes_Manuais!$G:$G,Aut_Ajustes_Manuais!$I:$I,DRE!K$4,Aut_Ajustes_Manuais!$F:$F,"Locação de Mobiliário - Eventos")</f>
        <v/>
      </c>
      <c r="N80" s="254" t="n"/>
      <c r="O80" s="81">
        <f>-SUMIFS(T_ORCAMENTOS!$E:$E,T_ORCAMENTOS!$C:$C,"Locação de Mobiliário - Eventos",T_ORCAMENTOS!$H:$H,"3/2026")</f>
        <v/>
      </c>
      <c r="P80" s="82">
        <f>SUMIFS(Aut_BlueMe_Sem_Pedido!$J:$J,Aut_BlueMe_Sem_Pedido!$Q:$Q,DRE!N$4,Aut_BlueMe_Sem_Pedido!$H:$H,DRE!$A80)+SUMIFS(Aut_Ajustes_Manuais!$G:$G,Aut_Ajustes_Manuais!$I:$I,DRE!N$4,Aut_Ajustes_Manuais!$F:$F,"Locação de Mobiliário - Eventos")</f>
        <v/>
      </c>
      <c r="Q80" s="241" t="n"/>
      <c r="R80" s="81">
        <f>-SUMIFS(T_ORCAMENTOS!$E:$E,T_ORCAMENTOS!$C:$C,"Locação de Mobiliário - Eventos",T_ORCAMENTOS!$H:$H,"4/2026")</f>
        <v/>
      </c>
      <c r="S80" s="82">
        <f>SUMIFS(Aut_BlueMe_Sem_Pedido!$J:$J,Aut_BlueMe_Sem_Pedido!$Q:$Q,DRE!Q$4,Aut_BlueMe_Sem_Pedido!$H:$H,DRE!$A80)+SUMIFS(Aut_Ajustes_Manuais!$G:$G,Aut_Ajustes_Manuais!$I:$I,DRE!Q$4,Aut_Ajustes_Manuais!$F:$F,"Locação de Mobiliário - Eventos")</f>
        <v/>
      </c>
      <c r="T80" s="241" t="n"/>
      <c r="U80" s="81">
        <f>-SUMIFS(T_ORCAMENTOS!$E:$E,T_ORCAMENTOS!$C:$C,"Locação de Mobiliário - Eventos",T_ORCAMENTOS!$H:$H,"5/2026")</f>
        <v/>
      </c>
      <c r="V80" s="82">
        <f>SUMIFS(Aut_BlueMe_Sem_Pedido!$J:$J,Aut_BlueMe_Sem_Pedido!$Q:$Q,DRE!T$4,Aut_BlueMe_Sem_Pedido!$H:$H,DRE!$A80)+SUMIFS(Aut_Ajustes_Manuais!$G:$G,Aut_Ajustes_Manuais!$I:$I,DRE!T$4,Aut_Ajustes_Manuais!$F:$F,"Locação de Mobiliário - Eventos")</f>
        <v/>
      </c>
      <c r="W80" s="241" t="n"/>
      <c r="X80" s="81">
        <f>-SUMIFS(T_ORCAMENTOS!$E:$E,T_ORCAMENTOS!$C:$C,"Locação de Mobiliário - Eventos",T_ORCAMENTOS!$H:$H,"6/2026")</f>
        <v/>
      </c>
      <c r="Y80" s="82">
        <f>SUMIFS(Aut_BlueMe_Sem_Pedido!$J:$J,Aut_BlueMe_Sem_Pedido!$Q:$Q,DRE!W$4,Aut_BlueMe_Sem_Pedido!$H:$H,DRE!$A80)+SUMIFS(Aut_Ajustes_Manuais!$G:$G,Aut_Ajustes_Manuais!$I:$I,DRE!W$4,Aut_Ajustes_Manuais!$F:$F,"Locação de Mobiliário - Eventos")</f>
        <v/>
      </c>
      <c r="Z80" s="241" t="n"/>
      <c r="AA80" s="81">
        <f>-SUMIFS(T_ORCAMENTOS!$E:$E,T_ORCAMENTOS!$C:$C,"Locação de Mobiliário - Eventos",T_ORCAMENTOS!$H:$H,"7/2026")</f>
        <v/>
      </c>
      <c r="AB80" s="82">
        <f>SUMIFS(Aut_BlueMe_Sem_Pedido!$J:$J,Aut_BlueMe_Sem_Pedido!$Q:$Q,DRE!Z$4,Aut_BlueMe_Sem_Pedido!$H:$H,DRE!$A80)+SUMIFS(Aut_Ajustes_Manuais!$G:$G,Aut_Ajustes_Manuais!$I:$I,DRE!Z$4,Aut_Ajustes_Manuais!$F:$F,"Locação de Mobiliário - Eventos")</f>
        <v/>
      </c>
      <c r="AC80" s="241" t="n"/>
      <c r="AD80" s="81">
        <f>-SUMIFS(T_ORCAMENTOS!$E:$E,T_ORCAMENTOS!$C:$C,"Locação de Mobiliário - Eventos",T_ORCAMENTOS!$H:$H,"8/2026")</f>
        <v/>
      </c>
      <c r="AE80" s="82">
        <f>SUMIFS(Aut_BlueMe_Sem_Pedido!$J:$J,Aut_BlueMe_Sem_Pedido!$Q:$Q,DRE!AC$4,Aut_BlueMe_Sem_Pedido!$H:$H,DRE!$A80)+SUMIFS(Aut_Ajustes_Manuais!$G:$G,Aut_Ajustes_Manuais!$I:$I,DRE!AC$4,Aut_Ajustes_Manuais!$F:$F,"Locação de Mobiliário - Eventos")</f>
        <v/>
      </c>
      <c r="AF80" s="241" t="n"/>
      <c r="AG80" s="81">
        <f>-SUMIFS(T_ORCAMENTOS!$E:$E,T_ORCAMENTOS!$C:$C,"Locação de Mobiliário - Eventos",T_ORCAMENTOS!$H:$H,"9/2026")</f>
        <v/>
      </c>
      <c r="AH80" s="82">
        <f>SUMIFS(Aut_BlueMe_Sem_Pedido!$J:$J,Aut_BlueMe_Sem_Pedido!$Q:$Q,DRE!AF$4,Aut_BlueMe_Sem_Pedido!$H:$H,DRE!$A80)+SUMIFS(Aut_Ajustes_Manuais!$G:$G,Aut_Ajustes_Manuais!$I:$I,DRE!AF$4,Aut_Ajustes_Manuais!$F:$F,"Locação de Mobiliário - Eventos")</f>
        <v/>
      </c>
      <c r="AI80" s="241" t="n"/>
      <c r="AJ80" s="81">
        <f>-SUMIFS(T_ORCAMENTOS!$E:$E,T_ORCAMENTOS!$C:$C,"Locação de Mobiliário - Eventos",T_ORCAMENTOS!$H:$H,"10/2026")</f>
        <v/>
      </c>
      <c r="AK80" s="82">
        <f>SUMIFS(Aut_BlueMe_Sem_Pedido!$J:$J,Aut_BlueMe_Sem_Pedido!$Q:$Q,DRE!AI$4,Aut_BlueMe_Sem_Pedido!$H:$H,DRE!$A80)+SUMIFS(Aut_Ajustes_Manuais!$G:$G,Aut_Ajustes_Manuais!$I:$I,DRE!AI$4,Aut_Ajustes_Manuais!$F:$F,"Locação de Mobiliário - Eventos")</f>
        <v/>
      </c>
      <c r="AL80" s="241" t="n"/>
      <c r="AM80" s="81">
        <f>-SUMIFS(T_ORCAMENTOS!$E:$E,T_ORCAMENTOS!$C:$C,"Locação de Mobiliário - Eventos",T_ORCAMENTOS!$H:$H,"11/2026")</f>
        <v/>
      </c>
      <c r="AN80" s="82">
        <f>SUMIFS(Aut_BlueMe_Sem_Pedido!$J:$J,Aut_BlueMe_Sem_Pedido!$Q:$Q,DRE!AL$4,Aut_BlueMe_Sem_Pedido!$H:$H,DRE!$A80)+SUMIFS(Aut_Ajustes_Manuais!$G:$G,Aut_Ajustes_Manuais!$I:$I,DRE!AL$4,Aut_Ajustes_Manuais!$F:$F,"Locação de Mobiliário - Eventos")</f>
        <v/>
      </c>
      <c r="AO80" s="241" t="n"/>
      <c r="AP80" s="81">
        <f>-SUMIFS(T_ORCAMENTOS!$E:$E,T_ORCAMENTOS!$C:$C,"Locação de Mobiliário - Eventos",T_ORCAMENTOS!$H:$H,"12/2026")</f>
        <v/>
      </c>
      <c r="AQ80" s="82">
        <f>SUMIFS(Aut_BlueMe_Sem_Pedido!$J:$J,Aut_BlueMe_Sem_Pedido!$Q:$Q,DRE!AO$4,Aut_BlueMe_Sem_Pedido!$H:$H,DRE!$A80)+SUMIFS(Aut_Ajustes_Manuais!$G:$G,Aut_Ajustes_Manuais!$I:$I,DRE!AO$4,Aut_Ajustes_Manuais!$F:$F,"Locação de Mobiliário - Eventos")</f>
        <v/>
      </c>
      <c r="AR80" s="241">
        <f>SUMIFS($H80:$AO80,$H$5:$AO$5,"&lt;"&amp;MONTH(TODAY()),$H$6:$AO$6,"REAL 25")</f>
        <v/>
      </c>
      <c r="AS80" s="27">
        <f>SUMIFS($I80:$AP80,$I$5:$AP$5,"&lt;"&amp;MONTH(TODAY()),$I$6:$AP$6,"ORÇADO ")</f>
        <v/>
      </c>
      <c r="AT80" s="82">
        <f>SUMIFS($J80:$AQ80,$J$5:$AQ$5,"&lt;"&amp;MONTH(TODAY()),$J$6:$AQ$6,"REAL 26")</f>
        <v/>
      </c>
      <c r="AU80" s="241">
        <f>SUM(H80,K80,N80,Q80,T80,W80,Z80,AC80,AF80,AI80,AL80,AO80)</f>
        <v/>
      </c>
      <c r="AV80" s="81">
        <f>SUM(I80,L80,O80,R80,U80,X80,AA80,AD80,AG80,AJ80,AM80,AP80)</f>
        <v/>
      </c>
      <c r="AW80" s="82">
        <f>SUM(J80,M80,P80,S80,V80,Y80,AB80,AE80,AH80,AK80,AN80,AQ80)</f>
        <v/>
      </c>
      <c r="AX80" s="241">
        <f>SUM(H80,K80,N80)</f>
        <v/>
      </c>
      <c r="AY80" s="81">
        <f>SUM(I80,L80,O80)</f>
        <v/>
      </c>
      <c r="AZ80" s="82">
        <f>SUM(J80,M80,P80)</f>
        <v/>
      </c>
      <c r="BA80" s="241">
        <f>SUM(Q80,T80,W80)</f>
        <v/>
      </c>
      <c r="BB80" s="81">
        <f>SUM(R80,U80,X80)</f>
        <v/>
      </c>
      <c r="BC80" s="82">
        <f>SUM(S80,V80,Y80)</f>
        <v/>
      </c>
      <c r="BD80" s="241">
        <f>SUM(Z80,AC80,AF80)</f>
        <v/>
      </c>
      <c r="BE80" s="81">
        <f>SUM(AA80,AD80,AG80)</f>
        <v/>
      </c>
      <c r="BF80" s="82">
        <f>SUM(AB80,AE80,AH80)</f>
        <v/>
      </c>
      <c r="BG80" s="241">
        <f>SUM(AI80,AL80,AO80)</f>
        <v/>
      </c>
      <c r="BH80" s="81">
        <f>SUM(AJ80,AM80,AP80)</f>
        <v/>
      </c>
      <c r="BI80" s="82">
        <f>SUM(AK80,AN80,AQ80)</f>
        <v/>
      </c>
    </row>
    <row r="81" hidden="1" outlineLevel="2" customFormat="1" s="498">
      <c r="A81" s="22" t="inlineStr">
        <is>
          <t>Locação de Coberturas - Eventos</t>
        </is>
      </c>
      <c r="B81" s="488" t="n"/>
      <c r="C81" s="24" t="inlineStr">
        <is>
          <t>Estrutura Externa</t>
        </is>
      </c>
      <c r="D81" s="69" t="inlineStr">
        <is>
          <t>% sobre o Faturamento de Eventos</t>
        </is>
      </c>
      <c r="E81" s="69" t="n"/>
      <c r="F81" s="41" t="n"/>
      <c r="G81" s="23" t="n"/>
      <c r="H81" s="241" t="n"/>
      <c r="I81" s="81">
        <f>-SUMIFS(T_ORCAMENTOS!$E:$E,T_ORCAMENTOS!$C:$C,"Locação de Coberturas - Eventos",T_ORCAMENTOS!$H:$H,"1/2026")</f>
        <v/>
      </c>
      <c r="J81" s="82">
        <f>SUMIFS(Aut_BlueMe_Sem_Pedido!$J:$J,Aut_BlueMe_Sem_Pedido!$Q:$Q,DRE!H$4,Aut_BlueMe_Sem_Pedido!$H:$H,DRE!$A81)+SUMIFS(Aut_Ajustes_Manuais!$G:$G,Aut_Ajustes_Manuais!$I:$I,DRE!H$4,Aut_Ajustes_Manuais!$F:$F,"Locação de Coberturas - Eventos")</f>
        <v/>
      </c>
      <c r="K81" s="254" t="n"/>
      <c r="L81" s="81">
        <f>-SUMIFS(T_ORCAMENTOS!$E:$E,T_ORCAMENTOS!$C:$C,"Locação de Coberturas - Eventos",T_ORCAMENTOS!$H:$H,"2/2026")</f>
        <v/>
      </c>
      <c r="M81" s="82">
        <f>SUMIFS(Aut_BlueMe_Sem_Pedido!$J:$J,Aut_BlueMe_Sem_Pedido!$Q:$Q,DRE!K$4,Aut_BlueMe_Sem_Pedido!$H:$H,DRE!$A81)+SUMIFS(Aut_Ajustes_Manuais!$G:$G,Aut_Ajustes_Manuais!$I:$I,DRE!K$4,Aut_Ajustes_Manuais!$F:$F,"Locação de Coberturas - Eventos")</f>
        <v/>
      </c>
      <c r="N81" s="254" t="n"/>
      <c r="O81" s="81">
        <f>-SUMIFS(T_ORCAMENTOS!$E:$E,T_ORCAMENTOS!$C:$C,"Locação de Coberturas - Eventos",T_ORCAMENTOS!$H:$H,"3/2026")</f>
        <v/>
      </c>
      <c r="P81" s="82">
        <f>SUMIFS(Aut_BlueMe_Sem_Pedido!$J:$J,Aut_BlueMe_Sem_Pedido!$Q:$Q,DRE!N$4,Aut_BlueMe_Sem_Pedido!$H:$H,DRE!$A81)+SUMIFS(Aut_Ajustes_Manuais!$G:$G,Aut_Ajustes_Manuais!$I:$I,DRE!N$4,Aut_Ajustes_Manuais!$F:$F,"Locação de Coberturas - Eventos")</f>
        <v/>
      </c>
      <c r="Q81" s="241" t="n"/>
      <c r="R81" s="81">
        <f>-SUMIFS(T_ORCAMENTOS!$E:$E,T_ORCAMENTOS!$C:$C,"Locação de Coberturas - Eventos",T_ORCAMENTOS!$H:$H,"4/2026")</f>
        <v/>
      </c>
      <c r="S81" s="82">
        <f>SUMIFS(Aut_BlueMe_Sem_Pedido!$J:$J,Aut_BlueMe_Sem_Pedido!$Q:$Q,DRE!Q$4,Aut_BlueMe_Sem_Pedido!$H:$H,DRE!$A81)+SUMIFS(Aut_Ajustes_Manuais!$G:$G,Aut_Ajustes_Manuais!$I:$I,DRE!Q$4,Aut_Ajustes_Manuais!$F:$F,"Locação de Coberturas - Eventos")</f>
        <v/>
      </c>
      <c r="T81" s="241" t="n"/>
      <c r="U81" s="81">
        <f>-SUMIFS(T_ORCAMENTOS!$E:$E,T_ORCAMENTOS!$C:$C,"Locação de Coberturas - Eventos",T_ORCAMENTOS!$H:$H,"5/2026")</f>
        <v/>
      </c>
      <c r="V81" s="82">
        <f>SUMIFS(Aut_BlueMe_Sem_Pedido!$J:$J,Aut_BlueMe_Sem_Pedido!$Q:$Q,DRE!T$4,Aut_BlueMe_Sem_Pedido!$H:$H,DRE!$A81)+SUMIFS(Aut_Ajustes_Manuais!$G:$G,Aut_Ajustes_Manuais!$I:$I,DRE!T$4,Aut_Ajustes_Manuais!$F:$F,"Locação de Coberturas - Eventos")</f>
        <v/>
      </c>
      <c r="W81" s="241" t="n"/>
      <c r="X81" s="81">
        <f>-SUMIFS(T_ORCAMENTOS!$E:$E,T_ORCAMENTOS!$C:$C,"Locação de Coberturas - Eventos",T_ORCAMENTOS!$H:$H,"6/2026")</f>
        <v/>
      </c>
      <c r="Y81" s="82">
        <f>SUMIFS(Aut_BlueMe_Sem_Pedido!$J:$J,Aut_BlueMe_Sem_Pedido!$Q:$Q,DRE!W$4,Aut_BlueMe_Sem_Pedido!$H:$H,DRE!$A81)+SUMIFS(Aut_Ajustes_Manuais!$G:$G,Aut_Ajustes_Manuais!$I:$I,DRE!W$4,Aut_Ajustes_Manuais!$F:$F,"Locação de Coberturas - Eventos")</f>
        <v/>
      </c>
      <c r="Z81" s="241" t="n"/>
      <c r="AA81" s="81">
        <f>-SUMIFS(T_ORCAMENTOS!$E:$E,T_ORCAMENTOS!$C:$C,"Locação de Coberturas - Eventos",T_ORCAMENTOS!$H:$H,"7/2026")</f>
        <v/>
      </c>
      <c r="AB81" s="82">
        <f>SUMIFS(Aut_BlueMe_Sem_Pedido!$J:$J,Aut_BlueMe_Sem_Pedido!$Q:$Q,DRE!Z$4,Aut_BlueMe_Sem_Pedido!$H:$H,DRE!$A81)+SUMIFS(Aut_Ajustes_Manuais!$G:$G,Aut_Ajustes_Manuais!$I:$I,DRE!Z$4,Aut_Ajustes_Manuais!$F:$F,"Locação de Coberturas - Eventos")</f>
        <v/>
      </c>
      <c r="AC81" s="241" t="n"/>
      <c r="AD81" s="81">
        <f>-SUMIFS(T_ORCAMENTOS!$E:$E,T_ORCAMENTOS!$C:$C,"Locação de Coberturas - Eventos",T_ORCAMENTOS!$H:$H,"8/2026")</f>
        <v/>
      </c>
      <c r="AE81" s="82">
        <f>SUMIFS(Aut_BlueMe_Sem_Pedido!$J:$J,Aut_BlueMe_Sem_Pedido!$Q:$Q,DRE!AC$4,Aut_BlueMe_Sem_Pedido!$H:$H,DRE!$A81)+SUMIFS(Aut_Ajustes_Manuais!$G:$G,Aut_Ajustes_Manuais!$I:$I,DRE!AC$4,Aut_Ajustes_Manuais!$F:$F,"Locação de Coberturas - Eventos")</f>
        <v/>
      </c>
      <c r="AF81" s="241" t="n"/>
      <c r="AG81" s="81">
        <f>-SUMIFS(T_ORCAMENTOS!$E:$E,T_ORCAMENTOS!$C:$C,"Locação de Coberturas - Eventos",T_ORCAMENTOS!$H:$H,"9/2026")</f>
        <v/>
      </c>
      <c r="AH81" s="82">
        <f>SUMIFS(Aut_BlueMe_Sem_Pedido!$J:$J,Aut_BlueMe_Sem_Pedido!$Q:$Q,DRE!AF$4,Aut_BlueMe_Sem_Pedido!$H:$H,DRE!$A81)+SUMIFS(Aut_Ajustes_Manuais!$G:$G,Aut_Ajustes_Manuais!$I:$I,DRE!AF$4,Aut_Ajustes_Manuais!$F:$F,"Locação de Coberturas - Eventos")</f>
        <v/>
      </c>
      <c r="AI81" s="241" t="n"/>
      <c r="AJ81" s="81">
        <f>-SUMIFS(T_ORCAMENTOS!$E:$E,T_ORCAMENTOS!$C:$C,"Locação de Coberturas - Eventos",T_ORCAMENTOS!$H:$H,"10/2026")</f>
        <v/>
      </c>
      <c r="AK81" s="82">
        <f>SUMIFS(Aut_BlueMe_Sem_Pedido!$J:$J,Aut_BlueMe_Sem_Pedido!$Q:$Q,DRE!AI$4,Aut_BlueMe_Sem_Pedido!$H:$H,DRE!$A81)+SUMIFS(Aut_Ajustes_Manuais!$G:$G,Aut_Ajustes_Manuais!$I:$I,DRE!AI$4,Aut_Ajustes_Manuais!$F:$F,"Locação de Coberturas - Eventos")</f>
        <v/>
      </c>
      <c r="AL81" s="241" t="n"/>
      <c r="AM81" s="81">
        <f>-SUMIFS(T_ORCAMENTOS!$E:$E,T_ORCAMENTOS!$C:$C,"Locação de Coberturas - Eventos",T_ORCAMENTOS!$H:$H,"11/2026")</f>
        <v/>
      </c>
      <c r="AN81" s="82">
        <f>SUMIFS(Aut_BlueMe_Sem_Pedido!$J:$J,Aut_BlueMe_Sem_Pedido!$Q:$Q,DRE!AL$4,Aut_BlueMe_Sem_Pedido!$H:$H,DRE!$A81)+SUMIFS(Aut_Ajustes_Manuais!$G:$G,Aut_Ajustes_Manuais!$I:$I,DRE!AL$4,Aut_Ajustes_Manuais!$F:$F,"Locação de Coberturas - Eventos")</f>
        <v/>
      </c>
      <c r="AO81" s="241" t="n"/>
      <c r="AP81" s="81">
        <f>-SUMIFS(T_ORCAMENTOS!$E:$E,T_ORCAMENTOS!$C:$C,"Locação de Coberturas - Eventos",T_ORCAMENTOS!$H:$H,"12/2026")</f>
        <v/>
      </c>
      <c r="AQ81" s="82">
        <f>SUMIFS(Aut_BlueMe_Sem_Pedido!$J:$J,Aut_BlueMe_Sem_Pedido!$Q:$Q,DRE!AO$4,Aut_BlueMe_Sem_Pedido!$H:$H,DRE!$A81)+SUMIFS(Aut_Ajustes_Manuais!$G:$G,Aut_Ajustes_Manuais!$I:$I,DRE!AO$4,Aut_Ajustes_Manuais!$F:$F,"Locação de Coberturas - Eventos")</f>
        <v/>
      </c>
      <c r="AR81" s="241">
        <f>SUMIFS($H81:$AO81,$H$5:$AO$5,"&lt;"&amp;MONTH(TODAY()),$H$6:$AO$6,"REAL 25")</f>
        <v/>
      </c>
      <c r="AS81" s="27">
        <f>SUMIFS($I81:$AP81,$I$5:$AP$5,"&lt;"&amp;MONTH(TODAY()),$I$6:$AP$6,"ORÇADO ")</f>
        <v/>
      </c>
      <c r="AT81" s="82">
        <f>SUMIFS($J81:$AQ81,$J$5:$AQ$5,"&lt;"&amp;MONTH(TODAY()),$J$6:$AQ$6,"REAL 26")</f>
        <v/>
      </c>
      <c r="AU81" s="241">
        <f>SUM(H81,K81,N81,Q81,T81,W81,Z81,AC81,AF81,AI81,AL81,AO81)</f>
        <v/>
      </c>
      <c r="AV81" s="81">
        <f>SUM(I81,L81,O81,R81,U81,X81,AA81,AD81,AG81,AJ81,AM81,AP81)</f>
        <v/>
      </c>
      <c r="AW81" s="82">
        <f>SUM(J81,M81,P81,S81,V81,Y81,AB81,AE81,AH81,AK81,AN81,AQ81)</f>
        <v/>
      </c>
      <c r="AX81" s="241">
        <f>SUM(H81,K81,N81)</f>
        <v/>
      </c>
      <c r="AY81" s="81">
        <f>SUM(I81,L81,O81)</f>
        <v/>
      </c>
      <c r="AZ81" s="82">
        <f>SUM(J81,M81,P81)</f>
        <v/>
      </c>
      <c r="BA81" s="241">
        <f>SUM(Q81,T81,W81)</f>
        <v/>
      </c>
      <c r="BB81" s="81">
        <f>SUM(R81,U81,X81)</f>
        <v/>
      </c>
      <c r="BC81" s="82">
        <f>SUM(S81,V81,Y81)</f>
        <v/>
      </c>
      <c r="BD81" s="241">
        <f>SUM(Z81,AC81,AF81)</f>
        <v/>
      </c>
      <c r="BE81" s="81">
        <f>SUM(AA81,AD81,AG81)</f>
        <v/>
      </c>
      <c r="BF81" s="82">
        <f>SUM(AB81,AE81,AH81)</f>
        <v/>
      </c>
      <c r="BG81" s="241">
        <f>SUM(AI81,AL81,AO81)</f>
        <v/>
      </c>
      <c r="BH81" s="81">
        <f>SUM(AJ81,AM81,AP81)</f>
        <v/>
      </c>
      <c r="BI81" s="82">
        <f>SUM(AK81,AN81,AQ81)</f>
        <v/>
      </c>
    </row>
    <row r="82" hidden="1" outlineLevel="1" ht="18" customHeight="1">
      <c r="A82" s="73" t="n"/>
      <c r="C82" s="24" t="n"/>
      <c r="D82" s="69" t="n"/>
      <c r="E82" s="69" t="n"/>
      <c r="F82" s="41" t="n"/>
      <c r="H82" s="252" t="n"/>
      <c r="I82" s="74" t="n">
        <v>0</v>
      </c>
      <c r="J82" s="76">
        <f>SUM(J83:J84)</f>
        <v/>
      </c>
      <c r="K82" s="252" t="n"/>
      <c r="L82" s="74" t="n">
        <v>0</v>
      </c>
      <c r="M82" s="76">
        <f>SUM(M83:M84)</f>
        <v/>
      </c>
      <c r="N82" s="252" t="n"/>
      <c r="O82" s="74" t="n">
        <v>0</v>
      </c>
      <c r="P82" s="76">
        <f>SUM(P83:P84)</f>
        <v/>
      </c>
      <c r="Q82" s="252" t="n"/>
      <c r="R82" s="74" t="n">
        <v>0</v>
      </c>
      <c r="S82" s="82">
        <f>SUM(S83:S84)</f>
        <v/>
      </c>
      <c r="T82" s="252" t="n"/>
      <c r="U82" s="74" t="n">
        <v>0</v>
      </c>
      <c r="V82" s="76">
        <f>SUM(V83:V84)</f>
        <v/>
      </c>
      <c r="W82" s="252" t="n"/>
      <c r="X82" s="74" t="n">
        <v>0</v>
      </c>
      <c r="Y82" s="76">
        <f>SUM(Y83:Y84)</f>
        <v/>
      </c>
      <c r="Z82" s="252" t="n"/>
      <c r="AA82" s="74" t="n">
        <v>0</v>
      </c>
      <c r="AB82" s="76">
        <f>SUM(AB83:AB84)</f>
        <v/>
      </c>
      <c r="AC82" s="252" t="n"/>
      <c r="AD82" s="74" t="n">
        <v>0</v>
      </c>
      <c r="AE82" s="76">
        <f>SUM(AE83:AE84)</f>
        <v/>
      </c>
      <c r="AF82" s="252" t="n"/>
      <c r="AG82" s="74" t="n">
        <v>0</v>
      </c>
      <c r="AH82" s="76">
        <f>SUM(AH83:AH84)</f>
        <v/>
      </c>
      <c r="AI82" s="252" t="n"/>
      <c r="AJ82" s="74" t="n">
        <v>0</v>
      </c>
      <c r="AK82" s="76">
        <f>SUM(AK83:AK84)</f>
        <v/>
      </c>
      <c r="AL82" s="252" t="n"/>
      <c r="AM82" s="74" t="n">
        <v>0</v>
      </c>
      <c r="AN82" s="76">
        <f>SUM(AN83:AN84)</f>
        <v/>
      </c>
      <c r="AO82" s="252" t="n"/>
      <c r="AP82" s="74" t="n">
        <v>0</v>
      </c>
      <c r="AQ82" s="76">
        <f>SUM(AQ83:AQ84)</f>
        <v/>
      </c>
      <c r="AR82" s="241">
        <f>SUMIFS($H82:$AO82,$H$5:$AO$5,"&lt;"&amp;MONTH(TODAY()),$H$6:$AO$6,"REAL 25")</f>
        <v/>
      </c>
      <c r="AS82" s="27">
        <f>SUMIFS($I82:$AP82,$I$5:$AP$5,"&lt;"&amp;MONTH(TODAY()),$I$6:$AP$6,"ORÇADO ")</f>
        <v/>
      </c>
      <c r="AT82" s="76">
        <f>SUMIFS($J82:$AQ82,$J$5:$AQ$5,"&lt;"&amp;MONTH(TODAY()),$J$6:$AQ$6,"REAL 26")</f>
        <v/>
      </c>
      <c r="AU82" s="252">
        <f>SUM(AU83:AU84)</f>
        <v/>
      </c>
      <c r="AV82" s="74">
        <f>SUM(AV83:AV84)</f>
        <v/>
      </c>
      <c r="AW82" s="76">
        <f>SUM(AW83:AW84)</f>
        <v/>
      </c>
      <c r="AX82" s="252">
        <f>SUM(AX83:AX84)</f>
        <v/>
      </c>
      <c r="AY82" s="74">
        <f>SUM(AY83:AY84)</f>
        <v/>
      </c>
      <c r="AZ82" s="76">
        <f>SUM(AZ83:AZ84)</f>
        <v/>
      </c>
      <c r="BA82" s="252">
        <f>SUM(BA83:BA84)</f>
        <v/>
      </c>
      <c r="BB82" s="74">
        <f>SUM(BB83:BB84)</f>
        <v/>
      </c>
      <c r="BC82" s="76">
        <f>SUM(BC83:BC84)</f>
        <v/>
      </c>
      <c r="BD82" s="252">
        <f>SUM(BD83:BD84)</f>
        <v/>
      </c>
      <c r="BE82" s="74">
        <f>SUM(BE83:BE84)</f>
        <v/>
      </c>
      <c r="BF82" s="76">
        <f>SUM(BF83:BF84)</f>
        <v/>
      </c>
      <c r="BG82" s="252">
        <f>SUM(BG83:BG84)</f>
        <v/>
      </c>
      <c r="BH82" s="74">
        <f>SUM(BH83:BH84)</f>
        <v/>
      </c>
      <c r="BI82" s="76">
        <f>SUM(BI83:BI84)</f>
        <v/>
      </c>
    </row>
    <row r="83" hidden="1" outlineLevel="1" customFormat="1" s="498">
      <c r="A83" s="22" t="n"/>
      <c r="B83" s="488" t="n"/>
      <c r="C83" s="24" t="n"/>
      <c r="D83" s="69" t="inlineStr">
        <is>
          <t>% sobre o Faturamento de Eventos</t>
        </is>
      </c>
      <c r="E83" s="80" t="n">
        <v>0</v>
      </c>
      <c r="F83" s="41" t="n"/>
      <c r="G83" s="23" t="n"/>
      <c r="H83" s="241" t="n"/>
      <c r="I83" s="81" t="n">
        <v>0</v>
      </c>
      <c r="J83" s="82">
        <f>SUMIFS(Aut_BlueMe_Sem_Pedido!$J:$J,Aut_BlueMe_Sem_Pedido!$Q:$Q,DRE!H$4,Aut_BlueMe_Sem_Pedido!$H:$H,DRE!$A83)</f>
        <v/>
      </c>
      <c r="K83" s="254" t="n"/>
      <c r="L83" s="81" t="n">
        <v>0</v>
      </c>
      <c r="M83" s="82">
        <f>SUMIFS(Aut_BlueMe_Sem_Pedido!$J:$J,Aut_BlueMe_Sem_Pedido!$Q:$Q,DRE!K$4,Aut_BlueMe_Sem_Pedido!$H:$H,DRE!$A83)</f>
        <v/>
      </c>
      <c r="N83" s="254" t="n"/>
      <c r="O83" s="81" t="n">
        <v>0</v>
      </c>
      <c r="P83" s="82">
        <f>SUMIFS(Aut_BlueMe_Sem_Pedido!$J:$J,Aut_BlueMe_Sem_Pedido!$Q:$Q,DRE!N$4,Aut_BlueMe_Sem_Pedido!$H:$H,DRE!$A83)</f>
        <v/>
      </c>
      <c r="Q83" s="241" t="n"/>
      <c r="R83" s="81" t="n">
        <v>0</v>
      </c>
      <c r="S83" s="82">
        <f>SUMIFS(Aut_BlueMe_Sem_Pedido!$J:$J,Aut_BlueMe_Sem_Pedido!$Q:$Q,DRE!Q$4,Aut_BlueMe_Sem_Pedido!$H:$H,DRE!$A83)</f>
        <v/>
      </c>
      <c r="T83" s="241" t="n"/>
      <c r="U83" s="81" t="n">
        <v>0</v>
      </c>
      <c r="V83" s="82">
        <f>SUMIFS(Aut_BlueMe_Sem_Pedido!$J:$J,Aut_BlueMe_Sem_Pedido!$Q:$Q,DRE!T$4,Aut_BlueMe_Sem_Pedido!$H:$H,DRE!$A83)</f>
        <v/>
      </c>
      <c r="W83" s="241" t="n"/>
      <c r="X83" s="81" t="n">
        <v>0</v>
      </c>
      <c r="Y83" s="82">
        <f>SUMIFS(Aut_BlueMe_Sem_Pedido!$J:$J,Aut_BlueMe_Sem_Pedido!$Q:$Q,DRE!W$4,Aut_BlueMe_Sem_Pedido!$H:$H,DRE!$A83)</f>
        <v/>
      </c>
      <c r="Z83" s="241" t="n"/>
      <c r="AA83" s="81" t="n">
        <v>0</v>
      </c>
      <c r="AB83" s="82">
        <f>SUMIFS(Aut_BlueMe_Sem_Pedido!$J:$J,Aut_BlueMe_Sem_Pedido!$Q:$Q,DRE!Z$4,Aut_BlueMe_Sem_Pedido!$H:$H,DRE!$A83)</f>
        <v/>
      </c>
      <c r="AC83" s="241" t="n"/>
      <c r="AD83" s="81" t="n">
        <v>0</v>
      </c>
      <c r="AE83" s="82">
        <f>SUMIFS(Aut_BlueMe_Sem_Pedido!$J:$J,Aut_BlueMe_Sem_Pedido!$Q:$Q,DRE!AC$4,Aut_BlueMe_Sem_Pedido!$H:$H,DRE!$A83)</f>
        <v/>
      </c>
      <c r="AF83" s="241" t="n"/>
      <c r="AG83" s="81" t="n">
        <v>0</v>
      </c>
      <c r="AH83" s="82">
        <f>SUMIFS(Aut_BlueMe_Sem_Pedido!$J:$J,Aut_BlueMe_Sem_Pedido!$Q:$Q,DRE!AF$4,Aut_BlueMe_Sem_Pedido!$H:$H,DRE!$A83)</f>
        <v/>
      </c>
      <c r="AI83" s="241" t="n"/>
      <c r="AJ83" s="81" t="n">
        <v>0</v>
      </c>
      <c r="AK83" s="82">
        <f>SUMIFS(Aut_BlueMe_Sem_Pedido!$J:$J,Aut_BlueMe_Sem_Pedido!$Q:$Q,DRE!AI$4,Aut_BlueMe_Sem_Pedido!$H:$H,DRE!$A83)</f>
        <v/>
      </c>
      <c r="AL83" s="241" t="n"/>
      <c r="AM83" s="81" t="n">
        <v>0</v>
      </c>
      <c r="AN83" s="82">
        <f>SUMIFS(Aut_BlueMe_Sem_Pedido!$J:$J,Aut_BlueMe_Sem_Pedido!$Q:$Q,DRE!AL$4,Aut_BlueMe_Sem_Pedido!$H:$H,DRE!$A83)</f>
        <v/>
      </c>
      <c r="AO83" s="241" t="n"/>
      <c r="AP83" s="81" t="n">
        <v>0</v>
      </c>
      <c r="AQ83" s="82">
        <f>SUMIFS(Aut_BlueMe_Sem_Pedido!$J:$J,Aut_BlueMe_Sem_Pedido!$Q:$Q,DRE!AO$4,Aut_BlueMe_Sem_Pedido!$H:$H,DRE!$A83)</f>
        <v/>
      </c>
      <c r="AR83" s="241">
        <f>SUMIFS($H83:$AO83,$H$5:$AO$5,"&lt;"&amp;MONTH(TODAY()),$H$6:$AO$6,"REAL 25")</f>
        <v/>
      </c>
      <c r="AS83" s="27">
        <f>SUMIFS($I83:$AP83,$I$5:$AP$5,"&lt;"&amp;MONTH(TODAY()),$I$6:$AP$6,"ORÇADO ")</f>
        <v/>
      </c>
      <c r="AT83" s="82">
        <f>SUMIFS($J83:$AQ83,$J$5:$AQ$5,"&lt;"&amp;MONTH(TODAY()),$J$6:$AQ$6,"REAL 26")</f>
        <v/>
      </c>
      <c r="AU83" s="241">
        <f>SUM(H83,K83,N83,Q83,T83,W83,Z83,AC83,AF83,AI83,AL83,AO83)</f>
        <v/>
      </c>
      <c r="AV83" s="81">
        <f>SUM(I83,L83,O83,R83,U83,X83,AA83,AD83,AG83,AJ83,AM83,AP83)</f>
        <v/>
      </c>
      <c r="AW83" s="82">
        <f>SUM(J83,M83,P83,S83,V83,Y83,AB83,AE83,AH83,AK83,AN83,AQ83)</f>
        <v/>
      </c>
      <c r="AX83" s="241">
        <f>SUM(H83,K83,N83)</f>
        <v/>
      </c>
      <c r="AY83" s="81">
        <f>SUM(I83,L83,O83)</f>
        <v/>
      </c>
      <c r="AZ83" s="82">
        <f>SUM(J83,M83,P83)</f>
        <v/>
      </c>
      <c r="BA83" s="241">
        <f>SUM(Q83,T83,W83)</f>
        <v/>
      </c>
      <c r="BB83" s="81">
        <f>SUM(R83,U83,X83)</f>
        <v/>
      </c>
      <c r="BC83" s="82">
        <f>SUM(S83,V83,Y83)</f>
        <v/>
      </c>
      <c r="BD83" s="241">
        <f>SUM(Z83,AC83,AF83)</f>
        <v/>
      </c>
      <c r="BE83" s="81">
        <f>SUM(AA83,AD83,AG83)</f>
        <v/>
      </c>
      <c r="BF83" s="82">
        <f>SUM(AB83,AE83,AH83)</f>
        <v/>
      </c>
      <c r="BG83" s="241">
        <f>SUM(AI83,AL83,AO83)</f>
        <v/>
      </c>
      <c r="BH83" s="81">
        <f>SUM(AJ83,AM83,AP83)</f>
        <v/>
      </c>
      <c r="BI83" s="82">
        <f>SUM(AK83,AN83,AQ83)</f>
        <v/>
      </c>
    </row>
    <row r="84" hidden="1" outlineLevel="1" customFormat="1" s="498">
      <c r="A84" s="22" t="n"/>
      <c r="B84" s="488" t="n"/>
      <c r="C84" s="24" t="n"/>
      <c r="D84" s="69" t="inlineStr">
        <is>
          <t>% sobre o Faturamento de Eventos</t>
        </is>
      </c>
      <c r="E84" s="80" t="n">
        <v>0</v>
      </c>
      <c r="F84" s="41" t="n"/>
      <c r="G84" s="23" t="n"/>
      <c r="H84" s="241" t="n"/>
      <c r="I84" s="81" t="n">
        <v>0</v>
      </c>
      <c r="J84" s="82">
        <f>SUMIFS(Aut_BlueMe_Sem_Pedido!$J:$J,Aut_BlueMe_Sem_Pedido!$Q:$Q,DRE!H$4,Aut_BlueMe_Sem_Pedido!$H:$H,DRE!$A84)</f>
        <v/>
      </c>
      <c r="K84" s="254" t="n"/>
      <c r="L84" s="81" t="n">
        <v>0</v>
      </c>
      <c r="M84" s="82">
        <f>SUMIFS(Aut_BlueMe_Sem_Pedido!$J:$J,Aut_BlueMe_Sem_Pedido!$Q:$Q,DRE!K$4,Aut_BlueMe_Sem_Pedido!$H:$H,DRE!$A84)</f>
        <v/>
      </c>
      <c r="N84" s="254" t="n"/>
      <c r="O84" s="81" t="n">
        <v>0</v>
      </c>
      <c r="P84" s="82">
        <f>SUMIFS(Aut_BlueMe_Sem_Pedido!$J:$J,Aut_BlueMe_Sem_Pedido!$Q:$Q,DRE!N$4,Aut_BlueMe_Sem_Pedido!$H:$H,DRE!$A84)</f>
        <v/>
      </c>
      <c r="Q84" s="241" t="n"/>
      <c r="R84" s="81" t="n">
        <v>0</v>
      </c>
      <c r="S84" s="82">
        <f>SUMIFS(Aut_BlueMe_Sem_Pedido!$J:$J,Aut_BlueMe_Sem_Pedido!$Q:$Q,DRE!Q$4,Aut_BlueMe_Sem_Pedido!$H:$H,DRE!$A84)</f>
        <v/>
      </c>
      <c r="T84" s="241" t="n"/>
      <c r="U84" s="81" t="n">
        <v>0</v>
      </c>
      <c r="V84" s="82">
        <f>SUMIFS(Aut_BlueMe_Sem_Pedido!$J:$J,Aut_BlueMe_Sem_Pedido!$Q:$Q,DRE!T$4,Aut_BlueMe_Sem_Pedido!$H:$H,DRE!$A84)</f>
        <v/>
      </c>
      <c r="W84" s="241" t="n"/>
      <c r="X84" s="81" t="n">
        <v>0</v>
      </c>
      <c r="Y84" s="82">
        <f>SUMIFS(Aut_BlueMe_Sem_Pedido!$J:$J,Aut_BlueMe_Sem_Pedido!$Q:$Q,DRE!W$4,Aut_BlueMe_Sem_Pedido!$H:$H,DRE!$A84)</f>
        <v/>
      </c>
      <c r="Z84" s="241" t="n"/>
      <c r="AA84" s="81" t="n">
        <v>0</v>
      </c>
      <c r="AB84" s="82">
        <f>SUMIFS(Aut_BlueMe_Sem_Pedido!$J:$J,Aut_BlueMe_Sem_Pedido!$Q:$Q,DRE!Z$4,Aut_BlueMe_Sem_Pedido!$H:$H,DRE!$A84)</f>
        <v/>
      </c>
      <c r="AC84" s="241" t="n"/>
      <c r="AD84" s="81" t="n">
        <v>0</v>
      </c>
      <c r="AE84" s="82">
        <f>SUMIFS(Aut_BlueMe_Sem_Pedido!$J:$J,Aut_BlueMe_Sem_Pedido!$Q:$Q,DRE!AC$4,Aut_BlueMe_Sem_Pedido!$H:$H,DRE!$A84)</f>
        <v/>
      </c>
      <c r="AF84" s="241" t="n"/>
      <c r="AG84" s="81" t="n">
        <v>0</v>
      </c>
      <c r="AH84" s="82">
        <f>SUMIFS(Aut_BlueMe_Sem_Pedido!$J:$J,Aut_BlueMe_Sem_Pedido!$Q:$Q,DRE!AF$4,Aut_BlueMe_Sem_Pedido!$H:$H,DRE!$A84)</f>
        <v/>
      </c>
      <c r="AI84" s="241" t="n"/>
      <c r="AJ84" s="81" t="n">
        <v>0</v>
      </c>
      <c r="AK84" s="82">
        <f>SUMIFS(Aut_BlueMe_Sem_Pedido!$J:$J,Aut_BlueMe_Sem_Pedido!$Q:$Q,DRE!AI$4,Aut_BlueMe_Sem_Pedido!$H:$H,DRE!$A84)</f>
        <v/>
      </c>
      <c r="AL84" s="241" t="n"/>
      <c r="AM84" s="81" t="n">
        <v>0</v>
      </c>
      <c r="AN84" s="82">
        <f>SUMIFS(Aut_BlueMe_Sem_Pedido!$J:$J,Aut_BlueMe_Sem_Pedido!$Q:$Q,DRE!AL$4,Aut_BlueMe_Sem_Pedido!$H:$H,DRE!$A84)</f>
        <v/>
      </c>
      <c r="AO84" s="241" t="n"/>
      <c r="AP84" s="81" t="n">
        <v>0</v>
      </c>
      <c r="AQ84" s="82">
        <f>SUMIFS(Aut_BlueMe_Sem_Pedido!$J:$J,Aut_BlueMe_Sem_Pedido!$Q:$Q,DRE!AO$4,Aut_BlueMe_Sem_Pedido!$H:$H,DRE!$A84)</f>
        <v/>
      </c>
      <c r="AR84" s="241">
        <f>SUMIFS($H84:$AO84,$H$5:$AO$5,"&lt;"&amp;MONTH(TODAY()),$H$6:$AO$6,"REAL 25")</f>
        <v/>
      </c>
      <c r="AS84" s="27">
        <f>SUMIFS($I84:$AP84,$I$5:$AP$5,"&lt;"&amp;MONTH(TODAY()),$I$6:$AP$6,"ORÇADO ")</f>
        <v/>
      </c>
      <c r="AT84" s="82">
        <f>SUMIFS($J84:$AQ84,$J$5:$AQ$5,"&lt;"&amp;MONTH(TODAY()),$J$6:$AQ$6,"REAL 26")</f>
        <v/>
      </c>
      <c r="AU84" s="241">
        <f>SUM(H84,K84,N84,Q84,T84,W84,Z84,AC84,AF84,AI84,AL84,AO84)</f>
        <v/>
      </c>
      <c r="AV84" s="81">
        <f>SUM(I84,L84,O84,R84,U84,X84,AA84,AD84,AG84,AJ84,AM84,AP84)</f>
        <v/>
      </c>
      <c r="AW84" s="82">
        <f>SUM(J84,M84,P84,S84,V84,Y84,AB84,AE84,AH84,AK84,AN84,AQ84)</f>
        <v/>
      </c>
      <c r="AX84" s="241">
        <f>SUM(H84,K84,N84)</f>
        <v/>
      </c>
      <c r="AY84" s="81">
        <f>SUM(I84,L84,O84)</f>
        <v/>
      </c>
      <c r="AZ84" s="82">
        <f>SUM(J84,M84,P84)</f>
        <v/>
      </c>
      <c r="BA84" s="241">
        <f>SUM(Q84,T84,W84)</f>
        <v/>
      </c>
      <c r="BB84" s="81">
        <f>SUM(R84,U84,X84)</f>
        <v/>
      </c>
      <c r="BC84" s="82">
        <f>SUM(S84,V84,Y84)</f>
        <v/>
      </c>
      <c r="BD84" s="241">
        <f>SUM(Z84,AC84,AF84)</f>
        <v/>
      </c>
      <c r="BE84" s="81">
        <f>SUM(AA84,AD84,AG84)</f>
        <v/>
      </c>
      <c r="BF84" s="82">
        <f>SUM(AB84,AE84,AH84)</f>
        <v/>
      </c>
      <c r="BG84" s="241">
        <f>SUM(AI84,AL84,AO84)</f>
        <v/>
      </c>
      <c r="BH84" s="81">
        <f>SUM(AJ84,AM84,AP84)</f>
        <v/>
      </c>
      <c r="BI84" s="82">
        <f>SUM(AK84,AN84,AQ84)</f>
        <v/>
      </c>
    </row>
    <row r="85" collapsed="1">
      <c r="A85" s="71" t="inlineStr">
        <is>
          <t>% sobre Receita de Eventos</t>
        </is>
      </c>
      <c r="C85" s="24" t="n"/>
      <c r="D85" s="69" t="n"/>
      <c r="E85" s="69" t="n"/>
      <c r="F85" s="41" t="n"/>
      <c r="H85" s="255" t="n"/>
      <c r="I85" s="83">
        <f>IFERROR(I56/(I14+I15+I16),0)</f>
        <v/>
      </c>
      <c r="J85" s="84">
        <f>IFERROR(J56/(J14+J15+J16),0)+SUMIFS(Aut_Ajustes_Manuais!$G:$G,Aut_Ajustes_Manuais!$I:$I,DRE!H$4,Aut_Ajustes_Manuais!$F:$F,"% sobre Receita de Eventos")</f>
        <v/>
      </c>
      <c r="K85" s="255" t="n"/>
      <c r="L85" s="83">
        <f>IFERROR(L56/(L14+L15+L16),0)</f>
        <v/>
      </c>
      <c r="M85" s="84">
        <f>IFERROR(M56/(M14+M15+M16),0)+SUMIFS(Aut_Ajustes_Manuais!$G:$G,Aut_Ajustes_Manuais!$I:$I,DRE!K$4,Aut_Ajustes_Manuais!$F:$F,"% sobre Receita de Eventos")</f>
        <v/>
      </c>
      <c r="N85" s="255" t="n"/>
      <c r="O85" s="83">
        <f>IFERROR(O56/(O14+O15+O16),0)</f>
        <v/>
      </c>
      <c r="P85" s="84">
        <f>IFERROR(P56/(P14+P15+P16),0)+SUMIFS(Aut_Ajustes_Manuais!$G:$G,Aut_Ajustes_Manuais!$I:$I,DRE!N$4,Aut_Ajustes_Manuais!$F:$F,"% sobre Receita de Eventos")</f>
        <v/>
      </c>
      <c r="Q85" s="255" t="n"/>
      <c r="R85" s="83">
        <f>IFERROR(R56/(R14+R15+R16),0)</f>
        <v/>
      </c>
      <c r="S85" s="84">
        <f>IFERROR(S56/(S14+S15+S16),0)+SUMIFS(Aut_Ajustes_Manuais!$G:$G,Aut_Ajustes_Manuais!$I:$I,DRE!Q$4,Aut_Ajustes_Manuais!$F:$F,"% sobre Receita de Eventos")</f>
        <v/>
      </c>
      <c r="T85" s="255" t="n"/>
      <c r="U85" s="83">
        <f>IFERROR(U56/(U14+U15+U16),0)</f>
        <v/>
      </c>
      <c r="V85" s="84">
        <f>IFERROR(V56/(V14+V15+V16),0)+SUMIFS(Aut_Ajustes_Manuais!$G:$G,Aut_Ajustes_Manuais!$I:$I,DRE!T$4,Aut_Ajustes_Manuais!$F:$F,"% sobre Receita de Eventos")</f>
        <v/>
      </c>
      <c r="W85" s="255" t="n"/>
      <c r="X85" s="83">
        <f>IFERROR(X56/(X14+X15+X16),0)</f>
        <v/>
      </c>
      <c r="Y85" s="84">
        <f>IFERROR(Y56/(Y14+Y15+Y16),0)+SUMIFS(Aut_Ajustes_Manuais!$G:$G,Aut_Ajustes_Manuais!$I:$I,DRE!W$4,Aut_Ajustes_Manuais!$F:$F,"% sobre Receita de Eventos")</f>
        <v/>
      </c>
      <c r="Z85" s="255" t="n"/>
      <c r="AA85" s="83">
        <f>IFERROR(AA56/(AA14+AA15+AA16),0)</f>
        <v/>
      </c>
      <c r="AB85" s="84">
        <f>IFERROR(AB56/(AB14+AB15+AB16),0)+SUMIFS(Aut_Ajustes_Manuais!$G:$G,Aut_Ajustes_Manuais!$I:$I,DRE!Z$4,Aut_Ajustes_Manuais!$F:$F,"% sobre Receita de Eventos")</f>
        <v/>
      </c>
      <c r="AC85" s="255" t="n"/>
      <c r="AD85" s="83">
        <f>IFERROR(AD56/(AD14+AD15+AD16),0)</f>
        <v/>
      </c>
      <c r="AE85" s="84">
        <f>IFERROR(AE56/(AE14+AE15+AE16),0)+SUMIFS(Aut_Ajustes_Manuais!$G:$G,Aut_Ajustes_Manuais!$I:$I,DRE!AC$4,Aut_Ajustes_Manuais!$F:$F,"% sobre Receita de Eventos")</f>
        <v/>
      </c>
      <c r="AF85" s="255" t="n"/>
      <c r="AG85" s="83">
        <f>IFERROR(AG56/(AG14+AG15+AG16),0)</f>
        <v/>
      </c>
      <c r="AH85" s="84">
        <f>IFERROR(AH56/(AH14+AH15+AH16),0)+SUMIFS(Aut_Ajustes_Manuais!$G:$G,Aut_Ajustes_Manuais!$I:$I,DRE!AF$4,Aut_Ajustes_Manuais!$F:$F,"% sobre Receita de Eventos")</f>
        <v/>
      </c>
      <c r="AI85" s="255" t="n"/>
      <c r="AJ85" s="83">
        <f>IFERROR(AJ56/(AJ14+AJ15+AJ16),0)</f>
        <v/>
      </c>
      <c r="AK85" s="84">
        <f>IFERROR(AK56/(AK14+AK15+AK16),0)+SUMIFS(Aut_Ajustes_Manuais!$G:$G,Aut_Ajustes_Manuais!$I:$I,DRE!AI$4,Aut_Ajustes_Manuais!$F:$F,"% sobre Receita de Eventos")</f>
        <v/>
      </c>
      <c r="AL85" s="255" t="n"/>
      <c r="AM85" s="83">
        <f>IFERROR(AM56/(AM14+AM15+AM16),0)</f>
        <v/>
      </c>
      <c r="AN85" s="84">
        <f>IFERROR(AN56/(AN14+AN15+AN16),0)+SUMIFS(Aut_Ajustes_Manuais!$G:$G,Aut_Ajustes_Manuais!$I:$I,DRE!AL$4,Aut_Ajustes_Manuais!$F:$F,"% sobre Receita de Eventos")</f>
        <v/>
      </c>
      <c r="AO85" s="255" t="n"/>
      <c r="AP85" s="83">
        <f>IFERROR(AP56/(AP14+AP15+AP16),0)</f>
        <v/>
      </c>
      <c r="AQ85" s="84">
        <f>IFERROR(AQ56/(AQ14+AQ15+AQ16),0)+SUMIFS(Aut_Ajustes_Manuais!$G:$G,Aut_Ajustes_Manuais!$I:$I,DRE!AO$4,Aut_Ajustes_Manuais!$F:$F,"% sobre Receita de Eventos")</f>
        <v/>
      </c>
      <c r="AR85" s="255">
        <f>IFERROR(AR56/(AR14+AR15+AR16),0)</f>
        <v/>
      </c>
      <c r="AS85" s="83">
        <f>IFERROR(AS56/(AS14+AS15+AS16),0)</f>
        <v/>
      </c>
      <c r="AT85" s="84">
        <f>IFERROR(AT56/(AT14+AT15+AT16),0)</f>
        <v/>
      </c>
      <c r="AU85" s="255">
        <f>IFERROR(AU56/(AU14+AU15+AU16),0)</f>
        <v/>
      </c>
      <c r="AV85" s="83">
        <f>IFERROR(AV56/(AV14+AV15+AV16),0)</f>
        <v/>
      </c>
      <c r="AW85" s="84">
        <f>IFERROR(AW56/(AW14+AW15+AW16),0)</f>
        <v/>
      </c>
      <c r="AX85" s="255">
        <f>IFERROR(AX56/(AX14+AX15+AX16),0)</f>
        <v/>
      </c>
      <c r="AY85" s="83">
        <f>IFERROR(AY56/(AY14+AY15+AY16),0)</f>
        <v/>
      </c>
      <c r="AZ85" s="84">
        <f>IFERROR(AZ56/(AZ14+AZ15+AZ16),0)</f>
        <v/>
      </c>
      <c r="BA85" s="255">
        <f>IFERROR(BA56/(BA14+BA15+BA16),0)</f>
        <v/>
      </c>
      <c r="BB85" s="83">
        <f>IFERROR(BB56/(BB14+BB15+BB16),0)</f>
        <v/>
      </c>
      <c r="BC85" s="84">
        <f>IFERROR(BC56/(BC14+BC15+BC16),0)</f>
        <v/>
      </c>
      <c r="BD85" s="255">
        <f>IFERROR(BD56/(BD14+BD15+BD16),0)</f>
        <v/>
      </c>
      <c r="BE85" s="83">
        <f>IFERROR(BE56/(BE14+BE15+BE16),0)</f>
        <v/>
      </c>
      <c r="BF85" s="84">
        <f>IFERROR(BF56/(BF14+BF15+BF16),0)</f>
        <v/>
      </c>
      <c r="BG85" s="255">
        <f>IFERROR(BG56/(BG14+BG15+BG16),0)</f>
        <v/>
      </c>
      <c r="BH85" s="83">
        <f>IFERROR(BH56/(BH14+BH15+BH16),0)</f>
        <v/>
      </c>
      <c r="BI85" s="84">
        <f>IFERROR(BI56/(BI14+BI15+BI16),0)</f>
        <v/>
      </c>
    </row>
    <row r="86">
      <c r="A86" s="71" t="inlineStr">
        <is>
          <t>% sobre Receita Bruta</t>
        </is>
      </c>
      <c r="C86" s="24" t="n"/>
      <c r="D86" s="69" t="n"/>
      <c r="E86" s="69" t="n"/>
      <c r="F86" s="41" t="n"/>
      <c r="H86" s="255" t="n"/>
      <c r="I86" s="83">
        <f>IFERROR(I56/I8,0)</f>
        <v/>
      </c>
      <c r="J86" s="84">
        <f>IFERROR(J56/J8,0)+SUMIFS(Aut_Ajustes_Manuais!$G:$G,Aut_Ajustes_Manuais!$I:$I,DRE!H$4,Aut_Ajustes_Manuais!$F:$F,"% sobre Receita Bruta")</f>
        <v/>
      </c>
      <c r="K86" s="255" t="n"/>
      <c r="L86" s="83">
        <f>IFERROR(L56/L8,0)</f>
        <v/>
      </c>
      <c r="M86" s="84">
        <f>IFERROR(M56/M8,0)+SUMIFS(Aut_Ajustes_Manuais!$G:$G,Aut_Ajustes_Manuais!$I:$I,DRE!K$4,Aut_Ajustes_Manuais!$F:$F,"% sobre Receita Bruta")</f>
        <v/>
      </c>
      <c r="N86" s="255" t="n"/>
      <c r="O86" s="83">
        <f>IFERROR(O56/O8,0)</f>
        <v/>
      </c>
      <c r="P86" s="84">
        <f>IFERROR(P56/P8,0)+SUMIFS(Aut_Ajustes_Manuais!$G:$G,Aut_Ajustes_Manuais!$I:$I,DRE!N$4,Aut_Ajustes_Manuais!$F:$F,"% sobre Receita Bruta")</f>
        <v/>
      </c>
      <c r="Q86" s="255" t="n"/>
      <c r="R86" s="83">
        <f>IFERROR(R56/R8,0)</f>
        <v/>
      </c>
      <c r="S86" s="84">
        <f>IFERROR(S56/S8,0)+SUMIFS(Aut_Ajustes_Manuais!$G:$G,Aut_Ajustes_Manuais!$I:$I,DRE!Q$4,Aut_Ajustes_Manuais!$F:$F,"% sobre Receita Bruta")</f>
        <v/>
      </c>
      <c r="T86" s="255" t="n"/>
      <c r="U86" s="83">
        <f>IFERROR(U56/U8,0)</f>
        <v/>
      </c>
      <c r="V86" s="84">
        <f>IFERROR(V56/V8,0)+SUMIFS(Aut_Ajustes_Manuais!$G:$G,Aut_Ajustes_Manuais!$I:$I,DRE!T$4,Aut_Ajustes_Manuais!$F:$F,"% sobre Receita Bruta")</f>
        <v/>
      </c>
      <c r="W86" s="255" t="n"/>
      <c r="X86" s="83">
        <f>IFERROR(X56/X8,0)</f>
        <v/>
      </c>
      <c r="Y86" s="84">
        <f>IFERROR(Y56/Y8,0)+SUMIFS(Aut_Ajustes_Manuais!$G:$G,Aut_Ajustes_Manuais!$I:$I,DRE!W$4,Aut_Ajustes_Manuais!$F:$F,"% sobre Receita Bruta")</f>
        <v/>
      </c>
      <c r="Z86" s="255" t="n"/>
      <c r="AA86" s="83">
        <f>IFERROR(AA56/AA8,0)</f>
        <v/>
      </c>
      <c r="AB86" s="84">
        <f>IFERROR(AB56/AB8,0)+SUMIFS(Aut_Ajustes_Manuais!$G:$G,Aut_Ajustes_Manuais!$I:$I,DRE!Z$4,Aut_Ajustes_Manuais!$F:$F,"% sobre Receita Bruta")</f>
        <v/>
      </c>
      <c r="AC86" s="255" t="n"/>
      <c r="AD86" s="83">
        <f>IFERROR(AD56/AD8,0)</f>
        <v/>
      </c>
      <c r="AE86" s="84">
        <f>IFERROR(AE56/AE8,0)+SUMIFS(Aut_Ajustes_Manuais!$G:$G,Aut_Ajustes_Manuais!$I:$I,DRE!AC$4,Aut_Ajustes_Manuais!$F:$F,"% sobre Receita Bruta")</f>
        <v/>
      </c>
      <c r="AF86" s="255" t="n"/>
      <c r="AG86" s="83">
        <f>IFERROR(AG56/AG8,0)</f>
        <v/>
      </c>
      <c r="AH86" s="84">
        <f>IFERROR(AH56/AH8,0)+SUMIFS(Aut_Ajustes_Manuais!$G:$G,Aut_Ajustes_Manuais!$I:$I,DRE!AF$4,Aut_Ajustes_Manuais!$F:$F,"% sobre Receita Bruta")</f>
        <v/>
      </c>
      <c r="AI86" s="255" t="n"/>
      <c r="AJ86" s="83">
        <f>IFERROR(AJ56/AJ8,0)</f>
        <v/>
      </c>
      <c r="AK86" s="84">
        <f>IFERROR(AK56/AK8,0)+SUMIFS(Aut_Ajustes_Manuais!$G:$G,Aut_Ajustes_Manuais!$I:$I,DRE!AI$4,Aut_Ajustes_Manuais!$F:$F,"% sobre Receita Bruta")</f>
        <v/>
      </c>
      <c r="AL86" s="255" t="n"/>
      <c r="AM86" s="83">
        <f>IFERROR(AM56/AM8,0)</f>
        <v/>
      </c>
      <c r="AN86" s="84">
        <f>IFERROR(AN56/AN8,0)+SUMIFS(Aut_Ajustes_Manuais!$G:$G,Aut_Ajustes_Manuais!$I:$I,DRE!AL$4,Aut_Ajustes_Manuais!$F:$F,"% sobre Receita Bruta")</f>
        <v/>
      </c>
      <c r="AO86" s="255" t="n"/>
      <c r="AP86" s="83">
        <f>IFERROR(AP56/AP8,0)</f>
        <v/>
      </c>
      <c r="AQ86" s="84">
        <f>IFERROR(AQ56/AQ8,0)+SUMIFS(Aut_Ajustes_Manuais!$G:$G,Aut_Ajustes_Manuais!$I:$I,DRE!AO$4,Aut_Ajustes_Manuais!$F:$F,"% sobre Receita Bruta")</f>
        <v/>
      </c>
      <c r="AR86" s="255">
        <f>IFERROR(AR56/AR8,0)</f>
        <v/>
      </c>
      <c r="AS86" s="83">
        <f>IFERROR(AS56/AS8,0)</f>
        <v/>
      </c>
      <c r="AT86" s="84">
        <f>IFERROR(AT56/AT8,0)</f>
        <v/>
      </c>
      <c r="AU86" s="255">
        <f>IFERROR(AU56/AU8,0)</f>
        <v/>
      </c>
      <c r="AV86" s="83">
        <f>IFERROR(AV56/AV8,0)</f>
        <v/>
      </c>
      <c r="AW86" s="84">
        <f>IFERROR(AW56/AW8,0)</f>
        <v/>
      </c>
      <c r="AX86" s="255">
        <f>IFERROR(AX56/AX8,0)</f>
        <v/>
      </c>
      <c r="AY86" s="83">
        <f>IFERROR(AY56/AY8,0)</f>
        <v/>
      </c>
      <c r="AZ86" s="84">
        <f>IFERROR(AZ56/AZ8,0)</f>
        <v/>
      </c>
      <c r="BA86" s="255">
        <f>IFERROR(BA56/BA8,0)</f>
        <v/>
      </c>
      <c r="BB86" s="83">
        <f>IFERROR(BB56/BB8,0)</f>
        <v/>
      </c>
      <c r="BC86" s="84">
        <f>IFERROR(BC56/BC8,0)</f>
        <v/>
      </c>
      <c r="BD86" s="255">
        <f>IFERROR(BD56/BD8,0)</f>
        <v/>
      </c>
      <c r="BE86" s="83">
        <f>IFERROR(BE56/BE8,0)</f>
        <v/>
      </c>
      <c r="BF86" s="84">
        <f>IFERROR(BF56/BF8,0)</f>
        <v/>
      </c>
      <c r="BG86" s="255">
        <f>IFERROR(BG56/BG8,0)</f>
        <v/>
      </c>
      <c r="BH86" s="83">
        <f>IFERROR(BH56/BH8,0)</f>
        <v/>
      </c>
      <c r="BI86" s="84">
        <f>IFERROR(BI56/BI8,0)</f>
        <v/>
      </c>
    </row>
    <row r="87">
      <c r="A87" s="18" t="n"/>
      <c r="C87" s="60" t="n"/>
      <c r="E87" s="16" t="n"/>
      <c r="F87" s="17" t="n"/>
      <c r="H87" s="256" t="n"/>
      <c r="I87" s="232" t="n"/>
      <c r="J87" s="85" t="n"/>
      <c r="K87" s="256" t="n"/>
      <c r="L87" s="232" t="n"/>
      <c r="M87" s="85" t="n"/>
      <c r="N87" s="256" t="n"/>
      <c r="O87" s="232" t="n"/>
      <c r="P87" s="85" t="n"/>
      <c r="Q87" s="256" t="n"/>
      <c r="R87" s="232" t="n"/>
      <c r="S87" s="85" t="n"/>
      <c r="T87" s="256" t="n"/>
      <c r="U87" s="232" t="n"/>
      <c r="V87" s="85" t="n"/>
      <c r="W87" s="256" t="n"/>
      <c r="X87" s="232" t="n"/>
      <c r="Y87" s="85" t="n"/>
      <c r="Z87" s="256" t="n"/>
      <c r="AA87" s="232" t="n"/>
      <c r="AB87" s="85" t="n"/>
      <c r="AC87" s="256" t="n"/>
      <c r="AD87" s="232" t="n"/>
      <c r="AE87" s="85" t="n"/>
      <c r="AF87" s="256" t="n"/>
      <c r="AG87" s="232" t="n"/>
      <c r="AH87" s="85" t="n"/>
      <c r="AI87" s="256" t="n"/>
      <c r="AJ87" s="232" t="n"/>
      <c r="AK87" s="85" t="n"/>
      <c r="AL87" s="256" t="n"/>
      <c r="AM87" s="232" t="n"/>
      <c r="AN87" s="85" t="n"/>
      <c r="AO87" s="256" t="n"/>
      <c r="AP87" s="232" t="n"/>
      <c r="AQ87" s="85" t="n"/>
      <c r="AR87" s="256" t="n"/>
      <c r="AS87" s="508" t="n"/>
      <c r="AT87" s="507" t="n"/>
      <c r="AU87" s="266" t="n"/>
      <c r="AV87" s="232" t="n"/>
      <c r="AW87" s="85" t="n"/>
      <c r="AX87" s="256" t="n"/>
      <c r="AY87" s="232" t="n"/>
      <c r="AZ87" s="85" t="n"/>
      <c r="BA87" s="256" t="n"/>
      <c r="BB87" s="232" t="n"/>
      <c r="BC87" s="85" t="n"/>
      <c r="BD87" s="256" t="n"/>
      <c r="BE87" s="232" t="n"/>
      <c r="BF87" s="85" t="n"/>
      <c r="BG87" s="256" t="n"/>
      <c r="BH87" s="232" t="n"/>
      <c r="BI87" s="85" t="n"/>
    </row>
    <row r="88">
      <c r="A88" s="39" t="inlineStr">
        <is>
          <t>(-) Dedução da Gorjeta</t>
        </is>
      </c>
      <c r="C88" s="40" t="inlineStr">
        <is>
          <t>Premissas</t>
        </is>
      </c>
      <c r="D88" s="40" t="inlineStr">
        <is>
          <t>Valores</t>
        </is>
      </c>
      <c r="E88" s="40" t="inlineStr">
        <is>
          <t>% Incid</t>
        </is>
      </c>
      <c r="F88" s="41" t="n"/>
      <c r="G88" s="86" t="n"/>
      <c r="H88" s="251" t="n"/>
      <c r="I88" s="67">
        <f>SUM(I89:I90)</f>
        <v/>
      </c>
      <c r="J88" s="68">
        <f>SUM(J89:J90)+SUMIFS(Aut_Ajustes_Manuais!$G:$G,Aut_Ajustes_Manuais!$I:$I,DRE!H$4,Aut_Ajustes_Manuais!$F:$F,"(-) Dedução da Gorjeta")</f>
        <v/>
      </c>
      <c r="K88" s="251" t="n"/>
      <c r="L88" s="67">
        <f>SUM(L89:L90)</f>
        <v/>
      </c>
      <c r="M88" s="68">
        <f>SUM(M89:M90)+SUMIFS(Aut_Ajustes_Manuais!$G:$G,Aut_Ajustes_Manuais!$I:$I,DRE!K$4,Aut_Ajustes_Manuais!$F:$F,"(-) Dedução da Gorjeta")</f>
        <v/>
      </c>
      <c r="N88" s="251" t="n"/>
      <c r="O88" s="67">
        <f>SUM(O89:O90)</f>
        <v/>
      </c>
      <c r="P88" s="68">
        <f>SUM(P89:P90)+SUMIFS(Aut_Ajustes_Manuais!$G:$G,Aut_Ajustes_Manuais!$I:$I,DRE!N$4,Aut_Ajustes_Manuais!$F:$F,"(-) Dedução da Gorjeta")</f>
        <v/>
      </c>
      <c r="Q88" s="251" t="n"/>
      <c r="R88" s="67">
        <f>SUM(R89:R90)</f>
        <v/>
      </c>
      <c r="S88" s="68">
        <f>SUM(S89:S90)+SUMIFS(Aut_Ajustes_Manuais!$G:$G,Aut_Ajustes_Manuais!$I:$I,DRE!Q$4,Aut_Ajustes_Manuais!$F:$F,"(-) Dedução da Gorjeta")</f>
        <v/>
      </c>
      <c r="T88" s="251" t="n"/>
      <c r="U88" s="67">
        <f>SUM(U89:U90)</f>
        <v/>
      </c>
      <c r="V88" s="68">
        <f>SUM(V89:V90)+SUMIFS(Aut_Ajustes_Manuais!$G:$G,Aut_Ajustes_Manuais!$I:$I,DRE!T$4,Aut_Ajustes_Manuais!$F:$F,"(-) Dedução da Gorjeta")</f>
        <v/>
      </c>
      <c r="W88" s="251" t="n"/>
      <c r="X88" s="67">
        <f>SUM(X89:X90)</f>
        <v/>
      </c>
      <c r="Y88" s="68">
        <f>SUM(Y89:Y90)+SUMIFS(Aut_Ajustes_Manuais!$G:$G,Aut_Ajustes_Manuais!$I:$I,DRE!W$4,Aut_Ajustes_Manuais!$F:$F,"(-) Dedução da Gorjeta")</f>
        <v/>
      </c>
      <c r="Z88" s="251" t="n"/>
      <c r="AA88" s="67">
        <f>SUM(AA89:AA90)</f>
        <v/>
      </c>
      <c r="AB88" s="68">
        <f>SUM(AB89:AB90)+SUMIFS(Aut_Ajustes_Manuais!$G:$G,Aut_Ajustes_Manuais!$I:$I,DRE!Z$4,Aut_Ajustes_Manuais!$F:$F,"(-) Dedução da Gorjeta")</f>
        <v/>
      </c>
      <c r="AC88" s="251" t="n"/>
      <c r="AD88" s="67">
        <f>SUM(AD89:AD90)</f>
        <v/>
      </c>
      <c r="AE88" s="68">
        <f>SUM(AE89:AE90)+SUMIFS(Aut_Ajustes_Manuais!$G:$G,Aut_Ajustes_Manuais!$I:$I,DRE!AC$4,Aut_Ajustes_Manuais!$F:$F,"(-) Dedução da Gorjeta")</f>
        <v/>
      </c>
      <c r="AF88" s="251" t="n"/>
      <c r="AG88" s="67">
        <f>SUM(AG89:AG90)</f>
        <v/>
      </c>
      <c r="AH88" s="68">
        <f>SUM(AH89:AH90)+SUMIFS(Aut_Ajustes_Manuais!$G:$G,Aut_Ajustes_Manuais!$I:$I,DRE!AF$4,Aut_Ajustes_Manuais!$F:$F,"(-) Dedução da Gorjeta")</f>
        <v/>
      </c>
      <c r="AI88" s="251" t="n"/>
      <c r="AJ88" s="67">
        <f>SUM(AJ89:AJ90)</f>
        <v/>
      </c>
      <c r="AK88" s="68">
        <f>SUM(AK89:AK90)+SUMIFS(Aut_Ajustes_Manuais!$G:$G,Aut_Ajustes_Manuais!$I:$I,DRE!AI$4,Aut_Ajustes_Manuais!$F:$F,"(-) Dedução da Gorjeta")</f>
        <v/>
      </c>
      <c r="AL88" s="251" t="n"/>
      <c r="AM88" s="67">
        <f>SUM(AM89:AM90)</f>
        <v/>
      </c>
      <c r="AN88" s="68">
        <f>SUM(AN89:AN90)+SUMIFS(Aut_Ajustes_Manuais!$G:$G,Aut_Ajustes_Manuais!$I:$I,DRE!AL$4,Aut_Ajustes_Manuais!$F:$F,"(-) Dedução da Gorjeta")</f>
        <v/>
      </c>
      <c r="AO88" s="251" t="n"/>
      <c r="AP88" s="67">
        <f>SUM(AP89:AP90)</f>
        <v/>
      </c>
      <c r="AQ88" s="68">
        <f>SUM(AQ89:AQ90)+SUMIFS(Aut_Ajustes_Manuais!$G:$G,Aut_Ajustes_Manuais!$I:$I,DRE!AO$4,Aut_Ajustes_Manuais!$F:$F,"(-) Dedução da Gorjeta")</f>
        <v/>
      </c>
      <c r="AR88" s="251">
        <f>SUM(AR89:AR90)</f>
        <v/>
      </c>
      <c r="AS88" s="67">
        <f>SUM(AS89:AS90)</f>
        <v/>
      </c>
      <c r="AT88" s="68">
        <f>SUM(AT89:AT90)</f>
        <v/>
      </c>
      <c r="AU88" s="251">
        <f>SUM(AU89:AU90)</f>
        <v/>
      </c>
      <c r="AV88" s="67">
        <f>SUM(AV89:AV90)</f>
        <v/>
      </c>
      <c r="AW88" s="68">
        <f>SUM(AW89:AW90)</f>
        <v/>
      </c>
      <c r="AX88" s="251">
        <f>SUM(AX89:AX90)</f>
        <v/>
      </c>
      <c r="AY88" s="67">
        <f>SUM(AY89:AY90)</f>
        <v/>
      </c>
      <c r="AZ88" s="68">
        <f>SUM(AZ89:AZ90)</f>
        <v/>
      </c>
      <c r="BA88" s="251">
        <f>SUM(BA89:BA90)</f>
        <v/>
      </c>
      <c r="BB88" s="67">
        <f>SUM(BB89:BB90)</f>
        <v/>
      </c>
      <c r="BC88" s="68">
        <f>SUM(BC89:BC90)</f>
        <v/>
      </c>
      <c r="BD88" s="251">
        <f>SUM(BD89:BD90)</f>
        <v/>
      </c>
      <c r="BE88" s="67">
        <f>SUM(BE89:BE90)</f>
        <v/>
      </c>
      <c r="BF88" s="68">
        <f>SUM(BF89:BF90)</f>
        <v/>
      </c>
      <c r="BG88" s="251">
        <f>SUM(BG89:BG90)</f>
        <v/>
      </c>
      <c r="BH88" s="67">
        <f>SUM(BH89:BH90)</f>
        <v/>
      </c>
      <c r="BI88" s="68">
        <f>SUM(BI89:BI90)</f>
        <v/>
      </c>
    </row>
    <row r="89" hidden="1" outlineLevel="1" customFormat="1" s="498">
      <c r="A89" s="22" t="inlineStr">
        <is>
          <t xml:space="preserve">  -  Comissões e Gorjeta</t>
        </is>
      </c>
      <c r="B89" s="488" t="n"/>
      <c r="C89" s="24" t="inlineStr">
        <is>
          <t>Valor Líquido Distribuído</t>
        </is>
      </c>
      <c r="D89" s="25" t="inlineStr">
        <is>
          <t xml:space="preserve">Impostos + Taxa Cartão + % Estaff </t>
        </is>
      </c>
      <c r="E89" s="87" t="n"/>
      <c r="F89" s="41" t="n"/>
      <c r="G89" s="23" t="n"/>
      <c r="H89" s="241" t="n"/>
      <c r="I89" s="27">
        <f>-SUMIFS(T_ORCAMENTOS!$E:$E,T_ORCAMENTOS!$C:$C,"  -  Comissões e Gorjeta",T_ORCAMENTOS!$H:$H,"1/2026")</f>
        <v/>
      </c>
      <c r="J89" s="82">
        <f>SUMIFS(Aut_BlueMe_Sem_Pedido!$J:$J,Aut_BlueMe_Sem_Pedido!$Q:$Q,DRE!H$4,Aut_BlueMe_Sem_Pedido!$H:$H,DRE!$A89)-SUMIFS(Aut_Folha!$J:$J,Aut_Folha!$K:$K,DRE!H$4,Aut_Folha!$G:$G,"Gorjeta")+SUMIFS(Aut_Ajustes_Manuais!$G:$G,Aut_Ajustes_Manuais!$I:$I,DRE!H$4,Aut_Ajustes_Manuais!$F:$F,"  -  Comissões e Gorjeta")</f>
        <v/>
      </c>
      <c r="K89" s="254" t="n"/>
      <c r="L89" s="81">
        <f>-SUMIFS(T_ORCAMENTOS!$E:$E,T_ORCAMENTOS!$C:$C,"  -  Comissões e Gorjeta",T_ORCAMENTOS!$H:$H,"2/2026")</f>
        <v/>
      </c>
      <c r="M89" s="82">
        <f>SUMIFS(Aut_BlueMe_Sem_Pedido!$J:$J,Aut_BlueMe_Sem_Pedido!$Q:$Q,DRE!K$4,Aut_BlueMe_Sem_Pedido!$H:$H,DRE!$A89)-SUMIFS(Aut_Folha!$J:$J,Aut_Folha!$K:$K,DRE!K$4,Aut_Folha!$G:$G,"Gorjeta")+SUMIFS(Aut_Ajustes_Manuais!$G:$G,Aut_Ajustes_Manuais!$I:$I,DRE!K$4,Aut_Ajustes_Manuais!$F:$F,"  -  Comissões e Gorjeta")</f>
        <v/>
      </c>
      <c r="N89" s="254" t="n"/>
      <c r="O89" s="81">
        <f>-SUMIFS(T_ORCAMENTOS!$E:$E,T_ORCAMENTOS!$C:$C,"  -  Comissões e Gorjeta",T_ORCAMENTOS!$H:$H,"3/2026")</f>
        <v/>
      </c>
      <c r="P89" s="82">
        <f>SUMIFS(Aut_BlueMe_Sem_Pedido!$J:$J,Aut_BlueMe_Sem_Pedido!$Q:$Q,DRE!N$4,Aut_BlueMe_Sem_Pedido!$H:$H,DRE!$A89)-SUMIFS(Aut_Folha!$J:$J,Aut_Folha!$K:$K,DRE!N$4,Aut_Folha!$G:$G,"Gorjeta")+SUMIFS(Aut_Ajustes_Manuais!$G:$G,Aut_Ajustes_Manuais!$I:$I,DRE!N$4,Aut_Ajustes_Manuais!$F:$F,"  -  Comissões e Gorjeta")</f>
        <v/>
      </c>
      <c r="Q89" s="241" t="n"/>
      <c r="R89" s="81">
        <f>-SUMIFS(T_ORCAMENTOS!$E:$E,T_ORCAMENTOS!$C:$C,"  -  Comissões e Gorjeta",T_ORCAMENTOS!$H:$H,"4/2026")</f>
        <v/>
      </c>
      <c r="S89" s="82">
        <f>SUMIFS(Aut_BlueMe_Sem_Pedido!$J:$J,Aut_BlueMe_Sem_Pedido!$Q:$Q,DRE!Q$4,Aut_BlueMe_Sem_Pedido!$H:$H,DRE!$A89)-SUMIFS(Aut_Folha!$J:$J,Aut_Folha!$K:$K,DRE!Q$4,Aut_Folha!$G:$G,"Gorjeta")+SUMIFS(Aut_Ajustes_Manuais!$G:$G,Aut_Ajustes_Manuais!$I:$I,DRE!Q$4,Aut_Ajustes_Manuais!$F:$F,"  -  Comissões e Gorjeta")</f>
        <v/>
      </c>
      <c r="T89" s="241" t="n"/>
      <c r="U89" s="81">
        <f>-SUMIFS(T_ORCAMENTOS!$E:$E,T_ORCAMENTOS!$C:$C,"  -  Comissões e Gorjeta",T_ORCAMENTOS!$H:$H,"5/2026")</f>
        <v/>
      </c>
      <c r="V89" s="82">
        <f>SUMIFS(Aut_BlueMe_Sem_Pedido!$J:$J,Aut_BlueMe_Sem_Pedido!$Q:$Q,DRE!T$4,Aut_BlueMe_Sem_Pedido!$H:$H,DRE!$A89)-SUMIFS(Aut_Folha!$J:$J,Aut_Folha!$K:$K,DRE!T$4,Aut_Folha!$G:$G,"Gorjeta")+SUMIFS(Aut_Ajustes_Manuais!$G:$G,Aut_Ajustes_Manuais!$I:$I,DRE!T$4,Aut_Ajustes_Manuais!$F:$F,"  -  Comissões e Gorjeta")</f>
        <v/>
      </c>
      <c r="W89" s="241" t="n"/>
      <c r="X89" s="81">
        <f>-SUMIFS(T_ORCAMENTOS!$E:$E,T_ORCAMENTOS!$C:$C,"  -  Comissões e Gorjeta",T_ORCAMENTOS!$H:$H,"6/2026")</f>
        <v/>
      </c>
      <c r="Y89" s="82">
        <f>SUMIFS(Aut_BlueMe_Sem_Pedido!$J:$J,Aut_BlueMe_Sem_Pedido!$Q:$Q,DRE!W$4,Aut_BlueMe_Sem_Pedido!$H:$H,DRE!$A89)-SUMIFS(Aut_Folha!$J:$J,Aut_Folha!$K:$K,DRE!W$4,Aut_Folha!$G:$G,"Gorjeta")+SUMIFS(Aut_Ajustes_Manuais!$G:$G,Aut_Ajustes_Manuais!$I:$I,DRE!W$4,Aut_Ajustes_Manuais!$F:$F,"  -  Comissões e Gorjeta")</f>
        <v/>
      </c>
      <c r="Z89" s="241" t="n"/>
      <c r="AA89" s="81">
        <f>-SUMIFS(T_ORCAMENTOS!$E:$E,T_ORCAMENTOS!$C:$C,"  -  Comissões e Gorjeta",T_ORCAMENTOS!$H:$H,"7/2026")</f>
        <v/>
      </c>
      <c r="AB89" s="82">
        <f>SUMIFS(Aut_BlueMe_Sem_Pedido!$J:$J,Aut_BlueMe_Sem_Pedido!$Q:$Q,DRE!Z$4,Aut_BlueMe_Sem_Pedido!$H:$H,DRE!$A89)-SUMIFS(Aut_Folha!$J:$J,Aut_Folha!$K:$K,DRE!Z$4,Aut_Folha!$G:$G,"Gorjeta")+SUMIFS(Aut_Ajustes_Manuais!$G:$G,Aut_Ajustes_Manuais!$I:$I,DRE!Z$4,Aut_Ajustes_Manuais!$F:$F,"  -  Comissões e Gorjeta")</f>
        <v/>
      </c>
      <c r="AC89" s="241" t="n"/>
      <c r="AD89" s="81">
        <f>-SUMIFS(T_ORCAMENTOS!$E:$E,T_ORCAMENTOS!$C:$C,"  -  Comissões e Gorjeta",T_ORCAMENTOS!$H:$H,"8/2026")</f>
        <v/>
      </c>
      <c r="AE89" s="82">
        <f>SUMIFS(Aut_BlueMe_Sem_Pedido!$J:$J,Aut_BlueMe_Sem_Pedido!$Q:$Q,DRE!AC$4,Aut_BlueMe_Sem_Pedido!$H:$H,DRE!$A89)-SUMIFS(Aut_Folha!$J:$J,Aut_Folha!$K:$K,DRE!AC$4,Aut_Folha!$G:$G,"Gorjeta")+SUMIFS(Aut_Ajustes_Manuais!$G:$G,Aut_Ajustes_Manuais!$I:$I,DRE!AC$4,Aut_Ajustes_Manuais!$F:$F,"  -  Comissões e Gorjeta")</f>
        <v/>
      </c>
      <c r="AF89" s="241" t="n"/>
      <c r="AG89" s="81">
        <f>-SUMIFS(T_ORCAMENTOS!$E:$E,T_ORCAMENTOS!$C:$C,"  -  Comissões e Gorjeta",T_ORCAMENTOS!$H:$H,"9/2026")</f>
        <v/>
      </c>
      <c r="AH89" s="82">
        <f>SUMIFS(Aut_BlueMe_Sem_Pedido!$J:$J,Aut_BlueMe_Sem_Pedido!$Q:$Q,DRE!AF$4,Aut_BlueMe_Sem_Pedido!$H:$H,DRE!$A89)-SUMIFS(Aut_Folha!$J:$J,Aut_Folha!$K:$K,DRE!AF$4,Aut_Folha!$G:$G,"Gorjeta")+SUMIFS(Aut_Ajustes_Manuais!$G:$G,Aut_Ajustes_Manuais!$I:$I,DRE!AF$4,Aut_Ajustes_Manuais!$F:$F,"  -  Comissões e Gorjeta")</f>
        <v/>
      </c>
      <c r="AI89" s="241" t="n"/>
      <c r="AJ89" s="81">
        <f>-SUMIFS(T_ORCAMENTOS!$E:$E,T_ORCAMENTOS!$C:$C,"  -  Comissões e Gorjeta",T_ORCAMENTOS!$H:$H,"10/2026")</f>
        <v/>
      </c>
      <c r="AK89" s="82">
        <f>SUMIFS(Aut_BlueMe_Sem_Pedido!$J:$J,Aut_BlueMe_Sem_Pedido!$Q:$Q,DRE!AI$4,Aut_BlueMe_Sem_Pedido!$H:$H,DRE!$A89)-SUMIFS(Aut_Folha!$J:$J,Aut_Folha!$K:$K,DRE!AI$4,Aut_Folha!$G:$G,"Gorjeta")+SUMIFS(Aut_Ajustes_Manuais!$G:$G,Aut_Ajustes_Manuais!$I:$I,DRE!AI$4,Aut_Ajustes_Manuais!$F:$F,"  -  Comissões e Gorjeta")</f>
        <v/>
      </c>
      <c r="AL89" s="241" t="n"/>
      <c r="AM89" s="81">
        <f>-SUMIFS(T_ORCAMENTOS!$E:$E,T_ORCAMENTOS!$C:$C,"  -  Comissões e Gorjeta",T_ORCAMENTOS!$H:$H,"11/2026")</f>
        <v/>
      </c>
      <c r="AN89" s="82">
        <f>SUMIFS(Aut_BlueMe_Sem_Pedido!$J:$J,Aut_BlueMe_Sem_Pedido!$Q:$Q,DRE!AL$4,Aut_BlueMe_Sem_Pedido!$H:$H,DRE!$A89)-SUMIFS(Aut_Folha!$J:$J,Aut_Folha!$K:$K,DRE!AL$4,Aut_Folha!$G:$G,"Gorjeta")+SUMIFS(Aut_Ajustes_Manuais!$G:$G,Aut_Ajustes_Manuais!$I:$I,DRE!AL$4,Aut_Ajustes_Manuais!$F:$F,"  -  Comissões e Gorjeta")</f>
        <v/>
      </c>
      <c r="AO89" s="241" t="n"/>
      <c r="AP89" s="81">
        <f>-SUMIFS(T_ORCAMENTOS!$E:$E,T_ORCAMENTOS!$C:$C,"  -  Comissões e Gorjeta",T_ORCAMENTOS!$H:$H,"12/2026")</f>
        <v/>
      </c>
      <c r="AQ89" s="82">
        <f>SUMIFS(Aut_BlueMe_Sem_Pedido!$J:$J,Aut_BlueMe_Sem_Pedido!$Q:$Q,DRE!AO$4,Aut_BlueMe_Sem_Pedido!$H:$H,DRE!$A89)-SUMIFS(Aut_Folha!$J:$J,Aut_Folha!$K:$K,DRE!AO$4,Aut_Folha!$G:$G,"Gorjeta")+SUMIFS(Aut_Ajustes_Manuais!$G:$G,Aut_Ajustes_Manuais!$I:$I,DRE!AO$4,Aut_Ajustes_Manuais!$F:$F,"  -  Comissões e Gorjeta")</f>
        <v/>
      </c>
      <c r="AR89" s="241">
        <f>SUMIFS($H89:$AO89,$H$5:$AO$5,"&lt;"&amp;MONTH(TODAY()),$H$6:$AO$6,"REAL 25")</f>
        <v/>
      </c>
      <c r="AS89" s="81">
        <f>SUMIFS($I89:$AP89,$I$5:$AP$5,"&lt;"&amp;MONTH(TODAY()),$I$6:$AP$6,"ORÇADO ")</f>
        <v/>
      </c>
      <c r="AT89" s="82">
        <f>SUMIFS($J89:$AQ89,$J$5:$AQ$5,"&lt;"&amp;MONTH(TODAY()),$J$6:$AQ$6,"REAL 26")</f>
        <v/>
      </c>
      <c r="AU89" s="241">
        <f>SUM(H89,K89,N89,Q89,T89,W89,Z89,AC89,AF89,AI89,AL89,AO89)</f>
        <v/>
      </c>
      <c r="AV89" s="81">
        <f>SUM(I89,L89,O89,R89,U89,X89,AA89,AD89,AG89,AJ89,AM89,AP89)</f>
        <v/>
      </c>
      <c r="AW89" s="82">
        <f>SUM(J89,M89,P89,S89,V89,Y89,AB89,AE89,AH89,AK89,AN89,AQ89)</f>
        <v/>
      </c>
      <c r="AX89" s="241">
        <f>SUM(H89,K89,N89)</f>
        <v/>
      </c>
      <c r="AY89" s="81">
        <f>SUM(I89,L89,O89)</f>
        <v/>
      </c>
      <c r="AZ89" s="82">
        <f>SUM(J89,M89,P89)</f>
        <v/>
      </c>
      <c r="BA89" s="241">
        <f>SUM(Q89,T89,W89)</f>
        <v/>
      </c>
      <c r="BB89" s="81">
        <f>SUM(R89,U89,X89)</f>
        <v/>
      </c>
      <c r="BC89" s="82">
        <f>SUM(S89,V89,Y89)</f>
        <v/>
      </c>
      <c r="BD89" s="241">
        <f>SUM(Z89,AC89,AF89)</f>
        <v/>
      </c>
      <c r="BE89" s="81">
        <f>SUM(AA89,AD89,AG89)</f>
        <v/>
      </c>
      <c r="BF89" s="82">
        <f>SUM(AB89,AE89,AH89)</f>
        <v/>
      </c>
      <c r="BG89" s="241">
        <f>SUM(AI89,AL89,AO89)</f>
        <v/>
      </c>
      <c r="BH89" s="81">
        <f>SUM(AJ89,AM89,AP89)</f>
        <v/>
      </c>
      <c r="BI89" s="82">
        <f>SUM(AK89,AN89,AQ89)</f>
        <v/>
      </c>
    </row>
    <row r="90" hidden="1" outlineLevel="1" customFormat="1" s="498">
      <c r="A90" s="22" t="n"/>
      <c r="B90" s="488" t="n"/>
      <c r="C90" s="24" t="n"/>
      <c r="D90" s="25" t="n"/>
      <c r="E90" s="25" t="n"/>
      <c r="F90" s="41" t="n"/>
      <c r="G90" s="23" t="n"/>
      <c r="H90" s="254" t="n"/>
      <c r="I90" s="27" t="n"/>
      <c r="J90" s="82">
        <f>SUMIFS(Aut_BlueMe_Sem_Pedido!$J:$J,Aut_BlueMe_Sem_Pedido!$Q:$Q,DRE!H$4,Aut_BlueMe_Sem_Pedido!$H:$H,DRE!$A90)</f>
        <v/>
      </c>
      <c r="K90" s="254" t="n"/>
      <c r="L90" s="81" t="n"/>
      <c r="M90" s="82">
        <f>SUMIFS(Aut_BlueMe_Sem_Pedido!$J:$J,Aut_BlueMe_Sem_Pedido!$Q:$Q,DRE!K$4,Aut_BlueMe_Sem_Pedido!$H:$H,DRE!$A90)</f>
        <v/>
      </c>
      <c r="N90" s="254" t="n"/>
      <c r="O90" s="81" t="n"/>
      <c r="P90" s="82">
        <f>SUMIFS(Aut_BlueMe_Sem_Pedido!$J:$J,Aut_BlueMe_Sem_Pedido!$Q:$Q,DRE!N$4,Aut_BlueMe_Sem_Pedido!$H:$H,DRE!$A90)</f>
        <v/>
      </c>
      <c r="Q90" s="254" t="n"/>
      <c r="R90" s="81" t="n"/>
      <c r="S90" s="82">
        <f>SUMIFS(Aut_BlueMe_Sem_Pedido!$J:$J,Aut_BlueMe_Sem_Pedido!$Q:$Q,DRE!Q$4,Aut_BlueMe_Sem_Pedido!$H:$H,DRE!$A90)</f>
        <v/>
      </c>
      <c r="T90" s="254" t="n"/>
      <c r="U90" s="81" t="n"/>
      <c r="V90" s="82">
        <f>SUMIFS(Aut_BlueMe_Sem_Pedido!$J:$J,Aut_BlueMe_Sem_Pedido!$Q:$Q,DRE!T$4,Aut_BlueMe_Sem_Pedido!$H:$H,DRE!$A90)</f>
        <v/>
      </c>
      <c r="W90" s="254" t="n"/>
      <c r="X90" s="81" t="n"/>
      <c r="Y90" s="82">
        <f>SUMIFS(Aut_BlueMe_Sem_Pedido!$J:$J,Aut_BlueMe_Sem_Pedido!$Q:$Q,DRE!W$4,Aut_BlueMe_Sem_Pedido!$H:$H,DRE!$A90)</f>
        <v/>
      </c>
      <c r="Z90" s="254" t="n"/>
      <c r="AA90" s="81" t="n"/>
      <c r="AB90" s="82">
        <f>SUMIFS(Aut_BlueMe_Sem_Pedido!$J:$J,Aut_BlueMe_Sem_Pedido!$Q:$Q,DRE!Z$4,Aut_BlueMe_Sem_Pedido!$H:$H,DRE!$A90)</f>
        <v/>
      </c>
      <c r="AC90" s="254" t="n"/>
      <c r="AD90" s="81" t="n"/>
      <c r="AE90" s="82">
        <f>SUMIFS(Aut_BlueMe_Sem_Pedido!$J:$J,Aut_BlueMe_Sem_Pedido!$Q:$Q,DRE!AC$4,Aut_BlueMe_Sem_Pedido!$H:$H,DRE!$A90)</f>
        <v/>
      </c>
      <c r="AF90" s="254" t="n"/>
      <c r="AG90" s="81" t="n"/>
      <c r="AH90" s="82">
        <f>SUMIFS(Aut_BlueMe_Sem_Pedido!$J:$J,Aut_BlueMe_Sem_Pedido!$Q:$Q,DRE!AF$4,Aut_BlueMe_Sem_Pedido!$H:$H,DRE!$A90)</f>
        <v/>
      </c>
      <c r="AI90" s="254" t="n"/>
      <c r="AJ90" s="81" t="n"/>
      <c r="AK90" s="82">
        <f>SUMIFS(Aut_BlueMe_Sem_Pedido!$J:$J,Aut_BlueMe_Sem_Pedido!$Q:$Q,DRE!AI$4,Aut_BlueMe_Sem_Pedido!$H:$H,DRE!$A90)</f>
        <v/>
      </c>
      <c r="AL90" s="254" t="n"/>
      <c r="AM90" s="81" t="n"/>
      <c r="AN90" s="82">
        <f>SUMIFS(Aut_BlueMe_Sem_Pedido!$J:$J,Aut_BlueMe_Sem_Pedido!$Q:$Q,DRE!AL$4,Aut_BlueMe_Sem_Pedido!$H:$H,DRE!$A90)</f>
        <v/>
      </c>
      <c r="AO90" s="254" t="n"/>
      <c r="AP90" s="81" t="n"/>
      <c r="AQ90" s="82">
        <f>SUMIFS(Aut_BlueMe_Sem_Pedido!$J:$J,Aut_BlueMe_Sem_Pedido!$Q:$Q,DRE!AO$4,Aut_BlueMe_Sem_Pedido!$H:$H,DRE!$A90)</f>
        <v/>
      </c>
      <c r="AR90" s="241">
        <f>SUMIFS($H90:$AO90,$H$5:$AO$5,"&lt;"&amp;MONTH(TODAY()),$H$6:$AO$6,"REAL 25")</f>
        <v/>
      </c>
      <c r="AS90" s="81">
        <f>SUMIFS($I90:$AP90,$I$5:$AP$5,"&lt;"&amp;MONTH(TODAY()),$I$6:$AP$6,"ORÇADO ")</f>
        <v/>
      </c>
      <c r="AT90" s="82">
        <f>SUMIFS($J90:$AQ90,$J$5:$AQ$5,"&lt;"&amp;MONTH(TODAY()),$J$6:$AQ$6,"REAL 26")</f>
        <v/>
      </c>
      <c r="AU90" s="241">
        <f>SUM(H90,K90,N90,Q90,T90,W90,Z90,AC90,AF90,AI90,AL90,AO90)</f>
        <v/>
      </c>
      <c r="AV90" s="81">
        <f>SUM(I90,L90,O90,R90,U90,X90,AA90,AD90,AG90,AJ90,AM90,AP90)</f>
        <v/>
      </c>
      <c r="AW90" s="82">
        <f>SUM(J90,M90,P90,S90,V90,Y90,AB90,AE90,AH90,AK90,AN90,AQ90)</f>
        <v/>
      </c>
      <c r="AX90" s="241">
        <f>SUM(H90,K90,N90)</f>
        <v/>
      </c>
      <c r="AY90" s="81">
        <f>SUM(I90,L90,O90)</f>
        <v/>
      </c>
      <c r="AZ90" s="82">
        <f>SUM(J90,M90,P90)</f>
        <v/>
      </c>
      <c r="BA90" s="241">
        <f>SUM(Q90,T90,W90)</f>
        <v/>
      </c>
      <c r="BB90" s="81">
        <f>SUM(R90,U90,X90)</f>
        <v/>
      </c>
      <c r="BC90" s="82">
        <f>SUM(S90,V90,Y90)</f>
        <v/>
      </c>
      <c r="BD90" s="241">
        <f>SUM(Z90,AC90,AF90)</f>
        <v/>
      </c>
      <c r="BE90" s="81">
        <f>SUM(AA90,AD90,AG90)</f>
        <v/>
      </c>
      <c r="BF90" s="82">
        <f>SUM(AB90,AE90,AH90)</f>
        <v/>
      </c>
      <c r="BG90" s="241">
        <f>SUM(AI90,AL90,AO90)</f>
        <v/>
      </c>
      <c r="BH90" s="81">
        <f>SUM(AJ90,AM90,AP90)</f>
        <v/>
      </c>
      <c r="BI90" s="82">
        <f>SUM(AK90,AN90,AQ90)</f>
        <v/>
      </c>
    </row>
    <row r="91" collapsed="1">
      <c r="A91" s="71" t="inlineStr">
        <is>
          <t>% sobre Receita Bruta</t>
        </is>
      </c>
      <c r="C91" s="24" t="n"/>
      <c r="D91" s="25" t="n"/>
      <c r="E91" s="25" t="n"/>
      <c r="F91" s="41" t="n"/>
      <c r="H91" s="255" t="n"/>
      <c r="I91" s="83">
        <f>IFERROR(I88/I8,0)</f>
        <v/>
      </c>
      <c r="J91" s="84">
        <f>IFERROR(J88/J8,0)+SUMIFS(Aut_Ajustes_Manuais!$G:$G,Aut_Ajustes_Manuais!$I:$I,DRE!H$4,Aut_Ajustes_Manuais!$F:$F,"% sobre Receita Bruta")</f>
        <v/>
      </c>
      <c r="K91" s="255" t="n"/>
      <c r="L91" s="83">
        <f>IFERROR(L88/L8,0)</f>
        <v/>
      </c>
      <c r="M91" s="84">
        <f>IFERROR(M88/M8,0)+SUMIFS(Aut_Ajustes_Manuais!$G:$G,Aut_Ajustes_Manuais!$I:$I,DRE!K$4,Aut_Ajustes_Manuais!$F:$F,"% sobre Receita Bruta")</f>
        <v/>
      </c>
      <c r="N91" s="255" t="n"/>
      <c r="O91" s="83">
        <f>IFERROR(O88/O8,0)</f>
        <v/>
      </c>
      <c r="P91" s="84">
        <f>IFERROR(P88/P8,0)+SUMIFS(Aut_Ajustes_Manuais!$G:$G,Aut_Ajustes_Manuais!$I:$I,DRE!N$4,Aut_Ajustes_Manuais!$F:$F,"% sobre Receita Bruta")</f>
        <v/>
      </c>
      <c r="Q91" s="255" t="n"/>
      <c r="R91" s="83">
        <f>IFERROR(R88/R8,0)</f>
        <v/>
      </c>
      <c r="S91" s="84">
        <f>IFERROR(S88/S8,0)+SUMIFS(Aut_Ajustes_Manuais!$G:$G,Aut_Ajustes_Manuais!$I:$I,DRE!Q$4,Aut_Ajustes_Manuais!$F:$F,"% sobre Receita Bruta")</f>
        <v/>
      </c>
      <c r="T91" s="255" t="n"/>
      <c r="U91" s="83">
        <f>IFERROR(U88/U8,0)</f>
        <v/>
      </c>
      <c r="V91" s="84">
        <f>IFERROR(V88/V8,0)+SUMIFS(Aut_Ajustes_Manuais!$G:$G,Aut_Ajustes_Manuais!$I:$I,DRE!T$4,Aut_Ajustes_Manuais!$F:$F,"% sobre Receita Bruta")</f>
        <v/>
      </c>
      <c r="W91" s="255" t="n"/>
      <c r="X91" s="83">
        <f>IFERROR(X88/X8,0)</f>
        <v/>
      </c>
      <c r="Y91" s="84">
        <f>IFERROR(Y88/Y8,0)+SUMIFS(Aut_Ajustes_Manuais!$G:$G,Aut_Ajustes_Manuais!$I:$I,DRE!W$4,Aut_Ajustes_Manuais!$F:$F,"% sobre Receita Bruta")</f>
        <v/>
      </c>
      <c r="Z91" s="255" t="n"/>
      <c r="AA91" s="83">
        <f>IFERROR(AA88/AA8,0)</f>
        <v/>
      </c>
      <c r="AB91" s="84">
        <f>IFERROR(AB88/AB8,0)+SUMIFS(Aut_Ajustes_Manuais!$G:$G,Aut_Ajustes_Manuais!$I:$I,DRE!Z$4,Aut_Ajustes_Manuais!$F:$F,"% sobre Receita Bruta")</f>
        <v/>
      </c>
      <c r="AC91" s="255" t="n"/>
      <c r="AD91" s="83">
        <f>IFERROR(AD88/AD8,0)</f>
        <v/>
      </c>
      <c r="AE91" s="84">
        <f>IFERROR(AE88/AE8,0)+SUMIFS(Aut_Ajustes_Manuais!$G:$G,Aut_Ajustes_Manuais!$I:$I,DRE!AC$4,Aut_Ajustes_Manuais!$F:$F,"% sobre Receita Bruta")</f>
        <v/>
      </c>
      <c r="AF91" s="255" t="n"/>
      <c r="AG91" s="83">
        <f>IFERROR(AG88/AG8,0)</f>
        <v/>
      </c>
      <c r="AH91" s="84">
        <f>IFERROR(AH88/AH8,0)+SUMIFS(Aut_Ajustes_Manuais!$G:$G,Aut_Ajustes_Manuais!$I:$I,DRE!AF$4,Aut_Ajustes_Manuais!$F:$F,"% sobre Receita Bruta")</f>
        <v/>
      </c>
      <c r="AI91" s="255" t="n"/>
      <c r="AJ91" s="83">
        <f>IFERROR(AJ88/AJ8,0)</f>
        <v/>
      </c>
      <c r="AK91" s="84">
        <f>IFERROR(AK88/AK8,0)+SUMIFS(Aut_Ajustes_Manuais!$G:$G,Aut_Ajustes_Manuais!$I:$I,DRE!AI$4,Aut_Ajustes_Manuais!$F:$F,"% sobre Receita Bruta")</f>
        <v/>
      </c>
      <c r="AL91" s="255" t="n"/>
      <c r="AM91" s="83">
        <f>IFERROR(AM88/AM8,0)</f>
        <v/>
      </c>
      <c r="AN91" s="84">
        <f>IFERROR(AN88/AN8,0)+SUMIFS(Aut_Ajustes_Manuais!$G:$G,Aut_Ajustes_Manuais!$I:$I,DRE!AL$4,Aut_Ajustes_Manuais!$F:$F,"% sobre Receita Bruta")</f>
        <v/>
      </c>
      <c r="AO91" s="255" t="n"/>
      <c r="AP91" s="83">
        <f>IFERROR(AP88/AP8,0)</f>
        <v/>
      </c>
      <c r="AQ91" s="84">
        <f>IFERROR(AQ88/AQ8,0)+SUMIFS(Aut_Ajustes_Manuais!$G:$G,Aut_Ajustes_Manuais!$I:$I,DRE!AO$4,Aut_Ajustes_Manuais!$F:$F,"% sobre Receita Bruta")</f>
        <v/>
      </c>
      <c r="AR91" s="255">
        <f>IFERROR(AR88/AR8,0)</f>
        <v/>
      </c>
      <c r="AS91" s="83">
        <f>IFERROR(AS88/AS8,0)</f>
        <v/>
      </c>
      <c r="AT91" s="84">
        <f>IFERROR(AT88/AT8,0)</f>
        <v/>
      </c>
      <c r="AU91" s="255">
        <f>IFERROR(AU88/AU8,0)</f>
        <v/>
      </c>
      <c r="AV91" s="83">
        <f>IFERROR(AV88/AV8,0)</f>
        <v/>
      </c>
      <c r="AW91" s="84">
        <f>IFERROR(AW88/AW8,0)</f>
        <v/>
      </c>
      <c r="AX91" s="255">
        <f>IFERROR(AX88/AX8,0)</f>
        <v/>
      </c>
      <c r="AY91" s="83">
        <f>IFERROR(AY88/AY8,0)</f>
        <v/>
      </c>
      <c r="AZ91" s="84">
        <f>IFERROR(AZ88/AZ8,0)</f>
        <v/>
      </c>
      <c r="BA91" s="255">
        <f>IFERROR(BA88/BA8,0)</f>
        <v/>
      </c>
      <c r="BB91" s="83">
        <f>IFERROR(BB88/BB8,0)</f>
        <v/>
      </c>
      <c r="BC91" s="84">
        <f>IFERROR(BC88/BC8,0)</f>
        <v/>
      </c>
      <c r="BD91" s="255">
        <f>IFERROR(BD88/BD8,0)</f>
        <v/>
      </c>
      <c r="BE91" s="83">
        <f>IFERROR(BE88/BE8,0)</f>
        <v/>
      </c>
      <c r="BF91" s="84">
        <f>IFERROR(BF88/BF8,0)</f>
        <v/>
      </c>
      <c r="BG91" s="255">
        <f>IFERROR(BG88/BG8,0)</f>
        <v/>
      </c>
      <c r="BH91" s="83">
        <f>IFERROR(BH88/BH8,0)</f>
        <v/>
      </c>
      <c r="BI91" s="84">
        <f>IFERROR(BI88/BI8,0)</f>
        <v/>
      </c>
    </row>
    <row r="92">
      <c r="A92" s="18" t="n"/>
      <c r="C92" s="60" t="n"/>
      <c r="E92" s="16" t="n"/>
      <c r="F92" s="17" t="n"/>
      <c r="H92" s="256" t="n"/>
      <c r="I92" s="232" t="n"/>
      <c r="J92" s="85" t="n"/>
      <c r="K92" s="256" t="n"/>
      <c r="L92" s="232" t="n"/>
      <c r="M92" s="85" t="n"/>
      <c r="N92" s="256" t="n"/>
      <c r="O92" s="232" t="n"/>
      <c r="P92" s="85" t="n"/>
      <c r="Q92" s="256" t="n"/>
      <c r="R92" s="232" t="n"/>
      <c r="S92" s="85" t="n"/>
      <c r="T92" s="256" t="n"/>
      <c r="U92" s="232" t="n"/>
      <c r="V92" s="85" t="n"/>
      <c r="W92" s="256" t="n"/>
      <c r="X92" s="232" t="n"/>
      <c r="Y92" s="85" t="n"/>
      <c r="Z92" s="256" t="n"/>
      <c r="AA92" s="232" t="n"/>
      <c r="AB92" s="85" t="n"/>
      <c r="AC92" s="256" t="n"/>
      <c r="AD92" s="232" t="n"/>
      <c r="AE92" s="85" t="n"/>
      <c r="AF92" s="256" t="n"/>
      <c r="AG92" s="232" t="n"/>
      <c r="AH92" s="85" t="n"/>
      <c r="AI92" s="256" t="n"/>
      <c r="AJ92" s="232" t="n"/>
      <c r="AK92" s="85" t="n"/>
      <c r="AL92" s="256" t="n"/>
      <c r="AM92" s="232" t="n"/>
      <c r="AN92" s="85" t="n"/>
      <c r="AO92" s="256" t="n"/>
      <c r="AP92" s="232" t="n"/>
      <c r="AQ92" s="85" t="n"/>
      <c r="AR92" s="256" t="n"/>
      <c r="AS92" s="232" t="n"/>
      <c r="AT92" s="85" t="n"/>
      <c r="AU92" s="256" t="n"/>
      <c r="AV92" s="232" t="n"/>
      <c r="AW92" s="85" t="n"/>
      <c r="AX92" s="256" t="n"/>
      <c r="AY92" s="232" t="n"/>
      <c r="AZ92" s="85" t="n"/>
      <c r="BA92" s="256" t="n"/>
      <c r="BB92" s="232" t="n"/>
      <c r="BC92" s="85" t="n"/>
      <c r="BD92" s="256" t="n"/>
      <c r="BE92" s="232" t="n"/>
      <c r="BF92" s="85" t="n"/>
      <c r="BG92" s="256" t="n"/>
      <c r="BH92" s="232" t="n"/>
      <c r="BI92" s="85" t="n"/>
    </row>
    <row r="93">
      <c r="A93" s="18" t="n"/>
      <c r="C93" s="60" t="n"/>
      <c r="E93" s="16" t="n"/>
      <c r="F93" s="17" t="n"/>
      <c r="H93" s="256" t="n"/>
      <c r="I93" s="232" t="n"/>
      <c r="J93" s="85" t="n"/>
      <c r="K93" s="256" t="n"/>
      <c r="L93" s="232" t="n"/>
      <c r="M93" s="85" t="n"/>
      <c r="N93" s="256" t="n"/>
      <c r="O93" s="232" t="n"/>
      <c r="P93" s="85" t="n"/>
      <c r="Q93" s="256" t="n"/>
      <c r="R93" s="232" t="n"/>
      <c r="S93" s="85" t="n"/>
      <c r="T93" s="256" t="n"/>
      <c r="U93" s="232" t="n"/>
      <c r="V93" s="85" t="n"/>
      <c r="W93" s="256" t="n"/>
      <c r="X93" s="232" t="n"/>
      <c r="Y93" s="85" t="n"/>
      <c r="Z93" s="256" t="n"/>
      <c r="AA93" s="232" t="n"/>
      <c r="AB93" s="85" t="n"/>
      <c r="AC93" s="256" t="n"/>
      <c r="AD93" s="232" t="n"/>
      <c r="AE93" s="85" t="n"/>
      <c r="AF93" s="256" t="n"/>
      <c r="AG93" s="232" t="n"/>
      <c r="AH93" s="85" t="n"/>
      <c r="AI93" s="256" t="n"/>
      <c r="AJ93" s="232" t="n"/>
      <c r="AK93" s="85" t="n"/>
      <c r="AL93" s="256" t="n"/>
      <c r="AM93" s="232" t="n"/>
      <c r="AN93" s="85" t="n"/>
      <c r="AO93" s="256" t="n"/>
      <c r="AP93" s="232" t="n"/>
      <c r="AQ93" s="85" t="n"/>
      <c r="AR93" s="256" t="n"/>
      <c r="AS93" s="232" t="n"/>
      <c r="AT93" s="85" t="n"/>
      <c r="AU93" s="256" t="n"/>
      <c r="AV93" s="232" t="n"/>
      <c r="AW93" s="85" t="n"/>
      <c r="AX93" s="256" t="n"/>
      <c r="AY93" s="232" t="n"/>
      <c r="AZ93" s="85" t="n"/>
      <c r="BA93" s="256" t="n"/>
      <c r="BB93" s="232" t="n"/>
      <c r="BC93" s="85" t="n"/>
      <c r="BD93" s="256" t="n"/>
      <c r="BE93" s="232" t="n"/>
      <c r="BF93" s="85" t="n"/>
      <c r="BG93" s="256" t="n"/>
      <c r="BH93" s="232" t="n"/>
      <c r="BI93" s="85" t="n"/>
    </row>
    <row r="94">
      <c r="A94" s="39" t="inlineStr">
        <is>
          <t>(-) Deduções sobre Venda</t>
        </is>
      </c>
      <c r="C94" s="40" t="inlineStr">
        <is>
          <t>Premissas</t>
        </is>
      </c>
      <c r="D94" s="40" t="inlineStr">
        <is>
          <t>Valores</t>
        </is>
      </c>
      <c r="E94" s="40" t="inlineStr">
        <is>
          <t>% Incid</t>
        </is>
      </c>
      <c r="F94" s="41" t="n"/>
      <c r="G94" s="88" t="n"/>
      <c r="H94" s="244" t="n"/>
      <c r="I94" s="42">
        <f>SUM(I95:I98)</f>
        <v/>
      </c>
      <c r="J94" s="43">
        <f>SUM(J95:J98)+SUMIFS(Aut_Ajustes_Manuais!$G:$G,Aut_Ajustes_Manuais!$I:$I,DRE!H$4,Aut_Ajustes_Manuais!$F:$F,"(-) Deduções sobre Venda")</f>
        <v/>
      </c>
      <c r="K94" s="244" t="n"/>
      <c r="L94" s="42">
        <f>SUM(L95:L98)</f>
        <v/>
      </c>
      <c r="M94" s="43">
        <f>SUM(M95:M98)+SUMIFS(Aut_Ajustes_Manuais!$G:$G,Aut_Ajustes_Manuais!$I:$I,DRE!K$4,Aut_Ajustes_Manuais!$F:$F,"(-) Deduções sobre Venda")</f>
        <v/>
      </c>
      <c r="N94" s="244" t="n"/>
      <c r="O94" s="42">
        <f>SUM(O95:O98)</f>
        <v/>
      </c>
      <c r="P94" s="43">
        <f>SUM(P95:P98)+SUMIFS(Aut_Ajustes_Manuais!$G:$G,Aut_Ajustes_Manuais!$I:$I,DRE!N$4,Aut_Ajustes_Manuais!$F:$F,"(-) Deduções sobre Venda")</f>
        <v/>
      </c>
      <c r="Q94" s="244" t="n"/>
      <c r="R94" s="42">
        <f>SUM(R95:R98)</f>
        <v/>
      </c>
      <c r="S94" s="43">
        <f>SUM(S95:S98)+SUMIFS(Aut_Ajustes_Manuais!$G:$G,Aut_Ajustes_Manuais!$I:$I,DRE!Q$4,Aut_Ajustes_Manuais!$F:$F,"(-) Deduções sobre Venda")</f>
        <v/>
      </c>
      <c r="T94" s="244" t="n"/>
      <c r="U94" s="42">
        <f>SUM(U95:U98)</f>
        <v/>
      </c>
      <c r="V94" s="43">
        <f>SUM(V95:V98)+SUMIFS(Aut_Ajustes_Manuais!$G:$G,Aut_Ajustes_Manuais!$I:$I,DRE!T$4,Aut_Ajustes_Manuais!$F:$F,"(-) Deduções sobre Venda")</f>
        <v/>
      </c>
      <c r="W94" s="244" t="n"/>
      <c r="X94" s="42">
        <f>SUM(X95:X98)</f>
        <v/>
      </c>
      <c r="Y94" s="43">
        <f>SUM(Y95:Y98)+SUMIFS(Aut_Ajustes_Manuais!$G:$G,Aut_Ajustes_Manuais!$I:$I,DRE!W$4,Aut_Ajustes_Manuais!$F:$F,"(-) Deduções sobre Venda")</f>
        <v/>
      </c>
      <c r="Z94" s="244" t="n"/>
      <c r="AA94" s="42">
        <f>SUM(AA95:AA98)</f>
        <v/>
      </c>
      <c r="AB94" s="43">
        <f>SUM(AB95:AB98)+SUMIFS(Aut_Ajustes_Manuais!$G:$G,Aut_Ajustes_Manuais!$I:$I,DRE!Z$4,Aut_Ajustes_Manuais!$F:$F,"(-) Deduções sobre Venda")</f>
        <v/>
      </c>
      <c r="AC94" s="244" t="n"/>
      <c r="AD94" s="42">
        <f>SUM(AD95:AD98)</f>
        <v/>
      </c>
      <c r="AE94" s="43">
        <f>SUM(AE95:AE98)+SUMIFS(Aut_Ajustes_Manuais!$G:$G,Aut_Ajustes_Manuais!$I:$I,DRE!AC$4,Aut_Ajustes_Manuais!$F:$F,"(-) Deduções sobre Venda")</f>
        <v/>
      </c>
      <c r="AF94" s="244" t="n"/>
      <c r="AG94" s="42">
        <f>SUM(AG95:AG98)</f>
        <v/>
      </c>
      <c r="AH94" s="43">
        <f>SUM(AH95:AH98)+SUMIFS(Aut_Ajustes_Manuais!$G:$G,Aut_Ajustes_Manuais!$I:$I,DRE!AF$4,Aut_Ajustes_Manuais!$F:$F,"(-) Deduções sobre Venda")</f>
        <v/>
      </c>
      <c r="AI94" s="244" t="n"/>
      <c r="AJ94" s="42">
        <f>SUM(AJ95:AJ98)</f>
        <v/>
      </c>
      <c r="AK94" s="43">
        <f>SUM(AK95:AK98)+SUMIFS(Aut_Ajustes_Manuais!$G:$G,Aut_Ajustes_Manuais!$I:$I,DRE!AI$4,Aut_Ajustes_Manuais!$F:$F,"(-) Deduções sobre Venda")</f>
        <v/>
      </c>
      <c r="AL94" s="244" t="n"/>
      <c r="AM94" s="42">
        <f>SUM(AM95:AM98)</f>
        <v/>
      </c>
      <c r="AN94" s="43">
        <f>SUM(AN95:AN98)+SUMIFS(Aut_Ajustes_Manuais!$G:$G,Aut_Ajustes_Manuais!$I:$I,DRE!AL$4,Aut_Ajustes_Manuais!$F:$F,"(-) Deduções sobre Venda")</f>
        <v/>
      </c>
      <c r="AO94" s="244" t="n"/>
      <c r="AP94" s="42">
        <f>SUM(AP95:AP98)</f>
        <v/>
      </c>
      <c r="AQ94" s="43">
        <f>SUM(AQ95:AQ98)+SUMIFS(Aut_Ajustes_Manuais!$G:$G,Aut_Ajustes_Manuais!$I:$I,DRE!AO$4,Aut_Ajustes_Manuais!$F:$F,"(-) Deduções sobre Venda")</f>
        <v/>
      </c>
      <c r="AR94" s="244">
        <f>SUM(AR95:AR98)</f>
        <v/>
      </c>
      <c r="AS94" s="42">
        <f>SUM(AS95:AS98)</f>
        <v/>
      </c>
      <c r="AT94" s="43">
        <f>SUM(AT95:AT98)</f>
        <v/>
      </c>
      <c r="AU94" s="244">
        <f>SUM(AU95:AU98)</f>
        <v/>
      </c>
      <c r="AV94" s="42">
        <f>SUM(AV95:AV98)</f>
        <v/>
      </c>
      <c r="AW94" s="43">
        <f>SUM(AW95:AW98)</f>
        <v/>
      </c>
      <c r="AX94" s="244">
        <f>SUM(AX95:AX98)</f>
        <v/>
      </c>
      <c r="AY94" s="42">
        <f>SUM(AY95:AY98)</f>
        <v/>
      </c>
      <c r="AZ94" s="43">
        <f>SUM(AZ95:AZ98)</f>
        <v/>
      </c>
      <c r="BA94" s="244">
        <f>SUM(BA95:BA98)</f>
        <v/>
      </c>
      <c r="BB94" s="42">
        <f>SUM(BB95:BB98)</f>
        <v/>
      </c>
      <c r="BC94" s="43">
        <f>SUM(BC95:BC98)</f>
        <v/>
      </c>
      <c r="BD94" s="244">
        <f>SUM(BD95:BD98)</f>
        <v/>
      </c>
      <c r="BE94" s="42">
        <f>SUM(BE95:BE98)</f>
        <v/>
      </c>
      <c r="BF94" s="43">
        <f>SUM(BF95:BF98)</f>
        <v/>
      </c>
      <c r="BG94" s="244">
        <f>SUM(BG95:BG98)</f>
        <v/>
      </c>
      <c r="BH94" s="42">
        <f>SUM(BH95:BH98)</f>
        <v/>
      </c>
      <c r="BI94" s="43">
        <f>SUM(BI95:BI98)</f>
        <v/>
      </c>
    </row>
    <row r="95" hidden="1" outlineLevel="1" customFormat="1" s="498">
      <c r="A95" s="22" t="inlineStr">
        <is>
          <t>Meios de pagamento</t>
        </is>
      </c>
      <c r="B95" s="23" t="n"/>
      <c r="C95" s="24" t="inlineStr">
        <is>
          <t>Taxa Cartão</t>
        </is>
      </c>
      <c r="D95" s="55" t="n">
        <v>0.02</v>
      </c>
      <c r="E95" s="87" t="n">
        <v>0.85</v>
      </c>
      <c r="F95" s="56" t="n"/>
      <c r="G95" s="33" t="n"/>
      <c r="H95" s="241" t="n"/>
      <c r="I95" s="27">
        <f>-SUMIFS(T_ORCAMENTOS!$E:$E,T_ORCAMENTOS!$C:$C,"Meios de pagamento",T_ORCAMENTOS!$H:$H,"1/2026")</f>
        <v/>
      </c>
      <c r="J95" s="28">
        <f>SUMIFS(Aut_BlueMe_Sem_Pedido!$J:$J,Aut_BlueMe_Sem_Pedido!$Q:$Q,DRE!H$4,Aut_BlueMe_Sem_Pedido!$H:$H,DRE!$A95)+SUMIFS(Aut_Ajustes_Manuais!$G:$G,Aut_Ajustes_Manuais!$I:$I,DRE!H$4,Aut_Ajustes_Manuais!$F:$F,"Meios de pagamento")</f>
        <v/>
      </c>
      <c r="K95" s="241" t="n"/>
      <c r="L95" s="27">
        <f>-SUMIFS(T_ORCAMENTOS!$E:$E,T_ORCAMENTOS!$C:$C,"Meios de pagamento",T_ORCAMENTOS!$H:$H,"2/2026")</f>
        <v/>
      </c>
      <c r="M95" s="28">
        <f>SUMIFS(Aut_BlueMe_Sem_Pedido!$J:$J,Aut_BlueMe_Sem_Pedido!$Q:$Q,DRE!K$4,Aut_BlueMe_Sem_Pedido!$H:$H,DRE!$A95)+SUMIFS(Aut_Ajustes_Manuais!$G:$G,Aut_Ajustes_Manuais!$I:$I,DRE!K$4,Aut_Ajustes_Manuais!$F:$F,"Meios de pagamento")</f>
        <v/>
      </c>
      <c r="N95" s="241" t="n"/>
      <c r="O95" s="27">
        <f>-SUMIFS(T_ORCAMENTOS!$E:$E,T_ORCAMENTOS!$C:$C,"Meios de pagamento",T_ORCAMENTOS!$H:$H,"3/2026")</f>
        <v/>
      </c>
      <c r="P95" s="28">
        <f>SUMIFS(Aut_BlueMe_Sem_Pedido!$J:$J,Aut_BlueMe_Sem_Pedido!$Q:$Q,DRE!N$4,Aut_BlueMe_Sem_Pedido!$H:$H,DRE!$A95)+SUMIFS(Aut_Ajustes_Manuais!$G:$G,Aut_Ajustes_Manuais!$I:$I,DRE!N$4,Aut_Ajustes_Manuais!$F:$F,"Meios de pagamento")</f>
        <v/>
      </c>
      <c r="Q95" s="241" t="n"/>
      <c r="R95" s="27">
        <f>-SUMIFS(T_ORCAMENTOS!$E:$E,T_ORCAMENTOS!$C:$C,"Meios de pagamento",T_ORCAMENTOS!$H:$H,"4/2026")</f>
        <v/>
      </c>
      <c r="S95" s="28">
        <f>SUMIFS(Aut_BlueMe_Sem_Pedido!$J:$J,Aut_BlueMe_Sem_Pedido!$Q:$Q,DRE!Q$4,Aut_BlueMe_Sem_Pedido!$H:$H,DRE!$A95)+SUMIFS(Aut_Ajustes_Manuais!$G:$G,Aut_Ajustes_Manuais!$I:$I,DRE!Q$4,Aut_Ajustes_Manuais!$F:$F,"Meios de pagamento")</f>
        <v/>
      </c>
      <c r="T95" s="241" t="n"/>
      <c r="U95" s="27">
        <f>-SUMIFS(T_ORCAMENTOS!$E:$E,T_ORCAMENTOS!$C:$C,"Meios de pagamento",T_ORCAMENTOS!$H:$H,"5/2026")</f>
        <v/>
      </c>
      <c r="V95" s="28">
        <f>SUMIFS(Aut_BlueMe_Sem_Pedido!$J:$J,Aut_BlueMe_Sem_Pedido!$Q:$Q,DRE!T$4,Aut_BlueMe_Sem_Pedido!$H:$H,DRE!$A95)+SUMIFS(Aut_Ajustes_Manuais!$G:$G,Aut_Ajustes_Manuais!$I:$I,DRE!T$4,Aut_Ajustes_Manuais!$F:$F,"Meios de pagamento")</f>
        <v/>
      </c>
      <c r="W95" s="241" t="n"/>
      <c r="X95" s="27">
        <f>-SUMIFS(T_ORCAMENTOS!$E:$E,T_ORCAMENTOS!$C:$C,"Meios de pagamento",T_ORCAMENTOS!$H:$H,"6/2026")</f>
        <v/>
      </c>
      <c r="Y95" s="28">
        <f>SUMIFS(Aut_BlueMe_Sem_Pedido!$J:$J,Aut_BlueMe_Sem_Pedido!$Q:$Q,DRE!W$4,Aut_BlueMe_Sem_Pedido!$H:$H,DRE!$A95)+SUMIFS(Aut_Ajustes_Manuais!$G:$G,Aut_Ajustes_Manuais!$I:$I,DRE!W$4,Aut_Ajustes_Manuais!$F:$F,"Meios de pagamento")</f>
        <v/>
      </c>
      <c r="Z95" s="241" t="n"/>
      <c r="AA95" s="27">
        <f>-SUMIFS(T_ORCAMENTOS!$E:$E,T_ORCAMENTOS!$C:$C,"Meios de pagamento",T_ORCAMENTOS!$H:$H,"7/2026")</f>
        <v/>
      </c>
      <c r="AB95" s="28">
        <f>SUMIFS(Aut_BlueMe_Sem_Pedido!$J:$J,Aut_BlueMe_Sem_Pedido!$Q:$Q,DRE!Z$4,Aut_BlueMe_Sem_Pedido!$H:$H,DRE!$A95)+SUMIFS(Aut_Ajustes_Manuais!$G:$G,Aut_Ajustes_Manuais!$I:$I,DRE!Z$4,Aut_Ajustes_Manuais!$F:$F,"Meios de pagamento")</f>
        <v/>
      </c>
      <c r="AC95" s="241" t="n"/>
      <c r="AD95" s="27">
        <f>-SUMIFS(T_ORCAMENTOS!$E:$E,T_ORCAMENTOS!$C:$C,"Meios de pagamento",T_ORCAMENTOS!$H:$H,"8/2026")</f>
        <v/>
      </c>
      <c r="AE95" s="28">
        <f>SUMIFS(Aut_BlueMe_Sem_Pedido!$J:$J,Aut_BlueMe_Sem_Pedido!$Q:$Q,DRE!AC$4,Aut_BlueMe_Sem_Pedido!$H:$H,DRE!$A95)+SUMIFS(Aut_Ajustes_Manuais!$G:$G,Aut_Ajustes_Manuais!$I:$I,DRE!AC$4,Aut_Ajustes_Manuais!$F:$F,"Meios de pagamento")</f>
        <v/>
      </c>
      <c r="AF95" s="241" t="n"/>
      <c r="AG95" s="27">
        <f>-SUMIFS(T_ORCAMENTOS!$E:$E,T_ORCAMENTOS!$C:$C,"Meios de pagamento",T_ORCAMENTOS!$H:$H,"9/2026")</f>
        <v/>
      </c>
      <c r="AH95" s="28">
        <f>SUMIFS(Aut_BlueMe_Sem_Pedido!$J:$J,Aut_BlueMe_Sem_Pedido!$Q:$Q,DRE!AF$4,Aut_BlueMe_Sem_Pedido!$H:$H,DRE!$A95)+SUMIFS(Aut_Ajustes_Manuais!$G:$G,Aut_Ajustes_Manuais!$I:$I,DRE!AF$4,Aut_Ajustes_Manuais!$F:$F,"Meios de pagamento")</f>
        <v/>
      </c>
      <c r="AI95" s="241" t="n"/>
      <c r="AJ95" s="27">
        <f>-SUMIFS(T_ORCAMENTOS!$E:$E,T_ORCAMENTOS!$C:$C,"Meios de pagamento",T_ORCAMENTOS!$H:$H,"10/2026")</f>
        <v/>
      </c>
      <c r="AK95" s="28">
        <f>SUMIFS(Aut_BlueMe_Sem_Pedido!$J:$J,Aut_BlueMe_Sem_Pedido!$Q:$Q,DRE!AI$4,Aut_BlueMe_Sem_Pedido!$H:$H,DRE!$A95)+SUMIFS(Aut_Ajustes_Manuais!$G:$G,Aut_Ajustes_Manuais!$I:$I,DRE!AI$4,Aut_Ajustes_Manuais!$F:$F,"Meios de pagamento")</f>
        <v/>
      </c>
      <c r="AL95" s="241" t="n"/>
      <c r="AM95" s="27">
        <f>-SUMIFS(T_ORCAMENTOS!$E:$E,T_ORCAMENTOS!$C:$C,"Meios de pagamento",T_ORCAMENTOS!$H:$H,"11/2026")</f>
        <v/>
      </c>
      <c r="AN95" s="28">
        <f>SUMIFS(Aut_BlueMe_Sem_Pedido!$J:$J,Aut_BlueMe_Sem_Pedido!$Q:$Q,DRE!AL$4,Aut_BlueMe_Sem_Pedido!$H:$H,DRE!$A95)+SUMIFS(Aut_Ajustes_Manuais!$G:$G,Aut_Ajustes_Manuais!$I:$I,DRE!AL$4,Aut_Ajustes_Manuais!$F:$F,"Meios de pagamento")</f>
        <v/>
      </c>
      <c r="AO95" s="241" t="n"/>
      <c r="AP95" s="27">
        <f>-SUMIFS(T_ORCAMENTOS!$E:$E,T_ORCAMENTOS!$C:$C,"Meios de pagamento",T_ORCAMENTOS!$H:$H,"12/2026")</f>
        <v/>
      </c>
      <c r="AQ95" s="28">
        <f>SUMIFS(Aut_BlueMe_Sem_Pedido!$J:$J,Aut_BlueMe_Sem_Pedido!$Q:$Q,DRE!AO$4,Aut_BlueMe_Sem_Pedido!$H:$H,DRE!$A95)+SUMIFS(Aut_Ajustes_Manuais!$G:$G,Aut_Ajustes_Manuais!$I:$I,DRE!AO$4,Aut_Ajustes_Manuais!$F:$F,"Meios de pagamento")</f>
        <v/>
      </c>
      <c r="AR95" s="241">
        <f>SUMIFS($H95:$AO95,$H$5:$AO$5,"&lt;"&amp;MONTH(TODAY()),$H$6:$AO$6,"REAL 25")</f>
        <v/>
      </c>
      <c r="AS95" s="27">
        <f>SUMIFS($I95:$AP95,$I$5:$AP$5,"&lt;"&amp;MONTH(TODAY()),$I$6:$AP$6,"ORÇADO ")</f>
        <v/>
      </c>
      <c r="AT95" s="28">
        <f>SUMIFS($J95:$AQ95,$J$5:$AQ$5,"&lt;"&amp;MONTH(TODAY()),$J$6:$AQ$6,"REAL 26")</f>
        <v/>
      </c>
      <c r="AU95" s="241">
        <f>SUM(H95,K95,N95,Q95,T95,W95,Z95,AC95,AF95,AI95,AL95,AO95)</f>
        <v/>
      </c>
      <c r="AV95" s="81">
        <f>SUM(I95,L95,O95,R95,U95,X95,AA95,AD95,AG95,AJ95,AM95,AP95)</f>
        <v/>
      </c>
      <c r="AW95" s="82">
        <f>SUM(J95,M95,P95,S95,V95,Y95,AB95,AE95,AH95,AK95,AN95,AQ95)</f>
        <v/>
      </c>
      <c r="AX95" s="241">
        <f>SUM(H95,K95,N95)</f>
        <v/>
      </c>
      <c r="AY95" s="81">
        <f>SUM(I95,L95,O95)</f>
        <v/>
      </c>
      <c r="AZ95" s="82">
        <f>SUM(J95,M95,P95)</f>
        <v/>
      </c>
      <c r="BA95" s="241">
        <f>SUM(Q95,T95,W95)</f>
        <v/>
      </c>
      <c r="BB95" s="81">
        <f>SUM(R95,U95,X95)</f>
        <v/>
      </c>
      <c r="BC95" s="82">
        <f>SUM(S95,V95,Y95)</f>
        <v/>
      </c>
      <c r="BD95" s="241">
        <f>SUM(Z95,AC95,AF95)</f>
        <v/>
      </c>
      <c r="BE95" s="81">
        <f>SUM(AA95,AD95,AG95)</f>
        <v/>
      </c>
      <c r="BF95" s="82">
        <f>SUM(AB95,AE95,AH95)</f>
        <v/>
      </c>
      <c r="BG95" s="241">
        <f>SUM(AI95,AL95,AO95)</f>
        <v/>
      </c>
      <c r="BH95" s="81">
        <f>SUM(AJ95,AM95,AP95)</f>
        <v/>
      </c>
      <c r="BI95" s="82">
        <f>SUM(AK95,AN95,AQ95)</f>
        <v/>
      </c>
    </row>
    <row r="96" hidden="1" outlineLevel="1" customFormat="1" s="498">
      <c r="A96" s="22" t="inlineStr">
        <is>
          <t>Meios de pagamento - Delivery</t>
        </is>
      </c>
      <c r="B96" s="23" t="n"/>
      <c r="C96" s="24" t="inlineStr">
        <is>
          <t xml:space="preserve">Taxa de Delivery </t>
        </is>
      </c>
      <c r="D96" s="55" t="n">
        <v>0.26</v>
      </c>
      <c r="E96" s="87" t="n"/>
      <c r="F96" s="56" t="n"/>
      <c r="G96" s="33" t="n"/>
      <c r="H96" s="241" t="n"/>
      <c r="I96" s="27">
        <f>-SUMIFS(T_ORCAMENTOS!$E:$E,T_ORCAMENTOS!$C:$C,"Meios de pagamento - Delivery",T_ORCAMENTOS!$H:$H,"1/2026")</f>
        <v/>
      </c>
      <c r="J96" s="28">
        <f>SUMIFS(Aut_BlueMe_Sem_Pedido!$J:$J,Aut_BlueMe_Sem_Pedido!$Q:$Q,DRE!H$4,Aut_BlueMe_Sem_Pedido!$H:$H,DRE!$A96)+SUMIFS(Aut_Ajustes_Manuais!$G:$G,Aut_Ajustes_Manuais!$I:$I,DRE!H$4,Aut_Ajustes_Manuais!$F:$F,"Meios de pagamento - Delivery")</f>
        <v/>
      </c>
      <c r="K96" s="241" t="n"/>
      <c r="L96" s="27">
        <f>-SUMIFS(T_ORCAMENTOS!$E:$E,T_ORCAMENTOS!$C:$C,"Meios de pagamento - Delivery",T_ORCAMENTOS!$H:$H,"2/2026")</f>
        <v/>
      </c>
      <c r="M96" s="28">
        <f>SUMIFS(Aut_BlueMe_Sem_Pedido!$J:$J,Aut_BlueMe_Sem_Pedido!$Q:$Q,DRE!K$4,Aut_BlueMe_Sem_Pedido!$H:$H,DRE!$A96)+SUMIFS(Aut_Ajustes_Manuais!$G:$G,Aut_Ajustes_Manuais!$I:$I,DRE!K$4,Aut_Ajustes_Manuais!$F:$F,"Meios de pagamento - Delivery")</f>
        <v/>
      </c>
      <c r="N96" s="241" t="n"/>
      <c r="O96" s="27">
        <f>-SUMIFS(T_ORCAMENTOS!$E:$E,T_ORCAMENTOS!$C:$C,"Meios de pagamento - Delivery",T_ORCAMENTOS!$H:$H,"3/2026")</f>
        <v/>
      </c>
      <c r="P96" s="28">
        <f>SUMIFS(Aut_BlueMe_Sem_Pedido!$J:$J,Aut_BlueMe_Sem_Pedido!$Q:$Q,DRE!N$4,Aut_BlueMe_Sem_Pedido!$H:$H,DRE!$A96)+SUMIFS(Aut_Ajustes_Manuais!$G:$G,Aut_Ajustes_Manuais!$I:$I,DRE!N$4,Aut_Ajustes_Manuais!$F:$F,"Meios de pagamento - Delivery")</f>
        <v/>
      </c>
      <c r="Q96" s="241" t="n"/>
      <c r="R96" s="27">
        <f>-SUMIFS(T_ORCAMENTOS!$E:$E,T_ORCAMENTOS!$C:$C,"Meios de pagamento - Delivery",T_ORCAMENTOS!$H:$H,"4/2026")</f>
        <v/>
      </c>
      <c r="S96" s="28">
        <f>SUMIFS(Aut_BlueMe_Sem_Pedido!$J:$J,Aut_BlueMe_Sem_Pedido!$Q:$Q,DRE!Q$4,Aut_BlueMe_Sem_Pedido!$H:$H,DRE!$A96)+SUMIFS(Aut_Ajustes_Manuais!$G:$G,Aut_Ajustes_Manuais!$I:$I,DRE!Q$4,Aut_Ajustes_Manuais!$F:$F,"Meios de pagamento - Delivery")</f>
        <v/>
      </c>
      <c r="T96" s="241" t="n"/>
      <c r="U96" s="27">
        <f>-SUMIFS(T_ORCAMENTOS!$E:$E,T_ORCAMENTOS!$C:$C,"Meios de pagamento - Delivery",T_ORCAMENTOS!$H:$H,"5/2026")</f>
        <v/>
      </c>
      <c r="V96" s="28">
        <f>SUMIFS(Aut_BlueMe_Sem_Pedido!$J:$J,Aut_BlueMe_Sem_Pedido!$Q:$Q,DRE!T$4,Aut_BlueMe_Sem_Pedido!$H:$H,DRE!$A96)+SUMIFS(Aut_Ajustes_Manuais!$G:$G,Aut_Ajustes_Manuais!$I:$I,DRE!T$4,Aut_Ajustes_Manuais!$F:$F,"Meios de pagamento - Delivery")</f>
        <v/>
      </c>
      <c r="W96" s="241" t="n"/>
      <c r="X96" s="27">
        <f>-SUMIFS(T_ORCAMENTOS!$E:$E,T_ORCAMENTOS!$C:$C,"Meios de pagamento - Delivery",T_ORCAMENTOS!$H:$H,"6/2026")</f>
        <v/>
      </c>
      <c r="Y96" s="28">
        <f>SUMIFS(Aut_BlueMe_Sem_Pedido!$J:$J,Aut_BlueMe_Sem_Pedido!$Q:$Q,DRE!W$4,Aut_BlueMe_Sem_Pedido!$H:$H,DRE!$A96)+SUMIFS(Aut_Ajustes_Manuais!$G:$G,Aut_Ajustes_Manuais!$I:$I,DRE!W$4,Aut_Ajustes_Manuais!$F:$F,"Meios de pagamento - Delivery")</f>
        <v/>
      </c>
      <c r="Z96" s="241" t="n"/>
      <c r="AA96" s="27">
        <f>-SUMIFS(T_ORCAMENTOS!$E:$E,T_ORCAMENTOS!$C:$C,"Meios de pagamento - Delivery",T_ORCAMENTOS!$H:$H,"7/2026")</f>
        <v/>
      </c>
      <c r="AB96" s="28">
        <f>SUMIFS(Aut_BlueMe_Sem_Pedido!$J:$J,Aut_BlueMe_Sem_Pedido!$Q:$Q,DRE!Z$4,Aut_BlueMe_Sem_Pedido!$H:$H,DRE!$A96)+SUMIFS(Aut_Ajustes_Manuais!$G:$G,Aut_Ajustes_Manuais!$I:$I,DRE!Z$4,Aut_Ajustes_Manuais!$F:$F,"Meios de pagamento - Delivery")</f>
        <v/>
      </c>
      <c r="AC96" s="241" t="n"/>
      <c r="AD96" s="27">
        <f>-SUMIFS(T_ORCAMENTOS!$E:$E,T_ORCAMENTOS!$C:$C,"Meios de pagamento - Delivery",T_ORCAMENTOS!$H:$H,"8/2026")</f>
        <v/>
      </c>
      <c r="AE96" s="28">
        <f>SUMIFS(Aut_BlueMe_Sem_Pedido!$J:$J,Aut_BlueMe_Sem_Pedido!$Q:$Q,DRE!AC$4,Aut_BlueMe_Sem_Pedido!$H:$H,DRE!$A96)+SUMIFS(Aut_Ajustes_Manuais!$G:$G,Aut_Ajustes_Manuais!$I:$I,DRE!AC$4,Aut_Ajustes_Manuais!$F:$F,"Meios de pagamento - Delivery")</f>
        <v/>
      </c>
      <c r="AF96" s="241" t="n"/>
      <c r="AG96" s="27">
        <f>-SUMIFS(T_ORCAMENTOS!$E:$E,T_ORCAMENTOS!$C:$C,"Meios de pagamento - Delivery",T_ORCAMENTOS!$H:$H,"9/2026")</f>
        <v/>
      </c>
      <c r="AH96" s="28">
        <f>SUMIFS(Aut_BlueMe_Sem_Pedido!$J:$J,Aut_BlueMe_Sem_Pedido!$Q:$Q,DRE!AF$4,Aut_BlueMe_Sem_Pedido!$H:$H,DRE!$A96)+SUMIFS(Aut_Ajustes_Manuais!$G:$G,Aut_Ajustes_Manuais!$I:$I,DRE!AF$4,Aut_Ajustes_Manuais!$F:$F,"Meios de pagamento - Delivery")</f>
        <v/>
      </c>
      <c r="AI96" s="241" t="n"/>
      <c r="AJ96" s="27">
        <f>-SUMIFS(T_ORCAMENTOS!$E:$E,T_ORCAMENTOS!$C:$C,"Meios de pagamento - Delivery",T_ORCAMENTOS!$H:$H,"10/2026")</f>
        <v/>
      </c>
      <c r="AK96" s="28">
        <f>SUMIFS(Aut_BlueMe_Sem_Pedido!$J:$J,Aut_BlueMe_Sem_Pedido!$Q:$Q,DRE!AI$4,Aut_BlueMe_Sem_Pedido!$H:$H,DRE!$A96)+SUMIFS(Aut_Ajustes_Manuais!$G:$G,Aut_Ajustes_Manuais!$I:$I,DRE!AI$4,Aut_Ajustes_Manuais!$F:$F,"Meios de pagamento - Delivery")</f>
        <v/>
      </c>
      <c r="AL96" s="241" t="n"/>
      <c r="AM96" s="27">
        <f>-SUMIFS(T_ORCAMENTOS!$E:$E,T_ORCAMENTOS!$C:$C,"Meios de pagamento - Delivery",T_ORCAMENTOS!$H:$H,"11/2026")</f>
        <v/>
      </c>
      <c r="AN96" s="28">
        <f>SUMIFS(Aut_BlueMe_Sem_Pedido!$J:$J,Aut_BlueMe_Sem_Pedido!$Q:$Q,DRE!AL$4,Aut_BlueMe_Sem_Pedido!$H:$H,DRE!$A96)+SUMIFS(Aut_Ajustes_Manuais!$G:$G,Aut_Ajustes_Manuais!$I:$I,DRE!AL$4,Aut_Ajustes_Manuais!$F:$F,"Meios de pagamento - Delivery")</f>
        <v/>
      </c>
      <c r="AO96" s="241" t="n"/>
      <c r="AP96" s="27">
        <f>-SUMIFS(T_ORCAMENTOS!$E:$E,T_ORCAMENTOS!$C:$C,"Meios de pagamento - Delivery",T_ORCAMENTOS!$H:$H,"12/2026")</f>
        <v/>
      </c>
      <c r="AQ96" s="28">
        <f>SUMIFS(Aut_BlueMe_Sem_Pedido!$J:$J,Aut_BlueMe_Sem_Pedido!$Q:$Q,DRE!AO$4,Aut_BlueMe_Sem_Pedido!$H:$H,DRE!$A96)+SUMIFS(Aut_Ajustes_Manuais!$G:$G,Aut_Ajustes_Manuais!$I:$I,DRE!AO$4,Aut_Ajustes_Manuais!$F:$F,"Meios de pagamento - Delivery")</f>
        <v/>
      </c>
      <c r="AR96" s="241">
        <f>SUMIFS($H96:$AO96,$H$5:$AO$5,"&lt;"&amp;MONTH(TODAY()),$H$6:$AO$6,"REAL 25")</f>
        <v/>
      </c>
      <c r="AS96" s="27">
        <f>SUMIFS($I96:$AP96,$I$5:$AP$5,"&lt;"&amp;MONTH(TODAY()),$I$6:$AP$6,"ORÇADO ")</f>
        <v/>
      </c>
      <c r="AT96" s="28">
        <f>SUMIFS($J96:$AQ96,$J$5:$AQ$5,"&lt;"&amp;MONTH(TODAY()),$J$6:$AQ$6,"REAL 26")</f>
        <v/>
      </c>
      <c r="AU96" s="241">
        <f>SUM(H96,K96,N96,Q96,T96,W96,Z96,AC96,AF96,AI96,AL96,AO96)</f>
        <v/>
      </c>
      <c r="AV96" s="81">
        <f>SUM(I96,L96,O96,R96,U96,X96,AA96,AD96,AG96,AJ96,AM96,AP96)</f>
        <v/>
      </c>
      <c r="AW96" s="82">
        <f>SUM(J96,M96,P96,S96,V96,Y96,AB96,AE96,AH96,AK96,AN96,AQ96)</f>
        <v/>
      </c>
      <c r="AX96" s="241">
        <f>SUM(H96,K96,N96)</f>
        <v/>
      </c>
      <c r="AY96" s="81">
        <f>SUM(I96,L96,O96)</f>
        <v/>
      </c>
      <c r="AZ96" s="82">
        <f>SUM(J96,M96,P96)</f>
        <v/>
      </c>
      <c r="BA96" s="241">
        <f>SUM(Q96,T96,W96)</f>
        <v/>
      </c>
      <c r="BB96" s="81">
        <f>SUM(R96,U96,X96)</f>
        <v/>
      </c>
      <c r="BC96" s="82">
        <f>SUM(S96,V96,Y96)</f>
        <v/>
      </c>
      <c r="BD96" s="241">
        <f>SUM(Z96,AC96,AF96)</f>
        <v/>
      </c>
      <c r="BE96" s="81">
        <f>SUM(AA96,AD96,AG96)</f>
        <v/>
      </c>
      <c r="BF96" s="82">
        <f>SUM(AB96,AE96,AH96)</f>
        <v/>
      </c>
      <c r="BG96" s="241">
        <f>SUM(AI96,AL96,AO96)</f>
        <v/>
      </c>
      <c r="BH96" s="81">
        <f>SUM(AJ96,AM96,AP96)</f>
        <v/>
      </c>
      <c r="BI96" s="82">
        <f>SUM(AK96,AN96,AQ96)</f>
        <v/>
      </c>
    </row>
    <row r="97" hidden="1" outlineLevel="1" customFormat="1" s="498">
      <c r="A97" s="22" t="inlineStr">
        <is>
          <t>Inadimplência</t>
        </is>
      </c>
      <c r="B97" s="23" t="n"/>
      <c r="C97" s="24" t="inlineStr">
        <is>
          <t>Contas em Aberto</t>
        </is>
      </c>
      <c r="D97" s="25" t="n"/>
      <c r="E97" s="25" t="n"/>
      <c r="F97" s="56" t="n"/>
      <c r="G97" s="33" t="n"/>
      <c r="H97" s="241" t="n"/>
      <c r="I97" s="27">
        <f>-SUMIFS(T_ORCAMENTOS!$E:$E,T_ORCAMENTOS!$C:$C,"Inadimplência",T_ORCAMENTOS!$H:$H,"1/2026")</f>
        <v/>
      </c>
      <c r="J97" s="28">
        <f>SUMIFS(Aut_BlueMe_Sem_Pedido!$J:$J,Aut_BlueMe_Sem_Pedido!$Q:$Q,DRE!H$4,Aut_BlueMe_Sem_Pedido!$H:$H,DRE!$A97)+SUMIFS(Aut_Ajustes_Manuais!$G:$G,Aut_Ajustes_Manuais!$I:$I,DRE!H$4,Aut_Ajustes_Manuais!$F:$F,"Inadimplência")</f>
        <v/>
      </c>
      <c r="K97" s="241" t="n"/>
      <c r="L97" s="27">
        <f>-SUMIFS(T_ORCAMENTOS!$E:$E,T_ORCAMENTOS!$C:$C,"Inadimplência",T_ORCAMENTOS!$H:$H,"2/2026")</f>
        <v/>
      </c>
      <c r="M97" s="28">
        <f>SUMIFS(Aut_BlueMe_Sem_Pedido!$J:$J,Aut_BlueMe_Sem_Pedido!$Q:$Q,DRE!K$4,Aut_BlueMe_Sem_Pedido!$H:$H,DRE!$A97)+SUMIFS(Aut_Ajustes_Manuais!$G:$G,Aut_Ajustes_Manuais!$I:$I,DRE!K$4,Aut_Ajustes_Manuais!$F:$F,"Inadimplência")</f>
        <v/>
      </c>
      <c r="N97" s="241" t="n"/>
      <c r="O97" s="27">
        <f>-SUMIFS(T_ORCAMENTOS!$E:$E,T_ORCAMENTOS!$C:$C,"Inadimplência",T_ORCAMENTOS!$H:$H,"3/2026")</f>
        <v/>
      </c>
      <c r="P97" s="28">
        <f>SUMIFS(Aut_BlueMe_Sem_Pedido!$J:$J,Aut_BlueMe_Sem_Pedido!$Q:$Q,DRE!N$4,Aut_BlueMe_Sem_Pedido!$H:$H,DRE!$A97)+SUMIFS(Aut_Ajustes_Manuais!$G:$G,Aut_Ajustes_Manuais!$I:$I,DRE!N$4,Aut_Ajustes_Manuais!$F:$F,"Inadimplência")</f>
        <v/>
      </c>
      <c r="Q97" s="241" t="n"/>
      <c r="R97" s="27">
        <f>-SUMIFS(T_ORCAMENTOS!$E:$E,T_ORCAMENTOS!$C:$C,"Inadimplência",T_ORCAMENTOS!$H:$H,"4/2026")</f>
        <v/>
      </c>
      <c r="S97" s="28">
        <f>SUMIFS(Aut_BlueMe_Sem_Pedido!$J:$J,Aut_BlueMe_Sem_Pedido!$Q:$Q,DRE!Q$4,Aut_BlueMe_Sem_Pedido!$H:$H,DRE!$A97)+SUMIFS(Aut_Ajustes_Manuais!$G:$G,Aut_Ajustes_Manuais!$I:$I,DRE!Q$4,Aut_Ajustes_Manuais!$F:$F,"Inadimplência")</f>
        <v/>
      </c>
      <c r="T97" s="241" t="n"/>
      <c r="U97" s="27">
        <f>-SUMIFS(T_ORCAMENTOS!$E:$E,T_ORCAMENTOS!$C:$C,"Inadimplência",T_ORCAMENTOS!$H:$H,"5/2026")</f>
        <v/>
      </c>
      <c r="V97" s="28">
        <f>SUMIFS(Aut_BlueMe_Sem_Pedido!$J:$J,Aut_BlueMe_Sem_Pedido!$Q:$Q,DRE!T$4,Aut_BlueMe_Sem_Pedido!$H:$H,DRE!$A97)+SUMIFS(Aut_Ajustes_Manuais!$G:$G,Aut_Ajustes_Manuais!$I:$I,DRE!T$4,Aut_Ajustes_Manuais!$F:$F,"Inadimplência")</f>
        <v/>
      </c>
      <c r="W97" s="241" t="n"/>
      <c r="X97" s="27">
        <f>-SUMIFS(T_ORCAMENTOS!$E:$E,T_ORCAMENTOS!$C:$C,"Inadimplência",T_ORCAMENTOS!$H:$H,"6/2026")</f>
        <v/>
      </c>
      <c r="Y97" s="28">
        <f>SUMIFS(Aut_BlueMe_Sem_Pedido!$J:$J,Aut_BlueMe_Sem_Pedido!$Q:$Q,DRE!W$4,Aut_BlueMe_Sem_Pedido!$H:$H,DRE!$A97)+SUMIFS(Aut_Ajustes_Manuais!$G:$G,Aut_Ajustes_Manuais!$I:$I,DRE!W$4,Aut_Ajustes_Manuais!$F:$F,"Inadimplência")</f>
        <v/>
      </c>
      <c r="Z97" s="241" t="n"/>
      <c r="AA97" s="27">
        <f>-SUMIFS(T_ORCAMENTOS!$E:$E,T_ORCAMENTOS!$C:$C,"Inadimplência",T_ORCAMENTOS!$H:$H,"7/2026")</f>
        <v/>
      </c>
      <c r="AB97" s="28">
        <f>SUMIFS(Aut_BlueMe_Sem_Pedido!$J:$J,Aut_BlueMe_Sem_Pedido!$Q:$Q,DRE!Z$4,Aut_BlueMe_Sem_Pedido!$H:$H,DRE!$A97)+SUMIFS(Aut_Ajustes_Manuais!$G:$G,Aut_Ajustes_Manuais!$I:$I,DRE!Z$4,Aut_Ajustes_Manuais!$F:$F,"Inadimplência")</f>
        <v/>
      </c>
      <c r="AC97" s="241" t="n"/>
      <c r="AD97" s="27">
        <f>-SUMIFS(T_ORCAMENTOS!$E:$E,T_ORCAMENTOS!$C:$C,"Inadimplência",T_ORCAMENTOS!$H:$H,"8/2026")</f>
        <v/>
      </c>
      <c r="AE97" s="28">
        <f>SUMIFS(Aut_BlueMe_Sem_Pedido!$J:$J,Aut_BlueMe_Sem_Pedido!$Q:$Q,DRE!AC$4,Aut_BlueMe_Sem_Pedido!$H:$H,DRE!$A97)+SUMIFS(Aut_Ajustes_Manuais!$G:$G,Aut_Ajustes_Manuais!$I:$I,DRE!AC$4,Aut_Ajustes_Manuais!$F:$F,"Inadimplência")</f>
        <v/>
      </c>
      <c r="AF97" s="241" t="n"/>
      <c r="AG97" s="27">
        <f>-SUMIFS(T_ORCAMENTOS!$E:$E,T_ORCAMENTOS!$C:$C,"Inadimplência",T_ORCAMENTOS!$H:$H,"9/2026")</f>
        <v/>
      </c>
      <c r="AH97" s="28">
        <f>SUMIFS(Aut_BlueMe_Sem_Pedido!$J:$J,Aut_BlueMe_Sem_Pedido!$Q:$Q,DRE!AF$4,Aut_BlueMe_Sem_Pedido!$H:$H,DRE!$A97)+SUMIFS(Aut_Ajustes_Manuais!$G:$G,Aut_Ajustes_Manuais!$I:$I,DRE!AF$4,Aut_Ajustes_Manuais!$F:$F,"Inadimplência")</f>
        <v/>
      </c>
      <c r="AI97" s="241" t="n"/>
      <c r="AJ97" s="27">
        <f>-SUMIFS(T_ORCAMENTOS!$E:$E,T_ORCAMENTOS!$C:$C,"Inadimplência",T_ORCAMENTOS!$H:$H,"10/2026")</f>
        <v/>
      </c>
      <c r="AK97" s="28">
        <f>SUMIFS(Aut_BlueMe_Sem_Pedido!$J:$J,Aut_BlueMe_Sem_Pedido!$Q:$Q,DRE!AI$4,Aut_BlueMe_Sem_Pedido!$H:$H,DRE!$A97)+SUMIFS(Aut_Ajustes_Manuais!$G:$G,Aut_Ajustes_Manuais!$I:$I,DRE!AI$4,Aut_Ajustes_Manuais!$F:$F,"Inadimplência")</f>
        <v/>
      </c>
      <c r="AL97" s="241" t="n"/>
      <c r="AM97" s="27">
        <f>-SUMIFS(T_ORCAMENTOS!$E:$E,T_ORCAMENTOS!$C:$C,"Inadimplência",T_ORCAMENTOS!$H:$H,"11/2026")</f>
        <v/>
      </c>
      <c r="AN97" s="28">
        <f>SUMIFS(Aut_BlueMe_Sem_Pedido!$J:$J,Aut_BlueMe_Sem_Pedido!$Q:$Q,DRE!AL$4,Aut_BlueMe_Sem_Pedido!$H:$H,DRE!$A97)+SUMIFS(Aut_Ajustes_Manuais!$G:$G,Aut_Ajustes_Manuais!$I:$I,DRE!AL$4,Aut_Ajustes_Manuais!$F:$F,"Inadimplência")</f>
        <v/>
      </c>
      <c r="AO97" s="241" t="n"/>
      <c r="AP97" s="27">
        <f>-SUMIFS(T_ORCAMENTOS!$E:$E,T_ORCAMENTOS!$C:$C,"Inadimplência",T_ORCAMENTOS!$H:$H,"12/2026")</f>
        <v/>
      </c>
      <c r="AQ97" s="28">
        <f>SUMIFS(Aut_BlueMe_Sem_Pedido!$J:$J,Aut_BlueMe_Sem_Pedido!$Q:$Q,DRE!AO$4,Aut_BlueMe_Sem_Pedido!$H:$H,DRE!$A97)+SUMIFS(Aut_Ajustes_Manuais!$G:$G,Aut_Ajustes_Manuais!$I:$I,DRE!AO$4,Aut_Ajustes_Manuais!$F:$F,"Inadimplência")</f>
        <v/>
      </c>
      <c r="AR97" s="241">
        <f>SUMIFS($H97:$AO97,$H$5:$AO$5,"&lt;"&amp;MONTH(TODAY()),$H$6:$AO$6,"REAL 25")</f>
        <v/>
      </c>
      <c r="AS97" s="27">
        <f>SUMIFS($I97:$AP97,$I$5:$AP$5,"&lt;"&amp;MONTH(TODAY()),$I$6:$AP$6,"ORÇADO ")</f>
        <v/>
      </c>
      <c r="AT97" s="28">
        <f>SUMIFS($J97:$AQ97,$J$5:$AQ$5,"&lt;"&amp;MONTH(TODAY()),$J$6:$AQ$6,"REAL 26")</f>
        <v/>
      </c>
      <c r="AU97" s="241">
        <f>SUM(H97,K97,N97,Q97,T97,W97,Z97,AC97,AF97,AI97,AL97,AO97)</f>
        <v/>
      </c>
      <c r="AV97" s="81">
        <f>SUM(I97,L97,O97,R97,U97,X97,AA97,AD97,AG97,AJ97,AM97,AP97)</f>
        <v/>
      </c>
      <c r="AW97" s="82">
        <f>SUM(J97,M97,P97,S97,V97,Y97,AB97,AE97,AH97,AK97,AN97,AQ97)</f>
        <v/>
      </c>
      <c r="AX97" s="241">
        <f>SUM(H97,K97,N97)</f>
        <v/>
      </c>
      <c r="AY97" s="81">
        <f>SUM(I97,L97,O97)</f>
        <v/>
      </c>
      <c r="AZ97" s="82">
        <f>SUM(J97,M97,P97)</f>
        <v/>
      </c>
      <c r="BA97" s="241">
        <f>SUM(Q97,T97,W97)</f>
        <v/>
      </c>
      <c r="BB97" s="81">
        <f>SUM(R97,U97,X97)</f>
        <v/>
      </c>
      <c r="BC97" s="82">
        <f>SUM(S97,V97,Y97)</f>
        <v/>
      </c>
      <c r="BD97" s="241">
        <f>SUM(Z97,AC97,AF97)</f>
        <v/>
      </c>
      <c r="BE97" s="81">
        <f>SUM(AA97,AD97,AG97)</f>
        <v/>
      </c>
      <c r="BF97" s="82">
        <f>SUM(AB97,AE97,AH97)</f>
        <v/>
      </c>
      <c r="BG97" s="241">
        <f>SUM(AI97,AL97,AO97)</f>
        <v/>
      </c>
      <c r="BH97" s="81">
        <f>SUM(AJ97,AM97,AP97)</f>
        <v/>
      </c>
      <c r="BI97" s="82">
        <f>SUM(AK97,AN97,AQ97)</f>
        <v/>
      </c>
    </row>
    <row r="98" hidden="1" outlineLevel="1" customFormat="1" s="498">
      <c r="A98" s="22" t="inlineStr">
        <is>
          <t>Outros D</t>
        </is>
      </c>
      <c r="B98" s="23" t="n"/>
      <c r="C98" s="24" t="inlineStr">
        <is>
          <t>Outras Deduções</t>
        </is>
      </c>
      <c r="D98" s="87" t="inlineStr">
        <is>
          <t>Devolução de Cliente</t>
        </is>
      </c>
      <c r="E98" s="89" t="n"/>
      <c r="F98" s="56" t="n"/>
      <c r="G98" s="33" t="n"/>
      <c r="H98" s="241" t="n"/>
      <c r="I98" s="27">
        <f>-SUMIFS(T_ORCAMENTOS!$E:$E,T_ORCAMENTOS!$C:$C,"Outros D",T_ORCAMENTOS!$H:$H,"1/2026")</f>
        <v/>
      </c>
      <c r="J98" s="28">
        <f>SUMIFS(Aut_BlueMe_Sem_Pedido!$J:$J,Aut_BlueMe_Sem_Pedido!$Q:$Q,DRE!H$4,Aut_BlueMe_Sem_Pedido!$H:$H,DRE!$A98)+SUMIFS(Aut_Ajustes_Manuais!$G:$G,Aut_Ajustes_Manuais!$I:$I,DRE!H$4,Aut_Ajustes_Manuais!$F:$F,"Outros D")</f>
        <v/>
      </c>
      <c r="K98" s="241" t="n"/>
      <c r="L98" s="27">
        <f>-SUMIFS(T_ORCAMENTOS!$E:$E,T_ORCAMENTOS!$C:$C,"Outros D",T_ORCAMENTOS!$H:$H,"2/2026")</f>
        <v/>
      </c>
      <c r="M98" s="28">
        <f>SUMIFS(Aut_BlueMe_Sem_Pedido!$J:$J,Aut_BlueMe_Sem_Pedido!$Q:$Q,DRE!K$4,Aut_BlueMe_Sem_Pedido!$H:$H,DRE!$A98)+SUMIFS(Aut_Ajustes_Manuais!$G:$G,Aut_Ajustes_Manuais!$I:$I,DRE!K$4,Aut_Ajustes_Manuais!$F:$F,"Outros D")</f>
        <v/>
      </c>
      <c r="N98" s="241" t="n"/>
      <c r="O98" s="27">
        <f>-SUMIFS(T_ORCAMENTOS!$E:$E,T_ORCAMENTOS!$C:$C,"Outros D",T_ORCAMENTOS!$H:$H,"3/2026")</f>
        <v/>
      </c>
      <c r="P98" s="28">
        <f>SUMIFS(Aut_BlueMe_Sem_Pedido!$J:$J,Aut_BlueMe_Sem_Pedido!$Q:$Q,DRE!N$4,Aut_BlueMe_Sem_Pedido!$H:$H,DRE!$A98)+SUMIFS(Aut_Ajustes_Manuais!$G:$G,Aut_Ajustes_Manuais!$I:$I,DRE!N$4,Aut_Ajustes_Manuais!$F:$F,"Outros D")</f>
        <v/>
      </c>
      <c r="Q98" s="241" t="n"/>
      <c r="R98" s="27">
        <f>-SUMIFS(T_ORCAMENTOS!$E:$E,T_ORCAMENTOS!$C:$C,"Outros D",T_ORCAMENTOS!$H:$H,"4/2026")</f>
        <v/>
      </c>
      <c r="S98" s="28">
        <f>SUMIFS(Aut_BlueMe_Sem_Pedido!$J:$J,Aut_BlueMe_Sem_Pedido!$Q:$Q,DRE!Q$4,Aut_BlueMe_Sem_Pedido!$H:$H,DRE!$A98)+SUMIFS(Aut_Ajustes_Manuais!$G:$G,Aut_Ajustes_Manuais!$I:$I,DRE!Q$4,Aut_Ajustes_Manuais!$F:$F,"Outros D")</f>
        <v/>
      </c>
      <c r="T98" s="241" t="n"/>
      <c r="U98" s="27">
        <f>-SUMIFS(T_ORCAMENTOS!$E:$E,T_ORCAMENTOS!$C:$C,"Outros D",T_ORCAMENTOS!$H:$H,"5/2026")</f>
        <v/>
      </c>
      <c r="V98" s="28">
        <f>SUMIFS(Aut_BlueMe_Sem_Pedido!$J:$J,Aut_BlueMe_Sem_Pedido!$Q:$Q,DRE!T$4,Aut_BlueMe_Sem_Pedido!$H:$H,DRE!$A98)+SUMIFS(Aut_Ajustes_Manuais!$G:$G,Aut_Ajustes_Manuais!$I:$I,DRE!T$4,Aut_Ajustes_Manuais!$F:$F,"Outros D")</f>
        <v/>
      </c>
      <c r="W98" s="241" t="n"/>
      <c r="X98" s="27">
        <f>-SUMIFS(T_ORCAMENTOS!$E:$E,T_ORCAMENTOS!$C:$C,"Outros D",T_ORCAMENTOS!$H:$H,"6/2026")</f>
        <v/>
      </c>
      <c r="Y98" s="28">
        <f>SUMIFS(Aut_BlueMe_Sem_Pedido!$J:$J,Aut_BlueMe_Sem_Pedido!$Q:$Q,DRE!W$4,Aut_BlueMe_Sem_Pedido!$H:$H,DRE!$A98)+SUMIFS(Aut_Ajustes_Manuais!$G:$G,Aut_Ajustes_Manuais!$I:$I,DRE!W$4,Aut_Ajustes_Manuais!$F:$F,"Outros D")</f>
        <v/>
      </c>
      <c r="Z98" s="241" t="n"/>
      <c r="AA98" s="27">
        <f>-SUMIFS(T_ORCAMENTOS!$E:$E,T_ORCAMENTOS!$C:$C,"Outros D",T_ORCAMENTOS!$H:$H,"7/2026")</f>
        <v/>
      </c>
      <c r="AB98" s="28">
        <f>SUMIFS(Aut_BlueMe_Sem_Pedido!$J:$J,Aut_BlueMe_Sem_Pedido!$Q:$Q,DRE!Z$4,Aut_BlueMe_Sem_Pedido!$H:$H,DRE!$A98)+SUMIFS(Aut_Ajustes_Manuais!$G:$G,Aut_Ajustes_Manuais!$I:$I,DRE!Z$4,Aut_Ajustes_Manuais!$F:$F,"Outros D")</f>
        <v/>
      </c>
      <c r="AC98" s="241" t="n"/>
      <c r="AD98" s="27">
        <f>-SUMIFS(T_ORCAMENTOS!$E:$E,T_ORCAMENTOS!$C:$C,"Outros D",T_ORCAMENTOS!$H:$H,"8/2026")</f>
        <v/>
      </c>
      <c r="AE98" s="28">
        <f>SUMIFS(Aut_BlueMe_Sem_Pedido!$J:$J,Aut_BlueMe_Sem_Pedido!$Q:$Q,DRE!AC$4,Aut_BlueMe_Sem_Pedido!$H:$H,DRE!$A98)+SUMIFS(Aut_Ajustes_Manuais!$G:$G,Aut_Ajustes_Manuais!$I:$I,DRE!AC$4,Aut_Ajustes_Manuais!$F:$F,"Outros D")</f>
        <v/>
      </c>
      <c r="AF98" s="241" t="n"/>
      <c r="AG98" s="27">
        <f>-SUMIFS(T_ORCAMENTOS!$E:$E,T_ORCAMENTOS!$C:$C,"Outros D",T_ORCAMENTOS!$H:$H,"9/2026")</f>
        <v/>
      </c>
      <c r="AH98" s="28">
        <f>SUMIFS(Aut_BlueMe_Sem_Pedido!$J:$J,Aut_BlueMe_Sem_Pedido!$Q:$Q,DRE!AF$4,Aut_BlueMe_Sem_Pedido!$H:$H,DRE!$A98)+SUMIFS(Aut_Ajustes_Manuais!$G:$G,Aut_Ajustes_Manuais!$I:$I,DRE!AF$4,Aut_Ajustes_Manuais!$F:$F,"Outros D")</f>
        <v/>
      </c>
      <c r="AI98" s="241" t="n"/>
      <c r="AJ98" s="27">
        <f>-SUMIFS(T_ORCAMENTOS!$E:$E,T_ORCAMENTOS!$C:$C,"Outros D",T_ORCAMENTOS!$H:$H,"10/2026")</f>
        <v/>
      </c>
      <c r="AK98" s="28">
        <f>SUMIFS(Aut_BlueMe_Sem_Pedido!$J:$J,Aut_BlueMe_Sem_Pedido!$Q:$Q,DRE!AI$4,Aut_BlueMe_Sem_Pedido!$H:$H,DRE!$A98)+SUMIFS(Aut_Ajustes_Manuais!$G:$G,Aut_Ajustes_Manuais!$I:$I,DRE!AI$4,Aut_Ajustes_Manuais!$F:$F,"Outros D")</f>
        <v/>
      </c>
      <c r="AL98" s="241" t="n"/>
      <c r="AM98" s="27">
        <f>-SUMIFS(T_ORCAMENTOS!$E:$E,T_ORCAMENTOS!$C:$C,"Outros D",T_ORCAMENTOS!$H:$H,"11/2026")</f>
        <v/>
      </c>
      <c r="AN98" s="28">
        <f>SUMIFS(Aut_BlueMe_Sem_Pedido!$J:$J,Aut_BlueMe_Sem_Pedido!$Q:$Q,DRE!AL$4,Aut_BlueMe_Sem_Pedido!$H:$H,DRE!$A98)+SUMIFS(Aut_Ajustes_Manuais!$G:$G,Aut_Ajustes_Manuais!$I:$I,DRE!AL$4,Aut_Ajustes_Manuais!$F:$F,"Outros D")</f>
        <v/>
      </c>
      <c r="AO98" s="241" t="n"/>
      <c r="AP98" s="27">
        <f>-SUMIFS(T_ORCAMENTOS!$E:$E,T_ORCAMENTOS!$C:$C,"Outros D",T_ORCAMENTOS!$H:$H,"12/2026")</f>
        <v/>
      </c>
      <c r="AQ98" s="28">
        <f>SUMIFS(Aut_BlueMe_Sem_Pedido!$J:$J,Aut_BlueMe_Sem_Pedido!$Q:$Q,DRE!AO$4,Aut_BlueMe_Sem_Pedido!$H:$H,DRE!$A98)+SUMIFS(Aut_Ajustes_Manuais!$G:$G,Aut_Ajustes_Manuais!$I:$I,DRE!AO$4,Aut_Ajustes_Manuais!$F:$F,"Outros D")</f>
        <v/>
      </c>
      <c r="AR98" s="241">
        <f>SUMIFS($H98:$AO98,$H$5:$AO$5,"&lt;"&amp;MONTH(TODAY()),$H$6:$AO$6,"REAL 25")</f>
        <v/>
      </c>
      <c r="AS98" s="27">
        <f>SUMIFS($I98:$AP98,$I$5:$AP$5,"&lt;"&amp;MONTH(TODAY()),$I$6:$AP$6,"ORÇADO ")</f>
        <v/>
      </c>
      <c r="AT98" s="28">
        <f>SUMIFS($J98:$AQ98,$J$5:$AQ$5,"&lt;"&amp;MONTH(TODAY()),$J$6:$AQ$6,"REAL 26")</f>
        <v/>
      </c>
      <c r="AU98" s="241">
        <f>SUM(H98,K98,N98,Q98,T98,W98,Z98,AC98,AF98,AI98,AL98,AO98)</f>
        <v/>
      </c>
      <c r="AV98" s="81">
        <f>SUM(I98,L98,O98,R98,U98,X98,AA98,AD98,AG98,AJ98,AM98,AP98)</f>
        <v/>
      </c>
      <c r="AW98" s="82">
        <f>SUM(J98,M98,P98,S98,V98,Y98,AB98,AE98,AH98,AK98,AN98,AQ98)</f>
        <v/>
      </c>
      <c r="AX98" s="241">
        <f>SUM(H98,K98,N98)</f>
        <v/>
      </c>
      <c r="AY98" s="81">
        <f>SUM(I98,L98,O98)</f>
        <v/>
      </c>
      <c r="AZ98" s="82">
        <f>SUM(J98,M98,P98)</f>
        <v/>
      </c>
      <c r="BA98" s="241">
        <f>SUM(Q98,T98,W98)</f>
        <v/>
      </c>
      <c r="BB98" s="81">
        <f>SUM(R98,U98,X98)</f>
        <v/>
      </c>
      <c r="BC98" s="82">
        <f>SUM(S98,V98,Y98)</f>
        <v/>
      </c>
      <c r="BD98" s="241">
        <f>SUM(Z98,AC98,AF98)</f>
        <v/>
      </c>
      <c r="BE98" s="81">
        <f>SUM(AA98,AD98,AG98)</f>
        <v/>
      </c>
      <c r="BF98" s="82">
        <f>SUM(AB98,AE98,AH98)</f>
        <v/>
      </c>
      <c r="BG98" s="241">
        <f>SUM(AI98,AL98,AO98)</f>
        <v/>
      </c>
      <c r="BH98" s="81">
        <f>SUM(AJ98,AM98,AP98)</f>
        <v/>
      </c>
      <c r="BI98" s="82">
        <f>SUM(AK98,AN98,AQ98)</f>
        <v/>
      </c>
    </row>
    <row r="99" collapsed="1">
      <c r="A99" s="71" t="inlineStr">
        <is>
          <t>% sobre Receita Bruta</t>
        </is>
      </c>
      <c r="C99" s="24" t="n"/>
      <c r="D99" s="87" t="n"/>
      <c r="E99" s="25" t="n"/>
      <c r="F99" s="41" t="n"/>
      <c r="G99" s="47" t="n"/>
      <c r="H99" s="245" t="n"/>
      <c r="I99" s="50">
        <f>IFERROR(I94/I8,0)</f>
        <v/>
      </c>
      <c r="J99" s="51">
        <f>IFERROR(J94/J8,0)+SUMIFS(Aut_Ajustes_Manuais!$G:$G,Aut_Ajustes_Manuais!$I:$I,DRE!H$4,Aut_Ajustes_Manuais!$F:$F,"% sobre Receita Bruta")</f>
        <v/>
      </c>
      <c r="K99" s="245" t="n"/>
      <c r="L99" s="50">
        <f>IFERROR(L94/L8,0)</f>
        <v/>
      </c>
      <c r="M99" s="51">
        <f>IFERROR(M94/M8,0)+SUMIFS(Aut_Ajustes_Manuais!$G:$G,Aut_Ajustes_Manuais!$I:$I,DRE!K$4,Aut_Ajustes_Manuais!$F:$F,"% sobre Receita Bruta")</f>
        <v/>
      </c>
      <c r="N99" s="245" t="n"/>
      <c r="O99" s="50">
        <f>IFERROR(O94/O8,0)</f>
        <v/>
      </c>
      <c r="P99" s="51">
        <f>IFERROR(P94/P8,0)+SUMIFS(Aut_Ajustes_Manuais!$G:$G,Aut_Ajustes_Manuais!$I:$I,DRE!N$4,Aut_Ajustes_Manuais!$F:$F,"% sobre Receita Bruta")</f>
        <v/>
      </c>
      <c r="Q99" s="245" t="n"/>
      <c r="R99" s="50">
        <f>IFERROR(R94/R8,0)</f>
        <v/>
      </c>
      <c r="S99" s="51">
        <f>IFERROR(S94/S8,0)+SUMIFS(Aut_Ajustes_Manuais!$G:$G,Aut_Ajustes_Manuais!$I:$I,DRE!Q$4,Aut_Ajustes_Manuais!$F:$F,"% sobre Receita Bruta")</f>
        <v/>
      </c>
      <c r="T99" s="245" t="n"/>
      <c r="U99" s="50">
        <f>IFERROR(U94/U8,0)</f>
        <v/>
      </c>
      <c r="V99" s="51">
        <f>IFERROR(V94/V8,0)+SUMIFS(Aut_Ajustes_Manuais!$G:$G,Aut_Ajustes_Manuais!$I:$I,DRE!T$4,Aut_Ajustes_Manuais!$F:$F,"% sobre Receita Bruta")</f>
        <v/>
      </c>
      <c r="W99" s="245" t="n"/>
      <c r="X99" s="50">
        <f>IFERROR(X94/X8,0)</f>
        <v/>
      </c>
      <c r="Y99" s="51">
        <f>IFERROR(Y94/Y8,0)+SUMIFS(Aut_Ajustes_Manuais!$G:$G,Aut_Ajustes_Manuais!$I:$I,DRE!W$4,Aut_Ajustes_Manuais!$F:$F,"% sobre Receita Bruta")</f>
        <v/>
      </c>
      <c r="Z99" s="245" t="n"/>
      <c r="AA99" s="50">
        <f>IFERROR(AA94/AA8,0)</f>
        <v/>
      </c>
      <c r="AB99" s="51">
        <f>IFERROR(AB94/AB8,0)+SUMIFS(Aut_Ajustes_Manuais!$G:$G,Aut_Ajustes_Manuais!$I:$I,DRE!Z$4,Aut_Ajustes_Manuais!$F:$F,"% sobre Receita Bruta")</f>
        <v/>
      </c>
      <c r="AC99" s="245" t="n"/>
      <c r="AD99" s="50">
        <f>IFERROR(AD94/AD8,0)</f>
        <v/>
      </c>
      <c r="AE99" s="51">
        <f>IFERROR(AE94/AE8,0)+SUMIFS(Aut_Ajustes_Manuais!$G:$G,Aut_Ajustes_Manuais!$I:$I,DRE!AC$4,Aut_Ajustes_Manuais!$F:$F,"% sobre Receita Bruta")</f>
        <v/>
      </c>
      <c r="AF99" s="245" t="n"/>
      <c r="AG99" s="50">
        <f>IFERROR(AG94/AG8,0)</f>
        <v/>
      </c>
      <c r="AH99" s="51">
        <f>IFERROR(AH94/AH8,0)+SUMIFS(Aut_Ajustes_Manuais!$G:$G,Aut_Ajustes_Manuais!$I:$I,DRE!AF$4,Aut_Ajustes_Manuais!$F:$F,"% sobre Receita Bruta")</f>
        <v/>
      </c>
      <c r="AI99" s="245" t="n"/>
      <c r="AJ99" s="50">
        <f>IFERROR(AJ94/AJ8,0)</f>
        <v/>
      </c>
      <c r="AK99" s="51">
        <f>IFERROR(AK94/AK8,0)+SUMIFS(Aut_Ajustes_Manuais!$G:$G,Aut_Ajustes_Manuais!$I:$I,DRE!AI$4,Aut_Ajustes_Manuais!$F:$F,"% sobre Receita Bruta")</f>
        <v/>
      </c>
      <c r="AL99" s="245" t="n"/>
      <c r="AM99" s="50">
        <f>IFERROR(AM94/AM8,0)</f>
        <v/>
      </c>
      <c r="AN99" s="51">
        <f>IFERROR(AN94/AN8,0)+SUMIFS(Aut_Ajustes_Manuais!$G:$G,Aut_Ajustes_Manuais!$I:$I,DRE!AL$4,Aut_Ajustes_Manuais!$F:$F,"% sobre Receita Bruta")</f>
        <v/>
      </c>
      <c r="AO99" s="245" t="n"/>
      <c r="AP99" s="50">
        <f>IFERROR(AP94/AP8,0)</f>
        <v/>
      </c>
      <c r="AQ99" s="51">
        <f>IFERROR(AQ94/AQ8,0)+SUMIFS(Aut_Ajustes_Manuais!$G:$G,Aut_Ajustes_Manuais!$I:$I,DRE!AO$4,Aut_Ajustes_Manuais!$F:$F,"% sobre Receita Bruta")</f>
        <v/>
      </c>
      <c r="AR99" s="245">
        <f>IFERROR(AR94/AR8,0)</f>
        <v/>
      </c>
      <c r="AS99" s="50">
        <f>IFERROR(AS94/AS8,0)</f>
        <v/>
      </c>
      <c r="AT99" s="51">
        <f>IFERROR(AT94/AT8,0)</f>
        <v/>
      </c>
      <c r="AU99" s="245">
        <f>IFERROR(AU94/AU8,0)</f>
        <v/>
      </c>
      <c r="AV99" s="50">
        <f>IFERROR(AV94/AV8,0)</f>
        <v/>
      </c>
      <c r="AW99" s="51">
        <f>IFERROR(AW94/AW8,0)</f>
        <v/>
      </c>
      <c r="AX99" s="245">
        <f>IFERROR(AX94/AX8,0)</f>
        <v/>
      </c>
      <c r="AY99" s="50">
        <f>IFERROR(AY94/AY8,0)</f>
        <v/>
      </c>
      <c r="AZ99" s="51">
        <f>IFERROR(AZ94/AZ8,0)</f>
        <v/>
      </c>
      <c r="BA99" s="245">
        <f>IFERROR(BA94/BA8,0)</f>
        <v/>
      </c>
      <c r="BB99" s="50">
        <f>IFERROR(BB94/BB8,0)</f>
        <v/>
      </c>
      <c r="BC99" s="51">
        <f>IFERROR(BC94/BC8,0)</f>
        <v/>
      </c>
      <c r="BD99" s="245">
        <f>IFERROR(BD94/BD8,0)</f>
        <v/>
      </c>
      <c r="BE99" s="50">
        <f>IFERROR(BE94/BE8,0)</f>
        <v/>
      </c>
      <c r="BF99" s="51">
        <f>IFERROR(BF94/BF8,0)</f>
        <v/>
      </c>
      <c r="BG99" s="245">
        <f>IFERROR(BG94/BG8,0)</f>
        <v/>
      </c>
      <c r="BH99" s="50">
        <f>IFERROR(BH94/BH8,0)</f>
        <v/>
      </c>
      <c r="BI99" s="51">
        <f>IFERROR(BI94/BI8,0)</f>
        <v/>
      </c>
    </row>
    <row r="100">
      <c r="A100" s="18" t="n"/>
      <c r="E100" s="16" t="n"/>
      <c r="F100" s="17" t="n"/>
      <c r="H100" s="247" t="n"/>
      <c r="I100" s="17" t="n"/>
      <c r="J100" s="57" t="n"/>
      <c r="K100" s="247" t="n"/>
      <c r="L100" s="17" t="n"/>
      <c r="M100" s="57" t="n"/>
      <c r="N100" s="247" t="n"/>
      <c r="O100" s="17" t="n"/>
      <c r="P100" s="57" t="n"/>
      <c r="Q100" s="247" t="n"/>
      <c r="R100" s="17" t="n"/>
      <c r="S100" s="57" t="n"/>
      <c r="T100" s="247" t="n"/>
      <c r="U100" s="17" t="n"/>
      <c r="V100" s="57" t="n"/>
      <c r="W100" s="247" t="n"/>
      <c r="X100" s="17" t="n"/>
      <c r="Y100" s="57" t="n"/>
      <c r="Z100" s="247" t="n"/>
      <c r="AA100" s="17" t="n"/>
      <c r="AB100" s="57" t="n"/>
      <c r="AC100" s="247" t="n"/>
      <c r="AD100" s="17" t="n"/>
      <c r="AE100" s="57" t="n"/>
      <c r="AF100" s="247" t="n"/>
      <c r="AG100" s="17" t="n"/>
      <c r="AH100" s="57" t="n"/>
      <c r="AI100" s="247" t="n"/>
      <c r="AJ100" s="17" t="n"/>
      <c r="AK100" s="57" t="n"/>
      <c r="AL100" s="247" t="n"/>
      <c r="AM100" s="17" t="n"/>
      <c r="AN100" s="57" t="n"/>
      <c r="AO100" s="247" t="n"/>
      <c r="AP100" s="17" t="n"/>
      <c r="AQ100" s="57" t="n"/>
      <c r="AR100" s="247" t="n"/>
      <c r="AS100" s="17" t="n"/>
      <c r="AT100" s="57" t="n"/>
      <c r="AU100" s="247" t="n"/>
      <c r="AV100" s="17" t="n"/>
      <c r="AW100" s="57" t="n"/>
      <c r="AX100" s="247" t="n"/>
      <c r="AY100" s="17" t="n"/>
      <c r="AZ100" s="57" t="n"/>
      <c r="BA100" s="247" t="n"/>
      <c r="BB100" s="17" t="n"/>
      <c r="BC100" s="57" t="n"/>
      <c r="BD100" s="247" t="n"/>
      <c r="BE100" s="17" t="n"/>
      <c r="BF100" s="57" t="n"/>
      <c r="BG100" s="247" t="n"/>
      <c r="BH100" s="17" t="n"/>
      <c r="BI100" s="57" t="n"/>
    </row>
    <row r="101">
      <c r="A101" s="18" t="n"/>
      <c r="E101" s="16" t="n"/>
      <c r="F101" s="17" t="n"/>
      <c r="H101" s="247" t="n"/>
      <c r="I101" s="17" t="n"/>
      <c r="J101" s="57" t="n"/>
      <c r="K101" s="247" t="n"/>
      <c r="L101" s="17" t="n"/>
      <c r="M101" s="57" t="n"/>
      <c r="N101" s="247" t="n"/>
      <c r="O101" s="17" t="n"/>
      <c r="P101" s="57" t="n"/>
      <c r="Q101" s="247" t="n"/>
      <c r="R101" s="17" t="n"/>
      <c r="S101" s="57" t="n"/>
      <c r="T101" s="247" t="n"/>
      <c r="U101" s="17" t="n"/>
      <c r="V101" s="57" t="n"/>
      <c r="W101" s="247" t="n"/>
      <c r="X101" s="17" t="n"/>
      <c r="Y101" s="57" t="n"/>
      <c r="Z101" s="247" t="n"/>
      <c r="AA101" s="17" t="n"/>
      <c r="AB101" s="57" t="n"/>
      <c r="AC101" s="247" t="n"/>
      <c r="AD101" s="17" t="n"/>
      <c r="AE101" s="57" t="n"/>
      <c r="AF101" s="247" t="n"/>
      <c r="AG101" s="17" t="n"/>
      <c r="AH101" s="57" t="n"/>
      <c r="AI101" s="247" t="n"/>
      <c r="AJ101" s="17" t="n"/>
      <c r="AK101" s="57" t="n"/>
      <c r="AL101" s="247" t="n"/>
      <c r="AM101" s="17" t="n"/>
      <c r="AN101" s="57" t="n"/>
      <c r="AO101" s="247" t="n"/>
      <c r="AP101" s="17" t="n"/>
      <c r="AQ101" s="57" t="n"/>
      <c r="AR101" s="247" t="n"/>
      <c r="AS101" s="17" t="n"/>
      <c r="AT101" s="57" t="n"/>
      <c r="AU101" s="247" t="n"/>
      <c r="AV101" s="17" t="n"/>
      <c r="AW101" s="57" t="n"/>
      <c r="AX101" s="247" t="n"/>
      <c r="AY101" s="17" t="n"/>
      <c r="AZ101" s="57" t="n"/>
      <c r="BA101" s="247" t="n"/>
      <c r="BB101" s="17" t="n"/>
      <c r="BC101" s="57" t="n"/>
      <c r="BD101" s="247" t="n"/>
      <c r="BE101" s="17" t="n"/>
      <c r="BF101" s="57" t="n"/>
      <c r="BG101" s="247" t="n"/>
      <c r="BH101" s="17" t="n"/>
      <c r="BI101" s="57" t="n"/>
    </row>
    <row r="102">
      <c r="A102" s="58" t="inlineStr">
        <is>
          <t>MARGEM BRUTA DE CONTRIBUIÇÃO</t>
        </is>
      </c>
      <c r="B102" s="59" t="n"/>
      <c r="C102" s="60" t="n"/>
      <c r="D102" s="61" t="n"/>
      <c r="E102" s="62" t="n"/>
      <c r="F102" s="63" t="n"/>
      <c r="G102" s="59" t="n"/>
      <c r="H102" s="248" t="n"/>
      <c r="I102" s="64">
        <f>SUM(I32,I34,I42,I56,I88,I94)</f>
        <v/>
      </c>
      <c r="J102" s="65">
        <f>SUM(J32,J34,J42,J56,J88,J94)+SUMIFS(Aut_Ajustes_Manuais!$G:$G,Aut_Ajustes_Manuais!$I:$I,DRE!H$4,Aut_Ajustes_Manuais!$F:$F,"MARGEM BRUTA DE CONTRIBUIÇÃO")</f>
        <v/>
      </c>
      <c r="K102" s="248" t="n"/>
      <c r="L102" s="64">
        <f>SUM(L32,L34,L42,L56,L88,L94)</f>
        <v/>
      </c>
      <c r="M102" s="65">
        <f>SUM(M32,M34,M42,M56,M88,M94)+SUMIFS(Aut_Ajustes_Manuais!$G:$G,Aut_Ajustes_Manuais!$I:$I,DRE!K$4,Aut_Ajustes_Manuais!$F:$F,"MARGEM BRUTA DE CONTRIBUIÇÃO")</f>
        <v/>
      </c>
      <c r="N102" s="248" t="n"/>
      <c r="O102" s="64">
        <f>SUM(O32,O34,O42,O56,O88,O94)</f>
        <v/>
      </c>
      <c r="P102" s="65">
        <f>SUM(P32,P34,P42,P56,P88,P94)+SUMIFS(Aut_Ajustes_Manuais!$G:$G,Aut_Ajustes_Manuais!$I:$I,DRE!N$4,Aut_Ajustes_Manuais!$F:$F,"MARGEM BRUTA DE CONTRIBUIÇÃO")</f>
        <v/>
      </c>
      <c r="Q102" s="248" t="n"/>
      <c r="R102" s="64">
        <f>SUM(R32,R34,R42,R56,R88,R94)</f>
        <v/>
      </c>
      <c r="S102" s="65">
        <f>SUM(S32,S34,S42,S56,S88,S94)+SUMIFS(Aut_Ajustes_Manuais!$G:$G,Aut_Ajustes_Manuais!$I:$I,DRE!Q$4,Aut_Ajustes_Manuais!$F:$F,"MARGEM BRUTA DE CONTRIBUIÇÃO")</f>
        <v/>
      </c>
      <c r="T102" s="248" t="n"/>
      <c r="U102" s="64">
        <f>SUM(U32,U34,U42,U56,U88,U94)</f>
        <v/>
      </c>
      <c r="V102" s="65">
        <f>SUM(V32,V34,V42,V56,V88,V94)+SUMIFS(Aut_Ajustes_Manuais!$G:$G,Aut_Ajustes_Manuais!$I:$I,DRE!T$4,Aut_Ajustes_Manuais!$F:$F,"MARGEM BRUTA DE CONTRIBUIÇÃO")</f>
        <v/>
      </c>
      <c r="W102" s="248" t="n"/>
      <c r="X102" s="64">
        <f>SUM(X32,X34,X42,X56,X88,X94)</f>
        <v/>
      </c>
      <c r="Y102" s="65">
        <f>SUM(Y32,Y34,Y42,Y56,Y88,Y94)+SUMIFS(Aut_Ajustes_Manuais!$G:$G,Aut_Ajustes_Manuais!$I:$I,DRE!W$4,Aut_Ajustes_Manuais!$F:$F,"MARGEM BRUTA DE CONTRIBUIÇÃO")</f>
        <v/>
      </c>
      <c r="Z102" s="248" t="n"/>
      <c r="AA102" s="64">
        <f>SUM(AA32,AA34,AA42,AA56,AA88,AA94)</f>
        <v/>
      </c>
      <c r="AB102" s="65">
        <f>SUM(AB32,AB34,AB42,AB56,AB88,AB94)+SUMIFS(Aut_Ajustes_Manuais!$G:$G,Aut_Ajustes_Manuais!$I:$I,DRE!Z$4,Aut_Ajustes_Manuais!$F:$F,"MARGEM BRUTA DE CONTRIBUIÇÃO")</f>
        <v/>
      </c>
      <c r="AC102" s="248" t="n"/>
      <c r="AD102" s="64">
        <f>SUM(AD32,AD34,AD42,AD56,AD88,AD94)</f>
        <v/>
      </c>
      <c r="AE102" s="65">
        <f>SUM(AE32,AE34,AE42,AE56,AE88,AE94)+SUMIFS(Aut_Ajustes_Manuais!$G:$G,Aut_Ajustes_Manuais!$I:$I,DRE!AC$4,Aut_Ajustes_Manuais!$F:$F,"MARGEM BRUTA DE CONTRIBUIÇÃO")</f>
        <v/>
      </c>
      <c r="AF102" s="248" t="n"/>
      <c r="AG102" s="64">
        <f>SUM(AG32,AG34,AG42,AG56,AG88,AG94)</f>
        <v/>
      </c>
      <c r="AH102" s="65">
        <f>SUM(AH32,AH34,AH42,AH56,AH88,AH94)+SUMIFS(Aut_Ajustes_Manuais!$G:$G,Aut_Ajustes_Manuais!$I:$I,DRE!AF$4,Aut_Ajustes_Manuais!$F:$F,"MARGEM BRUTA DE CONTRIBUIÇÃO")</f>
        <v/>
      </c>
      <c r="AI102" s="248" t="n"/>
      <c r="AJ102" s="64">
        <f>SUM(AJ32,AJ34,AJ42,AJ56,AJ88,AJ94)</f>
        <v/>
      </c>
      <c r="AK102" s="65">
        <f>SUM(AK32,AK34,AK42,AK56,AK88,AK94)+SUMIFS(Aut_Ajustes_Manuais!$G:$G,Aut_Ajustes_Manuais!$I:$I,DRE!AI$4,Aut_Ajustes_Manuais!$F:$F,"MARGEM BRUTA DE CONTRIBUIÇÃO")</f>
        <v/>
      </c>
      <c r="AL102" s="248" t="n"/>
      <c r="AM102" s="64">
        <f>SUM(AM32,AM34,AM42,AM56,AM88,AM94)</f>
        <v/>
      </c>
      <c r="AN102" s="65">
        <f>SUM(AN32,AN34,AN42,AN56,AN88,AN94)+SUMIFS(Aut_Ajustes_Manuais!$G:$G,Aut_Ajustes_Manuais!$I:$I,DRE!AL$4,Aut_Ajustes_Manuais!$F:$F,"MARGEM BRUTA DE CONTRIBUIÇÃO")</f>
        <v/>
      </c>
      <c r="AO102" s="248" t="n"/>
      <c r="AP102" s="64">
        <f>SUM(AP32,AP34,AP42,AP56,AP88,AP94)</f>
        <v/>
      </c>
      <c r="AQ102" s="65">
        <f>SUM(AQ32,AQ34,AQ42,AQ56,AQ88,AQ94)+SUMIFS(Aut_Ajustes_Manuais!$G:$G,Aut_Ajustes_Manuais!$I:$I,DRE!AO$4,Aut_Ajustes_Manuais!$F:$F,"MARGEM BRUTA DE CONTRIBUIÇÃO")</f>
        <v/>
      </c>
      <c r="AR102" s="248">
        <f>SUM(AR94,AR88,AR56,AR42,AR34,AR32)</f>
        <v/>
      </c>
      <c r="AS102" s="64">
        <f>SUM(AS94,AS88,AS56,AS42,AS34,AS32)</f>
        <v/>
      </c>
      <c r="AT102" s="65">
        <f>SUM(AT94,AT88,AT56,AT42,AT34,AT32)</f>
        <v/>
      </c>
      <c r="AU102" s="248">
        <f>SUM(AU32,AU34,AU42,AU56,AU88,AU94)</f>
        <v/>
      </c>
      <c r="AV102" s="64">
        <f>SUM(AV32,AV34,AV42,AV56,AV88,AV94)</f>
        <v/>
      </c>
      <c r="AW102" s="65">
        <f>SUM(AW32,AW34,AW42,AW56,AW88,AW94)</f>
        <v/>
      </c>
      <c r="AX102" s="248">
        <f>SUM(AX32,AX34,AX42,AX56,AX88,AX94)</f>
        <v/>
      </c>
      <c r="AY102" s="64">
        <f>SUM(AY32,AY34,AY42,AY56,AY88,AY94)</f>
        <v/>
      </c>
      <c r="AZ102" s="65">
        <f>SUM(AZ32,AZ34,AZ42,AZ56,AZ88,AZ94)</f>
        <v/>
      </c>
      <c r="BA102" s="248">
        <f>SUM(BA32,BA34,BA42,BA56,BA88,BA94)</f>
        <v/>
      </c>
      <c r="BB102" s="64">
        <f>SUM(BB32,BB34,BB42,BB56,BB88,BB94)</f>
        <v/>
      </c>
      <c r="BC102" s="65">
        <f>SUM(BC32,BC34,BC42,BC56,BC88,BC94)</f>
        <v/>
      </c>
      <c r="BD102" s="248">
        <f>SUM(BD32,BD34,BD42,BD56,BD88,BD94)</f>
        <v/>
      </c>
      <c r="BE102" s="64">
        <f>SUM(BE32,BE34,BE42,BE56,BE88,BE94)</f>
        <v/>
      </c>
      <c r="BF102" s="65">
        <f>SUM(BF32,BF34,BF42,BF56,BF88,BF94)</f>
        <v/>
      </c>
      <c r="BG102" s="248">
        <f>SUM(BG32,BG34,BG42,BG56,BG88,BG94)</f>
        <v/>
      </c>
      <c r="BH102" s="64">
        <f>SUM(BH32,BH34,BH42,BH56,BH88,BH94)</f>
        <v/>
      </c>
      <c r="BI102" s="65">
        <f>SUM(BI32,BI34,BI42,BI56,BI88,BI94)</f>
        <v/>
      </c>
    </row>
    <row r="103">
      <c r="A103" s="71" t="inlineStr">
        <is>
          <t>% sobre Receita</t>
        </is>
      </c>
      <c r="B103" s="59" t="n"/>
      <c r="C103" s="60" t="n"/>
      <c r="D103" s="61" t="n"/>
      <c r="E103" s="62" t="n"/>
      <c r="F103" s="63" t="n"/>
      <c r="G103" s="59" t="n"/>
      <c r="H103" s="245" t="n"/>
      <c r="I103" s="50">
        <f>IFERROR(I102/I8,0)</f>
        <v/>
      </c>
      <c r="J103" s="51">
        <f>IFERROR(J102/J8,0)+SUMIFS(Aut_Ajustes_Manuais!$G:$G,Aut_Ajustes_Manuais!$I:$I,DRE!H$4,Aut_Ajustes_Manuais!$F:$F,"% sobre Receita")</f>
        <v/>
      </c>
      <c r="K103" s="245" t="n"/>
      <c r="L103" s="50">
        <f>IFERROR(L102/L8,0)</f>
        <v/>
      </c>
      <c r="M103" s="51">
        <f>IFERROR(M102/M8,0)+SUMIFS(Aut_Ajustes_Manuais!$G:$G,Aut_Ajustes_Manuais!$I:$I,DRE!K$4,Aut_Ajustes_Manuais!$F:$F,"% sobre Receita")</f>
        <v/>
      </c>
      <c r="N103" s="245" t="n"/>
      <c r="O103" s="50">
        <f>IFERROR(O102/O8,0)</f>
        <v/>
      </c>
      <c r="P103" s="51">
        <f>IFERROR(P102/P8,0)+SUMIFS(Aut_Ajustes_Manuais!$G:$G,Aut_Ajustes_Manuais!$I:$I,DRE!N$4,Aut_Ajustes_Manuais!$F:$F,"% sobre Receita")</f>
        <v/>
      </c>
      <c r="Q103" s="245" t="n"/>
      <c r="R103" s="50">
        <f>IFERROR(R102/R8,0)</f>
        <v/>
      </c>
      <c r="S103" s="51">
        <f>IFERROR(S102/S8,0)+SUMIFS(Aut_Ajustes_Manuais!$G:$G,Aut_Ajustes_Manuais!$I:$I,DRE!Q$4,Aut_Ajustes_Manuais!$F:$F,"% sobre Receita")</f>
        <v/>
      </c>
      <c r="T103" s="245" t="n"/>
      <c r="U103" s="50">
        <f>IFERROR(U102/U8,0)</f>
        <v/>
      </c>
      <c r="V103" s="51">
        <f>IFERROR(V102/V8,0)+SUMIFS(Aut_Ajustes_Manuais!$G:$G,Aut_Ajustes_Manuais!$I:$I,DRE!T$4,Aut_Ajustes_Manuais!$F:$F,"% sobre Receita")</f>
        <v/>
      </c>
      <c r="W103" s="245" t="n"/>
      <c r="X103" s="50">
        <f>IFERROR(X102/X8,0)</f>
        <v/>
      </c>
      <c r="Y103" s="51">
        <f>IFERROR(Y102/Y8,0)+SUMIFS(Aut_Ajustes_Manuais!$G:$G,Aut_Ajustes_Manuais!$I:$I,DRE!W$4,Aut_Ajustes_Manuais!$F:$F,"% sobre Receita")</f>
        <v/>
      </c>
      <c r="Z103" s="245" t="n"/>
      <c r="AA103" s="50">
        <f>IFERROR(AA102/AA8,0)</f>
        <v/>
      </c>
      <c r="AB103" s="51">
        <f>IFERROR(AB102/AB8,0)+SUMIFS(Aut_Ajustes_Manuais!$G:$G,Aut_Ajustes_Manuais!$I:$I,DRE!Z$4,Aut_Ajustes_Manuais!$F:$F,"% sobre Receita")</f>
        <v/>
      </c>
      <c r="AC103" s="245" t="n"/>
      <c r="AD103" s="50">
        <f>IFERROR(AD102/AD8,0)</f>
        <v/>
      </c>
      <c r="AE103" s="51">
        <f>IFERROR(AE102/AE8,0)+SUMIFS(Aut_Ajustes_Manuais!$G:$G,Aut_Ajustes_Manuais!$I:$I,DRE!AC$4,Aut_Ajustes_Manuais!$F:$F,"% sobre Receita")</f>
        <v/>
      </c>
      <c r="AF103" s="245" t="n"/>
      <c r="AG103" s="50">
        <f>IFERROR(AG102/AG8,0)</f>
        <v/>
      </c>
      <c r="AH103" s="51">
        <f>IFERROR(AH102/AH8,0)+SUMIFS(Aut_Ajustes_Manuais!$G:$G,Aut_Ajustes_Manuais!$I:$I,DRE!AF$4,Aut_Ajustes_Manuais!$F:$F,"% sobre Receita")</f>
        <v/>
      </c>
      <c r="AI103" s="245" t="n"/>
      <c r="AJ103" s="50">
        <f>IFERROR(AJ102/AJ8,0)</f>
        <v/>
      </c>
      <c r="AK103" s="51">
        <f>IFERROR(AK102/AK8,0)+SUMIFS(Aut_Ajustes_Manuais!$G:$G,Aut_Ajustes_Manuais!$I:$I,DRE!AI$4,Aut_Ajustes_Manuais!$F:$F,"% sobre Receita")</f>
        <v/>
      </c>
      <c r="AL103" s="245" t="n"/>
      <c r="AM103" s="50">
        <f>IFERROR(AM102/AM8,0)</f>
        <v/>
      </c>
      <c r="AN103" s="51">
        <f>IFERROR(AN102/AN8,0)+SUMIFS(Aut_Ajustes_Manuais!$G:$G,Aut_Ajustes_Manuais!$I:$I,DRE!AL$4,Aut_Ajustes_Manuais!$F:$F,"% sobre Receita")</f>
        <v/>
      </c>
      <c r="AO103" s="245" t="n"/>
      <c r="AP103" s="50">
        <f>IFERROR(AP102/AP8,0)</f>
        <v/>
      </c>
      <c r="AQ103" s="51">
        <f>IFERROR(AQ102/AQ8,0)+SUMIFS(Aut_Ajustes_Manuais!$G:$G,Aut_Ajustes_Manuais!$I:$I,DRE!AO$4,Aut_Ajustes_Manuais!$F:$F,"% sobre Receita")</f>
        <v/>
      </c>
      <c r="AR103" s="245">
        <f>IFERROR(AR102/AR8,0)</f>
        <v/>
      </c>
      <c r="AS103" s="50">
        <f>IFERROR(AS102/AS8,0)</f>
        <v/>
      </c>
      <c r="AT103" s="51">
        <f>IFERROR(AT102/AT8,0)</f>
        <v/>
      </c>
      <c r="AU103" s="245">
        <f>IFERROR(AU102/AU8,0)</f>
        <v/>
      </c>
      <c r="AV103" s="50">
        <f>IFERROR(AV102/AV8,0)</f>
        <v/>
      </c>
      <c r="AW103" s="51">
        <f>IFERROR(AW102/AW8,0)</f>
        <v/>
      </c>
      <c r="AX103" s="245">
        <f>IFERROR(AX102/AX8,0)</f>
        <v/>
      </c>
      <c r="AY103" s="50">
        <f>IFERROR(AY102/AY8,0)</f>
        <v/>
      </c>
      <c r="AZ103" s="51">
        <f>IFERROR(AZ102/AZ8,0)</f>
        <v/>
      </c>
      <c r="BA103" s="245">
        <f>IFERROR(BA102/BA8,0)</f>
        <v/>
      </c>
      <c r="BB103" s="50">
        <f>IFERROR(BB102/BB8,0)</f>
        <v/>
      </c>
      <c r="BC103" s="51">
        <f>IFERROR(BC102/BC8,0)</f>
        <v/>
      </c>
      <c r="BD103" s="245">
        <f>IFERROR(BD102/BD8,0)</f>
        <v/>
      </c>
      <c r="BE103" s="50">
        <f>IFERROR(BE102/BE8,0)</f>
        <v/>
      </c>
      <c r="BF103" s="51">
        <f>IFERROR(BF102/BF8,0)</f>
        <v/>
      </c>
      <c r="BG103" s="245">
        <f>IFERROR(BG102/BG8,0)</f>
        <v/>
      </c>
      <c r="BH103" s="50">
        <f>IFERROR(BH102/BH8,0)</f>
        <v/>
      </c>
      <c r="BI103" s="51">
        <f>IFERROR(BI102/BI8,0)</f>
        <v/>
      </c>
    </row>
    <row r="104">
      <c r="A104" s="18" t="n"/>
      <c r="E104" s="16" t="n"/>
      <c r="F104" s="17" t="n"/>
      <c r="H104" s="247" t="n"/>
      <c r="I104" s="17" t="n"/>
      <c r="J104" s="57" t="n"/>
      <c r="K104" s="247" t="n"/>
      <c r="L104" s="17" t="n"/>
      <c r="M104" s="57" t="n"/>
      <c r="N104" s="247" t="n"/>
      <c r="O104" s="17" t="n"/>
      <c r="P104" s="57" t="n"/>
      <c r="Q104" s="247" t="n"/>
      <c r="R104" s="17" t="n"/>
      <c r="S104" s="57" t="n"/>
      <c r="T104" s="247" t="n"/>
      <c r="U104" s="17" t="n"/>
      <c r="V104" s="57" t="n"/>
      <c r="W104" s="247" t="n"/>
      <c r="X104" s="17" t="n"/>
      <c r="Y104" s="57" t="n"/>
      <c r="Z104" s="247" t="n"/>
      <c r="AA104" s="17" t="n"/>
      <c r="AB104" s="57" t="n"/>
      <c r="AC104" s="247" t="n"/>
      <c r="AD104" s="17" t="n"/>
      <c r="AE104" s="57" t="n"/>
      <c r="AF104" s="247" t="n"/>
      <c r="AG104" s="17" t="n"/>
      <c r="AH104" s="57" t="n"/>
      <c r="AI104" s="247" t="n"/>
      <c r="AJ104" s="17" t="n"/>
      <c r="AK104" s="57" t="n"/>
      <c r="AL104" s="247" t="n"/>
      <c r="AM104" s="17" t="n"/>
      <c r="AN104" s="57" t="n"/>
      <c r="AO104" s="247" t="n"/>
      <c r="AP104" s="17" t="n"/>
      <c r="AQ104" s="57" t="n"/>
      <c r="AR104" s="247" t="n"/>
      <c r="AS104" s="17" t="n"/>
      <c r="AT104" s="57" t="n"/>
      <c r="AU104" s="247" t="n"/>
      <c r="AV104" s="17" t="n"/>
      <c r="AW104" s="57" t="n"/>
      <c r="AX104" s="247" t="n"/>
      <c r="AY104" s="17" t="n"/>
      <c r="AZ104" s="57" t="n"/>
      <c r="BA104" s="247" t="n"/>
      <c r="BB104" s="17" t="n"/>
      <c r="BC104" s="57" t="n"/>
      <c r="BD104" s="247" t="n"/>
      <c r="BE104" s="17" t="n"/>
      <c r="BF104" s="57" t="n"/>
      <c r="BG104" s="247" t="n"/>
      <c r="BH104" s="17" t="n"/>
      <c r="BI104" s="57" t="n"/>
    </row>
    <row r="105" customFormat="1" s="14">
      <c r="A105" s="90" t="n"/>
      <c r="B105" s="5" t="n"/>
      <c r="C105" s="91" t="n"/>
      <c r="D105" s="5" t="n"/>
      <c r="E105" s="92" t="n"/>
      <c r="F105" s="92" t="n"/>
      <c r="G105" s="5" t="n"/>
      <c r="H105" s="257" t="n"/>
      <c r="I105" s="92" t="n"/>
      <c r="J105" s="93" t="n"/>
      <c r="K105" s="257" t="n"/>
      <c r="L105" s="92" t="n"/>
      <c r="M105" s="93" t="n"/>
      <c r="N105" s="257" t="n"/>
      <c r="O105" s="92" t="n"/>
      <c r="P105" s="93" t="n"/>
      <c r="Q105" s="257" t="n"/>
      <c r="R105" s="92" t="n"/>
      <c r="S105" s="260" t="n"/>
      <c r="T105" s="257" t="n"/>
      <c r="U105" s="92" t="n"/>
      <c r="V105" s="93" t="n"/>
      <c r="W105" s="257" t="n"/>
      <c r="X105" s="92" t="n"/>
      <c r="Y105" s="93" t="n"/>
      <c r="Z105" s="257" t="n"/>
      <c r="AA105" s="92" t="n"/>
      <c r="AB105" s="93" t="n"/>
      <c r="AC105" s="257" t="n"/>
      <c r="AD105" s="92" t="n"/>
      <c r="AE105" s="93" t="n"/>
      <c r="AF105" s="257" t="n"/>
      <c r="AG105" s="92" t="n"/>
      <c r="AH105" s="93" t="n"/>
      <c r="AI105" s="257" t="n"/>
      <c r="AJ105" s="92" t="n"/>
      <c r="AK105" s="93" t="n"/>
      <c r="AL105" s="257" t="n"/>
      <c r="AM105" s="92" t="n"/>
      <c r="AN105" s="93" t="n"/>
      <c r="AO105" s="257" t="n"/>
      <c r="AP105" s="92" t="n"/>
      <c r="AQ105" s="93" t="n"/>
      <c r="AR105" s="257" t="n"/>
      <c r="AS105" s="92" t="n"/>
      <c r="AT105" s="93" t="n"/>
      <c r="AU105" s="257" t="n"/>
      <c r="AV105" s="92" t="n"/>
      <c r="AW105" s="93" t="n"/>
      <c r="AX105" s="257" t="n"/>
      <c r="AY105" s="92" t="n"/>
      <c r="AZ105" s="93" t="n"/>
      <c r="BA105" s="257" t="n"/>
      <c r="BB105" s="92" t="n"/>
      <c r="BC105" s="93" t="n"/>
      <c r="BD105" s="257" t="n"/>
      <c r="BE105" s="92" t="n"/>
      <c r="BF105" s="93" t="n"/>
      <c r="BG105" s="257" t="n"/>
      <c r="BH105" s="92" t="n"/>
      <c r="BI105" s="93" t="n"/>
    </row>
    <row r="106">
      <c r="A106" s="39" t="inlineStr">
        <is>
          <t>PESSOAL</t>
        </is>
      </c>
      <c r="C106" s="40" t="inlineStr">
        <is>
          <t>Premissas</t>
        </is>
      </c>
      <c r="D106" s="40" t="inlineStr">
        <is>
          <t>Valores</t>
        </is>
      </c>
      <c r="E106" s="40" t="inlineStr">
        <is>
          <t>% Incid</t>
        </is>
      </c>
      <c r="F106" s="41" t="n"/>
      <c r="G106" s="88" t="n"/>
      <c r="H106" s="244">
        <f>SUM(H107,H120,H179,H182,H199,H205)</f>
        <v/>
      </c>
      <c r="I106" s="42">
        <f>SUM(I107,I120,I179,I182,I199,I205)</f>
        <v/>
      </c>
      <c r="J106" s="43">
        <f>SUM(J107,J120,J179,J182,J199,J205)</f>
        <v/>
      </c>
      <c r="K106" s="244">
        <f>SUM(K107,K120,K179,K182,K199,K205)</f>
        <v/>
      </c>
      <c r="L106" s="42">
        <f>SUM(L107,L120,L179,L182,L199,L205)</f>
        <v/>
      </c>
      <c r="M106" s="43">
        <f>SUM(M107,M120,M179,M182,M199,M205)</f>
        <v/>
      </c>
      <c r="N106" s="244">
        <f>SUM(N107,N120,N179,N182,N199,N205)</f>
        <v/>
      </c>
      <c r="O106" s="42">
        <f>SUM(O107,O120,O179,O182,O199,O205)</f>
        <v/>
      </c>
      <c r="P106" s="43">
        <f>SUM(P107,P120,P179,P182,P199,P205)</f>
        <v/>
      </c>
      <c r="Q106" s="244">
        <f>SUM(Q107,Q120,Q179,Q182,Q199,Q205)</f>
        <v/>
      </c>
      <c r="R106" s="42">
        <f>SUM(R107,R120,R179,R182,R199,R205)</f>
        <v/>
      </c>
      <c r="S106" s="43">
        <f>SUM(S107,S120,S179,S182,S199,S205)</f>
        <v/>
      </c>
      <c r="T106" s="244">
        <f>SUM(T107,T120,T179,T182,T199,T205)</f>
        <v/>
      </c>
      <c r="U106" s="42">
        <f>SUM(U107,U120,U179,U182,U199,U205)</f>
        <v/>
      </c>
      <c r="V106" s="43">
        <f>SUM(V107,V120,V179,V182,V199,V205)</f>
        <v/>
      </c>
      <c r="W106" s="244">
        <f>SUM(W107,W120,W179,W182,W199,W205)</f>
        <v/>
      </c>
      <c r="X106" s="42">
        <f>SUM(X107,X120,X179,X182,X199,X205)</f>
        <v/>
      </c>
      <c r="Y106" s="43">
        <f>SUM(Y107,Y120,Y179,Y182,Y199,Y205)</f>
        <v/>
      </c>
      <c r="Z106" s="244">
        <f>SUM(Z107,Z120,Z179,Z182,Z199,Z205)</f>
        <v/>
      </c>
      <c r="AA106" s="42">
        <f>SUM(AA107,AA120,AA179,AA182,AA199,AA205)</f>
        <v/>
      </c>
      <c r="AB106" s="43">
        <f>SUM(AB107,AB120,AB179,AB182,AB199,AB205)</f>
        <v/>
      </c>
      <c r="AC106" s="244">
        <f>SUM(AC107,AC120,AC179,AC182,AC199,AC205)</f>
        <v/>
      </c>
      <c r="AD106" s="42">
        <f>SUM(AD107,AD120,AD179,AD182,AD199,AD205)</f>
        <v/>
      </c>
      <c r="AE106" s="43">
        <f>SUM(AE107,AE120,AE179,AE182,AE199,AE205)</f>
        <v/>
      </c>
      <c r="AF106" s="244">
        <f>SUM(AF107,AF120,AF179,AF182,AF199,AF205)</f>
        <v/>
      </c>
      <c r="AG106" s="42">
        <f>SUM(AG107,AG120,AG179,AG182,AG199,AG205)</f>
        <v/>
      </c>
      <c r="AH106" s="43">
        <f>SUM(AH107,AH120,AH179,AH182,AH199,AH205)</f>
        <v/>
      </c>
      <c r="AI106" s="244">
        <f>SUM(AI107,AI120,AI179,AI182,AI199,AI205)</f>
        <v/>
      </c>
      <c r="AJ106" s="42">
        <f>SUM(AJ107,AJ120,AJ179,AJ182,AJ199,AJ205)</f>
        <v/>
      </c>
      <c r="AK106" s="43">
        <f>SUM(AK107,AK120,AK179,AK182,AK199,AK205)</f>
        <v/>
      </c>
      <c r="AL106" s="244">
        <f>SUM(AL107,AL120,AL179,AL182,AL199,AL205)</f>
        <v/>
      </c>
      <c r="AM106" s="42">
        <f>SUM(AM107,AM120,AM179,AM182,AM199,AM205)</f>
        <v/>
      </c>
      <c r="AN106" s="43">
        <f>SUM(AN107,AN120,AN179,AN182,AN199,AN205)</f>
        <v/>
      </c>
      <c r="AO106" s="244">
        <f>SUM(AO107,AO120,AO179,AO182,AO199,AO205)</f>
        <v/>
      </c>
      <c r="AP106" s="42">
        <f>SUM(AP107,AP120,AP179,AP182,AP199,AP205)</f>
        <v/>
      </c>
      <c r="AQ106" s="43">
        <f>SUM(AQ107,AQ120,AQ179,AQ182,AQ199,AQ205)</f>
        <v/>
      </c>
      <c r="AR106" s="244">
        <f>SUM(AR107,AR120,AR179,AR182,AR199,AR205)</f>
        <v/>
      </c>
      <c r="AS106" s="42">
        <f>SUM(AS107,AS120,AS179,AS182,AS199,AS205)</f>
        <v/>
      </c>
      <c r="AT106" s="43">
        <f>SUM(AT107,AT120,AT179,AT182,AT199,AT205)</f>
        <v/>
      </c>
      <c r="AU106" s="244">
        <f>SUM(AU107,AU120,AU179,AU182,AU199,AU205)</f>
        <v/>
      </c>
      <c r="AV106" s="42">
        <f>SUM(AV107,AV120,AV179,AV182,AV199,AV205)</f>
        <v/>
      </c>
      <c r="AW106" s="43">
        <f>SUM(AW107,AW120,AW179,AW182,AW199,AW205)</f>
        <v/>
      </c>
      <c r="AX106" s="244">
        <f>SUM(AX107,AX120,AX179,AX182,AX199,AX205)</f>
        <v/>
      </c>
      <c r="AY106" s="42">
        <f>SUM(AY107,AY120,AY179,AY182,AY199,AY205)</f>
        <v/>
      </c>
      <c r="AZ106" s="43">
        <f>SUM(AZ107,AZ120,AZ179,AZ182,AZ199,AZ205)</f>
        <v/>
      </c>
      <c r="BA106" s="244">
        <f>SUM(BA107,BA120,BA179,BA182,BA199,BA205)</f>
        <v/>
      </c>
      <c r="BB106" s="42">
        <f>SUM(BB107,BB120,BB179,BB182,BB199,BB205)</f>
        <v/>
      </c>
      <c r="BC106" s="43">
        <f>SUM(BC107,BC120,BC179,BC182,BC199,BC205)</f>
        <v/>
      </c>
      <c r="BD106" s="244">
        <f>SUM(BD107,BD120,BD179,BD182,BD199,BD205)</f>
        <v/>
      </c>
      <c r="BE106" s="42">
        <f>SUM(BE107,BE120,BE179,BE182,BE199,BE205)</f>
        <v/>
      </c>
      <c r="BF106" s="43">
        <f>SUM(BF107,BF120,BF179,BF182,BF199,BF205)</f>
        <v/>
      </c>
      <c r="BG106" s="244">
        <f>SUM(BG107,BG120,BG179,BG182,BG199,BG205)</f>
        <v/>
      </c>
      <c r="BH106" s="42">
        <f>SUM(BH107,BH120,BH179,BH182,BH199,BH205)</f>
        <v/>
      </c>
      <c r="BI106" s="43">
        <f>SUM(BI107,BI120,BI179,BI182,BI199,BI205)</f>
        <v/>
      </c>
    </row>
    <row r="107">
      <c r="A107" s="73" t="inlineStr">
        <is>
          <t>PJ</t>
        </is>
      </c>
      <c r="C107" s="24" t="n"/>
      <c r="D107" s="55" t="n"/>
      <c r="E107" s="87" t="n"/>
      <c r="F107" s="41" t="n"/>
      <c r="G107" s="47" t="n"/>
      <c r="H107" s="252" t="n"/>
      <c r="I107" s="74">
        <f>SUM(I108:I119)</f>
        <v/>
      </c>
      <c r="J107" s="76">
        <f>SUM(J108:J119)</f>
        <v/>
      </c>
      <c r="K107" s="252" t="n"/>
      <c r="L107" s="74">
        <f>SUM(L108:L119)</f>
        <v/>
      </c>
      <c r="M107" s="76">
        <f>SUM(M108:M119)</f>
        <v/>
      </c>
      <c r="N107" s="252" t="n"/>
      <c r="O107" s="74">
        <f>SUM(O108:O119)</f>
        <v/>
      </c>
      <c r="P107" s="76">
        <f>SUM(P108:P119)</f>
        <v/>
      </c>
      <c r="Q107" s="252" t="n"/>
      <c r="R107" s="74">
        <f>SUM(R108:R119)</f>
        <v/>
      </c>
      <c r="S107" s="76">
        <f>SUM(S108:S119)</f>
        <v/>
      </c>
      <c r="T107" s="252" t="n"/>
      <c r="U107" s="74">
        <f>SUM(U108:U119)</f>
        <v/>
      </c>
      <c r="V107" s="76">
        <f>SUM(V108:V119)</f>
        <v/>
      </c>
      <c r="W107" s="252" t="n"/>
      <c r="X107" s="74">
        <f>SUM(X108:X119)</f>
        <v/>
      </c>
      <c r="Y107" s="76">
        <f>SUM(Y108:Y119)</f>
        <v/>
      </c>
      <c r="Z107" s="252" t="n"/>
      <c r="AA107" s="74">
        <f>SUM(AA108:AA119)</f>
        <v/>
      </c>
      <c r="AB107" s="76">
        <f>SUM(AB108:AB119)</f>
        <v/>
      </c>
      <c r="AC107" s="252" t="n"/>
      <c r="AD107" s="74">
        <f>SUM(AD108:AD119)</f>
        <v/>
      </c>
      <c r="AE107" s="76">
        <f>SUM(AE108:AE119)</f>
        <v/>
      </c>
      <c r="AF107" s="252" t="n"/>
      <c r="AG107" s="74">
        <f>SUM(AG108:AG119)</f>
        <v/>
      </c>
      <c r="AH107" s="76">
        <f>SUM(AH108:AH119)</f>
        <v/>
      </c>
      <c r="AI107" s="252" t="n"/>
      <c r="AJ107" s="74">
        <f>SUM(AJ108:AJ119)</f>
        <v/>
      </c>
      <c r="AK107" s="76">
        <f>SUM(AK108:AK119)</f>
        <v/>
      </c>
      <c r="AL107" s="252" t="n"/>
      <c r="AM107" s="74">
        <f>SUM(AM108:AM119)</f>
        <v/>
      </c>
      <c r="AN107" s="76">
        <f>SUM(AN108:AN119)</f>
        <v/>
      </c>
      <c r="AO107" s="252" t="n"/>
      <c r="AP107" s="74">
        <f>SUM(AP108:AP119)</f>
        <v/>
      </c>
      <c r="AQ107" s="76">
        <f>SUM(AQ108:AQ119)</f>
        <v/>
      </c>
      <c r="AR107" s="252">
        <f>SUMIFS($H107:$AO107,$H$5:$AO$5,"&lt;"&amp;MONTH(TODAY()),$H$6:$AO$6,"REAL 25")</f>
        <v/>
      </c>
      <c r="AS107" s="74">
        <f>SUMIFS($I107:$AP107,$I$5:$AP$5,"&lt;"&amp;MONTH(TODAY()),$I$6:$AP$6,"ORÇADO ")</f>
        <v/>
      </c>
      <c r="AT107" s="76">
        <f>SUMIFS($J107:$AQ107,$J$5:$AQ$5,"&lt;"&amp;MONTH(TODAY()),$J$6:$AQ$6,"REAL 26")</f>
        <v/>
      </c>
      <c r="AU107" s="252">
        <f>SUM(AU108:AU119)</f>
        <v/>
      </c>
      <c r="AV107" s="74">
        <f>SUM(AV108:AV119)</f>
        <v/>
      </c>
      <c r="AW107" s="76">
        <f>SUM(AW108:AW119)</f>
        <v/>
      </c>
      <c r="AX107" s="252">
        <f>SUM(AX108:AX119)</f>
        <v/>
      </c>
      <c r="AY107" s="74">
        <f>SUM(AY108:AY119)</f>
        <v/>
      </c>
      <c r="AZ107" s="76">
        <f>SUM(AZ108:AZ119)</f>
        <v/>
      </c>
      <c r="BA107" s="252">
        <f>SUM(BA108:BA119)</f>
        <v/>
      </c>
      <c r="BB107" s="74">
        <f>SUM(BB108:BB119)</f>
        <v/>
      </c>
      <c r="BC107" s="76">
        <f>SUM(BC108:BC119)</f>
        <v/>
      </c>
      <c r="BD107" s="252">
        <f>SUM(BD108:BD119)</f>
        <v/>
      </c>
      <c r="BE107" s="74">
        <f>SUM(BE108:BE119)</f>
        <v/>
      </c>
      <c r="BF107" s="76">
        <f>SUM(BF108:BF119)</f>
        <v/>
      </c>
      <c r="BG107" s="252">
        <f>SUM(BG108:BG119)</f>
        <v/>
      </c>
      <c r="BH107" s="74">
        <f>SUM(BH108:BH119)</f>
        <v/>
      </c>
      <c r="BI107" s="76">
        <f>SUM(BI108:BI119)</f>
        <v/>
      </c>
    </row>
    <row r="108" hidden="1" outlineLevel="1">
      <c r="A108" s="22" t="inlineStr">
        <is>
          <t xml:space="preserve">  - Squad</t>
        </is>
      </c>
      <c r="C108" s="24" t="n"/>
      <c r="D108" s="55" t="n"/>
      <c r="E108" s="87" t="n"/>
      <c r="F108" s="41" t="n"/>
      <c r="G108" s="47" t="n"/>
      <c r="H108" s="241" t="n"/>
      <c r="I108" s="27">
        <f>-SUMIFS(T_HEADCOUNT!$E:$E,T_HEADCOUNT!$C:$C,"*Squad*",T_HEADCOUNT!$D:$D,"1/2026",T_HEADCOUNT!$B:$B,"PJ")</f>
        <v/>
      </c>
      <c r="J108" s="28">
        <f>SUMIFS(Aut_BlueMe_Sem_Pedido!$J:$J,Aut_BlueMe_Sem_Pedido!$Q:$Q,DRE!H$4,Aut_BlueMe_Sem_Pedido!$N:$N,DRE!$A108,Aut_BlueMe_Sem_Pedido!$H:$H,"MDO PJ Fixo")+SUMIFS(Aut_Ajustes_Manuais!$G:$G,Aut_Ajustes_Manuais!$I:$I,DRE!H$4,Aut_Ajustes_Manuais!$J:$J,"  - Squad")</f>
        <v/>
      </c>
      <c r="K108" s="241" t="n"/>
      <c r="L108" s="27">
        <f>-SUMIFS(T_HEADCOUNT!$E:$E,T_HEADCOUNT!$C:$C,"*Squad*",T_HEADCOUNT!$D:$D,"2/2026",T_HEADCOUNT!$B:$B,"PJ")</f>
        <v/>
      </c>
      <c r="M108" s="28">
        <f>SUMIFS(Aut_BlueMe_Sem_Pedido!$J:$J,Aut_BlueMe_Sem_Pedido!$Q:$Q,DRE!K$4,Aut_BlueMe_Sem_Pedido!$N:$N,DRE!$A108,Aut_BlueMe_Sem_Pedido!$H:$H,"MDO PJ Fixo")+SUMIFS(Aut_Ajustes_Manuais!$G:$G,Aut_Ajustes_Manuais!$I:$I,DRE!K$4,Aut_Ajustes_Manuais!$J:$J,"  - Squad")</f>
        <v/>
      </c>
      <c r="N108" s="241" t="n"/>
      <c r="O108" s="27">
        <f>-SUMIFS(T_HEADCOUNT!$E:$E,T_HEADCOUNT!$C:$C,"*Squad*",T_HEADCOUNT!$D:$D,"3/2026",T_HEADCOUNT!$B:$B,"PJ")</f>
        <v/>
      </c>
      <c r="P108" s="28">
        <f>SUMIFS(Aut_BlueMe_Sem_Pedido!$J:$J,Aut_BlueMe_Sem_Pedido!$Q:$Q,DRE!N$4,Aut_BlueMe_Sem_Pedido!$N:$N,DRE!$A108,Aut_BlueMe_Sem_Pedido!$H:$H,"MDO PJ Fixo")+SUMIFS(Aut_Ajustes_Manuais!$G:$G,Aut_Ajustes_Manuais!$I:$I,DRE!N$4,Aut_Ajustes_Manuais!$J:$J,"  - Squad")</f>
        <v/>
      </c>
      <c r="Q108" s="241" t="n"/>
      <c r="R108" s="27">
        <f>-SUMIFS(T_HEADCOUNT!$E:$E,T_HEADCOUNT!$C:$C,"*Squad*",T_HEADCOUNT!$D:$D,"4/2026",T_HEADCOUNT!$B:$B,"PJ")</f>
        <v/>
      </c>
      <c r="S108" s="28">
        <f>SUMIFS(Aut_BlueMe_Sem_Pedido!$J:$J,Aut_BlueMe_Sem_Pedido!$Q:$Q,DRE!Q$4,Aut_BlueMe_Sem_Pedido!$N:$N,DRE!$A108,Aut_BlueMe_Sem_Pedido!$H:$H,"MDO PJ Fixo")+SUMIFS(Aut_Ajustes_Manuais!$G:$G,Aut_Ajustes_Manuais!$I:$I,DRE!Q$4,Aut_Ajustes_Manuais!$J:$J,"  - Squad")</f>
        <v/>
      </c>
      <c r="T108" s="241" t="n"/>
      <c r="U108" s="27">
        <f>-SUMIFS(T_HEADCOUNT!$E:$E,T_HEADCOUNT!$C:$C,"*Squad*",T_HEADCOUNT!$D:$D,"5/2026",T_HEADCOUNT!$B:$B,"PJ")</f>
        <v/>
      </c>
      <c r="V108" s="28">
        <f>SUMIFS(Aut_BlueMe_Sem_Pedido!$J:$J,Aut_BlueMe_Sem_Pedido!$Q:$Q,DRE!T$4,Aut_BlueMe_Sem_Pedido!$N:$N,DRE!$A108,Aut_BlueMe_Sem_Pedido!$H:$H,"MDO PJ Fixo")+SUMIFS(Aut_Ajustes_Manuais!$G:$G,Aut_Ajustes_Manuais!$I:$I,DRE!T$4,Aut_Ajustes_Manuais!$J:$J,"  - Squad")</f>
        <v/>
      </c>
      <c r="W108" s="241" t="n"/>
      <c r="X108" s="27">
        <f>-SUMIFS(T_HEADCOUNT!$E:$E,T_HEADCOUNT!$C:$C,"*Squad*",T_HEADCOUNT!$D:$D,"6/2026",T_HEADCOUNT!$B:$B,"PJ")</f>
        <v/>
      </c>
      <c r="Y108" s="28">
        <f>SUMIFS(Aut_BlueMe_Sem_Pedido!$J:$J,Aut_BlueMe_Sem_Pedido!$Q:$Q,DRE!W$4,Aut_BlueMe_Sem_Pedido!$N:$N,DRE!$A108,Aut_BlueMe_Sem_Pedido!$H:$H,"MDO PJ Fixo")+SUMIFS(Aut_Ajustes_Manuais!$G:$G,Aut_Ajustes_Manuais!$I:$I,DRE!W$4,Aut_Ajustes_Manuais!$J:$J,"  - Squad")</f>
        <v/>
      </c>
      <c r="Z108" s="241" t="n"/>
      <c r="AA108" s="27">
        <f>-SUMIFS(T_HEADCOUNT!$E:$E,T_HEADCOUNT!$C:$C,"*Squad*",T_HEADCOUNT!$D:$D,"7/2026",T_HEADCOUNT!$B:$B,"PJ")</f>
        <v/>
      </c>
      <c r="AB108" s="28">
        <f>SUMIFS(Aut_BlueMe_Sem_Pedido!$J:$J,Aut_BlueMe_Sem_Pedido!$Q:$Q,DRE!Z$4,Aut_BlueMe_Sem_Pedido!$N:$N,DRE!$A108,Aut_BlueMe_Sem_Pedido!$H:$H,"MDO PJ Fixo")+SUMIFS(Aut_Ajustes_Manuais!$G:$G,Aut_Ajustes_Manuais!$I:$I,DRE!Z$4,Aut_Ajustes_Manuais!$J:$J,"  - Squad")</f>
        <v/>
      </c>
      <c r="AC108" s="241" t="n"/>
      <c r="AD108" s="27">
        <f>-SUMIFS(T_HEADCOUNT!$E:$E,T_HEADCOUNT!$C:$C,"*Squad*",T_HEADCOUNT!$D:$D,"8/2026",T_HEADCOUNT!$B:$B,"PJ")</f>
        <v/>
      </c>
      <c r="AE108" s="28">
        <f>SUMIFS(Aut_BlueMe_Sem_Pedido!$J:$J,Aut_BlueMe_Sem_Pedido!$Q:$Q,DRE!AC$4,Aut_BlueMe_Sem_Pedido!$N:$N,DRE!$A108,Aut_BlueMe_Sem_Pedido!$H:$H,"MDO PJ Fixo")+SUMIFS(Aut_Ajustes_Manuais!$G:$G,Aut_Ajustes_Manuais!$I:$I,DRE!AC$4,Aut_Ajustes_Manuais!$J:$J,"  - Squad")</f>
        <v/>
      </c>
      <c r="AF108" s="241" t="n"/>
      <c r="AG108" s="27">
        <f>-SUMIFS(T_HEADCOUNT!$E:$E,T_HEADCOUNT!$C:$C,"*Squad*",T_HEADCOUNT!$D:$D,"9/2026",T_HEADCOUNT!$B:$B,"PJ")</f>
        <v/>
      </c>
      <c r="AH108" s="28">
        <f>SUMIFS(Aut_BlueMe_Sem_Pedido!$J:$J,Aut_BlueMe_Sem_Pedido!$Q:$Q,DRE!AF$4,Aut_BlueMe_Sem_Pedido!$N:$N,DRE!$A108,Aut_BlueMe_Sem_Pedido!$H:$H,"MDO PJ Fixo")+SUMIFS(Aut_Ajustes_Manuais!$G:$G,Aut_Ajustes_Manuais!$I:$I,DRE!AF$4,Aut_Ajustes_Manuais!$J:$J,"  - Squad")</f>
        <v/>
      </c>
      <c r="AI108" s="241" t="n"/>
      <c r="AJ108" s="27">
        <f>-SUMIFS(T_HEADCOUNT!$E:$E,T_HEADCOUNT!$C:$C,"*Squad*",T_HEADCOUNT!$D:$D,"10/2026",T_HEADCOUNT!$B:$B,"PJ")</f>
        <v/>
      </c>
      <c r="AK108" s="28">
        <f>SUMIFS(Aut_BlueMe_Sem_Pedido!$J:$J,Aut_BlueMe_Sem_Pedido!$Q:$Q,DRE!AI$4,Aut_BlueMe_Sem_Pedido!$N:$N,DRE!$A108,Aut_BlueMe_Sem_Pedido!$H:$H,"MDO PJ Fixo")+SUMIFS(Aut_Ajustes_Manuais!$G:$G,Aut_Ajustes_Manuais!$I:$I,DRE!AI$4,Aut_Ajustes_Manuais!$J:$J,"  - Squad")</f>
        <v/>
      </c>
      <c r="AL108" s="241" t="n"/>
      <c r="AM108" s="27">
        <f>-SUMIFS(T_HEADCOUNT!$E:$E,T_HEADCOUNT!$C:$C,"*Squad*",T_HEADCOUNT!$D:$D,"11/2026",T_HEADCOUNT!$B:$B,"PJ")</f>
        <v/>
      </c>
      <c r="AN108" s="28">
        <f>SUMIFS(Aut_BlueMe_Sem_Pedido!$J:$J,Aut_BlueMe_Sem_Pedido!$Q:$Q,DRE!AL$4,Aut_BlueMe_Sem_Pedido!$N:$N,DRE!$A108,Aut_BlueMe_Sem_Pedido!$H:$H,"MDO PJ Fixo")+SUMIFS(Aut_Ajustes_Manuais!$G:$G,Aut_Ajustes_Manuais!$I:$I,DRE!AL$4,Aut_Ajustes_Manuais!$J:$J,"  - Squad")</f>
        <v/>
      </c>
      <c r="AO108" s="241" t="n"/>
      <c r="AP108" s="27">
        <f>-SUMIFS(T_HEADCOUNT!$E:$E,T_HEADCOUNT!$C:$C,"*Squad*",T_HEADCOUNT!$D:$D,"12/2026",T_HEADCOUNT!$B:$B,"PJ")</f>
        <v/>
      </c>
      <c r="AQ108" s="28">
        <f>SUMIFS(Aut_BlueMe_Sem_Pedido!$J:$J,Aut_BlueMe_Sem_Pedido!$Q:$Q,DRE!AO$4,Aut_BlueMe_Sem_Pedido!$N:$N,DRE!$A108,Aut_BlueMe_Sem_Pedido!$H:$H,"MDO PJ Fixo")+SUMIFS(Aut_Ajustes_Manuais!$G:$G,Aut_Ajustes_Manuais!$I:$I,DRE!AO$4,Aut_Ajustes_Manuais!$J:$J,"  - Squad")</f>
        <v/>
      </c>
      <c r="AR108" s="241">
        <f>SUMIFS($H108:$AO108,$H$5:$AO$5,"&lt;"&amp;MONTH(TODAY()),$H$6:$AO$6,"REAL 25")</f>
        <v/>
      </c>
      <c r="AS108" s="27">
        <f>SUMIFS($I108:$AP108,$I$5:$AP$5,"&lt;"&amp;MONTH(TODAY()),$I$6:$AP$6,"ORÇADO ")</f>
        <v/>
      </c>
      <c r="AT108" s="28">
        <f>SUMIFS($J108:$AQ108,$J$5:$AQ$5,"&lt;"&amp;MONTH(TODAY()),$J$6:$AQ$6,"REAL 26")</f>
        <v/>
      </c>
      <c r="AU108" s="241">
        <f>SUM(H108,K108,N108,Q108,T108,W108,Z108,AC108,AF108,AI108,AL108,AO108)</f>
        <v/>
      </c>
      <c r="AV108" s="81">
        <f>SUM(I108,L108,O108,R108,U108,X108,AA108,AD108,AG108,AJ108,AM108,AP108)</f>
        <v/>
      </c>
      <c r="AW108" s="82">
        <f>SUM(J108,M108,P108,S108,V108,Y108,AB108,AE108,AH108,AK108,AN108,AQ108)</f>
        <v/>
      </c>
      <c r="AX108" s="241">
        <f>SUM(H108,K108,N108)</f>
        <v/>
      </c>
      <c r="AY108" s="81">
        <f>SUM(I108,L108,O108)</f>
        <v/>
      </c>
      <c r="AZ108" s="82">
        <f>SUM(J108,M108,P108)</f>
        <v/>
      </c>
      <c r="BA108" s="241">
        <f>SUM(Q108,T108,W108)</f>
        <v/>
      </c>
      <c r="BB108" s="81">
        <f>SUM(R108,U108,X108)</f>
        <v/>
      </c>
      <c r="BC108" s="82">
        <f>SUM(S108,V108,Y108)</f>
        <v/>
      </c>
      <c r="BD108" s="241">
        <f>SUM(Z108,AC108,AF108)</f>
        <v/>
      </c>
      <c r="BE108" s="81">
        <f>SUM(AA108,AD108,AG108)</f>
        <v/>
      </c>
      <c r="BF108" s="82">
        <f>SUM(AB108,AE108,AH108)</f>
        <v/>
      </c>
      <c r="BG108" s="241">
        <f>SUM(AI108,AL108,AO108)</f>
        <v/>
      </c>
      <c r="BH108" s="81">
        <f>SUM(AJ108,AM108,AP108)</f>
        <v/>
      </c>
      <c r="BI108" s="82">
        <f>SUM(AK108,AN108,AQ108)</f>
        <v/>
      </c>
    </row>
    <row r="109" hidden="1" outlineLevel="1" customFormat="1" s="94">
      <c r="A109" s="22" t="inlineStr">
        <is>
          <t xml:space="preserve">  - Gerente</t>
        </is>
      </c>
      <c r="B109" s="488" t="n"/>
      <c r="C109" s="24" t="n"/>
      <c r="D109" s="55" t="n"/>
      <c r="E109" s="87" t="n"/>
      <c r="F109" s="41" t="n"/>
      <c r="G109" s="33" t="n"/>
      <c r="H109" s="241" t="n"/>
      <c r="I109" s="27">
        <f>-SUMIFS(T_HEADCOUNT!$E:$E,T_HEADCOUNT!$C:$C,"- Gerente",T_HEADCOUNT!$D:$D,"1/2026",T_HEADCOUNT!$B:$B,"PJ")</f>
        <v/>
      </c>
      <c r="J109" s="28">
        <f>SUMIFS(Aut_BlueMe_Sem_Pedido!$J:$J,Aut_BlueMe_Sem_Pedido!$Q:$Q,DRE!H$4,Aut_BlueMe_Sem_Pedido!$N:$N,DRE!$A109,Aut_BlueMe_Sem_Pedido!$H:$H,"MDO PJ Fixo")+SUMIFS(Aut_Ajustes_Manuais!$G:$G,Aut_Ajustes_Manuais!$I:$I,DRE!H$4,Aut_Ajustes_Manuais!$J:$J,"  - Gerente")</f>
        <v/>
      </c>
      <c r="K109" s="241" t="n"/>
      <c r="L109" s="27">
        <f>-SUMIFS(T_HEADCOUNT!$E:$E,T_HEADCOUNT!$C:$C,"- Gerente",T_HEADCOUNT!$D:$D,"2/2026",T_HEADCOUNT!$B:$B,"PJ")</f>
        <v/>
      </c>
      <c r="M109" s="28">
        <f>SUMIFS(Aut_BlueMe_Sem_Pedido!$J:$J,Aut_BlueMe_Sem_Pedido!$Q:$Q,DRE!K$4,Aut_BlueMe_Sem_Pedido!$N:$N,DRE!$A109,Aut_BlueMe_Sem_Pedido!$H:$H,"MDO PJ Fixo")+SUMIFS(Aut_Ajustes_Manuais!$G:$G,Aut_Ajustes_Manuais!$I:$I,DRE!K$4,Aut_Ajustes_Manuais!$J:$J,"  - Gerente")</f>
        <v/>
      </c>
      <c r="N109" s="241" t="n"/>
      <c r="O109" s="27">
        <f>-SUMIFS(T_HEADCOUNT!$E:$E,T_HEADCOUNT!$C:$C,"- Gerente",T_HEADCOUNT!$D:$D,"3/2026",T_HEADCOUNT!$B:$B,"PJ")</f>
        <v/>
      </c>
      <c r="P109" s="28">
        <f>SUMIFS(Aut_BlueMe_Sem_Pedido!$J:$J,Aut_BlueMe_Sem_Pedido!$Q:$Q,DRE!N$4,Aut_BlueMe_Sem_Pedido!$N:$N,DRE!$A109,Aut_BlueMe_Sem_Pedido!$H:$H,"MDO PJ Fixo")+SUMIFS(Aut_Ajustes_Manuais!$G:$G,Aut_Ajustes_Manuais!$I:$I,DRE!N$4,Aut_Ajustes_Manuais!$J:$J,"  - Gerente")</f>
        <v/>
      </c>
      <c r="Q109" s="241" t="n"/>
      <c r="R109" s="27">
        <f>-SUMIFS(T_HEADCOUNT!$E:$E,T_HEADCOUNT!$C:$C,"- Gerente",T_HEADCOUNT!$D:$D,"4/2026",T_HEADCOUNT!$B:$B,"PJ")</f>
        <v/>
      </c>
      <c r="S109" s="28">
        <f>SUMIFS(Aut_BlueMe_Sem_Pedido!$J:$J,Aut_BlueMe_Sem_Pedido!$Q:$Q,DRE!Q$4,Aut_BlueMe_Sem_Pedido!$N:$N,DRE!$A109,Aut_BlueMe_Sem_Pedido!$H:$H,"MDO PJ Fixo")+SUMIFS(Aut_Ajustes_Manuais!$G:$G,Aut_Ajustes_Manuais!$I:$I,DRE!Q$4,Aut_Ajustes_Manuais!$J:$J,"  - Gerente")</f>
        <v/>
      </c>
      <c r="T109" s="241" t="n"/>
      <c r="U109" s="27">
        <f>-SUMIFS(T_HEADCOUNT!$E:$E,T_HEADCOUNT!$C:$C,"- Gerente",T_HEADCOUNT!$D:$D,"5/2026",T_HEADCOUNT!$B:$B,"PJ")</f>
        <v/>
      </c>
      <c r="V109" s="28">
        <f>SUMIFS(Aut_BlueMe_Sem_Pedido!$J:$J,Aut_BlueMe_Sem_Pedido!$Q:$Q,DRE!T$4,Aut_BlueMe_Sem_Pedido!$N:$N,DRE!$A109,Aut_BlueMe_Sem_Pedido!$H:$H,"MDO PJ Fixo")+SUMIFS(Aut_Ajustes_Manuais!$G:$G,Aut_Ajustes_Manuais!$I:$I,DRE!T$4,Aut_Ajustes_Manuais!$J:$J,"  - Gerente")</f>
        <v/>
      </c>
      <c r="W109" s="241" t="n"/>
      <c r="X109" s="27">
        <f>-SUMIFS(T_HEADCOUNT!$E:$E,T_HEADCOUNT!$C:$C,"- Gerente",T_HEADCOUNT!$D:$D,"6/2026",T_HEADCOUNT!$B:$B,"PJ")</f>
        <v/>
      </c>
      <c r="Y109" s="28">
        <f>SUMIFS(Aut_BlueMe_Sem_Pedido!$J:$J,Aut_BlueMe_Sem_Pedido!$Q:$Q,DRE!W$4,Aut_BlueMe_Sem_Pedido!$N:$N,DRE!$A109,Aut_BlueMe_Sem_Pedido!$H:$H,"MDO PJ Fixo")+SUMIFS(Aut_Ajustes_Manuais!$G:$G,Aut_Ajustes_Manuais!$I:$I,DRE!W$4,Aut_Ajustes_Manuais!$J:$J,"  - Gerente")</f>
        <v/>
      </c>
      <c r="Z109" s="241" t="n"/>
      <c r="AA109" s="27">
        <f>-SUMIFS(T_HEADCOUNT!$E:$E,T_HEADCOUNT!$C:$C,"- Gerente",T_HEADCOUNT!$D:$D,"7/2026",T_HEADCOUNT!$B:$B,"PJ")</f>
        <v/>
      </c>
      <c r="AB109" s="28">
        <f>SUMIFS(Aut_BlueMe_Sem_Pedido!$J:$J,Aut_BlueMe_Sem_Pedido!$Q:$Q,DRE!Z$4,Aut_BlueMe_Sem_Pedido!$N:$N,DRE!$A109,Aut_BlueMe_Sem_Pedido!$H:$H,"MDO PJ Fixo")+SUMIFS(Aut_Ajustes_Manuais!$G:$G,Aut_Ajustes_Manuais!$I:$I,DRE!Z$4,Aut_Ajustes_Manuais!$J:$J,"  - Gerente")</f>
        <v/>
      </c>
      <c r="AC109" s="241" t="n"/>
      <c r="AD109" s="27">
        <f>-SUMIFS(T_HEADCOUNT!$E:$E,T_HEADCOUNT!$C:$C,"- Gerente",T_HEADCOUNT!$D:$D,"8/2026",T_HEADCOUNT!$B:$B,"PJ")</f>
        <v/>
      </c>
      <c r="AE109" s="28">
        <f>SUMIFS(Aut_BlueMe_Sem_Pedido!$J:$J,Aut_BlueMe_Sem_Pedido!$Q:$Q,DRE!AC$4,Aut_BlueMe_Sem_Pedido!$N:$N,DRE!$A109,Aut_BlueMe_Sem_Pedido!$H:$H,"MDO PJ Fixo")+SUMIFS(Aut_Ajustes_Manuais!$G:$G,Aut_Ajustes_Manuais!$I:$I,DRE!AC$4,Aut_Ajustes_Manuais!$J:$J,"  - Gerente")</f>
        <v/>
      </c>
      <c r="AF109" s="241" t="n"/>
      <c r="AG109" s="27">
        <f>-SUMIFS(T_HEADCOUNT!$E:$E,T_HEADCOUNT!$C:$C,"- Gerente",T_HEADCOUNT!$D:$D,"9/2026",T_HEADCOUNT!$B:$B,"PJ")</f>
        <v/>
      </c>
      <c r="AH109" s="28">
        <f>SUMIFS(Aut_BlueMe_Sem_Pedido!$J:$J,Aut_BlueMe_Sem_Pedido!$Q:$Q,DRE!AF$4,Aut_BlueMe_Sem_Pedido!$N:$N,DRE!$A109,Aut_BlueMe_Sem_Pedido!$H:$H,"MDO PJ Fixo")+SUMIFS(Aut_Ajustes_Manuais!$G:$G,Aut_Ajustes_Manuais!$I:$I,DRE!AF$4,Aut_Ajustes_Manuais!$J:$J,"  - Gerente")</f>
        <v/>
      </c>
      <c r="AI109" s="241" t="n"/>
      <c r="AJ109" s="27">
        <f>-SUMIFS(T_HEADCOUNT!$E:$E,T_HEADCOUNT!$C:$C,"- Gerente",T_HEADCOUNT!$D:$D,"10/2026",T_HEADCOUNT!$B:$B,"PJ")</f>
        <v/>
      </c>
      <c r="AK109" s="28">
        <f>SUMIFS(Aut_BlueMe_Sem_Pedido!$J:$J,Aut_BlueMe_Sem_Pedido!$Q:$Q,DRE!AI$4,Aut_BlueMe_Sem_Pedido!$N:$N,DRE!$A109,Aut_BlueMe_Sem_Pedido!$H:$H,"MDO PJ Fixo")+SUMIFS(Aut_Ajustes_Manuais!$G:$G,Aut_Ajustes_Manuais!$I:$I,DRE!AI$4,Aut_Ajustes_Manuais!$J:$J,"  - Gerente")</f>
        <v/>
      </c>
      <c r="AL109" s="241" t="n"/>
      <c r="AM109" s="27">
        <f>-SUMIFS(T_HEADCOUNT!$E:$E,T_HEADCOUNT!$C:$C,"- Gerente",T_HEADCOUNT!$D:$D,"11/2026",T_HEADCOUNT!$B:$B,"PJ")</f>
        <v/>
      </c>
      <c r="AN109" s="28">
        <f>SUMIFS(Aut_BlueMe_Sem_Pedido!$J:$J,Aut_BlueMe_Sem_Pedido!$Q:$Q,DRE!AL$4,Aut_BlueMe_Sem_Pedido!$N:$N,DRE!$A109,Aut_BlueMe_Sem_Pedido!$H:$H,"MDO PJ Fixo")+SUMIFS(Aut_Ajustes_Manuais!$G:$G,Aut_Ajustes_Manuais!$I:$I,DRE!AL$4,Aut_Ajustes_Manuais!$J:$J,"  - Gerente")</f>
        <v/>
      </c>
      <c r="AO109" s="241" t="n"/>
      <c r="AP109" s="27">
        <f>-SUMIFS(T_HEADCOUNT!$E:$E,T_HEADCOUNT!$C:$C,"- Gerente",T_HEADCOUNT!$D:$D,"12/2026",T_HEADCOUNT!$B:$B,"PJ")</f>
        <v/>
      </c>
      <c r="AQ109" s="28">
        <f>SUMIFS(Aut_BlueMe_Sem_Pedido!$J:$J,Aut_BlueMe_Sem_Pedido!$Q:$Q,DRE!AO$4,Aut_BlueMe_Sem_Pedido!$N:$N,DRE!$A109,Aut_BlueMe_Sem_Pedido!$H:$H,"MDO PJ Fixo")+SUMIFS(Aut_Ajustes_Manuais!$G:$G,Aut_Ajustes_Manuais!$I:$I,DRE!AO$4,Aut_Ajustes_Manuais!$J:$J,"  - Gerente")</f>
        <v/>
      </c>
      <c r="AR109" s="241">
        <f>SUMIFS($H109:$AO109,$H$5:$AO$5,"&lt;"&amp;MONTH(TODAY()),$H$6:$AO$6,"REAL 25")</f>
        <v/>
      </c>
      <c r="AS109" s="27">
        <f>SUMIFS($I109:$AP109,$I$5:$AP$5,"&lt;"&amp;MONTH(TODAY()),$I$6:$AP$6,"ORÇADO ")</f>
        <v/>
      </c>
      <c r="AT109" s="28">
        <f>SUMIFS($J109:$AQ109,$J$5:$AQ$5,"&lt;"&amp;MONTH(TODAY()),$J$6:$AQ$6,"REAL 26")</f>
        <v/>
      </c>
      <c r="AU109" s="241">
        <f>SUM(H109,K109,N109,Q109,T109,W109,Z109,AC109,AF109,AI109,AL109,AO109)</f>
        <v/>
      </c>
      <c r="AV109" s="81">
        <f>SUM(I109,L109,O109,R109,U109,X109,AA109,AD109,AG109,AJ109,AM109,AP109)</f>
        <v/>
      </c>
      <c r="AW109" s="82">
        <f>SUM(J109,M109,P109,S109,V109,Y109,AB109,AE109,AH109,AK109,AN109,AQ109)</f>
        <v/>
      </c>
      <c r="AX109" s="241">
        <f>SUM(H109,K109,N109)</f>
        <v/>
      </c>
      <c r="AY109" s="81">
        <f>SUM(I109,L109,O109)</f>
        <v/>
      </c>
      <c r="AZ109" s="82">
        <f>SUM(J109,M109,P109)</f>
        <v/>
      </c>
      <c r="BA109" s="241">
        <f>SUM(Q109,T109,W109)</f>
        <v/>
      </c>
      <c r="BB109" s="81">
        <f>SUM(R109,U109,X109)</f>
        <v/>
      </c>
      <c r="BC109" s="82">
        <f>SUM(S109,V109,Y109)</f>
        <v/>
      </c>
      <c r="BD109" s="241">
        <f>SUM(Z109,AC109,AF109)</f>
        <v/>
      </c>
      <c r="BE109" s="81">
        <f>SUM(AA109,AD109,AG109)</f>
        <v/>
      </c>
      <c r="BF109" s="82">
        <f>SUM(AB109,AE109,AH109)</f>
        <v/>
      </c>
      <c r="BG109" s="241">
        <f>SUM(AI109,AL109,AO109)</f>
        <v/>
      </c>
      <c r="BH109" s="81">
        <f>SUM(AJ109,AM109,AP109)</f>
        <v/>
      </c>
      <c r="BI109" s="82">
        <f>SUM(AK109,AN109,AQ109)</f>
        <v/>
      </c>
    </row>
    <row r="110" hidden="1" outlineLevel="1" customFormat="1" s="94">
      <c r="A110" s="22" t="inlineStr">
        <is>
          <t xml:space="preserve">  - Subgerente</t>
        </is>
      </c>
      <c r="B110" s="488" t="n"/>
      <c r="C110" s="24" t="n"/>
      <c r="D110" s="55" t="n"/>
      <c r="E110" s="87" t="n"/>
      <c r="F110" s="41" t="n"/>
      <c r="G110" s="33" t="n"/>
      <c r="H110" s="241" t="n"/>
      <c r="I110" s="27">
        <f>-SUMIFS(T_HEADCOUNT!$E:$E,T_HEADCOUNT!$C:$C,"- Subgerente",T_HEADCOUNT!$D:$D,"1/2026",T_HEADCOUNT!$B:$B,"PJ")</f>
        <v/>
      </c>
      <c r="J110" s="28">
        <f>SUMIFS(Aut_BlueMe_Sem_Pedido!$J:$J,Aut_BlueMe_Sem_Pedido!$Q:$Q,DRE!H$4,Aut_BlueMe_Sem_Pedido!$N:$N,DRE!$A110,Aut_BlueMe_Sem_Pedido!$H:$H,"MDO PJ Fixo")+SUMIFS(Aut_Ajustes_Manuais!$G:$G,Aut_Ajustes_Manuais!$I:$I,DRE!H$4,Aut_Ajustes_Manuais!$J:$J,"  - Subgerente")</f>
        <v/>
      </c>
      <c r="K110" s="241" t="n"/>
      <c r="L110" s="27">
        <f>-SUMIFS(T_HEADCOUNT!$E:$E,T_HEADCOUNT!$C:$C,"- Subgerente",T_HEADCOUNT!$D:$D,"2/2026",T_HEADCOUNT!$B:$B,"PJ")</f>
        <v/>
      </c>
      <c r="M110" s="28">
        <f>SUMIFS(Aut_BlueMe_Sem_Pedido!$J:$J,Aut_BlueMe_Sem_Pedido!$Q:$Q,DRE!K$4,Aut_BlueMe_Sem_Pedido!$N:$N,DRE!$A110,Aut_BlueMe_Sem_Pedido!$H:$H,"MDO PJ Fixo")+SUMIFS(Aut_Ajustes_Manuais!$G:$G,Aut_Ajustes_Manuais!$I:$I,DRE!K$4,Aut_Ajustes_Manuais!$J:$J,"  - Subgerente")</f>
        <v/>
      </c>
      <c r="N110" s="241" t="n"/>
      <c r="O110" s="27">
        <f>-SUMIFS(T_HEADCOUNT!$E:$E,T_HEADCOUNT!$C:$C,"- Subgerente",T_HEADCOUNT!$D:$D,"3/2026",T_HEADCOUNT!$B:$B,"PJ")</f>
        <v/>
      </c>
      <c r="P110" s="28">
        <f>SUMIFS(Aut_BlueMe_Sem_Pedido!$J:$J,Aut_BlueMe_Sem_Pedido!$Q:$Q,DRE!N$4,Aut_BlueMe_Sem_Pedido!$N:$N,DRE!$A110,Aut_BlueMe_Sem_Pedido!$H:$H,"MDO PJ Fixo")+SUMIFS(Aut_Ajustes_Manuais!$G:$G,Aut_Ajustes_Manuais!$I:$I,DRE!N$4,Aut_Ajustes_Manuais!$J:$J,"  - Subgerente")</f>
        <v/>
      </c>
      <c r="Q110" s="241" t="n"/>
      <c r="R110" s="27">
        <f>-SUMIFS(T_HEADCOUNT!$E:$E,T_HEADCOUNT!$C:$C,"- Subgerente",T_HEADCOUNT!$D:$D,"4/2026",T_HEADCOUNT!$B:$B,"PJ")</f>
        <v/>
      </c>
      <c r="S110" s="28">
        <f>SUMIFS(Aut_BlueMe_Sem_Pedido!$J:$J,Aut_BlueMe_Sem_Pedido!$Q:$Q,DRE!Q$4,Aut_BlueMe_Sem_Pedido!$N:$N,DRE!$A110,Aut_BlueMe_Sem_Pedido!$H:$H,"MDO PJ Fixo")+SUMIFS(Aut_Ajustes_Manuais!$G:$G,Aut_Ajustes_Manuais!$I:$I,DRE!Q$4,Aut_Ajustes_Manuais!$J:$J,"  - Subgerente")</f>
        <v/>
      </c>
      <c r="T110" s="241" t="n"/>
      <c r="U110" s="27">
        <f>-SUMIFS(T_HEADCOUNT!$E:$E,T_HEADCOUNT!$C:$C,"- Subgerente",T_HEADCOUNT!$D:$D,"5/2026",T_HEADCOUNT!$B:$B,"PJ")</f>
        <v/>
      </c>
      <c r="V110" s="28">
        <f>SUMIFS(Aut_BlueMe_Sem_Pedido!$J:$J,Aut_BlueMe_Sem_Pedido!$Q:$Q,DRE!T$4,Aut_BlueMe_Sem_Pedido!$N:$N,DRE!$A110,Aut_BlueMe_Sem_Pedido!$H:$H,"MDO PJ Fixo")+SUMIFS(Aut_Ajustes_Manuais!$G:$G,Aut_Ajustes_Manuais!$I:$I,DRE!T$4,Aut_Ajustes_Manuais!$J:$J,"  - Subgerente")</f>
        <v/>
      </c>
      <c r="W110" s="241" t="n"/>
      <c r="X110" s="27">
        <f>-SUMIFS(T_HEADCOUNT!$E:$E,T_HEADCOUNT!$C:$C,"- Subgerente",T_HEADCOUNT!$D:$D,"6/2026",T_HEADCOUNT!$B:$B,"PJ")</f>
        <v/>
      </c>
      <c r="Y110" s="28">
        <f>SUMIFS(Aut_BlueMe_Sem_Pedido!$J:$J,Aut_BlueMe_Sem_Pedido!$Q:$Q,DRE!W$4,Aut_BlueMe_Sem_Pedido!$N:$N,DRE!$A110,Aut_BlueMe_Sem_Pedido!$H:$H,"MDO PJ Fixo")+SUMIFS(Aut_Ajustes_Manuais!$G:$G,Aut_Ajustes_Manuais!$I:$I,DRE!W$4,Aut_Ajustes_Manuais!$J:$J,"  - Subgerente")</f>
        <v/>
      </c>
      <c r="Z110" s="241" t="n"/>
      <c r="AA110" s="27">
        <f>-SUMIFS(T_HEADCOUNT!$E:$E,T_HEADCOUNT!$C:$C,"- Subgerente",T_HEADCOUNT!$D:$D,"7/2026",T_HEADCOUNT!$B:$B,"PJ")</f>
        <v/>
      </c>
      <c r="AB110" s="28">
        <f>SUMIFS(Aut_BlueMe_Sem_Pedido!$J:$J,Aut_BlueMe_Sem_Pedido!$Q:$Q,DRE!Z$4,Aut_BlueMe_Sem_Pedido!$N:$N,DRE!$A110,Aut_BlueMe_Sem_Pedido!$H:$H,"MDO PJ Fixo")+SUMIFS(Aut_Ajustes_Manuais!$G:$G,Aut_Ajustes_Manuais!$I:$I,DRE!Z$4,Aut_Ajustes_Manuais!$J:$J,"  - Subgerente")</f>
        <v/>
      </c>
      <c r="AC110" s="241" t="n"/>
      <c r="AD110" s="27">
        <f>-SUMIFS(T_HEADCOUNT!$E:$E,T_HEADCOUNT!$C:$C,"- Subgerente",T_HEADCOUNT!$D:$D,"8/2026",T_HEADCOUNT!$B:$B,"PJ")</f>
        <v/>
      </c>
      <c r="AE110" s="28">
        <f>SUMIFS(Aut_BlueMe_Sem_Pedido!$J:$J,Aut_BlueMe_Sem_Pedido!$Q:$Q,DRE!AC$4,Aut_BlueMe_Sem_Pedido!$N:$N,DRE!$A110,Aut_BlueMe_Sem_Pedido!$H:$H,"MDO PJ Fixo")+SUMIFS(Aut_Ajustes_Manuais!$G:$G,Aut_Ajustes_Manuais!$I:$I,DRE!AC$4,Aut_Ajustes_Manuais!$J:$J,"  - Subgerente")</f>
        <v/>
      </c>
      <c r="AF110" s="241" t="n"/>
      <c r="AG110" s="27">
        <f>-SUMIFS(T_HEADCOUNT!$E:$E,T_HEADCOUNT!$C:$C,"- Subgerente",T_HEADCOUNT!$D:$D,"9/2026",T_HEADCOUNT!$B:$B,"PJ")</f>
        <v/>
      </c>
      <c r="AH110" s="28">
        <f>SUMIFS(Aut_BlueMe_Sem_Pedido!$J:$J,Aut_BlueMe_Sem_Pedido!$Q:$Q,DRE!AF$4,Aut_BlueMe_Sem_Pedido!$N:$N,DRE!$A110,Aut_BlueMe_Sem_Pedido!$H:$H,"MDO PJ Fixo")+SUMIFS(Aut_Ajustes_Manuais!$G:$G,Aut_Ajustes_Manuais!$I:$I,DRE!AF$4,Aut_Ajustes_Manuais!$J:$J,"  - Subgerente")</f>
        <v/>
      </c>
      <c r="AI110" s="241" t="n"/>
      <c r="AJ110" s="27">
        <f>-SUMIFS(T_HEADCOUNT!$E:$E,T_HEADCOUNT!$C:$C,"- Subgerente",T_HEADCOUNT!$D:$D,"10/2026",T_HEADCOUNT!$B:$B,"PJ")</f>
        <v/>
      </c>
      <c r="AK110" s="28">
        <f>SUMIFS(Aut_BlueMe_Sem_Pedido!$J:$J,Aut_BlueMe_Sem_Pedido!$Q:$Q,DRE!AI$4,Aut_BlueMe_Sem_Pedido!$N:$N,DRE!$A110,Aut_BlueMe_Sem_Pedido!$H:$H,"MDO PJ Fixo")+SUMIFS(Aut_Ajustes_Manuais!$G:$G,Aut_Ajustes_Manuais!$I:$I,DRE!AI$4,Aut_Ajustes_Manuais!$J:$J,"  - Subgerente")</f>
        <v/>
      </c>
      <c r="AL110" s="241" t="n"/>
      <c r="AM110" s="27">
        <f>-SUMIFS(T_HEADCOUNT!$E:$E,T_HEADCOUNT!$C:$C,"- Subgerente",T_HEADCOUNT!$D:$D,"11/2026",T_HEADCOUNT!$B:$B,"PJ")</f>
        <v/>
      </c>
      <c r="AN110" s="28">
        <f>SUMIFS(Aut_BlueMe_Sem_Pedido!$J:$J,Aut_BlueMe_Sem_Pedido!$Q:$Q,DRE!AL$4,Aut_BlueMe_Sem_Pedido!$N:$N,DRE!$A110,Aut_BlueMe_Sem_Pedido!$H:$H,"MDO PJ Fixo")+SUMIFS(Aut_Ajustes_Manuais!$G:$G,Aut_Ajustes_Manuais!$I:$I,DRE!AL$4,Aut_Ajustes_Manuais!$J:$J,"  - Subgerente")</f>
        <v/>
      </c>
      <c r="AO110" s="241" t="n"/>
      <c r="AP110" s="27">
        <f>-SUMIFS(T_HEADCOUNT!$E:$E,T_HEADCOUNT!$C:$C,"- Subgerente",T_HEADCOUNT!$D:$D,"12/2026",T_HEADCOUNT!$B:$B,"PJ")</f>
        <v/>
      </c>
      <c r="AQ110" s="28">
        <f>SUMIFS(Aut_BlueMe_Sem_Pedido!$J:$J,Aut_BlueMe_Sem_Pedido!$Q:$Q,DRE!AO$4,Aut_BlueMe_Sem_Pedido!$N:$N,DRE!$A110,Aut_BlueMe_Sem_Pedido!$H:$H,"MDO PJ Fixo")+SUMIFS(Aut_Ajustes_Manuais!$G:$G,Aut_Ajustes_Manuais!$I:$I,DRE!AO$4,Aut_Ajustes_Manuais!$J:$J,"  - Subgerente")</f>
        <v/>
      </c>
      <c r="AR110" s="241">
        <f>SUMIFS($H110:$AO110,$H$5:$AO$5,"&lt;"&amp;MONTH(TODAY()),$H$6:$AO$6,"REAL 25")</f>
        <v/>
      </c>
      <c r="AS110" s="27">
        <f>SUMIFS($I110:$AP110,$I$5:$AP$5,"&lt;"&amp;MONTH(TODAY()),$I$6:$AP$6,"ORÇADO ")</f>
        <v/>
      </c>
      <c r="AT110" s="28">
        <f>SUMIFS($J110:$AQ110,$J$5:$AQ$5,"&lt;"&amp;MONTH(TODAY()),$J$6:$AQ$6,"REAL 26")</f>
        <v/>
      </c>
      <c r="AU110" s="241">
        <f>SUM(H110,K110,N110,Q110,T110,W110,Z110,AC110,AF110,AI110,AL110,AO110)</f>
        <v/>
      </c>
      <c r="AV110" s="81">
        <f>SUM(I110,L110,O110,R110,U110,X110,AA110,AD110,AG110,AJ110,AM110,AP110)</f>
        <v/>
      </c>
      <c r="AW110" s="82">
        <f>SUM(J110,M110,P110,S110,V110,Y110,AB110,AE110,AH110,AK110,AN110,AQ110)</f>
        <v/>
      </c>
      <c r="AX110" s="241">
        <f>SUM(H110,K110,N110)</f>
        <v/>
      </c>
      <c r="AY110" s="81">
        <f>SUM(I110,L110,O110)</f>
        <v/>
      </c>
      <c r="AZ110" s="82">
        <f>SUM(J110,M110,P110)</f>
        <v/>
      </c>
      <c r="BA110" s="241">
        <f>SUM(Q110,T110,W110)</f>
        <v/>
      </c>
      <c r="BB110" s="81">
        <f>SUM(R110,U110,X110)</f>
        <v/>
      </c>
      <c r="BC110" s="82">
        <f>SUM(S110,V110,Y110)</f>
        <v/>
      </c>
      <c r="BD110" s="241">
        <f>SUM(Z110,AC110,AF110)</f>
        <v/>
      </c>
      <c r="BE110" s="81">
        <f>SUM(AA110,AD110,AG110)</f>
        <v/>
      </c>
      <c r="BF110" s="82">
        <f>SUM(AB110,AE110,AH110)</f>
        <v/>
      </c>
      <c r="BG110" s="241">
        <f>SUM(AI110,AL110,AO110)</f>
        <v/>
      </c>
      <c r="BH110" s="81">
        <f>SUM(AJ110,AM110,AP110)</f>
        <v/>
      </c>
      <c r="BI110" s="82">
        <f>SUM(AK110,AN110,AQ110)</f>
        <v/>
      </c>
    </row>
    <row r="111" hidden="1" outlineLevel="1" customFormat="1" s="94">
      <c r="A111" s="22" t="inlineStr">
        <is>
          <t xml:space="preserve">  - Coordenador</t>
        </is>
      </c>
      <c r="B111" s="488" t="n"/>
      <c r="C111" s="24" t="n"/>
      <c r="D111" s="55" t="n"/>
      <c r="E111" s="87" t="n"/>
      <c r="F111" s="41" t="n"/>
      <c r="G111" s="33" t="n"/>
      <c r="H111" s="241" t="n"/>
      <c r="I111" s="27">
        <f>-SUMIFS(T_HEADCOUNT!$E:$E,T_HEADCOUNT!$C:$C,"- Coordenador",T_HEADCOUNT!$D:$D,"1/2026",T_HEADCOUNT!$B:$B,"PJ")</f>
        <v/>
      </c>
      <c r="J111" s="28">
        <f>SUMIFS(Aut_BlueMe_Sem_Pedido!$J:$J,Aut_BlueMe_Sem_Pedido!$Q:$Q,DRE!H$4,Aut_BlueMe_Sem_Pedido!$N:$N,DRE!$A111,Aut_BlueMe_Sem_Pedido!$H:$H,"MDO PJ Fixo")+SUMIFS(Aut_Ajustes_Manuais!$G:$G,Aut_Ajustes_Manuais!$I:$I,DRE!H$4,Aut_Ajustes_Manuais!$J:$J,"  - Coordenador")</f>
        <v/>
      </c>
      <c r="K111" s="241" t="n"/>
      <c r="L111" s="27">
        <f>-SUMIFS(T_HEADCOUNT!$E:$E,T_HEADCOUNT!$C:$C,"- Coordenador",T_HEADCOUNT!$D:$D,"2/2026",T_HEADCOUNT!$B:$B,"PJ")</f>
        <v/>
      </c>
      <c r="M111" s="28">
        <f>SUMIFS(Aut_BlueMe_Sem_Pedido!$J:$J,Aut_BlueMe_Sem_Pedido!$Q:$Q,DRE!K$4,Aut_BlueMe_Sem_Pedido!$N:$N,DRE!$A111,Aut_BlueMe_Sem_Pedido!$H:$H,"MDO PJ Fixo")+SUMIFS(Aut_Ajustes_Manuais!$G:$G,Aut_Ajustes_Manuais!$I:$I,DRE!K$4,Aut_Ajustes_Manuais!$J:$J,"  - Coordenador")</f>
        <v/>
      </c>
      <c r="N111" s="241" t="n"/>
      <c r="O111" s="27">
        <f>-SUMIFS(T_HEADCOUNT!$E:$E,T_HEADCOUNT!$C:$C,"- Coordenador",T_HEADCOUNT!$D:$D,"3/2026",T_HEADCOUNT!$B:$B,"PJ")</f>
        <v/>
      </c>
      <c r="P111" s="28">
        <f>SUMIFS(Aut_BlueMe_Sem_Pedido!$J:$J,Aut_BlueMe_Sem_Pedido!$Q:$Q,DRE!N$4,Aut_BlueMe_Sem_Pedido!$N:$N,DRE!$A111,Aut_BlueMe_Sem_Pedido!$H:$H,"MDO PJ Fixo")+SUMIFS(Aut_Ajustes_Manuais!$G:$G,Aut_Ajustes_Manuais!$I:$I,DRE!N$4,Aut_Ajustes_Manuais!$J:$J,"  - Coordenador")</f>
        <v/>
      </c>
      <c r="Q111" s="241" t="n"/>
      <c r="R111" s="27">
        <f>-SUMIFS(T_HEADCOUNT!$E:$E,T_HEADCOUNT!$C:$C,"- Coordenador",T_HEADCOUNT!$D:$D,"4/2026",T_HEADCOUNT!$B:$B,"PJ")</f>
        <v/>
      </c>
      <c r="S111" s="28">
        <f>SUMIFS(Aut_BlueMe_Sem_Pedido!$J:$J,Aut_BlueMe_Sem_Pedido!$Q:$Q,DRE!Q$4,Aut_BlueMe_Sem_Pedido!$N:$N,DRE!$A111,Aut_BlueMe_Sem_Pedido!$H:$H,"MDO PJ Fixo")+SUMIFS(Aut_Ajustes_Manuais!$G:$G,Aut_Ajustes_Manuais!$I:$I,DRE!Q$4,Aut_Ajustes_Manuais!$J:$J,"  - Coordenador")</f>
        <v/>
      </c>
      <c r="T111" s="241" t="n"/>
      <c r="U111" s="27">
        <f>-SUMIFS(T_HEADCOUNT!$E:$E,T_HEADCOUNT!$C:$C,"- Coordenador",T_HEADCOUNT!$D:$D,"5/2026",T_HEADCOUNT!$B:$B,"PJ")</f>
        <v/>
      </c>
      <c r="V111" s="28">
        <f>SUMIFS(Aut_BlueMe_Sem_Pedido!$J:$J,Aut_BlueMe_Sem_Pedido!$Q:$Q,DRE!T$4,Aut_BlueMe_Sem_Pedido!$N:$N,DRE!$A111,Aut_BlueMe_Sem_Pedido!$H:$H,"MDO PJ Fixo")+SUMIFS(Aut_Ajustes_Manuais!$G:$G,Aut_Ajustes_Manuais!$I:$I,DRE!T$4,Aut_Ajustes_Manuais!$J:$J,"  - Coordenador")</f>
        <v/>
      </c>
      <c r="W111" s="241" t="n"/>
      <c r="X111" s="27">
        <f>-SUMIFS(T_HEADCOUNT!$E:$E,T_HEADCOUNT!$C:$C,"- Coordenador",T_HEADCOUNT!$D:$D,"6/2026",T_HEADCOUNT!$B:$B,"PJ")</f>
        <v/>
      </c>
      <c r="Y111" s="28">
        <f>SUMIFS(Aut_BlueMe_Sem_Pedido!$J:$J,Aut_BlueMe_Sem_Pedido!$Q:$Q,DRE!W$4,Aut_BlueMe_Sem_Pedido!$N:$N,DRE!$A111,Aut_BlueMe_Sem_Pedido!$H:$H,"MDO PJ Fixo")+SUMIFS(Aut_Ajustes_Manuais!$G:$G,Aut_Ajustes_Manuais!$I:$I,DRE!W$4,Aut_Ajustes_Manuais!$J:$J,"  - Coordenador")</f>
        <v/>
      </c>
      <c r="Z111" s="241" t="n"/>
      <c r="AA111" s="27">
        <f>-SUMIFS(T_HEADCOUNT!$E:$E,T_HEADCOUNT!$C:$C,"- Coordenador",T_HEADCOUNT!$D:$D,"7/2026",T_HEADCOUNT!$B:$B,"PJ")</f>
        <v/>
      </c>
      <c r="AB111" s="28">
        <f>SUMIFS(Aut_BlueMe_Sem_Pedido!$J:$J,Aut_BlueMe_Sem_Pedido!$Q:$Q,DRE!Z$4,Aut_BlueMe_Sem_Pedido!$N:$N,DRE!$A111,Aut_BlueMe_Sem_Pedido!$H:$H,"MDO PJ Fixo")+SUMIFS(Aut_Ajustes_Manuais!$G:$G,Aut_Ajustes_Manuais!$I:$I,DRE!Z$4,Aut_Ajustes_Manuais!$J:$J,"  - Coordenador")</f>
        <v/>
      </c>
      <c r="AC111" s="241" t="n"/>
      <c r="AD111" s="27">
        <f>-SUMIFS(T_HEADCOUNT!$E:$E,T_HEADCOUNT!$C:$C,"- Coordenador",T_HEADCOUNT!$D:$D,"8/2026",T_HEADCOUNT!$B:$B,"PJ")</f>
        <v/>
      </c>
      <c r="AE111" s="28">
        <f>SUMIFS(Aut_BlueMe_Sem_Pedido!$J:$J,Aut_BlueMe_Sem_Pedido!$Q:$Q,DRE!AC$4,Aut_BlueMe_Sem_Pedido!$N:$N,DRE!$A111,Aut_BlueMe_Sem_Pedido!$H:$H,"MDO PJ Fixo")+SUMIFS(Aut_Ajustes_Manuais!$G:$G,Aut_Ajustes_Manuais!$I:$I,DRE!AC$4,Aut_Ajustes_Manuais!$J:$J,"  - Coordenador")</f>
        <v/>
      </c>
      <c r="AF111" s="241" t="n"/>
      <c r="AG111" s="27">
        <f>-SUMIFS(T_HEADCOUNT!$E:$E,T_HEADCOUNT!$C:$C,"- Coordenador",T_HEADCOUNT!$D:$D,"9/2026",T_HEADCOUNT!$B:$B,"PJ")</f>
        <v/>
      </c>
      <c r="AH111" s="28">
        <f>SUMIFS(Aut_BlueMe_Sem_Pedido!$J:$J,Aut_BlueMe_Sem_Pedido!$Q:$Q,DRE!AF$4,Aut_BlueMe_Sem_Pedido!$N:$N,DRE!$A111,Aut_BlueMe_Sem_Pedido!$H:$H,"MDO PJ Fixo")+SUMIFS(Aut_Ajustes_Manuais!$G:$G,Aut_Ajustes_Manuais!$I:$I,DRE!AF$4,Aut_Ajustes_Manuais!$J:$J,"  - Coordenador")</f>
        <v/>
      </c>
      <c r="AI111" s="241" t="n"/>
      <c r="AJ111" s="27">
        <f>-SUMIFS(T_HEADCOUNT!$E:$E,T_HEADCOUNT!$C:$C,"- Coordenador",T_HEADCOUNT!$D:$D,"10/2026",T_HEADCOUNT!$B:$B,"PJ")</f>
        <v/>
      </c>
      <c r="AK111" s="28">
        <f>SUMIFS(Aut_BlueMe_Sem_Pedido!$J:$J,Aut_BlueMe_Sem_Pedido!$Q:$Q,DRE!AI$4,Aut_BlueMe_Sem_Pedido!$N:$N,DRE!$A111,Aut_BlueMe_Sem_Pedido!$H:$H,"MDO PJ Fixo")+SUMIFS(Aut_Ajustes_Manuais!$G:$G,Aut_Ajustes_Manuais!$I:$I,DRE!AI$4,Aut_Ajustes_Manuais!$J:$J,"  - Coordenador")</f>
        <v/>
      </c>
      <c r="AL111" s="241" t="n"/>
      <c r="AM111" s="27">
        <f>-SUMIFS(T_HEADCOUNT!$E:$E,T_HEADCOUNT!$C:$C,"- Coordenador",T_HEADCOUNT!$D:$D,"11/2026",T_HEADCOUNT!$B:$B,"PJ")</f>
        <v/>
      </c>
      <c r="AN111" s="28">
        <f>SUMIFS(Aut_BlueMe_Sem_Pedido!$J:$J,Aut_BlueMe_Sem_Pedido!$Q:$Q,DRE!AL$4,Aut_BlueMe_Sem_Pedido!$N:$N,DRE!$A111,Aut_BlueMe_Sem_Pedido!$H:$H,"MDO PJ Fixo")+SUMIFS(Aut_Ajustes_Manuais!$G:$G,Aut_Ajustes_Manuais!$I:$I,DRE!AL$4,Aut_Ajustes_Manuais!$J:$J,"  - Coordenador")</f>
        <v/>
      </c>
      <c r="AO111" s="241" t="n"/>
      <c r="AP111" s="27">
        <f>-SUMIFS(T_HEADCOUNT!$E:$E,T_HEADCOUNT!$C:$C,"- Coordenador",T_HEADCOUNT!$D:$D,"12/2026",T_HEADCOUNT!$B:$B,"PJ")</f>
        <v/>
      </c>
      <c r="AQ111" s="28">
        <f>SUMIFS(Aut_BlueMe_Sem_Pedido!$J:$J,Aut_BlueMe_Sem_Pedido!$Q:$Q,DRE!AO$4,Aut_BlueMe_Sem_Pedido!$N:$N,DRE!$A111,Aut_BlueMe_Sem_Pedido!$H:$H,"MDO PJ Fixo")+SUMIFS(Aut_Ajustes_Manuais!$G:$G,Aut_Ajustes_Manuais!$I:$I,DRE!AO$4,Aut_Ajustes_Manuais!$J:$J,"  - Coordenador")</f>
        <v/>
      </c>
      <c r="AR111" s="241">
        <f>SUMIFS($H111:$AO111,$H$5:$AO$5,"&lt;"&amp;MONTH(TODAY()),$H$6:$AO$6,"REAL 25")</f>
        <v/>
      </c>
      <c r="AS111" s="27">
        <f>SUMIFS($I111:$AP111,$I$5:$AP$5,"&lt;"&amp;MONTH(TODAY()),$I$6:$AP$6,"ORÇADO ")</f>
        <v/>
      </c>
      <c r="AT111" s="28">
        <f>SUMIFS($J111:$AQ111,$J$5:$AQ$5,"&lt;"&amp;MONTH(TODAY()),$J$6:$AQ$6,"REAL 26")</f>
        <v/>
      </c>
      <c r="AU111" s="241">
        <f>SUM(H111,K111,N111,Q111,T111,W111,Z111,AC111,AF111,AI111,AL111,AO111)</f>
        <v/>
      </c>
      <c r="AV111" s="81">
        <f>SUM(I111,L111,O111,R111,U111,X111,AA111,AD111,AG111,AJ111,AM111,AP111)</f>
        <v/>
      </c>
      <c r="AW111" s="82">
        <f>SUM(J111,M111,P111,S111,V111,Y111,AB111,AE111,AH111,AK111,AN111,AQ111)</f>
        <v/>
      </c>
      <c r="AX111" s="241">
        <f>SUM(H111,K111,N111)</f>
        <v/>
      </c>
      <c r="AY111" s="81">
        <f>SUM(I111,L111,O111)</f>
        <v/>
      </c>
      <c r="AZ111" s="82">
        <f>SUM(J111,M111,P111)</f>
        <v/>
      </c>
      <c r="BA111" s="241">
        <f>SUM(Q111,T111,W111)</f>
        <v/>
      </c>
      <c r="BB111" s="81">
        <f>SUM(R111,U111,X111)</f>
        <v/>
      </c>
      <c r="BC111" s="82">
        <f>SUM(S111,V111,Y111)</f>
        <v/>
      </c>
      <c r="BD111" s="241">
        <f>SUM(Z111,AC111,AF111)</f>
        <v/>
      </c>
      <c r="BE111" s="81">
        <f>SUM(AA111,AD111,AG111)</f>
        <v/>
      </c>
      <c r="BF111" s="82">
        <f>SUM(AB111,AE111,AH111)</f>
        <v/>
      </c>
      <c r="BG111" s="241">
        <f>SUM(AI111,AL111,AO111)</f>
        <v/>
      </c>
      <c r="BH111" s="81">
        <f>SUM(AJ111,AM111,AP111)</f>
        <v/>
      </c>
      <c r="BI111" s="82">
        <f>SUM(AK111,AN111,AQ111)</f>
        <v/>
      </c>
    </row>
    <row r="112" hidden="1" outlineLevel="1" customFormat="1" s="94">
      <c r="A112" s="22" t="inlineStr">
        <is>
          <t xml:space="preserve">  - Administrativa</t>
        </is>
      </c>
      <c r="B112" s="488" t="n"/>
      <c r="C112" s="24" t="n"/>
      <c r="D112" s="55" t="n"/>
      <c r="E112" s="87" t="n"/>
      <c r="F112" s="41" t="n"/>
      <c r="G112" s="33" t="n"/>
      <c r="H112" s="241" t="n"/>
      <c r="I112" s="27">
        <f>-SUMIFS(T_HEADCOUNT!$E:$E,T_HEADCOUNT!$C:$C,"- Administrativa",T_HEADCOUNT!$D:$D,"1/2026",T_HEADCOUNT!$B:$B,"PJ")</f>
        <v/>
      </c>
      <c r="J112" s="28">
        <f>SUMIFS(Aut_BlueMe_Sem_Pedido!$J:$J,Aut_BlueMe_Sem_Pedido!$Q:$Q,DRE!H$4,Aut_BlueMe_Sem_Pedido!$N:$N,"  - Analista",Aut_BlueMe_Sem_Pedido!$H:$H,"MDO PJ Fixo")+SUMIFS(Aut_Ajustes_Manuais!$G:$G,Aut_Ajustes_Manuais!$I:$I,DRE!H$4,Aut_Ajustes_Manuais!$J:$J,"  - Administrativa")</f>
        <v/>
      </c>
      <c r="K112" s="241" t="n"/>
      <c r="L112" s="27">
        <f>-SUMIFS(T_HEADCOUNT!$E:$E,T_HEADCOUNT!$C:$C,"- Administrativa",T_HEADCOUNT!$D:$D,"2/2026",T_HEADCOUNT!$B:$B,"PJ")</f>
        <v/>
      </c>
      <c r="M112" s="28">
        <f>SUMIFS(Aut_BlueMe_Sem_Pedido!$J:$J,Aut_BlueMe_Sem_Pedido!$Q:$Q,DRE!K$4,Aut_BlueMe_Sem_Pedido!$N:$N,"  - Analista",Aut_BlueMe_Sem_Pedido!$H:$H,"MDO PJ Fixo")+SUMIFS(Aut_Ajustes_Manuais!$G:$G,Aut_Ajustes_Manuais!$I:$I,DRE!K$4,Aut_Ajustes_Manuais!$J:$J,"  - Administrativa")</f>
        <v/>
      </c>
      <c r="N112" s="241" t="n"/>
      <c r="O112" s="27">
        <f>-SUMIFS(T_HEADCOUNT!$E:$E,T_HEADCOUNT!$C:$C,"- Administrativa",T_HEADCOUNT!$D:$D,"3/2026",T_HEADCOUNT!$B:$B,"PJ")</f>
        <v/>
      </c>
      <c r="P112" s="28">
        <f>SUMIFS(Aut_BlueMe_Sem_Pedido!$J:$J,Aut_BlueMe_Sem_Pedido!$Q:$Q,DRE!N$4,Aut_BlueMe_Sem_Pedido!$N:$N,"  - Analista",Aut_BlueMe_Sem_Pedido!$H:$H,"MDO PJ Fixo")+SUMIFS(Aut_Ajustes_Manuais!$G:$G,Aut_Ajustes_Manuais!$I:$I,DRE!N$4,Aut_Ajustes_Manuais!$J:$J,"  - Administrativa")</f>
        <v/>
      </c>
      <c r="Q112" s="241" t="n"/>
      <c r="R112" s="27">
        <f>-SUMIFS(T_HEADCOUNT!$E:$E,T_HEADCOUNT!$C:$C,"- Administrativa",T_HEADCOUNT!$D:$D,"4/2026",T_HEADCOUNT!$B:$B,"PJ")</f>
        <v/>
      </c>
      <c r="S112" s="28">
        <f>SUMIFS(Aut_BlueMe_Sem_Pedido!$J:$J,Aut_BlueMe_Sem_Pedido!$Q:$Q,DRE!Q$4,Aut_BlueMe_Sem_Pedido!$N:$N,"  - Analista",Aut_BlueMe_Sem_Pedido!$H:$H,"MDO PJ Fixo")+SUMIFS(Aut_Ajustes_Manuais!$G:$G,Aut_Ajustes_Manuais!$I:$I,DRE!Q$4,Aut_Ajustes_Manuais!$J:$J,"  - Administrativa")</f>
        <v/>
      </c>
      <c r="T112" s="241" t="n"/>
      <c r="U112" s="27">
        <f>-SUMIFS(T_HEADCOUNT!$E:$E,T_HEADCOUNT!$C:$C,"- Administrativa",T_HEADCOUNT!$D:$D,"5/2026",T_HEADCOUNT!$B:$B,"PJ")</f>
        <v/>
      </c>
      <c r="V112" s="28">
        <f>SUMIFS(Aut_BlueMe_Sem_Pedido!$J:$J,Aut_BlueMe_Sem_Pedido!$Q:$Q,DRE!T$4,Aut_BlueMe_Sem_Pedido!$N:$N,"  - Analista",Aut_BlueMe_Sem_Pedido!$H:$H,"MDO PJ Fixo")+SUMIFS(Aut_Ajustes_Manuais!$G:$G,Aut_Ajustes_Manuais!$I:$I,DRE!T$4,Aut_Ajustes_Manuais!$J:$J,"  - Administrativa")</f>
        <v/>
      </c>
      <c r="W112" s="241" t="n"/>
      <c r="X112" s="27">
        <f>-SUMIFS(T_HEADCOUNT!$E:$E,T_HEADCOUNT!$C:$C,"- Administrativa",T_HEADCOUNT!$D:$D,"6/2026",T_HEADCOUNT!$B:$B,"PJ")</f>
        <v/>
      </c>
      <c r="Y112" s="28">
        <f>SUMIFS(Aut_BlueMe_Sem_Pedido!$J:$J,Aut_BlueMe_Sem_Pedido!$Q:$Q,DRE!W$4,Aut_BlueMe_Sem_Pedido!$N:$N,"  - Analista",Aut_BlueMe_Sem_Pedido!$H:$H,"MDO PJ Fixo")+SUMIFS(Aut_Ajustes_Manuais!$G:$G,Aut_Ajustes_Manuais!$I:$I,DRE!W$4,Aut_Ajustes_Manuais!$J:$J,"  - Administrativa")</f>
        <v/>
      </c>
      <c r="Z112" s="241" t="n"/>
      <c r="AA112" s="27">
        <f>-SUMIFS(T_HEADCOUNT!$E:$E,T_HEADCOUNT!$C:$C,"- Administrativa",T_HEADCOUNT!$D:$D,"7/2026",T_HEADCOUNT!$B:$B,"PJ")</f>
        <v/>
      </c>
      <c r="AB112" s="28">
        <f>SUMIFS(Aut_BlueMe_Sem_Pedido!$J:$J,Aut_BlueMe_Sem_Pedido!$Q:$Q,DRE!Z$4,Aut_BlueMe_Sem_Pedido!$N:$N,"  - Analista",Aut_BlueMe_Sem_Pedido!$H:$H,"MDO PJ Fixo")+SUMIFS(Aut_Ajustes_Manuais!$G:$G,Aut_Ajustes_Manuais!$I:$I,DRE!Z$4,Aut_Ajustes_Manuais!$J:$J,"  - Administrativa")</f>
        <v/>
      </c>
      <c r="AC112" s="241" t="n"/>
      <c r="AD112" s="27">
        <f>-SUMIFS(T_HEADCOUNT!$E:$E,T_HEADCOUNT!$C:$C,"- Administrativa",T_HEADCOUNT!$D:$D,"8/2026",T_HEADCOUNT!$B:$B,"PJ")</f>
        <v/>
      </c>
      <c r="AE112" s="28">
        <f>SUMIFS(Aut_BlueMe_Sem_Pedido!$J:$J,Aut_BlueMe_Sem_Pedido!$Q:$Q,DRE!AC$4,Aut_BlueMe_Sem_Pedido!$N:$N,"  - Analista",Aut_BlueMe_Sem_Pedido!$H:$H,"MDO PJ Fixo")+SUMIFS(Aut_Ajustes_Manuais!$G:$G,Aut_Ajustes_Manuais!$I:$I,DRE!AC$4,Aut_Ajustes_Manuais!$J:$J,"  - Administrativa")</f>
        <v/>
      </c>
      <c r="AF112" s="241" t="n"/>
      <c r="AG112" s="27">
        <f>-SUMIFS(T_HEADCOUNT!$E:$E,T_HEADCOUNT!$C:$C,"- Administrativa",T_HEADCOUNT!$D:$D,"9/2026",T_HEADCOUNT!$B:$B,"PJ")</f>
        <v/>
      </c>
      <c r="AH112" s="28">
        <f>SUMIFS(Aut_BlueMe_Sem_Pedido!$J:$J,Aut_BlueMe_Sem_Pedido!$Q:$Q,DRE!AF$4,Aut_BlueMe_Sem_Pedido!$N:$N,"  - Analista",Aut_BlueMe_Sem_Pedido!$H:$H,"MDO PJ Fixo")+SUMIFS(Aut_Ajustes_Manuais!$G:$G,Aut_Ajustes_Manuais!$I:$I,DRE!AF$4,Aut_Ajustes_Manuais!$J:$J,"  - Administrativa")</f>
        <v/>
      </c>
      <c r="AI112" s="241" t="n"/>
      <c r="AJ112" s="27">
        <f>-SUMIFS(T_HEADCOUNT!$E:$E,T_HEADCOUNT!$C:$C,"- Administrativa",T_HEADCOUNT!$D:$D,"10/2026",T_HEADCOUNT!$B:$B,"PJ")</f>
        <v/>
      </c>
      <c r="AK112" s="28">
        <f>SUMIFS(Aut_BlueMe_Sem_Pedido!$J:$J,Aut_BlueMe_Sem_Pedido!$Q:$Q,DRE!AI$4,Aut_BlueMe_Sem_Pedido!$N:$N,"  - Analista",Aut_BlueMe_Sem_Pedido!$H:$H,"MDO PJ Fixo")+SUMIFS(Aut_Ajustes_Manuais!$G:$G,Aut_Ajustes_Manuais!$I:$I,DRE!AI$4,Aut_Ajustes_Manuais!$J:$J,"  - Administrativa")</f>
        <v/>
      </c>
      <c r="AL112" s="241" t="n"/>
      <c r="AM112" s="27">
        <f>-SUMIFS(T_HEADCOUNT!$E:$E,T_HEADCOUNT!$C:$C,"- Administrativa",T_HEADCOUNT!$D:$D,"11/2026",T_HEADCOUNT!$B:$B,"PJ")</f>
        <v/>
      </c>
      <c r="AN112" s="28">
        <f>SUMIFS(Aut_BlueMe_Sem_Pedido!$J:$J,Aut_BlueMe_Sem_Pedido!$Q:$Q,DRE!AL$4,Aut_BlueMe_Sem_Pedido!$N:$N,"  - Analista",Aut_BlueMe_Sem_Pedido!$H:$H,"MDO PJ Fixo")+SUMIFS(Aut_Ajustes_Manuais!$G:$G,Aut_Ajustes_Manuais!$I:$I,DRE!AL$4,Aut_Ajustes_Manuais!$J:$J,"  - Administrativa")</f>
        <v/>
      </c>
      <c r="AO112" s="241" t="n"/>
      <c r="AP112" s="27">
        <f>-SUMIFS(T_HEADCOUNT!$E:$E,T_HEADCOUNT!$C:$C,"- Administrativa",T_HEADCOUNT!$D:$D,"12/2026",T_HEADCOUNT!$B:$B,"PJ")</f>
        <v/>
      </c>
      <c r="AQ112" s="28">
        <f>SUMIFS(Aut_BlueMe_Sem_Pedido!$J:$J,Aut_BlueMe_Sem_Pedido!$Q:$Q,DRE!AO$4,Aut_BlueMe_Sem_Pedido!$N:$N,"  - Analista",Aut_BlueMe_Sem_Pedido!$H:$H,"MDO PJ Fixo")+SUMIFS(Aut_Ajustes_Manuais!$G:$G,Aut_Ajustes_Manuais!$I:$I,DRE!AO$4,Aut_Ajustes_Manuais!$J:$J,"  - Administrativa")</f>
        <v/>
      </c>
      <c r="AR112" s="241">
        <f>SUMIFS($H112:$AO112,$H$5:$AO$5,"&lt;"&amp;MONTH(TODAY()),$H$6:$AO$6,"REAL 25")</f>
        <v/>
      </c>
      <c r="AS112" s="27">
        <f>SUMIFS($I112:$AP112,$I$5:$AP$5,"&lt;"&amp;MONTH(TODAY()),$I$6:$AP$6,"ORÇADO ")</f>
        <v/>
      </c>
      <c r="AT112" s="28">
        <f>SUMIFS($J112:$AQ112,$J$5:$AQ$5,"&lt;"&amp;MONTH(TODAY()),$J$6:$AQ$6,"REAL 26")</f>
        <v/>
      </c>
      <c r="AU112" s="241">
        <f>SUM(H112,K112,N112,Q112,T112,W112,Z112,AC112,AF112,AI112,AL112,AO112)</f>
        <v/>
      </c>
      <c r="AV112" s="81">
        <f>SUM(I112,L112,O112,R112,U112,X112,AA112,AD112,AG112,AJ112,AM112,AP112)</f>
        <v/>
      </c>
      <c r="AW112" s="82">
        <f>SUM(J112,M112,P112,S112,V112,Y112,AB112,AE112,AH112,AK112,AN112,AQ112)</f>
        <v/>
      </c>
      <c r="AX112" s="241">
        <f>SUM(H112,K112,N112)</f>
        <v/>
      </c>
      <c r="AY112" s="81">
        <f>SUM(I112,L112,O112)</f>
        <v/>
      </c>
      <c r="AZ112" s="82">
        <f>SUM(J112,M112,P112)</f>
        <v/>
      </c>
      <c r="BA112" s="241">
        <f>SUM(Q112,T112,W112)</f>
        <v/>
      </c>
      <c r="BB112" s="81">
        <f>SUM(R112,U112,X112)</f>
        <v/>
      </c>
      <c r="BC112" s="82">
        <f>SUM(S112,V112,Y112)</f>
        <v/>
      </c>
      <c r="BD112" s="241">
        <f>SUM(Z112,AC112,AF112)</f>
        <v/>
      </c>
      <c r="BE112" s="81">
        <f>SUM(AA112,AD112,AG112)</f>
        <v/>
      </c>
      <c r="BF112" s="82">
        <f>SUM(AB112,AE112,AH112)</f>
        <v/>
      </c>
      <c r="BG112" s="241">
        <f>SUM(AI112,AL112,AO112)</f>
        <v/>
      </c>
      <c r="BH112" s="81">
        <f>SUM(AJ112,AM112,AP112)</f>
        <v/>
      </c>
      <c r="BI112" s="82">
        <f>SUM(AK112,AN112,AQ112)</f>
        <v/>
      </c>
    </row>
    <row r="113" hidden="1" outlineLevel="1" customFormat="1" s="94">
      <c r="A113" s="22" t="inlineStr">
        <is>
          <t xml:space="preserve">  - Chefe de Cozinha</t>
        </is>
      </c>
      <c r="B113" s="488" t="n"/>
      <c r="C113" s="24" t="n"/>
      <c r="D113" s="55" t="n"/>
      <c r="E113" s="87" t="n"/>
      <c r="F113" s="41" t="n"/>
      <c r="G113" s="33" t="n"/>
      <c r="H113" s="241" t="n"/>
      <c r="I113" s="27">
        <f>-SUMIFS(T_HEADCOUNT!$E:$E,T_HEADCOUNT!$C:$C,"- Chefe de Cozinha",T_HEADCOUNT!$D:$D,"1/2026",T_HEADCOUNT!$B:$B,"PJ")</f>
        <v/>
      </c>
      <c r="J113" s="28">
        <f>SUMIFS(Aut_BlueMe_Sem_Pedido!$J:$J,Aut_BlueMe_Sem_Pedido!$Q:$Q,DRE!H$4,Aut_BlueMe_Sem_Pedido!$N:$N,DRE!$A113,Aut_BlueMe_Sem_Pedido!$H:$H,"MDO PJ Fixo")+SUMIFS(Aut_Ajustes_Manuais!$G:$G,Aut_Ajustes_Manuais!$I:$I,DRE!H$4,Aut_Ajustes_Manuais!$J:$J,"  - Chefe de Cozinha")</f>
        <v/>
      </c>
      <c r="K113" s="241" t="n"/>
      <c r="L113" s="27">
        <f>-SUMIFS(T_HEADCOUNT!$E:$E,T_HEADCOUNT!$C:$C,"- Chefe de Cozinha",T_HEADCOUNT!$D:$D,"2/2026",T_HEADCOUNT!$B:$B,"PJ")</f>
        <v/>
      </c>
      <c r="M113" s="28">
        <f>SUMIFS(Aut_BlueMe_Sem_Pedido!$J:$J,Aut_BlueMe_Sem_Pedido!$Q:$Q,DRE!K$4,Aut_BlueMe_Sem_Pedido!$N:$N,DRE!$A113,Aut_BlueMe_Sem_Pedido!$H:$H,"MDO PJ Fixo")+SUMIFS(Aut_Ajustes_Manuais!$G:$G,Aut_Ajustes_Manuais!$I:$I,DRE!K$4,Aut_Ajustes_Manuais!$J:$J,"  - Chefe de Cozinha")</f>
        <v/>
      </c>
      <c r="N113" s="241" t="n"/>
      <c r="O113" s="27">
        <f>-SUMIFS(T_HEADCOUNT!$E:$E,T_HEADCOUNT!$C:$C,"- Chefe de Cozinha",T_HEADCOUNT!$D:$D,"3/2026",T_HEADCOUNT!$B:$B,"PJ")</f>
        <v/>
      </c>
      <c r="P113" s="28">
        <f>SUMIFS(Aut_BlueMe_Sem_Pedido!$J:$J,Aut_BlueMe_Sem_Pedido!$Q:$Q,DRE!N$4,Aut_BlueMe_Sem_Pedido!$N:$N,DRE!$A113,Aut_BlueMe_Sem_Pedido!$H:$H,"MDO PJ Fixo")+SUMIFS(Aut_Ajustes_Manuais!$G:$G,Aut_Ajustes_Manuais!$I:$I,DRE!N$4,Aut_Ajustes_Manuais!$J:$J,"  - Chefe de Cozinha")</f>
        <v/>
      </c>
      <c r="Q113" s="241" t="n"/>
      <c r="R113" s="27">
        <f>-SUMIFS(T_HEADCOUNT!$E:$E,T_HEADCOUNT!$C:$C,"- Chefe de Cozinha",T_HEADCOUNT!$D:$D,"4/2026",T_HEADCOUNT!$B:$B,"PJ")</f>
        <v/>
      </c>
      <c r="S113" s="28">
        <f>SUMIFS(Aut_BlueMe_Sem_Pedido!$J:$J,Aut_BlueMe_Sem_Pedido!$Q:$Q,DRE!Q$4,Aut_BlueMe_Sem_Pedido!$N:$N,DRE!$A113,Aut_BlueMe_Sem_Pedido!$H:$H,"MDO PJ Fixo")+SUMIFS(Aut_Ajustes_Manuais!$G:$G,Aut_Ajustes_Manuais!$I:$I,DRE!Q$4,Aut_Ajustes_Manuais!$J:$J,"  - Chefe de Cozinha")</f>
        <v/>
      </c>
      <c r="T113" s="241" t="n"/>
      <c r="U113" s="27">
        <f>-SUMIFS(T_HEADCOUNT!$E:$E,T_HEADCOUNT!$C:$C,"- Chefe de Cozinha",T_HEADCOUNT!$D:$D,"5/2026",T_HEADCOUNT!$B:$B,"PJ")</f>
        <v/>
      </c>
      <c r="V113" s="28">
        <f>SUMIFS(Aut_BlueMe_Sem_Pedido!$J:$J,Aut_BlueMe_Sem_Pedido!$Q:$Q,DRE!T$4,Aut_BlueMe_Sem_Pedido!$N:$N,DRE!$A113,Aut_BlueMe_Sem_Pedido!$H:$H,"MDO PJ Fixo")+SUMIFS(Aut_Ajustes_Manuais!$G:$G,Aut_Ajustes_Manuais!$I:$I,DRE!T$4,Aut_Ajustes_Manuais!$J:$J,"  - Chefe de Cozinha")</f>
        <v/>
      </c>
      <c r="W113" s="241" t="n"/>
      <c r="X113" s="27">
        <f>-SUMIFS(T_HEADCOUNT!$E:$E,T_HEADCOUNT!$C:$C,"- Chefe de Cozinha",T_HEADCOUNT!$D:$D,"6/2026",T_HEADCOUNT!$B:$B,"PJ")</f>
        <v/>
      </c>
      <c r="Y113" s="28">
        <f>SUMIFS(Aut_BlueMe_Sem_Pedido!$J:$J,Aut_BlueMe_Sem_Pedido!$Q:$Q,DRE!W$4,Aut_BlueMe_Sem_Pedido!$N:$N,DRE!$A113,Aut_BlueMe_Sem_Pedido!$H:$H,"MDO PJ Fixo")+SUMIFS(Aut_Ajustes_Manuais!$G:$G,Aut_Ajustes_Manuais!$I:$I,DRE!W$4,Aut_Ajustes_Manuais!$J:$J,"  - Chefe de Cozinha")</f>
        <v/>
      </c>
      <c r="Z113" s="241" t="n"/>
      <c r="AA113" s="27">
        <f>-SUMIFS(T_HEADCOUNT!$E:$E,T_HEADCOUNT!$C:$C,"- Chefe de Cozinha",T_HEADCOUNT!$D:$D,"7/2026",T_HEADCOUNT!$B:$B,"PJ")</f>
        <v/>
      </c>
      <c r="AB113" s="28">
        <f>SUMIFS(Aut_BlueMe_Sem_Pedido!$J:$J,Aut_BlueMe_Sem_Pedido!$Q:$Q,DRE!Z$4,Aut_BlueMe_Sem_Pedido!$N:$N,DRE!$A113,Aut_BlueMe_Sem_Pedido!$H:$H,"MDO PJ Fixo")+SUMIFS(Aut_Ajustes_Manuais!$G:$G,Aut_Ajustes_Manuais!$I:$I,DRE!Z$4,Aut_Ajustes_Manuais!$J:$J,"  - Chefe de Cozinha")</f>
        <v/>
      </c>
      <c r="AC113" s="241" t="n"/>
      <c r="AD113" s="27">
        <f>-SUMIFS(T_HEADCOUNT!$E:$E,T_HEADCOUNT!$C:$C,"- Chefe de Cozinha",T_HEADCOUNT!$D:$D,"8/2026",T_HEADCOUNT!$B:$B,"PJ")</f>
        <v/>
      </c>
      <c r="AE113" s="28">
        <f>SUMIFS(Aut_BlueMe_Sem_Pedido!$J:$J,Aut_BlueMe_Sem_Pedido!$Q:$Q,DRE!AC$4,Aut_BlueMe_Sem_Pedido!$N:$N,DRE!$A113,Aut_BlueMe_Sem_Pedido!$H:$H,"MDO PJ Fixo")+SUMIFS(Aut_Ajustes_Manuais!$G:$G,Aut_Ajustes_Manuais!$I:$I,DRE!AC$4,Aut_Ajustes_Manuais!$J:$J,"  - Chefe de Cozinha")</f>
        <v/>
      </c>
      <c r="AF113" s="241" t="n"/>
      <c r="AG113" s="27">
        <f>-SUMIFS(T_HEADCOUNT!$E:$E,T_HEADCOUNT!$C:$C,"- Chefe de Cozinha",T_HEADCOUNT!$D:$D,"9/2026",T_HEADCOUNT!$B:$B,"PJ")</f>
        <v/>
      </c>
      <c r="AH113" s="28">
        <f>SUMIFS(Aut_BlueMe_Sem_Pedido!$J:$J,Aut_BlueMe_Sem_Pedido!$Q:$Q,DRE!AF$4,Aut_BlueMe_Sem_Pedido!$N:$N,DRE!$A113,Aut_BlueMe_Sem_Pedido!$H:$H,"MDO PJ Fixo")+SUMIFS(Aut_Ajustes_Manuais!$G:$G,Aut_Ajustes_Manuais!$I:$I,DRE!AF$4,Aut_Ajustes_Manuais!$J:$J,"  - Chefe de Cozinha")</f>
        <v/>
      </c>
      <c r="AI113" s="241" t="n"/>
      <c r="AJ113" s="27">
        <f>-SUMIFS(T_HEADCOUNT!$E:$E,T_HEADCOUNT!$C:$C,"- Chefe de Cozinha",T_HEADCOUNT!$D:$D,"10/2026",T_HEADCOUNT!$B:$B,"PJ")</f>
        <v/>
      </c>
      <c r="AK113" s="28">
        <f>SUMIFS(Aut_BlueMe_Sem_Pedido!$J:$J,Aut_BlueMe_Sem_Pedido!$Q:$Q,DRE!AI$4,Aut_BlueMe_Sem_Pedido!$N:$N,DRE!$A113,Aut_BlueMe_Sem_Pedido!$H:$H,"MDO PJ Fixo")+SUMIFS(Aut_Ajustes_Manuais!$G:$G,Aut_Ajustes_Manuais!$I:$I,DRE!AI$4,Aut_Ajustes_Manuais!$J:$J,"  - Chefe de Cozinha")</f>
        <v/>
      </c>
      <c r="AL113" s="241" t="n"/>
      <c r="AM113" s="27">
        <f>-SUMIFS(T_HEADCOUNT!$E:$E,T_HEADCOUNT!$C:$C,"- Chefe de Cozinha",T_HEADCOUNT!$D:$D,"11/2026",T_HEADCOUNT!$B:$B,"PJ")</f>
        <v/>
      </c>
      <c r="AN113" s="28">
        <f>SUMIFS(Aut_BlueMe_Sem_Pedido!$J:$J,Aut_BlueMe_Sem_Pedido!$Q:$Q,DRE!AL$4,Aut_BlueMe_Sem_Pedido!$N:$N,DRE!$A113,Aut_BlueMe_Sem_Pedido!$H:$H,"MDO PJ Fixo")+SUMIFS(Aut_Ajustes_Manuais!$G:$G,Aut_Ajustes_Manuais!$I:$I,DRE!AL$4,Aut_Ajustes_Manuais!$J:$J,"  - Chefe de Cozinha")</f>
        <v/>
      </c>
      <c r="AO113" s="241" t="n"/>
      <c r="AP113" s="27">
        <f>-SUMIFS(T_HEADCOUNT!$E:$E,T_HEADCOUNT!$C:$C,"- Chefe de Cozinha",T_HEADCOUNT!$D:$D,"12/2026",T_HEADCOUNT!$B:$B,"PJ")</f>
        <v/>
      </c>
      <c r="AQ113" s="28">
        <f>SUMIFS(Aut_BlueMe_Sem_Pedido!$J:$J,Aut_BlueMe_Sem_Pedido!$Q:$Q,DRE!AO$4,Aut_BlueMe_Sem_Pedido!$N:$N,DRE!$A113,Aut_BlueMe_Sem_Pedido!$H:$H,"MDO PJ Fixo")+SUMIFS(Aut_Ajustes_Manuais!$G:$G,Aut_Ajustes_Manuais!$I:$I,DRE!AO$4,Aut_Ajustes_Manuais!$J:$J,"  - Chefe de Cozinha")</f>
        <v/>
      </c>
      <c r="AR113" s="241">
        <f>SUMIFS($H113:$AO113,$H$5:$AO$5,"&lt;"&amp;MONTH(TODAY()),$H$6:$AO$6,"REAL 25")</f>
        <v/>
      </c>
      <c r="AS113" s="27">
        <f>SUMIFS($I113:$AP113,$I$5:$AP$5,"&lt;"&amp;MONTH(TODAY()),$I$6:$AP$6,"ORÇADO ")</f>
        <v/>
      </c>
      <c r="AT113" s="28">
        <f>SUMIFS($J113:$AQ113,$J$5:$AQ$5,"&lt;"&amp;MONTH(TODAY()),$J$6:$AQ$6,"REAL 26")</f>
        <v/>
      </c>
      <c r="AU113" s="241">
        <f>SUM(H113,K113,N113,Q113,T113,W113,Z113,AC113,AF113,AI113,AL113,AO113)</f>
        <v/>
      </c>
      <c r="AV113" s="81">
        <f>SUM(I113,L113,O113,R113,U113,X113,AA113,AD113,AG113,AJ113,AM113,AP113)</f>
        <v/>
      </c>
      <c r="AW113" s="82">
        <f>SUM(J113,M113,P113,S113,V113,Y113,AB113,AE113,AH113,AK113,AN113,AQ113)</f>
        <v/>
      </c>
      <c r="AX113" s="241">
        <f>SUM(H113,K113,N113)</f>
        <v/>
      </c>
      <c r="AY113" s="81">
        <f>SUM(I113,L113,O113)</f>
        <v/>
      </c>
      <c r="AZ113" s="82">
        <f>SUM(J113,M113,P113)</f>
        <v/>
      </c>
      <c r="BA113" s="241">
        <f>SUM(Q113,T113,W113)</f>
        <v/>
      </c>
      <c r="BB113" s="81">
        <f>SUM(R113,U113,X113)</f>
        <v/>
      </c>
      <c r="BC113" s="82">
        <f>SUM(S113,V113,Y113)</f>
        <v/>
      </c>
      <c r="BD113" s="241">
        <f>SUM(Z113,AC113,AF113)</f>
        <v/>
      </c>
      <c r="BE113" s="81">
        <f>SUM(AA113,AD113,AG113)</f>
        <v/>
      </c>
      <c r="BF113" s="82">
        <f>SUM(AB113,AE113,AH113)</f>
        <v/>
      </c>
      <c r="BG113" s="241">
        <f>SUM(AI113,AL113,AO113)</f>
        <v/>
      </c>
      <c r="BH113" s="81">
        <f>SUM(AJ113,AM113,AP113)</f>
        <v/>
      </c>
      <c r="BI113" s="82">
        <f>SUM(AK113,AN113,AQ113)</f>
        <v/>
      </c>
    </row>
    <row r="114" hidden="1" outlineLevel="1" customFormat="1" s="94">
      <c r="A114" s="22" t="inlineStr">
        <is>
          <t xml:space="preserve">  - Chefe de Bar</t>
        </is>
      </c>
      <c r="B114" s="488" t="n"/>
      <c r="C114" s="24" t="n"/>
      <c r="D114" s="55" t="n"/>
      <c r="E114" s="87" t="n"/>
      <c r="F114" s="41" t="n"/>
      <c r="G114" s="33" t="n"/>
      <c r="H114" s="241" t="n"/>
      <c r="I114" s="27">
        <f>-SUMIFS(T_HEADCOUNT!$E:$E,T_HEADCOUNT!$C:$C,"- Chefe de Bar",T_HEADCOUNT!$D:$D,"1/2026",T_HEADCOUNT!$B:$B,"PJ")</f>
        <v/>
      </c>
      <c r="J114" s="28">
        <f>SUMIFS(Aut_BlueMe_Sem_Pedido!$J:$J,Aut_BlueMe_Sem_Pedido!$Q:$Q,DRE!H$4,Aut_BlueMe_Sem_Pedido!$N:$N,DRE!$A114,Aut_BlueMe_Sem_Pedido!$H:$H,"MDO PJ Fixo")+SUMIFS(Aut_Ajustes_Manuais!$G:$G,Aut_Ajustes_Manuais!$I:$I,DRE!H$4,Aut_Ajustes_Manuais!$J:$J,"  - Chefe de Bar")</f>
        <v/>
      </c>
      <c r="K114" s="241" t="n"/>
      <c r="L114" s="27">
        <f>-SUMIFS(T_HEADCOUNT!$E:$E,T_HEADCOUNT!$C:$C,"- Chefe de Bar",T_HEADCOUNT!$D:$D,"2/2026",T_HEADCOUNT!$B:$B,"PJ")</f>
        <v/>
      </c>
      <c r="M114" s="28">
        <f>SUMIFS(Aut_BlueMe_Sem_Pedido!$J:$J,Aut_BlueMe_Sem_Pedido!$Q:$Q,DRE!K$4,Aut_BlueMe_Sem_Pedido!$N:$N,DRE!$A114,Aut_BlueMe_Sem_Pedido!$H:$H,"MDO PJ Fixo")+SUMIFS(Aut_Ajustes_Manuais!$G:$G,Aut_Ajustes_Manuais!$I:$I,DRE!K$4,Aut_Ajustes_Manuais!$J:$J,"  - Chefe de Bar")</f>
        <v/>
      </c>
      <c r="N114" s="241" t="n"/>
      <c r="O114" s="27">
        <f>-SUMIFS(T_HEADCOUNT!$E:$E,T_HEADCOUNT!$C:$C,"- Chefe de Bar",T_HEADCOUNT!$D:$D,"3/2026",T_HEADCOUNT!$B:$B,"PJ")</f>
        <v/>
      </c>
      <c r="P114" s="28">
        <f>SUMIFS(Aut_BlueMe_Sem_Pedido!$J:$J,Aut_BlueMe_Sem_Pedido!$Q:$Q,DRE!N$4,Aut_BlueMe_Sem_Pedido!$N:$N,DRE!$A114,Aut_BlueMe_Sem_Pedido!$H:$H,"MDO PJ Fixo")+SUMIFS(Aut_Ajustes_Manuais!$G:$G,Aut_Ajustes_Manuais!$I:$I,DRE!N$4,Aut_Ajustes_Manuais!$J:$J,"  - Chefe de Bar")</f>
        <v/>
      </c>
      <c r="Q114" s="241" t="n"/>
      <c r="R114" s="27">
        <f>-SUMIFS(T_HEADCOUNT!$E:$E,T_HEADCOUNT!$C:$C,"- Chefe de Bar",T_HEADCOUNT!$D:$D,"4/2026",T_HEADCOUNT!$B:$B,"PJ")</f>
        <v/>
      </c>
      <c r="S114" s="28">
        <f>SUMIFS(Aut_BlueMe_Sem_Pedido!$J:$J,Aut_BlueMe_Sem_Pedido!$Q:$Q,DRE!Q$4,Aut_BlueMe_Sem_Pedido!$N:$N,DRE!$A114,Aut_BlueMe_Sem_Pedido!$H:$H,"MDO PJ Fixo")+SUMIFS(Aut_Ajustes_Manuais!$G:$G,Aut_Ajustes_Manuais!$I:$I,DRE!Q$4,Aut_Ajustes_Manuais!$J:$J,"  - Chefe de Bar")</f>
        <v/>
      </c>
      <c r="T114" s="241" t="n"/>
      <c r="U114" s="27">
        <f>-SUMIFS(T_HEADCOUNT!$E:$E,T_HEADCOUNT!$C:$C,"- Chefe de Bar",T_HEADCOUNT!$D:$D,"5/2026",T_HEADCOUNT!$B:$B,"PJ")</f>
        <v/>
      </c>
      <c r="V114" s="28">
        <f>SUMIFS(Aut_BlueMe_Sem_Pedido!$J:$J,Aut_BlueMe_Sem_Pedido!$Q:$Q,DRE!T$4,Aut_BlueMe_Sem_Pedido!$N:$N,DRE!$A114,Aut_BlueMe_Sem_Pedido!$H:$H,"MDO PJ Fixo")+SUMIFS(Aut_Ajustes_Manuais!$G:$G,Aut_Ajustes_Manuais!$I:$I,DRE!T$4,Aut_Ajustes_Manuais!$J:$J,"  - Chefe de Bar")</f>
        <v/>
      </c>
      <c r="W114" s="241" t="n"/>
      <c r="X114" s="27">
        <f>-SUMIFS(T_HEADCOUNT!$E:$E,T_HEADCOUNT!$C:$C,"- Chefe de Bar",T_HEADCOUNT!$D:$D,"6/2026",T_HEADCOUNT!$B:$B,"PJ")</f>
        <v/>
      </c>
      <c r="Y114" s="28">
        <f>SUMIFS(Aut_BlueMe_Sem_Pedido!$J:$J,Aut_BlueMe_Sem_Pedido!$Q:$Q,DRE!W$4,Aut_BlueMe_Sem_Pedido!$N:$N,DRE!$A114,Aut_BlueMe_Sem_Pedido!$H:$H,"MDO PJ Fixo")+SUMIFS(Aut_Ajustes_Manuais!$G:$G,Aut_Ajustes_Manuais!$I:$I,DRE!W$4,Aut_Ajustes_Manuais!$J:$J,"  - Chefe de Bar")</f>
        <v/>
      </c>
      <c r="Z114" s="241" t="n"/>
      <c r="AA114" s="27">
        <f>-SUMIFS(T_HEADCOUNT!$E:$E,T_HEADCOUNT!$C:$C,"- Chefe de Bar",T_HEADCOUNT!$D:$D,"7/2026",T_HEADCOUNT!$B:$B,"PJ")</f>
        <v/>
      </c>
      <c r="AB114" s="28">
        <f>SUMIFS(Aut_BlueMe_Sem_Pedido!$J:$J,Aut_BlueMe_Sem_Pedido!$Q:$Q,DRE!Z$4,Aut_BlueMe_Sem_Pedido!$N:$N,DRE!$A114,Aut_BlueMe_Sem_Pedido!$H:$H,"MDO PJ Fixo")+SUMIFS(Aut_Ajustes_Manuais!$G:$G,Aut_Ajustes_Manuais!$I:$I,DRE!Z$4,Aut_Ajustes_Manuais!$J:$J,"  - Chefe de Bar")</f>
        <v/>
      </c>
      <c r="AC114" s="241" t="n"/>
      <c r="AD114" s="27">
        <f>-SUMIFS(T_HEADCOUNT!$E:$E,T_HEADCOUNT!$C:$C,"- Chefe de Bar",T_HEADCOUNT!$D:$D,"8/2026",T_HEADCOUNT!$B:$B,"PJ")</f>
        <v/>
      </c>
      <c r="AE114" s="28">
        <f>SUMIFS(Aut_BlueMe_Sem_Pedido!$J:$J,Aut_BlueMe_Sem_Pedido!$Q:$Q,DRE!AC$4,Aut_BlueMe_Sem_Pedido!$N:$N,DRE!$A114,Aut_BlueMe_Sem_Pedido!$H:$H,"MDO PJ Fixo")+SUMIFS(Aut_Ajustes_Manuais!$G:$G,Aut_Ajustes_Manuais!$I:$I,DRE!AC$4,Aut_Ajustes_Manuais!$J:$J,"  - Chefe de Bar")</f>
        <v/>
      </c>
      <c r="AF114" s="241" t="n"/>
      <c r="AG114" s="27">
        <f>-SUMIFS(T_HEADCOUNT!$E:$E,T_HEADCOUNT!$C:$C,"- Chefe de Bar",T_HEADCOUNT!$D:$D,"9/2026",T_HEADCOUNT!$B:$B,"PJ")</f>
        <v/>
      </c>
      <c r="AH114" s="28">
        <f>SUMIFS(Aut_BlueMe_Sem_Pedido!$J:$J,Aut_BlueMe_Sem_Pedido!$Q:$Q,DRE!AF$4,Aut_BlueMe_Sem_Pedido!$N:$N,DRE!$A114,Aut_BlueMe_Sem_Pedido!$H:$H,"MDO PJ Fixo")+SUMIFS(Aut_Ajustes_Manuais!$G:$G,Aut_Ajustes_Manuais!$I:$I,DRE!AF$4,Aut_Ajustes_Manuais!$J:$J,"  - Chefe de Bar")</f>
        <v/>
      </c>
      <c r="AI114" s="241" t="n"/>
      <c r="AJ114" s="27">
        <f>-SUMIFS(T_HEADCOUNT!$E:$E,T_HEADCOUNT!$C:$C,"- Chefe de Bar",T_HEADCOUNT!$D:$D,"10/2026",T_HEADCOUNT!$B:$B,"PJ")</f>
        <v/>
      </c>
      <c r="AK114" s="28">
        <f>SUMIFS(Aut_BlueMe_Sem_Pedido!$J:$J,Aut_BlueMe_Sem_Pedido!$Q:$Q,DRE!AI$4,Aut_BlueMe_Sem_Pedido!$N:$N,DRE!$A114,Aut_BlueMe_Sem_Pedido!$H:$H,"MDO PJ Fixo")+SUMIFS(Aut_Ajustes_Manuais!$G:$G,Aut_Ajustes_Manuais!$I:$I,DRE!AI$4,Aut_Ajustes_Manuais!$J:$J,"  - Chefe de Bar")</f>
        <v/>
      </c>
      <c r="AL114" s="241" t="n"/>
      <c r="AM114" s="27">
        <f>-SUMIFS(T_HEADCOUNT!$E:$E,T_HEADCOUNT!$C:$C,"- Chefe de Bar",T_HEADCOUNT!$D:$D,"11/2026",T_HEADCOUNT!$B:$B,"PJ")</f>
        <v/>
      </c>
      <c r="AN114" s="28">
        <f>SUMIFS(Aut_BlueMe_Sem_Pedido!$J:$J,Aut_BlueMe_Sem_Pedido!$Q:$Q,DRE!AL$4,Aut_BlueMe_Sem_Pedido!$N:$N,DRE!$A114,Aut_BlueMe_Sem_Pedido!$H:$H,"MDO PJ Fixo")+SUMIFS(Aut_Ajustes_Manuais!$G:$G,Aut_Ajustes_Manuais!$I:$I,DRE!AL$4,Aut_Ajustes_Manuais!$J:$J,"  - Chefe de Bar")</f>
        <v/>
      </c>
      <c r="AO114" s="241" t="n"/>
      <c r="AP114" s="27">
        <f>-SUMIFS(T_HEADCOUNT!$E:$E,T_HEADCOUNT!$C:$C,"- Chefe de Bar",T_HEADCOUNT!$D:$D,"12/2026",T_HEADCOUNT!$B:$B,"PJ")</f>
        <v/>
      </c>
      <c r="AQ114" s="28">
        <f>SUMIFS(Aut_BlueMe_Sem_Pedido!$J:$J,Aut_BlueMe_Sem_Pedido!$Q:$Q,DRE!AO$4,Aut_BlueMe_Sem_Pedido!$N:$N,DRE!$A114,Aut_BlueMe_Sem_Pedido!$H:$H,"MDO PJ Fixo")+SUMIFS(Aut_Ajustes_Manuais!$G:$G,Aut_Ajustes_Manuais!$I:$I,DRE!AO$4,Aut_Ajustes_Manuais!$J:$J,"  - Chefe de Bar")</f>
        <v/>
      </c>
      <c r="AR114" s="241">
        <f>SUMIFS($H114:$AO114,$H$5:$AO$5,"&lt;"&amp;MONTH(TODAY()),$H$6:$AO$6,"REAL 25")</f>
        <v/>
      </c>
      <c r="AS114" s="27">
        <f>SUMIFS($I114:$AP114,$I$5:$AP$5,"&lt;"&amp;MONTH(TODAY()),$I$6:$AP$6,"ORÇADO ")</f>
        <v/>
      </c>
      <c r="AT114" s="28">
        <f>SUMIFS($J114:$AQ114,$J$5:$AQ$5,"&lt;"&amp;MONTH(TODAY()),$J$6:$AQ$6,"REAL 26")</f>
        <v/>
      </c>
      <c r="AU114" s="241">
        <f>SUM(H114,K114,N114,Q114,T114,W114,Z114,AC114,AF114,AI114,AL114,AO114)</f>
        <v/>
      </c>
      <c r="AV114" s="81">
        <f>SUM(I114,L114,O114,R114,U114,X114,AA114,AD114,AG114,AJ114,AM114,AP114)</f>
        <v/>
      </c>
      <c r="AW114" s="82">
        <f>SUM(J114,M114,P114,S114,V114,Y114,AB114,AE114,AH114,AK114,AN114,AQ114)</f>
        <v/>
      </c>
      <c r="AX114" s="241">
        <f>SUM(H114,K114,N114)</f>
        <v/>
      </c>
      <c r="AY114" s="81">
        <f>SUM(I114,L114,O114)</f>
        <v/>
      </c>
      <c r="AZ114" s="82">
        <f>SUM(J114,M114,P114)</f>
        <v/>
      </c>
      <c r="BA114" s="241">
        <f>SUM(Q114,T114,W114)</f>
        <v/>
      </c>
      <c r="BB114" s="81">
        <f>SUM(R114,U114,X114)</f>
        <v/>
      </c>
      <c r="BC114" s="82">
        <f>SUM(S114,V114,Y114)</f>
        <v/>
      </c>
      <c r="BD114" s="241">
        <f>SUM(Z114,AC114,AF114)</f>
        <v/>
      </c>
      <c r="BE114" s="81">
        <f>SUM(AA114,AD114,AG114)</f>
        <v/>
      </c>
      <c r="BF114" s="82">
        <f>SUM(AB114,AE114,AH114)</f>
        <v/>
      </c>
      <c r="BG114" s="241">
        <f>SUM(AI114,AL114,AO114)</f>
        <v/>
      </c>
      <c r="BH114" s="81">
        <f>SUM(AJ114,AM114,AP114)</f>
        <v/>
      </c>
      <c r="BI114" s="82">
        <f>SUM(AK114,AN114,AQ114)</f>
        <v/>
      </c>
    </row>
    <row r="115" hidden="1" outlineLevel="1" customFormat="1" s="94">
      <c r="A115" s="22" t="inlineStr">
        <is>
          <t xml:space="preserve">  - Sub Chefe de Cozinha</t>
        </is>
      </c>
      <c r="B115" s="488" t="n"/>
      <c r="C115" s="24" t="n"/>
      <c r="D115" s="55" t="n"/>
      <c r="E115" s="87" t="n"/>
      <c r="F115" s="41" t="n"/>
      <c r="G115" s="33" t="n"/>
      <c r="H115" s="241" t="n"/>
      <c r="I115" s="27">
        <f>-SUMIFS(T_HEADCOUNT!$E:$E,T_HEADCOUNT!$C:$C,"- Sub Chefe de Cozinha",T_HEADCOUNT!$D:$D,"1/2026",T_HEADCOUNT!$B:$B,"PJ")</f>
        <v/>
      </c>
      <c r="J115" s="28">
        <f>SUMIFS(Aut_BlueMe_Sem_Pedido!$J:$J,Aut_BlueMe_Sem_Pedido!$Q:$Q,DRE!H$4,Aut_BlueMe_Sem_Pedido!$N:$N,DRE!$A115,Aut_BlueMe_Sem_Pedido!$H:$H,"MDO PJ Fixo")+SUMIFS(Aut_Ajustes_Manuais!$G:$G,Aut_Ajustes_Manuais!$I:$I,DRE!H$4,Aut_Ajustes_Manuais!$J:$J,"  - Sub Chefe de Cozinha")</f>
        <v/>
      </c>
      <c r="K115" s="241" t="n"/>
      <c r="L115" s="27">
        <f>-SUMIFS(T_HEADCOUNT!$E:$E,T_HEADCOUNT!$C:$C,"- Sub Chefe de Cozinha",T_HEADCOUNT!$D:$D,"2/2026",T_HEADCOUNT!$B:$B,"PJ")</f>
        <v/>
      </c>
      <c r="M115" s="28">
        <f>SUMIFS(Aut_BlueMe_Sem_Pedido!$J:$J,Aut_BlueMe_Sem_Pedido!$Q:$Q,DRE!K$4,Aut_BlueMe_Sem_Pedido!$N:$N,DRE!$A115,Aut_BlueMe_Sem_Pedido!$H:$H,"MDO PJ Fixo")+SUMIFS(Aut_Ajustes_Manuais!$G:$G,Aut_Ajustes_Manuais!$I:$I,DRE!K$4,Aut_Ajustes_Manuais!$J:$J,"  - Sub Chefe de Cozinha")</f>
        <v/>
      </c>
      <c r="N115" s="241" t="n"/>
      <c r="O115" s="27">
        <f>-SUMIFS(T_HEADCOUNT!$E:$E,T_HEADCOUNT!$C:$C,"- Sub Chefe de Cozinha",T_HEADCOUNT!$D:$D,"3/2026",T_HEADCOUNT!$B:$B,"PJ")</f>
        <v/>
      </c>
      <c r="P115" s="28">
        <f>SUMIFS(Aut_BlueMe_Sem_Pedido!$J:$J,Aut_BlueMe_Sem_Pedido!$Q:$Q,DRE!N$4,Aut_BlueMe_Sem_Pedido!$N:$N,DRE!$A115,Aut_BlueMe_Sem_Pedido!$H:$H,"MDO PJ Fixo")+SUMIFS(Aut_Ajustes_Manuais!$G:$G,Aut_Ajustes_Manuais!$I:$I,DRE!N$4,Aut_Ajustes_Manuais!$J:$J,"  - Sub Chefe de Cozinha")</f>
        <v/>
      </c>
      <c r="Q115" s="241" t="n"/>
      <c r="R115" s="27">
        <f>-SUMIFS(T_HEADCOUNT!$E:$E,T_HEADCOUNT!$C:$C,"- Sub Chefe de Cozinha",T_HEADCOUNT!$D:$D,"4/2026",T_HEADCOUNT!$B:$B,"PJ")</f>
        <v/>
      </c>
      <c r="S115" s="28">
        <f>SUMIFS(Aut_BlueMe_Sem_Pedido!$J:$J,Aut_BlueMe_Sem_Pedido!$Q:$Q,DRE!Q$4,Aut_BlueMe_Sem_Pedido!$N:$N,DRE!$A115,Aut_BlueMe_Sem_Pedido!$H:$H,"MDO PJ Fixo")+SUMIFS(Aut_Ajustes_Manuais!$G:$G,Aut_Ajustes_Manuais!$I:$I,DRE!Q$4,Aut_Ajustes_Manuais!$J:$J,"  - Sub Chefe de Cozinha")</f>
        <v/>
      </c>
      <c r="T115" s="241" t="n"/>
      <c r="U115" s="27">
        <f>-SUMIFS(T_HEADCOUNT!$E:$E,T_HEADCOUNT!$C:$C,"- Sub Chefe de Cozinha",T_HEADCOUNT!$D:$D,"5/2026",T_HEADCOUNT!$B:$B,"PJ")</f>
        <v/>
      </c>
      <c r="V115" s="28">
        <f>SUMIFS(Aut_BlueMe_Sem_Pedido!$J:$J,Aut_BlueMe_Sem_Pedido!$Q:$Q,DRE!T$4,Aut_BlueMe_Sem_Pedido!$N:$N,DRE!$A115,Aut_BlueMe_Sem_Pedido!$H:$H,"MDO PJ Fixo")+SUMIFS(Aut_Ajustes_Manuais!$G:$G,Aut_Ajustes_Manuais!$I:$I,DRE!T$4,Aut_Ajustes_Manuais!$J:$J,"  - Sub Chefe de Cozinha")</f>
        <v/>
      </c>
      <c r="W115" s="241" t="n"/>
      <c r="X115" s="27">
        <f>-SUMIFS(T_HEADCOUNT!$E:$E,T_HEADCOUNT!$C:$C,"- Sub Chefe de Cozinha",T_HEADCOUNT!$D:$D,"6/2026",T_HEADCOUNT!$B:$B,"PJ")</f>
        <v/>
      </c>
      <c r="Y115" s="28">
        <f>SUMIFS(Aut_BlueMe_Sem_Pedido!$J:$J,Aut_BlueMe_Sem_Pedido!$Q:$Q,DRE!W$4,Aut_BlueMe_Sem_Pedido!$N:$N,DRE!$A115,Aut_BlueMe_Sem_Pedido!$H:$H,"MDO PJ Fixo")+SUMIFS(Aut_Ajustes_Manuais!$G:$G,Aut_Ajustes_Manuais!$I:$I,DRE!W$4,Aut_Ajustes_Manuais!$J:$J,"  - Sub Chefe de Cozinha")</f>
        <v/>
      </c>
      <c r="Z115" s="241" t="n"/>
      <c r="AA115" s="27">
        <f>-SUMIFS(T_HEADCOUNT!$E:$E,T_HEADCOUNT!$C:$C,"- Sub Chefe de Cozinha",T_HEADCOUNT!$D:$D,"7/2026",T_HEADCOUNT!$B:$B,"PJ")</f>
        <v/>
      </c>
      <c r="AB115" s="28">
        <f>SUMIFS(Aut_BlueMe_Sem_Pedido!$J:$J,Aut_BlueMe_Sem_Pedido!$Q:$Q,DRE!Z$4,Aut_BlueMe_Sem_Pedido!$N:$N,DRE!$A115,Aut_BlueMe_Sem_Pedido!$H:$H,"MDO PJ Fixo")+SUMIFS(Aut_Ajustes_Manuais!$G:$G,Aut_Ajustes_Manuais!$I:$I,DRE!Z$4,Aut_Ajustes_Manuais!$J:$J,"  - Sub Chefe de Cozinha")</f>
        <v/>
      </c>
      <c r="AC115" s="241" t="n"/>
      <c r="AD115" s="27">
        <f>-SUMIFS(T_HEADCOUNT!$E:$E,T_HEADCOUNT!$C:$C,"- Sub Chefe de Cozinha",T_HEADCOUNT!$D:$D,"8/2026",T_HEADCOUNT!$B:$B,"PJ")</f>
        <v/>
      </c>
      <c r="AE115" s="28">
        <f>SUMIFS(Aut_BlueMe_Sem_Pedido!$J:$J,Aut_BlueMe_Sem_Pedido!$Q:$Q,DRE!AC$4,Aut_BlueMe_Sem_Pedido!$N:$N,DRE!$A115,Aut_BlueMe_Sem_Pedido!$H:$H,"MDO PJ Fixo")+SUMIFS(Aut_Ajustes_Manuais!$G:$G,Aut_Ajustes_Manuais!$I:$I,DRE!AC$4,Aut_Ajustes_Manuais!$J:$J,"  - Sub Chefe de Cozinha")</f>
        <v/>
      </c>
      <c r="AF115" s="241" t="n"/>
      <c r="AG115" s="27">
        <f>-SUMIFS(T_HEADCOUNT!$E:$E,T_HEADCOUNT!$C:$C,"- Sub Chefe de Cozinha",T_HEADCOUNT!$D:$D,"9/2026",T_HEADCOUNT!$B:$B,"PJ")</f>
        <v/>
      </c>
      <c r="AH115" s="28">
        <f>SUMIFS(Aut_BlueMe_Sem_Pedido!$J:$J,Aut_BlueMe_Sem_Pedido!$Q:$Q,DRE!AF$4,Aut_BlueMe_Sem_Pedido!$N:$N,DRE!$A115,Aut_BlueMe_Sem_Pedido!$H:$H,"MDO PJ Fixo")+SUMIFS(Aut_Ajustes_Manuais!$G:$G,Aut_Ajustes_Manuais!$I:$I,DRE!AF$4,Aut_Ajustes_Manuais!$J:$J,"  - Sub Chefe de Cozinha")</f>
        <v/>
      </c>
      <c r="AI115" s="241" t="n"/>
      <c r="AJ115" s="27">
        <f>-SUMIFS(T_HEADCOUNT!$E:$E,T_HEADCOUNT!$C:$C,"- Sub Chefe de Cozinha",T_HEADCOUNT!$D:$D,"10/2026",T_HEADCOUNT!$B:$B,"PJ")</f>
        <v/>
      </c>
      <c r="AK115" s="28">
        <f>SUMIFS(Aut_BlueMe_Sem_Pedido!$J:$J,Aut_BlueMe_Sem_Pedido!$Q:$Q,DRE!AI$4,Aut_BlueMe_Sem_Pedido!$N:$N,DRE!$A115,Aut_BlueMe_Sem_Pedido!$H:$H,"MDO PJ Fixo")+SUMIFS(Aut_Ajustes_Manuais!$G:$G,Aut_Ajustes_Manuais!$I:$I,DRE!AI$4,Aut_Ajustes_Manuais!$J:$J,"  - Sub Chefe de Cozinha")</f>
        <v/>
      </c>
      <c r="AL115" s="241" t="n"/>
      <c r="AM115" s="27">
        <f>-SUMIFS(T_HEADCOUNT!$E:$E,T_HEADCOUNT!$C:$C,"- Sub Chefe de Cozinha",T_HEADCOUNT!$D:$D,"11/2026",T_HEADCOUNT!$B:$B,"PJ")</f>
        <v/>
      </c>
      <c r="AN115" s="28">
        <f>SUMIFS(Aut_BlueMe_Sem_Pedido!$J:$J,Aut_BlueMe_Sem_Pedido!$Q:$Q,DRE!AL$4,Aut_BlueMe_Sem_Pedido!$N:$N,DRE!$A115,Aut_BlueMe_Sem_Pedido!$H:$H,"MDO PJ Fixo")+SUMIFS(Aut_Ajustes_Manuais!$G:$G,Aut_Ajustes_Manuais!$I:$I,DRE!AL$4,Aut_Ajustes_Manuais!$J:$J,"  - Sub Chefe de Cozinha")</f>
        <v/>
      </c>
      <c r="AO115" s="241" t="n"/>
      <c r="AP115" s="27">
        <f>-SUMIFS(T_HEADCOUNT!$E:$E,T_HEADCOUNT!$C:$C,"- Sub Chefe de Cozinha",T_HEADCOUNT!$D:$D,"12/2026",T_HEADCOUNT!$B:$B,"PJ")</f>
        <v/>
      </c>
      <c r="AQ115" s="28">
        <f>SUMIFS(Aut_BlueMe_Sem_Pedido!$J:$J,Aut_BlueMe_Sem_Pedido!$Q:$Q,DRE!AO$4,Aut_BlueMe_Sem_Pedido!$N:$N,DRE!$A115,Aut_BlueMe_Sem_Pedido!$H:$H,"MDO PJ Fixo")+SUMIFS(Aut_Ajustes_Manuais!$G:$G,Aut_Ajustes_Manuais!$I:$I,DRE!AO$4,Aut_Ajustes_Manuais!$J:$J,"  - Sub Chefe de Cozinha")</f>
        <v/>
      </c>
      <c r="AR115" s="241">
        <f>SUMIFS($H115:$AO115,$H$5:$AO$5,"&lt;"&amp;MONTH(TODAY()),$H$6:$AO$6,"REAL 25")</f>
        <v/>
      </c>
      <c r="AS115" s="27">
        <f>SUMIFS($I115:$AP115,$I$5:$AP$5,"&lt;"&amp;MONTH(TODAY()),$I$6:$AP$6,"ORÇADO ")</f>
        <v/>
      </c>
      <c r="AT115" s="28">
        <f>SUMIFS($J115:$AQ115,$J$5:$AQ$5,"&lt;"&amp;MONTH(TODAY()),$J$6:$AQ$6,"REAL 26")</f>
        <v/>
      </c>
      <c r="AU115" s="241">
        <f>SUM(H115,K115,N115,Q115,T115,W115,Z115,AC115,AF115,AI115,AL115,AO115)</f>
        <v/>
      </c>
      <c r="AV115" s="81">
        <f>SUM(I115,L115,O115,R115,U115,X115,AA115,AD115,AG115,AJ115,AM115,AP115)</f>
        <v/>
      </c>
      <c r="AW115" s="82">
        <f>SUM(J115,M115,P115,S115,V115,Y115,AB115,AE115,AH115,AK115,AN115,AQ115)</f>
        <v/>
      </c>
      <c r="AX115" s="241">
        <f>SUM(H115,K115,N115)</f>
        <v/>
      </c>
      <c r="AY115" s="81">
        <f>SUM(I115,L115,O115)</f>
        <v/>
      </c>
      <c r="AZ115" s="82">
        <f>SUM(J115,M115,P115)</f>
        <v/>
      </c>
      <c r="BA115" s="241">
        <f>SUM(Q115,T115,W115)</f>
        <v/>
      </c>
      <c r="BB115" s="81">
        <f>SUM(R115,U115,X115)</f>
        <v/>
      </c>
      <c r="BC115" s="82">
        <f>SUM(S115,V115,Y115)</f>
        <v/>
      </c>
      <c r="BD115" s="241">
        <f>SUM(Z115,AC115,AF115)</f>
        <v/>
      </c>
      <c r="BE115" s="81">
        <f>SUM(AA115,AD115,AG115)</f>
        <v/>
      </c>
      <c r="BF115" s="82">
        <f>SUM(AB115,AE115,AH115)</f>
        <v/>
      </c>
      <c r="BG115" s="241">
        <f>SUM(AI115,AL115,AO115)</f>
        <v/>
      </c>
      <c r="BH115" s="81">
        <f>SUM(AJ115,AM115,AP115)</f>
        <v/>
      </c>
      <c r="BI115" s="82">
        <f>SUM(AK115,AN115,AQ115)</f>
        <v/>
      </c>
    </row>
    <row r="116" hidden="1" outlineLevel="1" customFormat="1" s="94">
      <c r="A116" s="22" t="inlineStr">
        <is>
          <t xml:space="preserve">  - Sub Chefe De Bar</t>
        </is>
      </c>
      <c r="B116" s="488" t="n"/>
      <c r="C116" s="24" t="n"/>
      <c r="D116" s="55" t="n"/>
      <c r="E116" s="87" t="n"/>
      <c r="F116" s="41" t="n"/>
      <c r="G116" s="33" t="n"/>
      <c r="H116" s="241" t="n"/>
      <c r="I116" s="27">
        <f>-SUMIFS(T_HEADCOUNT!$E:$E,T_HEADCOUNT!$C:$C,"- Sub Chefe De Bar",T_HEADCOUNT!$D:$D,"1/2026",T_HEADCOUNT!$B:$B,"PJ")</f>
        <v/>
      </c>
      <c r="J116" s="28">
        <f>SUMIFS(Aut_BlueMe_Sem_Pedido!$J:$J,Aut_BlueMe_Sem_Pedido!$Q:$Q,DRE!H$4,Aut_BlueMe_Sem_Pedido!$N:$N,DRE!$A116,Aut_BlueMe_Sem_Pedido!$H:$H,"MDO PJ Fixo")+SUMIFS(Aut_Ajustes_Manuais!$G:$G,Aut_Ajustes_Manuais!$I:$I,DRE!H$4,Aut_Ajustes_Manuais!$J:$J,"  - Sub Chefe De Bar")</f>
        <v/>
      </c>
      <c r="K116" s="241" t="n"/>
      <c r="L116" s="27">
        <f>-SUMIFS(T_HEADCOUNT!$E:$E,T_HEADCOUNT!$C:$C,"- Sub Chefe De Bar",T_HEADCOUNT!$D:$D,"2/2026",T_HEADCOUNT!$B:$B,"PJ")</f>
        <v/>
      </c>
      <c r="M116" s="28">
        <f>SUMIFS(Aut_BlueMe_Sem_Pedido!$J:$J,Aut_BlueMe_Sem_Pedido!$Q:$Q,DRE!K$4,Aut_BlueMe_Sem_Pedido!$N:$N,DRE!$A116,Aut_BlueMe_Sem_Pedido!$H:$H,"MDO PJ Fixo")+SUMIFS(Aut_Ajustes_Manuais!$G:$G,Aut_Ajustes_Manuais!$I:$I,DRE!K$4,Aut_Ajustes_Manuais!$J:$J,"  - Sub Chefe De Bar")</f>
        <v/>
      </c>
      <c r="N116" s="241" t="n"/>
      <c r="O116" s="27">
        <f>-SUMIFS(T_HEADCOUNT!$E:$E,T_HEADCOUNT!$C:$C,"- Sub Chefe De Bar",T_HEADCOUNT!$D:$D,"3/2026",T_HEADCOUNT!$B:$B,"PJ")</f>
        <v/>
      </c>
      <c r="P116" s="28">
        <f>SUMIFS(Aut_BlueMe_Sem_Pedido!$J:$J,Aut_BlueMe_Sem_Pedido!$Q:$Q,DRE!N$4,Aut_BlueMe_Sem_Pedido!$N:$N,DRE!$A116,Aut_BlueMe_Sem_Pedido!$H:$H,"MDO PJ Fixo")+SUMIFS(Aut_Ajustes_Manuais!$G:$G,Aut_Ajustes_Manuais!$I:$I,DRE!N$4,Aut_Ajustes_Manuais!$J:$J,"  - Sub Chefe De Bar")</f>
        <v/>
      </c>
      <c r="Q116" s="241" t="n"/>
      <c r="R116" s="27">
        <f>-SUMIFS(T_HEADCOUNT!$E:$E,T_HEADCOUNT!$C:$C,"- Sub Chefe De Bar",T_HEADCOUNT!$D:$D,"4/2026",T_HEADCOUNT!$B:$B,"PJ")</f>
        <v/>
      </c>
      <c r="S116" s="28">
        <f>SUMIFS(Aut_BlueMe_Sem_Pedido!$J:$J,Aut_BlueMe_Sem_Pedido!$Q:$Q,DRE!Q$4,Aut_BlueMe_Sem_Pedido!$N:$N,DRE!$A116,Aut_BlueMe_Sem_Pedido!$H:$H,"MDO PJ Fixo")+SUMIFS(Aut_Ajustes_Manuais!$G:$G,Aut_Ajustes_Manuais!$I:$I,DRE!Q$4,Aut_Ajustes_Manuais!$J:$J,"  - Sub Chefe De Bar")</f>
        <v/>
      </c>
      <c r="T116" s="241" t="n"/>
      <c r="U116" s="27">
        <f>-SUMIFS(T_HEADCOUNT!$E:$E,T_HEADCOUNT!$C:$C,"- Sub Chefe De Bar",T_HEADCOUNT!$D:$D,"5/2026",T_HEADCOUNT!$B:$B,"PJ")</f>
        <v/>
      </c>
      <c r="V116" s="28">
        <f>SUMIFS(Aut_BlueMe_Sem_Pedido!$J:$J,Aut_BlueMe_Sem_Pedido!$Q:$Q,DRE!T$4,Aut_BlueMe_Sem_Pedido!$N:$N,DRE!$A116,Aut_BlueMe_Sem_Pedido!$H:$H,"MDO PJ Fixo")+SUMIFS(Aut_Ajustes_Manuais!$G:$G,Aut_Ajustes_Manuais!$I:$I,DRE!T$4,Aut_Ajustes_Manuais!$J:$J,"  - Sub Chefe De Bar")</f>
        <v/>
      </c>
      <c r="W116" s="241" t="n"/>
      <c r="X116" s="27">
        <f>-SUMIFS(T_HEADCOUNT!$E:$E,T_HEADCOUNT!$C:$C,"- Sub Chefe De Bar",T_HEADCOUNT!$D:$D,"6/2026",T_HEADCOUNT!$B:$B,"PJ")</f>
        <v/>
      </c>
      <c r="Y116" s="28">
        <f>SUMIFS(Aut_BlueMe_Sem_Pedido!$J:$J,Aut_BlueMe_Sem_Pedido!$Q:$Q,DRE!W$4,Aut_BlueMe_Sem_Pedido!$N:$N,DRE!$A116,Aut_BlueMe_Sem_Pedido!$H:$H,"MDO PJ Fixo")+SUMIFS(Aut_Ajustes_Manuais!$G:$G,Aut_Ajustes_Manuais!$I:$I,DRE!W$4,Aut_Ajustes_Manuais!$J:$J,"  - Sub Chefe De Bar")</f>
        <v/>
      </c>
      <c r="Z116" s="241" t="n"/>
      <c r="AA116" s="27">
        <f>-SUMIFS(T_HEADCOUNT!$E:$E,T_HEADCOUNT!$C:$C,"- Sub Chefe De Bar",T_HEADCOUNT!$D:$D,"7/2026",T_HEADCOUNT!$B:$B,"PJ")</f>
        <v/>
      </c>
      <c r="AB116" s="28">
        <f>SUMIFS(Aut_BlueMe_Sem_Pedido!$J:$J,Aut_BlueMe_Sem_Pedido!$Q:$Q,DRE!Z$4,Aut_BlueMe_Sem_Pedido!$N:$N,DRE!$A116,Aut_BlueMe_Sem_Pedido!$H:$H,"MDO PJ Fixo")+SUMIFS(Aut_Ajustes_Manuais!$G:$G,Aut_Ajustes_Manuais!$I:$I,DRE!Z$4,Aut_Ajustes_Manuais!$J:$J,"  - Sub Chefe De Bar")</f>
        <v/>
      </c>
      <c r="AC116" s="241" t="n"/>
      <c r="AD116" s="27">
        <f>-SUMIFS(T_HEADCOUNT!$E:$E,T_HEADCOUNT!$C:$C,"- Sub Chefe De Bar",T_HEADCOUNT!$D:$D,"8/2026",T_HEADCOUNT!$B:$B,"PJ")</f>
        <v/>
      </c>
      <c r="AE116" s="28">
        <f>SUMIFS(Aut_BlueMe_Sem_Pedido!$J:$J,Aut_BlueMe_Sem_Pedido!$Q:$Q,DRE!AC$4,Aut_BlueMe_Sem_Pedido!$N:$N,DRE!$A116,Aut_BlueMe_Sem_Pedido!$H:$H,"MDO PJ Fixo")+SUMIFS(Aut_Ajustes_Manuais!$G:$G,Aut_Ajustes_Manuais!$I:$I,DRE!AC$4,Aut_Ajustes_Manuais!$J:$J,"  - Sub Chefe De Bar")</f>
        <v/>
      </c>
      <c r="AF116" s="241" t="n"/>
      <c r="AG116" s="27">
        <f>-SUMIFS(T_HEADCOUNT!$E:$E,T_HEADCOUNT!$C:$C,"- Sub Chefe De Bar",T_HEADCOUNT!$D:$D,"9/2026",T_HEADCOUNT!$B:$B,"PJ")</f>
        <v/>
      </c>
      <c r="AH116" s="28">
        <f>SUMIFS(Aut_BlueMe_Sem_Pedido!$J:$J,Aut_BlueMe_Sem_Pedido!$Q:$Q,DRE!AF$4,Aut_BlueMe_Sem_Pedido!$N:$N,DRE!$A116,Aut_BlueMe_Sem_Pedido!$H:$H,"MDO PJ Fixo")+SUMIFS(Aut_Ajustes_Manuais!$G:$G,Aut_Ajustes_Manuais!$I:$I,DRE!AF$4,Aut_Ajustes_Manuais!$J:$J,"  - Sub Chefe De Bar")</f>
        <v/>
      </c>
      <c r="AI116" s="241" t="n"/>
      <c r="AJ116" s="27">
        <f>-SUMIFS(T_HEADCOUNT!$E:$E,T_HEADCOUNT!$C:$C,"- Sub Chefe De Bar",T_HEADCOUNT!$D:$D,"10/2026",T_HEADCOUNT!$B:$B,"PJ")</f>
        <v/>
      </c>
      <c r="AK116" s="28">
        <f>SUMIFS(Aut_BlueMe_Sem_Pedido!$J:$J,Aut_BlueMe_Sem_Pedido!$Q:$Q,DRE!AI$4,Aut_BlueMe_Sem_Pedido!$N:$N,DRE!$A116,Aut_BlueMe_Sem_Pedido!$H:$H,"MDO PJ Fixo")+SUMIFS(Aut_Ajustes_Manuais!$G:$G,Aut_Ajustes_Manuais!$I:$I,DRE!AI$4,Aut_Ajustes_Manuais!$J:$J,"  - Sub Chefe De Bar")</f>
        <v/>
      </c>
      <c r="AL116" s="241" t="n"/>
      <c r="AM116" s="27">
        <f>-SUMIFS(T_HEADCOUNT!$E:$E,T_HEADCOUNT!$C:$C,"- Sub Chefe De Bar",T_HEADCOUNT!$D:$D,"11/2026",T_HEADCOUNT!$B:$B,"PJ")</f>
        <v/>
      </c>
      <c r="AN116" s="28">
        <f>SUMIFS(Aut_BlueMe_Sem_Pedido!$J:$J,Aut_BlueMe_Sem_Pedido!$Q:$Q,DRE!AL$4,Aut_BlueMe_Sem_Pedido!$N:$N,DRE!$A116,Aut_BlueMe_Sem_Pedido!$H:$H,"MDO PJ Fixo")+SUMIFS(Aut_Ajustes_Manuais!$G:$G,Aut_Ajustes_Manuais!$I:$I,DRE!AL$4,Aut_Ajustes_Manuais!$J:$J,"  - Sub Chefe De Bar")</f>
        <v/>
      </c>
      <c r="AO116" s="241" t="n"/>
      <c r="AP116" s="27">
        <f>-SUMIFS(T_HEADCOUNT!$E:$E,T_HEADCOUNT!$C:$C,"- Sub Chefe De Bar",T_HEADCOUNT!$D:$D,"12/2026",T_HEADCOUNT!$B:$B,"PJ")</f>
        <v/>
      </c>
      <c r="AQ116" s="28">
        <f>SUMIFS(Aut_BlueMe_Sem_Pedido!$J:$J,Aut_BlueMe_Sem_Pedido!$Q:$Q,DRE!AO$4,Aut_BlueMe_Sem_Pedido!$N:$N,DRE!$A116,Aut_BlueMe_Sem_Pedido!$H:$H,"MDO PJ Fixo")+SUMIFS(Aut_Ajustes_Manuais!$G:$G,Aut_Ajustes_Manuais!$I:$I,DRE!AO$4,Aut_Ajustes_Manuais!$J:$J,"  - Sub Chefe De Bar")</f>
        <v/>
      </c>
      <c r="AR116" s="241">
        <f>SUMIFS($H116:$AO116,$H$5:$AO$5,"&lt;"&amp;MONTH(TODAY()),$H$6:$AO$6,"REAL 25")</f>
        <v/>
      </c>
      <c r="AS116" s="27">
        <f>SUMIFS($I116:$AP116,$I$5:$AP$5,"&lt;"&amp;MONTH(TODAY()),$I$6:$AP$6,"ORÇADO ")</f>
        <v/>
      </c>
      <c r="AT116" s="28">
        <f>SUMIFS($J116:$AQ116,$J$5:$AQ$5,"&lt;"&amp;MONTH(TODAY()),$J$6:$AQ$6,"REAL 26")</f>
        <v/>
      </c>
      <c r="AU116" s="241">
        <f>SUM(H116,K116,N116,Q116,T116,W116,Z116,AC116,AF116,AI116,AL116,AO116)</f>
        <v/>
      </c>
      <c r="AV116" s="81">
        <f>SUM(I116,L116,O116,R116,U116,X116,AA116,AD116,AG116,AJ116,AM116,AP116)</f>
        <v/>
      </c>
      <c r="AW116" s="82">
        <f>SUM(J116,M116,P116,S116,V116,Y116,AB116,AE116,AH116,AK116,AN116,AQ116)</f>
        <v/>
      </c>
      <c r="AX116" s="241">
        <f>SUM(H116,K116,N116)</f>
        <v/>
      </c>
      <c r="AY116" s="81">
        <f>SUM(I116,L116,O116)</f>
        <v/>
      </c>
      <c r="AZ116" s="82">
        <f>SUM(J116,M116,P116)</f>
        <v/>
      </c>
      <c r="BA116" s="241">
        <f>SUM(Q116,T116,W116)</f>
        <v/>
      </c>
      <c r="BB116" s="81">
        <f>SUM(R116,U116,X116)</f>
        <v/>
      </c>
      <c r="BC116" s="82">
        <f>SUM(S116,V116,Y116)</f>
        <v/>
      </c>
      <c r="BD116" s="241">
        <f>SUM(Z116,AC116,AF116)</f>
        <v/>
      </c>
      <c r="BE116" s="81">
        <f>SUM(AA116,AD116,AG116)</f>
        <v/>
      </c>
      <c r="BF116" s="82">
        <f>SUM(AB116,AE116,AH116)</f>
        <v/>
      </c>
      <c r="BG116" s="241">
        <f>SUM(AI116,AL116,AO116)</f>
        <v/>
      </c>
      <c r="BH116" s="81">
        <f>SUM(AJ116,AM116,AP116)</f>
        <v/>
      </c>
      <c r="BI116" s="82">
        <f>SUM(AK116,AN116,AQ116)</f>
        <v/>
      </c>
    </row>
    <row r="117" hidden="1" outlineLevel="1" customFormat="1" s="94">
      <c r="A117" s="22" t="inlineStr">
        <is>
          <t xml:space="preserve">  - Maitre</t>
        </is>
      </c>
      <c r="B117" s="488" t="n"/>
      <c r="C117" s="24" t="n"/>
      <c r="D117" s="55" t="n"/>
      <c r="E117" s="87" t="n"/>
      <c r="F117" s="41" t="n"/>
      <c r="G117" s="33" t="n"/>
      <c r="H117" s="241" t="n"/>
      <c r="I117" s="27">
        <f>-SUMIFS(T_HEADCOUNT!$E:$E,T_HEADCOUNT!$C:$C,"- Maitre",T_HEADCOUNT!$D:$D,"1/2026",T_HEADCOUNT!$B:$B,"PJ")</f>
        <v/>
      </c>
      <c r="J117" s="28">
        <f>SUMIFS(Aut_BlueMe_Sem_Pedido!$J:$J,Aut_BlueMe_Sem_Pedido!$Q:$Q,DRE!H$4,Aut_BlueMe_Sem_Pedido!$N:$N,DRE!$A117)+SUMIFS(Aut_Ajustes_Manuais!$G:$G,Aut_Ajustes_Manuais!$I:$I,DRE!H$4,Aut_Ajustes_Manuais!$J:$J,"  - Maitre")</f>
        <v/>
      </c>
      <c r="K117" s="241" t="n"/>
      <c r="L117" s="27">
        <f>-SUMIFS(T_HEADCOUNT!$E:$E,T_HEADCOUNT!$C:$C,"- Maitre",T_HEADCOUNT!$D:$D,"2/2026",T_HEADCOUNT!$B:$B,"PJ")</f>
        <v/>
      </c>
      <c r="M117" s="28">
        <f>SUMIFS(Aut_BlueMe_Sem_Pedido!$J:$J,Aut_BlueMe_Sem_Pedido!$Q:$Q,DRE!K$4,Aut_BlueMe_Sem_Pedido!$N:$N,DRE!$A117)+SUMIFS(Aut_Ajustes_Manuais!$G:$G,Aut_Ajustes_Manuais!$I:$I,DRE!K$4,Aut_Ajustes_Manuais!$J:$J,"  - Maitre")</f>
        <v/>
      </c>
      <c r="N117" s="241" t="n"/>
      <c r="O117" s="27">
        <f>-SUMIFS(T_HEADCOUNT!$E:$E,T_HEADCOUNT!$C:$C,"- Maitre",T_HEADCOUNT!$D:$D,"3/2026",T_HEADCOUNT!$B:$B,"PJ")</f>
        <v/>
      </c>
      <c r="P117" s="28">
        <f>SUMIFS(Aut_BlueMe_Sem_Pedido!$J:$J,Aut_BlueMe_Sem_Pedido!$Q:$Q,DRE!N$4,Aut_BlueMe_Sem_Pedido!$N:$N,DRE!$A117)+SUMIFS(Aut_Ajustes_Manuais!$G:$G,Aut_Ajustes_Manuais!$I:$I,DRE!N$4,Aut_Ajustes_Manuais!$J:$J,"  - Maitre")</f>
        <v/>
      </c>
      <c r="Q117" s="241" t="n"/>
      <c r="R117" s="27">
        <f>-SUMIFS(T_HEADCOUNT!$E:$E,T_HEADCOUNT!$C:$C,"- Maitre",T_HEADCOUNT!$D:$D,"4/2026",T_HEADCOUNT!$B:$B,"PJ")</f>
        <v/>
      </c>
      <c r="S117" s="28">
        <f>SUMIFS(Aut_BlueMe_Sem_Pedido!$J:$J,Aut_BlueMe_Sem_Pedido!$Q:$Q,DRE!Q$4,Aut_BlueMe_Sem_Pedido!$N:$N,DRE!$A117)+SUMIFS(Aut_Ajustes_Manuais!$G:$G,Aut_Ajustes_Manuais!$I:$I,DRE!Q$4,Aut_Ajustes_Manuais!$J:$J,"  - Maitre")</f>
        <v/>
      </c>
      <c r="T117" s="241" t="n"/>
      <c r="U117" s="27">
        <f>-SUMIFS(T_HEADCOUNT!$E:$E,T_HEADCOUNT!$C:$C,"- Maitre",T_HEADCOUNT!$D:$D,"5/2026",T_HEADCOUNT!$B:$B,"PJ")</f>
        <v/>
      </c>
      <c r="V117" s="28">
        <f>SUMIFS(Aut_BlueMe_Sem_Pedido!$J:$J,Aut_BlueMe_Sem_Pedido!$Q:$Q,DRE!T$4,Aut_BlueMe_Sem_Pedido!$N:$N,DRE!$A117)+SUMIFS(Aut_Ajustes_Manuais!$G:$G,Aut_Ajustes_Manuais!$I:$I,DRE!T$4,Aut_Ajustes_Manuais!$J:$J,"  - Maitre")</f>
        <v/>
      </c>
      <c r="W117" s="241" t="n"/>
      <c r="X117" s="27">
        <f>-SUMIFS(T_HEADCOUNT!$E:$E,T_HEADCOUNT!$C:$C,"- Maitre",T_HEADCOUNT!$D:$D,"6/2026",T_HEADCOUNT!$B:$B,"PJ")</f>
        <v/>
      </c>
      <c r="Y117" s="28">
        <f>SUMIFS(Aut_BlueMe_Sem_Pedido!$J:$J,Aut_BlueMe_Sem_Pedido!$Q:$Q,DRE!W$4,Aut_BlueMe_Sem_Pedido!$N:$N,DRE!$A117)+SUMIFS(Aut_Ajustes_Manuais!$G:$G,Aut_Ajustes_Manuais!$I:$I,DRE!W$4,Aut_Ajustes_Manuais!$J:$J,"  - Maitre")</f>
        <v/>
      </c>
      <c r="Z117" s="241" t="n"/>
      <c r="AA117" s="27">
        <f>-SUMIFS(T_HEADCOUNT!$E:$E,T_HEADCOUNT!$C:$C,"- Maitre",T_HEADCOUNT!$D:$D,"7/2026",T_HEADCOUNT!$B:$B,"PJ")</f>
        <v/>
      </c>
      <c r="AB117" s="28">
        <f>SUMIFS(Aut_BlueMe_Sem_Pedido!$J:$J,Aut_BlueMe_Sem_Pedido!$Q:$Q,DRE!Z$4,Aut_BlueMe_Sem_Pedido!$N:$N,DRE!$A117)+SUMIFS(Aut_Ajustes_Manuais!$G:$G,Aut_Ajustes_Manuais!$I:$I,DRE!Z$4,Aut_Ajustes_Manuais!$J:$J,"  - Maitre")</f>
        <v/>
      </c>
      <c r="AC117" s="241" t="n"/>
      <c r="AD117" s="27">
        <f>-SUMIFS(T_HEADCOUNT!$E:$E,T_HEADCOUNT!$C:$C,"- Maitre",T_HEADCOUNT!$D:$D,"8/2026",T_HEADCOUNT!$B:$B,"PJ")</f>
        <v/>
      </c>
      <c r="AE117" s="28">
        <f>SUMIFS(Aut_BlueMe_Sem_Pedido!$J:$J,Aut_BlueMe_Sem_Pedido!$Q:$Q,DRE!AC$4,Aut_BlueMe_Sem_Pedido!$N:$N,DRE!$A117)+SUMIFS(Aut_Ajustes_Manuais!$G:$G,Aut_Ajustes_Manuais!$I:$I,DRE!AC$4,Aut_Ajustes_Manuais!$J:$J,"  - Maitre")</f>
        <v/>
      </c>
      <c r="AF117" s="241" t="n"/>
      <c r="AG117" s="27">
        <f>-SUMIFS(T_HEADCOUNT!$E:$E,T_HEADCOUNT!$C:$C,"- Maitre",T_HEADCOUNT!$D:$D,"9/2026",T_HEADCOUNT!$B:$B,"PJ")</f>
        <v/>
      </c>
      <c r="AH117" s="28">
        <f>SUMIFS(Aut_BlueMe_Sem_Pedido!$J:$J,Aut_BlueMe_Sem_Pedido!$Q:$Q,DRE!AF$4,Aut_BlueMe_Sem_Pedido!$N:$N,DRE!$A117)+SUMIFS(Aut_Ajustes_Manuais!$G:$G,Aut_Ajustes_Manuais!$I:$I,DRE!AF$4,Aut_Ajustes_Manuais!$J:$J,"  - Maitre")</f>
        <v/>
      </c>
      <c r="AI117" s="241" t="n"/>
      <c r="AJ117" s="27">
        <f>-SUMIFS(T_HEADCOUNT!$E:$E,T_HEADCOUNT!$C:$C,"- Maitre",T_HEADCOUNT!$D:$D,"10/2026",T_HEADCOUNT!$B:$B,"PJ")</f>
        <v/>
      </c>
      <c r="AK117" s="28">
        <f>SUMIFS(Aut_BlueMe_Sem_Pedido!$J:$J,Aut_BlueMe_Sem_Pedido!$Q:$Q,DRE!AI$4,Aut_BlueMe_Sem_Pedido!$N:$N,DRE!$A117)+SUMIFS(Aut_Ajustes_Manuais!$G:$G,Aut_Ajustes_Manuais!$I:$I,DRE!AI$4,Aut_Ajustes_Manuais!$J:$J,"  - Maitre")</f>
        <v/>
      </c>
      <c r="AL117" s="241" t="n"/>
      <c r="AM117" s="27">
        <f>-SUMIFS(T_HEADCOUNT!$E:$E,T_HEADCOUNT!$C:$C,"- Maitre",T_HEADCOUNT!$D:$D,"11/2026",T_HEADCOUNT!$B:$B,"PJ")</f>
        <v/>
      </c>
      <c r="AN117" s="28">
        <f>SUMIFS(Aut_BlueMe_Sem_Pedido!$J:$J,Aut_BlueMe_Sem_Pedido!$Q:$Q,DRE!AL$4,Aut_BlueMe_Sem_Pedido!$N:$N,DRE!$A117)+SUMIFS(Aut_Ajustes_Manuais!$G:$G,Aut_Ajustes_Manuais!$I:$I,DRE!AL$4,Aut_Ajustes_Manuais!$J:$J,"  - Maitre")</f>
        <v/>
      </c>
      <c r="AO117" s="241" t="n"/>
      <c r="AP117" s="27">
        <f>-SUMIFS(T_HEADCOUNT!$E:$E,T_HEADCOUNT!$C:$C,"- Maitre",T_HEADCOUNT!$D:$D,"12/2026",T_HEADCOUNT!$B:$B,"PJ")</f>
        <v/>
      </c>
      <c r="AQ117" s="28">
        <f>SUMIFS(Aut_BlueMe_Sem_Pedido!$J:$J,Aut_BlueMe_Sem_Pedido!$Q:$Q,DRE!AO$4,Aut_BlueMe_Sem_Pedido!$N:$N,DRE!$A117)+SUMIFS(Aut_Ajustes_Manuais!$G:$G,Aut_Ajustes_Manuais!$I:$I,DRE!AO$4,Aut_Ajustes_Manuais!$J:$J,"  - Maitre")</f>
        <v/>
      </c>
      <c r="AR117" s="241">
        <f>SUMIFS($H117:$AO117,$H$5:$AO$5,"&lt;"&amp;MONTH(TODAY()),$H$6:$AO$6,"REAL 25")</f>
        <v/>
      </c>
      <c r="AS117" s="27">
        <f>SUMIFS($I117:$AP117,$I$5:$AP$5,"&lt;"&amp;MONTH(TODAY()),$I$6:$AP$6,"ORÇADO ")</f>
        <v/>
      </c>
      <c r="AT117" s="28">
        <f>SUMIFS($J117:$AQ117,$J$5:$AQ$5,"&lt;"&amp;MONTH(TODAY()),$J$6:$AQ$6,"REAL 26")</f>
        <v/>
      </c>
      <c r="AU117" s="241">
        <f>SUM(H117,K117,N117,Q117,T117,W117,Z117,AC117,AF117,AI117,AL117,AO117)</f>
        <v/>
      </c>
      <c r="AV117" s="81">
        <f>SUM(I117,L117,O117,R117,U117,X117,AA117,AD117,AG117,AJ117,AM117,AP117)</f>
        <v/>
      </c>
      <c r="AW117" s="82">
        <f>SUM(J117,M117,P117,S117,V117,Y117,AB117,AE117,AH117,AK117,AN117,AQ117)</f>
        <v/>
      </c>
      <c r="AX117" s="241">
        <f>SUM(H117,K117,N117)</f>
        <v/>
      </c>
      <c r="AY117" s="81">
        <f>SUM(I117,L117,O117)</f>
        <v/>
      </c>
      <c r="AZ117" s="82">
        <f>SUM(J117,M117,P117)</f>
        <v/>
      </c>
      <c r="BA117" s="241">
        <f>SUM(Q117,T117,W117)</f>
        <v/>
      </c>
      <c r="BB117" s="81">
        <f>SUM(R117,U117,X117)</f>
        <v/>
      </c>
      <c r="BC117" s="82">
        <f>SUM(S117,V117,Y117)</f>
        <v/>
      </c>
      <c r="BD117" s="241">
        <f>SUM(Z117,AC117,AF117)</f>
        <v/>
      </c>
      <c r="BE117" s="81">
        <f>SUM(AA117,AD117,AG117)</f>
        <v/>
      </c>
      <c r="BF117" s="82">
        <f>SUM(AB117,AE117,AH117)</f>
        <v/>
      </c>
      <c r="BG117" s="241">
        <f>SUM(AI117,AL117,AO117)</f>
        <v/>
      </c>
      <c r="BH117" s="81">
        <f>SUM(AJ117,AM117,AP117)</f>
        <v/>
      </c>
      <c r="BI117" s="82">
        <f>SUM(AK117,AN117,AQ117)</f>
        <v/>
      </c>
    </row>
    <row r="118" hidden="1" outlineLevel="1" customFormat="1" s="94">
      <c r="A118" s="22" t="inlineStr">
        <is>
          <t xml:space="preserve">  - Chefe de Fila</t>
        </is>
      </c>
      <c r="B118" s="488" t="n"/>
      <c r="C118" s="24" t="n"/>
      <c r="D118" s="55" t="n"/>
      <c r="E118" s="87" t="n"/>
      <c r="F118" s="41" t="n"/>
      <c r="G118" s="33" t="n"/>
      <c r="H118" s="241" t="n"/>
      <c r="I118" s="27">
        <f>-SUMIFS(T_HEADCOUNT!$E:$E,T_HEADCOUNT!$C:$C,"- Chefe de Fila",T_HEADCOUNT!$D:$D,"1/2026",T_HEADCOUNT!$B:$B,"PJ")</f>
        <v/>
      </c>
      <c r="J118" s="28">
        <f>SUMIFS(Aut_BlueMe_Sem_Pedido!$J:$J,Aut_BlueMe_Sem_Pedido!$Q:$Q,DRE!H$4,Aut_BlueMe_Sem_Pedido!$N:$N,DRE!$A118)+SUMIFS(Aut_Ajustes_Manuais!$G:$G,Aut_Ajustes_Manuais!$I:$I,DRE!H$4,Aut_Ajustes_Manuais!$J:$J,"  - Chefe de Fila")</f>
        <v/>
      </c>
      <c r="K118" s="241" t="n"/>
      <c r="L118" s="27">
        <f>-SUMIFS(T_HEADCOUNT!$E:$E,T_HEADCOUNT!$C:$C,"- Chefe de Fila",T_HEADCOUNT!$D:$D,"2/2026",T_HEADCOUNT!$B:$B,"PJ")</f>
        <v/>
      </c>
      <c r="M118" s="28">
        <f>SUMIFS(Aut_BlueMe_Sem_Pedido!$J:$J,Aut_BlueMe_Sem_Pedido!$Q:$Q,DRE!K$4,Aut_BlueMe_Sem_Pedido!$N:$N,DRE!$A118)+SUMIFS(Aut_Ajustes_Manuais!$G:$G,Aut_Ajustes_Manuais!$I:$I,DRE!K$4,Aut_Ajustes_Manuais!$J:$J,"  - Chefe de Fila")</f>
        <v/>
      </c>
      <c r="N118" s="241" t="n"/>
      <c r="O118" s="27">
        <f>-SUMIFS(T_HEADCOUNT!$E:$E,T_HEADCOUNT!$C:$C,"- Chefe de Fila",T_HEADCOUNT!$D:$D,"3/2026",T_HEADCOUNT!$B:$B,"PJ")</f>
        <v/>
      </c>
      <c r="P118" s="28">
        <f>SUMIFS(Aut_BlueMe_Sem_Pedido!$J:$J,Aut_BlueMe_Sem_Pedido!$Q:$Q,DRE!N$4,Aut_BlueMe_Sem_Pedido!$N:$N,DRE!$A118)+SUMIFS(Aut_Ajustes_Manuais!$G:$G,Aut_Ajustes_Manuais!$I:$I,DRE!N$4,Aut_Ajustes_Manuais!$J:$J,"  - Chefe de Fila")</f>
        <v/>
      </c>
      <c r="Q118" s="241" t="n"/>
      <c r="R118" s="27">
        <f>-SUMIFS(T_HEADCOUNT!$E:$E,T_HEADCOUNT!$C:$C,"- Chefe de Fila",T_HEADCOUNT!$D:$D,"4/2026",T_HEADCOUNT!$B:$B,"PJ")</f>
        <v/>
      </c>
      <c r="S118" s="28">
        <f>SUMIFS(Aut_BlueMe_Sem_Pedido!$J:$J,Aut_BlueMe_Sem_Pedido!$Q:$Q,DRE!Q$4,Aut_BlueMe_Sem_Pedido!$N:$N,DRE!$A118)+SUMIFS(Aut_Ajustes_Manuais!$G:$G,Aut_Ajustes_Manuais!$I:$I,DRE!Q$4,Aut_Ajustes_Manuais!$J:$J,"  - Chefe de Fila")</f>
        <v/>
      </c>
      <c r="T118" s="241" t="n"/>
      <c r="U118" s="27">
        <f>-SUMIFS(T_HEADCOUNT!$E:$E,T_HEADCOUNT!$C:$C,"- Chefe de Fila",T_HEADCOUNT!$D:$D,"5/2026",T_HEADCOUNT!$B:$B,"PJ")</f>
        <v/>
      </c>
      <c r="V118" s="28">
        <f>SUMIFS(Aut_BlueMe_Sem_Pedido!$J:$J,Aut_BlueMe_Sem_Pedido!$Q:$Q,DRE!T$4,Aut_BlueMe_Sem_Pedido!$N:$N,DRE!$A118)+SUMIFS(Aut_Ajustes_Manuais!$G:$G,Aut_Ajustes_Manuais!$I:$I,DRE!T$4,Aut_Ajustes_Manuais!$J:$J,"  - Chefe de Fila")</f>
        <v/>
      </c>
      <c r="W118" s="241" t="n"/>
      <c r="X118" s="27">
        <f>-SUMIFS(T_HEADCOUNT!$E:$E,T_HEADCOUNT!$C:$C,"- Chefe de Fila",T_HEADCOUNT!$D:$D,"6/2026",T_HEADCOUNT!$B:$B,"PJ")</f>
        <v/>
      </c>
      <c r="Y118" s="28">
        <f>SUMIFS(Aut_BlueMe_Sem_Pedido!$J:$J,Aut_BlueMe_Sem_Pedido!$Q:$Q,DRE!W$4,Aut_BlueMe_Sem_Pedido!$N:$N,DRE!$A118)+SUMIFS(Aut_Ajustes_Manuais!$G:$G,Aut_Ajustes_Manuais!$I:$I,DRE!W$4,Aut_Ajustes_Manuais!$J:$J,"  - Chefe de Fila")</f>
        <v/>
      </c>
      <c r="Z118" s="241" t="n"/>
      <c r="AA118" s="27">
        <f>-SUMIFS(T_HEADCOUNT!$E:$E,T_HEADCOUNT!$C:$C,"- Chefe de Fila",T_HEADCOUNT!$D:$D,"7/2026",T_HEADCOUNT!$B:$B,"PJ")</f>
        <v/>
      </c>
      <c r="AB118" s="28">
        <f>SUMIFS(Aut_BlueMe_Sem_Pedido!$J:$J,Aut_BlueMe_Sem_Pedido!$Q:$Q,DRE!Z$4,Aut_BlueMe_Sem_Pedido!$N:$N,DRE!$A118)+SUMIFS(Aut_Ajustes_Manuais!$G:$G,Aut_Ajustes_Manuais!$I:$I,DRE!Z$4,Aut_Ajustes_Manuais!$J:$J,"  - Chefe de Fila")</f>
        <v/>
      </c>
      <c r="AC118" s="241" t="n"/>
      <c r="AD118" s="27">
        <f>-SUMIFS(T_HEADCOUNT!$E:$E,T_HEADCOUNT!$C:$C,"- Chefe de Fila",T_HEADCOUNT!$D:$D,"8/2026",T_HEADCOUNT!$B:$B,"PJ")</f>
        <v/>
      </c>
      <c r="AE118" s="28">
        <f>SUMIFS(Aut_BlueMe_Sem_Pedido!$J:$J,Aut_BlueMe_Sem_Pedido!$Q:$Q,DRE!AC$4,Aut_BlueMe_Sem_Pedido!$N:$N,DRE!$A118)+SUMIFS(Aut_Ajustes_Manuais!$G:$G,Aut_Ajustes_Manuais!$I:$I,DRE!AC$4,Aut_Ajustes_Manuais!$J:$J,"  - Chefe de Fila")</f>
        <v/>
      </c>
      <c r="AF118" s="241" t="n"/>
      <c r="AG118" s="27">
        <f>-SUMIFS(T_HEADCOUNT!$E:$E,T_HEADCOUNT!$C:$C,"- Chefe de Fila",T_HEADCOUNT!$D:$D,"9/2026",T_HEADCOUNT!$B:$B,"PJ")</f>
        <v/>
      </c>
      <c r="AH118" s="28">
        <f>SUMIFS(Aut_BlueMe_Sem_Pedido!$J:$J,Aut_BlueMe_Sem_Pedido!$Q:$Q,DRE!AF$4,Aut_BlueMe_Sem_Pedido!$N:$N,DRE!$A118)+SUMIFS(Aut_Ajustes_Manuais!$G:$G,Aut_Ajustes_Manuais!$I:$I,DRE!AF$4,Aut_Ajustes_Manuais!$J:$J,"  - Chefe de Fila")</f>
        <v/>
      </c>
      <c r="AI118" s="241" t="n"/>
      <c r="AJ118" s="27">
        <f>-SUMIFS(T_HEADCOUNT!$E:$E,T_HEADCOUNT!$C:$C,"- Chefe de Fila",T_HEADCOUNT!$D:$D,"10/2026",T_HEADCOUNT!$B:$B,"PJ")</f>
        <v/>
      </c>
      <c r="AK118" s="28">
        <f>SUMIFS(Aut_BlueMe_Sem_Pedido!$J:$J,Aut_BlueMe_Sem_Pedido!$Q:$Q,DRE!AI$4,Aut_BlueMe_Sem_Pedido!$N:$N,DRE!$A118)+SUMIFS(Aut_Ajustes_Manuais!$G:$G,Aut_Ajustes_Manuais!$I:$I,DRE!AI$4,Aut_Ajustes_Manuais!$J:$J,"  - Chefe de Fila")</f>
        <v/>
      </c>
      <c r="AL118" s="241" t="n"/>
      <c r="AM118" s="27">
        <f>-SUMIFS(T_HEADCOUNT!$E:$E,T_HEADCOUNT!$C:$C,"- Chefe de Fila",T_HEADCOUNT!$D:$D,"11/2026",T_HEADCOUNT!$B:$B,"PJ")</f>
        <v/>
      </c>
      <c r="AN118" s="28">
        <f>SUMIFS(Aut_BlueMe_Sem_Pedido!$J:$J,Aut_BlueMe_Sem_Pedido!$Q:$Q,DRE!AL$4,Aut_BlueMe_Sem_Pedido!$N:$N,DRE!$A118)+SUMIFS(Aut_Ajustes_Manuais!$G:$G,Aut_Ajustes_Manuais!$I:$I,DRE!AL$4,Aut_Ajustes_Manuais!$J:$J,"  - Chefe de Fila")</f>
        <v/>
      </c>
      <c r="AO118" s="241" t="n"/>
      <c r="AP118" s="27">
        <f>-SUMIFS(T_HEADCOUNT!$E:$E,T_HEADCOUNT!$C:$C,"- Chefe de Fila",T_HEADCOUNT!$D:$D,"12/2026",T_HEADCOUNT!$B:$B,"PJ")</f>
        <v/>
      </c>
      <c r="AQ118" s="28">
        <f>SUMIFS(Aut_BlueMe_Sem_Pedido!$J:$J,Aut_BlueMe_Sem_Pedido!$Q:$Q,DRE!AO$4,Aut_BlueMe_Sem_Pedido!$N:$N,DRE!$A118)+SUMIFS(Aut_Ajustes_Manuais!$G:$G,Aut_Ajustes_Manuais!$I:$I,DRE!AO$4,Aut_Ajustes_Manuais!$J:$J,"  - Chefe de Fila")</f>
        <v/>
      </c>
      <c r="AR118" s="241">
        <f>SUMIFS($H118:$AO118,$H$5:$AO$5,"&lt;"&amp;MONTH(TODAY()),$H$6:$AO$6,"REAL 25")</f>
        <v/>
      </c>
      <c r="AS118" s="27">
        <f>SUMIFS($I118:$AP118,$I$5:$AP$5,"&lt;"&amp;MONTH(TODAY()),$I$6:$AP$6,"ORÇADO ")</f>
        <v/>
      </c>
      <c r="AT118" s="28">
        <f>SUMIFS($J118:$AQ118,$J$5:$AQ$5,"&lt;"&amp;MONTH(TODAY()),$J$6:$AQ$6,"REAL 26")</f>
        <v/>
      </c>
      <c r="AU118" s="241">
        <f>SUM(H118,K118,N118,Q118,T118,W118,Z118,AC118,AF118,AI118,AL118,AO118)</f>
        <v/>
      </c>
      <c r="AV118" s="81">
        <f>SUM(I118,L118,O118,R118,U118,X118,AA118,AD118,AG118,AJ118,AM118,AP118)</f>
        <v/>
      </c>
      <c r="AW118" s="82">
        <f>SUM(J118,M118,P118,S118,V118,Y118,AB118,AE118,AH118,AK118,AN118,AQ118)</f>
        <v/>
      </c>
      <c r="AX118" s="241">
        <f>SUM(H118,K118,N118)</f>
        <v/>
      </c>
      <c r="AY118" s="81">
        <f>SUM(I118,L118,O118)</f>
        <v/>
      </c>
      <c r="AZ118" s="82">
        <f>SUM(J118,M118,P118)</f>
        <v/>
      </c>
      <c r="BA118" s="241">
        <f>SUM(Q118,T118,W118)</f>
        <v/>
      </c>
      <c r="BB118" s="81">
        <f>SUM(R118,U118,X118)</f>
        <v/>
      </c>
      <c r="BC118" s="82">
        <f>SUM(S118,V118,Y118)</f>
        <v/>
      </c>
      <c r="BD118" s="241">
        <f>SUM(Z118,AC118,AF118)</f>
        <v/>
      </c>
      <c r="BE118" s="81">
        <f>SUM(AA118,AD118,AG118)</f>
        <v/>
      </c>
      <c r="BF118" s="82">
        <f>SUM(AB118,AE118,AH118)</f>
        <v/>
      </c>
      <c r="BG118" s="241">
        <f>SUM(AI118,AL118,AO118)</f>
        <v/>
      </c>
      <c r="BH118" s="81">
        <f>SUM(AJ118,AM118,AP118)</f>
        <v/>
      </c>
      <c r="BI118" s="82">
        <f>SUM(AK118,AN118,AQ118)</f>
        <v/>
      </c>
    </row>
    <row r="119" hidden="1" outlineLevel="1" customFormat="1" s="94">
      <c r="A119" s="22" t="inlineStr">
        <is>
          <t xml:space="preserve">  - Hostess</t>
        </is>
      </c>
      <c r="B119" s="488" t="n"/>
      <c r="C119" s="24" t="n"/>
      <c r="D119" s="55" t="n"/>
      <c r="E119" s="87" t="n"/>
      <c r="F119" s="41" t="n"/>
      <c r="G119" s="33" t="n"/>
      <c r="H119" s="241" t="n"/>
      <c r="I119" s="27">
        <f>-SUMIFS(T_HEADCOUNT!$E:$E,T_HEADCOUNT!$C:$C,"- Hostess",T_HEADCOUNT!$D:$D,"1/2026",T_HEADCOUNT!$B:$B,"PJ")</f>
        <v/>
      </c>
      <c r="J119" s="28">
        <f>SUMIFS(Aut_BlueMe_Sem_Pedido!$J:$J,Aut_BlueMe_Sem_Pedido!$Q:$Q,DRE!H$4,Aut_BlueMe_Sem_Pedido!$N:$N,DRE!$A119)+SUMIFS(Aut_Ajustes_Manuais!$G:$G,Aut_Ajustes_Manuais!$I:$I,DRE!H$4,Aut_Ajustes_Manuais!$J:$J,"  - Hostess")</f>
        <v/>
      </c>
      <c r="K119" s="241" t="n"/>
      <c r="L119" s="27">
        <f>-SUMIFS(T_HEADCOUNT!$E:$E,T_HEADCOUNT!$C:$C,"- Hostess",T_HEADCOUNT!$D:$D,"2/2026",T_HEADCOUNT!$B:$B,"PJ")</f>
        <v/>
      </c>
      <c r="M119" s="28">
        <f>SUMIFS(Aut_BlueMe_Sem_Pedido!$J:$J,Aut_BlueMe_Sem_Pedido!$Q:$Q,DRE!K$4,Aut_BlueMe_Sem_Pedido!$N:$N,DRE!$A119)+SUMIFS(Aut_Ajustes_Manuais!$G:$G,Aut_Ajustes_Manuais!$I:$I,DRE!K$4,Aut_Ajustes_Manuais!$J:$J,"  - Hostess")</f>
        <v/>
      </c>
      <c r="N119" s="241" t="n"/>
      <c r="O119" s="27">
        <f>-SUMIFS(T_HEADCOUNT!$E:$E,T_HEADCOUNT!$C:$C,"- Hostess",T_HEADCOUNT!$D:$D,"3/2026",T_HEADCOUNT!$B:$B,"PJ")</f>
        <v/>
      </c>
      <c r="P119" s="28">
        <f>SUMIFS(Aut_BlueMe_Sem_Pedido!$J:$J,Aut_BlueMe_Sem_Pedido!$Q:$Q,DRE!N$4,Aut_BlueMe_Sem_Pedido!$N:$N,DRE!$A119)+SUMIFS(Aut_Ajustes_Manuais!$G:$G,Aut_Ajustes_Manuais!$I:$I,DRE!N$4,Aut_Ajustes_Manuais!$J:$J,"  - Hostess")</f>
        <v/>
      </c>
      <c r="Q119" s="241" t="n"/>
      <c r="R119" s="27">
        <f>-SUMIFS(T_HEADCOUNT!$E:$E,T_HEADCOUNT!$C:$C,"- Hostess",T_HEADCOUNT!$D:$D,"4/2026",T_HEADCOUNT!$B:$B,"PJ")</f>
        <v/>
      </c>
      <c r="S119" s="28">
        <f>SUMIFS(Aut_BlueMe_Sem_Pedido!$J:$J,Aut_BlueMe_Sem_Pedido!$Q:$Q,DRE!Q$4,Aut_BlueMe_Sem_Pedido!$N:$N,DRE!$A119)+SUMIFS(Aut_Ajustes_Manuais!$G:$G,Aut_Ajustes_Manuais!$I:$I,DRE!Q$4,Aut_Ajustes_Manuais!$J:$J,"  - Hostess")</f>
        <v/>
      </c>
      <c r="T119" s="241" t="n"/>
      <c r="U119" s="27">
        <f>-SUMIFS(T_HEADCOUNT!$E:$E,T_HEADCOUNT!$C:$C,"- Hostess",T_HEADCOUNT!$D:$D,"5/2026",T_HEADCOUNT!$B:$B,"PJ")</f>
        <v/>
      </c>
      <c r="V119" s="28">
        <f>SUMIFS(Aut_BlueMe_Sem_Pedido!$J:$J,Aut_BlueMe_Sem_Pedido!$Q:$Q,DRE!T$4,Aut_BlueMe_Sem_Pedido!$N:$N,DRE!$A119)+SUMIFS(Aut_Ajustes_Manuais!$G:$G,Aut_Ajustes_Manuais!$I:$I,DRE!T$4,Aut_Ajustes_Manuais!$J:$J,"  - Hostess")</f>
        <v/>
      </c>
      <c r="W119" s="241" t="n"/>
      <c r="X119" s="27">
        <f>-SUMIFS(T_HEADCOUNT!$E:$E,T_HEADCOUNT!$C:$C,"- Hostess",T_HEADCOUNT!$D:$D,"6/2026",T_HEADCOUNT!$B:$B,"PJ")</f>
        <v/>
      </c>
      <c r="Y119" s="28">
        <f>SUMIFS(Aut_BlueMe_Sem_Pedido!$J:$J,Aut_BlueMe_Sem_Pedido!$Q:$Q,DRE!W$4,Aut_BlueMe_Sem_Pedido!$N:$N,DRE!$A119)+SUMIFS(Aut_Ajustes_Manuais!$G:$G,Aut_Ajustes_Manuais!$I:$I,DRE!W$4,Aut_Ajustes_Manuais!$J:$J,"  - Hostess")</f>
        <v/>
      </c>
      <c r="Z119" s="241" t="n"/>
      <c r="AA119" s="27">
        <f>-SUMIFS(T_HEADCOUNT!$E:$E,T_HEADCOUNT!$C:$C,"- Hostess",T_HEADCOUNT!$D:$D,"7/2026",T_HEADCOUNT!$B:$B,"PJ")</f>
        <v/>
      </c>
      <c r="AB119" s="28">
        <f>SUMIFS(Aut_BlueMe_Sem_Pedido!$J:$J,Aut_BlueMe_Sem_Pedido!$Q:$Q,DRE!Z$4,Aut_BlueMe_Sem_Pedido!$N:$N,DRE!$A119)+SUMIFS(Aut_Ajustes_Manuais!$G:$G,Aut_Ajustes_Manuais!$I:$I,DRE!Z$4,Aut_Ajustes_Manuais!$J:$J,"  - Hostess")</f>
        <v/>
      </c>
      <c r="AC119" s="241" t="n"/>
      <c r="AD119" s="27">
        <f>-SUMIFS(T_HEADCOUNT!$E:$E,T_HEADCOUNT!$C:$C,"- Hostess",T_HEADCOUNT!$D:$D,"8/2026",T_HEADCOUNT!$B:$B,"PJ")</f>
        <v/>
      </c>
      <c r="AE119" s="28">
        <f>SUMIFS(Aut_BlueMe_Sem_Pedido!$J:$J,Aut_BlueMe_Sem_Pedido!$Q:$Q,DRE!AC$4,Aut_BlueMe_Sem_Pedido!$N:$N,DRE!$A119)+SUMIFS(Aut_Ajustes_Manuais!$G:$G,Aut_Ajustes_Manuais!$I:$I,DRE!AC$4,Aut_Ajustes_Manuais!$J:$J,"  - Hostess")</f>
        <v/>
      </c>
      <c r="AF119" s="241" t="n"/>
      <c r="AG119" s="27">
        <f>-SUMIFS(T_HEADCOUNT!$E:$E,T_HEADCOUNT!$C:$C,"- Hostess",T_HEADCOUNT!$D:$D,"9/2026",T_HEADCOUNT!$B:$B,"PJ")</f>
        <v/>
      </c>
      <c r="AH119" s="28">
        <f>SUMIFS(Aut_BlueMe_Sem_Pedido!$J:$J,Aut_BlueMe_Sem_Pedido!$Q:$Q,DRE!AF$4,Aut_BlueMe_Sem_Pedido!$N:$N,DRE!$A119)+SUMIFS(Aut_Ajustes_Manuais!$G:$G,Aut_Ajustes_Manuais!$I:$I,DRE!AF$4,Aut_Ajustes_Manuais!$J:$J,"  - Hostess")</f>
        <v/>
      </c>
      <c r="AI119" s="241" t="n"/>
      <c r="AJ119" s="27">
        <f>-SUMIFS(T_HEADCOUNT!$E:$E,T_HEADCOUNT!$C:$C,"- Hostess",T_HEADCOUNT!$D:$D,"10/2026",T_HEADCOUNT!$B:$B,"PJ")</f>
        <v/>
      </c>
      <c r="AK119" s="28">
        <f>SUMIFS(Aut_BlueMe_Sem_Pedido!$J:$J,Aut_BlueMe_Sem_Pedido!$Q:$Q,DRE!AI$4,Aut_BlueMe_Sem_Pedido!$N:$N,DRE!$A119)+SUMIFS(Aut_Ajustes_Manuais!$G:$G,Aut_Ajustes_Manuais!$I:$I,DRE!AI$4,Aut_Ajustes_Manuais!$J:$J,"  - Hostess")</f>
        <v/>
      </c>
      <c r="AL119" s="241" t="n"/>
      <c r="AM119" s="27">
        <f>-SUMIFS(T_HEADCOUNT!$E:$E,T_HEADCOUNT!$C:$C,"- Hostess",T_HEADCOUNT!$D:$D,"11/2026",T_HEADCOUNT!$B:$B,"PJ")</f>
        <v/>
      </c>
      <c r="AN119" s="28">
        <f>SUMIFS(Aut_BlueMe_Sem_Pedido!$J:$J,Aut_BlueMe_Sem_Pedido!$Q:$Q,DRE!AL$4,Aut_BlueMe_Sem_Pedido!$N:$N,DRE!$A119)+SUMIFS(Aut_Ajustes_Manuais!$G:$G,Aut_Ajustes_Manuais!$I:$I,DRE!AL$4,Aut_Ajustes_Manuais!$J:$J,"  - Hostess")</f>
        <v/>
      </c>
      <c r="AO119" s="241" t="n"/>
      <c r="AP119" s="27">
        <f>-SUMIFS(T_HEADCOUNT!$E:$E,T_HEADCOUNT!$C:$C,"- Hostess",T_HEADCOUNT!$D:$D,"12/2026",T_HEADCOUNT!$B:$B,"PJ")</f>
        <v/>
      </c>
      <c r="AQ119" s="28">
        <f>SUMIFS(Aut_BlueMe_Sem_Pedido!$J:$J,Aut_BlueMe_Sem_Pedido!$Q:$Q,DRE!AO$4,Aut_BlueMe_Sem_Pedido!$N:$N,DRE!$A119)+SUMIFS(Aut_Ajustes_Manuais!$G:$G,Aut_Ajustes_Manuais!$I:$I,DRE!AO$4,Aut_Ajustes_Manuais!$J:$J,"  - Hostess")</f>
        <v/>
      </c>
      <c r="AR119" s="241">
        <f>SUMIFS($H119:$AO119,$H$5:$AO$5,"&lt;"&amp;MONTH(TODAY()),$H$6:$AO$6,"REAL 25")</f>
        <v/>
      </c>
      <c r="AS119" s="27">
        <f>SUMIFS($I119:$AP119,$I$5:$AP$5,"&lt;"&amp;MONTH(TODAY()),$I$6:$AP$6,"ORÇADO ")</f>
        <v/>
      </c>
      <c r="AT119" s="28">
        <f>SUMIFS($J119:$AQ119,$J$5:$AQ$5,"&lt;"&amp;MONTH(TODAY()),$J$6:$AQ$6,"REAL 26")</f>
        <v/>
      </c>
      <c r="AU119" s="241">
        <f>SUM(H119,K119,N119,Q119,T119,W119,Z119,AC119,AF119,AI119,AL119,AO119)</f>
        <v/>
      </c>
      <c r="AV119" s="81">
        <f>SUM(I119,L119,O119,R119,U119,X119,AA119,AD119,AG119,AJ119,AM119,AP119)</f>
        <v/>
      </c>
      <c r="AW119" s="82">
        <f>SUM(J119,M119,P119,S119,V119,Y119,AB119,AE119,AH119,AK119,AN119,AQ119)</f>
        <v/>
      </c>
      <c r="AX119" s="241">
        <f>SUM(H119,K119,N119)</f>
        <v/>
      </c>
      <c r="AY119" s="81">
        <f>SUM(I119,L119,O119)</f>
        <v/>
      </c>
      <c r="AZ119" s="82">
        <f>SUM(J119,M119,P119)</f>
        <v/>
      </c>
      <c r="BA119" s="241">
        <f>SUM(Q119,T119,W119)</f>
        <v/>
      </c>
      <c r="BB119" s="81">
        <f>SUM(R119,U119,X119)</f>
        <v/>
      </c>
      <c r="BC119" s="82">
        <f>SUM(S119,V119,Y119)</f>
        <v/>
      </c>
      <c r="BD119" s="241">
        <f>SUM(Z119,AC119,AF119)</f>
        <v/>
      </c>
      <c r="BE119" s="81">
        <f>SUM(AA119,AD119,AG119)</f>
        <v/>
      </c>
      <c r="BF119" s="82">
        <f>SUM(AB119,AE119,AH119)</f>
        <v/>
      </c>
      <c r="BG119" s="241">
        <f>SUM(AI119,AL119,AO119)</f>
        <v/>
      </c>
      <c r="BH119" s="81">
        <f>SUM(AJ119,AM119,AP119)</f>
        <v/>
      </c>
      <c r="BI119" s="82">
        <f>SUM(AK119,AN119,AQ119)</f>
        <v/>
      </c>
    </row>
    <row r="120" collapsed="1">
      <c r="A120" s="73" t="inlineStr">
        <is>
          <t>Salários</t>
        </is>
      </c>
      <c r="C120" s="40" t="inlineStr">
        <is>
          <t>Premissas</t>
        </is>
      </c>
      <c r="D120" s="40" t="inlineStr">
        <is>
          <t>Valores</t>
        </is>
      </c>
      <c r="E120" s="40" t="inlineStr">
        <is>
          <t>% Incid</t>
        </is>
      </c>
      <c r="F120" s="41" t="n"/>
      <c r="G120" s="86" t="n"/>
      <c r="H120" s="252" t="n"/>
      <c r="I120" s="74">
        <f>SUM(I121:I177)</f>
        <v/>
      </c>
      <c r="J120" s="76">
        <f>SUMIFS(Aut_BlueMe_Sem_Pedido!$J:$J,Aut_BlueMe_Sem_Pedido!$Q:$Q,DRE!H$4,Aut_BlueMe_Sem_Pedido!$H:$H,"MDO CLT - Salário")+SUMIFS(Aut_Folha!$J:$J,Aut_Folha!$K:$K,DRE!H$4,Aut_Folha!$G:$G,"Gorjeta")+SUMIFS(Aut_BlueMe_Sem_Pedido!$J:$J,Aut_BlueMe_Sem_Pedido!$Q:$Q,DRE!H$4,Aut_BlueMe_Sem_Pedido!$H:$H,"IRRF - MDO CLT - Salário")+SUMIFS(Aut_BlueMe_Sem_Pedido!$J:$J,Aut_BlueMe_Sem_Pedido!$Q:$Q,DRE!H$4,Aut_BlueMe_Sem_Pedido!$H:$H,"  -  INSS Segurados")+SUMIFS(Aut_Ajustes_Manuais!$G:$G,Aut_Ajustes_Manuais!$I:$I,DRE!H$4,Aut_Ajustes_Manuais!$F:$F,"MDO CLT - Salário")</f>
        <v/>
      </c>
      <c r="K120" s="252" t="n"/>
      <c r="L120" s="74">
        <f>SUM(L121:L177)</f>
        <v/>
      </c>
      <c r="M120" s="76">
        <f>SUMIFS(Aut_BlueMe_Sem_Pedido!$J:$J,Aut_BlueMe_Sem_Pedido!$Q:$Q,DRE!K$4,Aut_BlueMe_Sem_Pedido!$H:$H,"MDO CLT - Salário")+SUMIFS(Aut_Folha!$J:$J,Aut_Folha!$K:$K,DRE!K$4,Aut_Folha!$G:$G,"Gorjeta")+SUMIFS(Aut_BlueMe_Sem_Pedido!$J:$J,Aut_BlueMe_Sem_Pedido!$Q:$Q,DRE!K$4,Aut_BlueMe_Sem_Pedido!$H:$H,"IRRF - MDO CLT - Salário")+SUMIFS(Aut_BlueMe_Sem_Pedido!$J:$J,Aut_BlueMe_Sem_Pedido!$Q:$Q,DRE!K$4,Aut_BlueMe_Sem_Pedido!$H:$H,"  -  INSS Segurados")+SUMIFS(Aut_Ajustes_Manuais!$G:$G,Aut_Ajustes_Manuais!$I:$I,DRE!K$4,Aut_Ajustes_Manuais!$F:$F,"MDO CLT - Salário")</f>
        <v/>
      </c>
      <c r="N120" s="252" t="n"/>
      <c r="O120" s="74">
        <f>SUM(O121:O177)</f>
        <v/>
      </c>
      <c r="P120" s="76">
        <f>SUMIFS(Aut_BlueMe_Sem_Pedido!$J:$J,Aut_BlueMe_Sem_Pedido!$Q:$Q,DRE!N$4,Aut_BlueMe_Sem_Pedido!$H:$H,"MDO CLT - Salário")+SUMIFS(Aut_Folha!$J:$J,Aut_Folha!$K:$K,DRE!N$4,Aut_Folha!$G:$G,"Gorjeta")+SUMIFS(Aut_BlueMe_Sem_Pedido!$J:$J,Aut_BlueMe_Sem_Pedido!$Q:$Q,DRE!N$4,Aut_BlueMe_Sem_Pedido!$H:$H,"IRRF - MDO CLT - Salário")+SUMIFS(Aut_BlueMe_Sem_Pedido!$J:$J,Aut_BlueMe_Sem_Pedido!$Q:$Q,DRE!N$4,Aut_BlueMe_Sem_Pedido!$H:$H,"  -  INSS Segurados")+SUMIFS(Aut_Ajustes_Manuais!$G:$G,Aut_Ajustes_Manuais!$I:$I,DRE!N$4,Aut_Ajustes_Manuais!$F:$F,"MDO CLT - Salário")</f>
        <v/>
      </c>
      <c r="Q120" s="252" t="n"/>
      <c r="R120" s="74">
        <f>SUM(R121:R177)</f>
        <v/>
      </c>
      <c r="S120" s="76">
        <f>SUMIFS(Aut_BlueMe_Sem_Pedido!$J:$J,Aut_BlueMe_Sem_Pedido!$Q:$Q,DRE!Q$4,Aut_BlueMe_Sem_Pedido!$H:$H,"MDO CLT - Salário")+SUMIFS(Aut_Folha!$J:$J,Aut_Folha!$K:$K,DRE!Q$4,Aut_Folha!$G:$G,"Gorjeta")+SUMIFS(Aut_BlueMe_Sem_Pedido!$J:$J,Aut_BlueMe_Sem_Pedido!$Q:$Q,DRE!Q$4,Aut_BlueMe_Sem_Pedido!$H:$H,"IRRF - MDO CLT - Salário")+SUMIFS(Aut_BlueMe_Sem_Pedido!$J:$J,Aut_BlueMe_Sem_Pedido!$Q:$Q,DRE!Q$4,Aut_BlueMe_Sem_Pedido!$H:$H,"  -  INSS Segurados")+SUMIFS(Aut_Ajustes_Manuais!$G:$G,Aut_Ajustes_Manuais!$I:$I,DRE!Q$4,Aut_Ajustes_Manuais!$F:$F,"MDO CLT - Salário")</f>
        <v/>
      </c>
      <c r="T120" s="252" t="n"/>
      <c r="U120" s="74">
        <f>SUM(U121:U177)</f>
        <v/>
      </c>
      <c r="V120" s="76">
        <f>SUMIFS(Aut_BlueMe_Sem_Pedido!$J:$J,Aut_BlueMe_Sem_Pedido!$Q:$Q,DRE!T$4,Aut_BlueMe_Sem_Pedido!$H:$H,"MDO CLT - Salário")+SUMIFS(Aut_Folha!$J:$J,Aut_Folha!$K:$K,DRE!T$4,Aut_Folha!$G:$G,"Gorjeta")+SUMIFS(Aut_BlueMe_Sem_Pedido!$J:$J,Aut_BlueMe_Sem_Pedido!$Q:$Q,DRE!T$4,Aut_BlueMe_Sem_Pedido!$H:$H,"IRRF - MDO CLT - Salário")+SUMIFS(Aut_BlueMe_Sem_Pedido!$J:$J,Aut_BlueMe_Sem_Pedido!$Q:$Q,DRE!T$4,Aut_BlueMe_Sem_Pedido!$H:$H,"  -  INSS Segurados")+SUMIFS(Aut_Ajustes_Manuais!$G:$G,Aut_Ajustes_Manuais!$I:$I,DRE!T$4,Aut_Ajustes_Manuais!$F:$F,"MDO CLT - Salário")</f>
        <v/>
      </c>
      <c r="W120" s="252" t="n"/>
      <c r="X120" s="74">
        <f>SUM(X121:X177)</f>
        <v/>
      </c>
      <c r="Y120" s="76">
        <f>SUMIFS(Aut_BlueMe_Sem_Pedido!$J:$J,Aut_BlueMe_Sem_Pedido!$Q:$Q,DRE!W$4,Aut_BlueMe_Sem_Pedido!$H:$H,"MDO CLT - Salário")+SUMIFS(Aut_Folha!$J:$J,Aut_Folha!$K:$K,DRE!W$4,Aut_Folha!$G:$G,"Gorjeta")+SUMIFS(Aut_BlueMe_Sem_Pedido!$J:$J,Aut_BlueMe_Sem_Pedido!$Q:$Q,DRE!W$4,Aut_BlueMe_Sem_Pedido!$H:$H,"IRRF - MDO CLT - Salário")+SUMIFS(Aut_BlueMe_Sem_Pedido!$J:$J,Aut_BlueMe_Sem_Pedido!$Q:$Q,DRE!W$4,Aut_BlueMe_Sem_Pedido!$H:$H,"  -  INSS Segurados")+SUMIFS(Aut_Ajustes_Manuais!$G:$G,Aut_Ajustes_Manuais!$I:$I,DRE!W$4,Aut_Ajustes_Manuais!$F:$F,"MDO CLT - Salário")</f>
        <v/>
      </c>
      <c r="Z120" s="252" t="n"/>
      <c r="AA120" s="74">
        <f>SUM(AA121:AA177)</f>
        <v/>
      </c>
      <c r="AB120" s="76">
        <f>SUMIFS(Aut_BlueMe_Sem_Pedido!$J:$J,Aut_BlueMe_Sem_Pedido!$Q:$Q,DRE!Z$4,Aut_BlueMe_Sem_Pedido!$H:$H,"MDO CLT - Salário")+SUMIFS(Aut_Folha!$J:$J,Aut_Folha!$K:$K,DRE!Z$4,Aut_Folha!$G:$G,"Gorjeta")+SUMIFS(Aut_BlueMe_Sem_Pedido!$J:$J,Aut_BlueMe_Sem_Pedido!$Q:$Q,DRE!Z$4,Aut_BlueMe_Sem_Pedido!$H:$H,"IRRF - MDO CLT - Salário")+SUMIFS(Aut_BlueMe_Sem_Pedido!$J:$J,Aut_BlueMe_Sem_Pedido!$Q:$Q,DRE!Z$4,Aut_BlueMe_Sem_Pedido!$H:$H,"  -  INSS Segurados")+SUMIFS(Aut_Ajustes_Manuais!$G:$G,Aut_Ajustes_Manuais!$I:$I,DRE!Z$4,Aut_Ajustes_Manuais!$F:$F,"MDO CLT - Salário")</f>
        <v/>
      </c>
      <c r="AC120" s="252" t="n"/>
      <c r="AD120" s="74">
        <f>SUM(AD121:AD177)</f>
        <v/>
      </c>
      <c r="AE120" s="76">
        <f>SUMIFS(Aut_BlueMe_Sem_Pedido!$J:$J,Aut_BlueMe_Sem_Pedido!$Q:$Q,DRE!AC$4,Aut_BlueMe_Sem_Pedido!$H:$H,"MDO CLT - Salário")+SUMIFS(Aut_Folha!$J:$J,Aut_Folha!$K:$K,DRE!AC$4,Aut_Folha!$G:$G,"Gorjeta")+SUMIFS(Aut_BlueMe_Sem_Pedido!$J:$J,Aut_BlueMe_Sem_Pedido!$Q:$Q,DRE!AC$4,Aut_BlueMe_Sem_Pedido!$H:$H,"IRRF - MDO CLT - Salário")+SUMIFS(Aut_BlueMe_Sem_Pedido!$J:$J,Aut_BlueMe_Sem_Pedido!$Q:$Q,DRE!AC$4,Aut_BlueMe_Sem_Pedido!$H:$H,"  -  INSS Segurados")+SUMIFS(Aut_Ajustes_Manuais!$G:$G,Aut_Ajustes_Manuais!$I:$I,DRE!AC$4,Aut_Ajustes_Manuais!$F:$F,"MDO CLT - Salário")</f>
        <v/>
      </c>
      <c r="AF120" s="252" t="n"/>
      <c r="AG120" s="74">
        <f>SUM(AG121:AG177)</f>
        <v/>
      </c>
      <c r="AH120" s="76">
        <f>SUMIFS(Aut_BlueMe_Sem_Pedido!$J:$J,Aut_BlueMe_Sem_Pedido!$Q:$Q,DRE!AF$4,Aut_BlueMe_Sem_Pedido!$H:$H,"MDO CLT - Salário")+SUMIFS(Aut_Folha!$J:$J,Aut_Folha!$K:$K,DRE!AF$4,Aut_Folha!$G:$G,"Gorjeta")+SUMIFS(Aut_BlueMe_Sem_Pedido!$J:$J,Aut_BlueMe_Sem_Pedido!$Q:$Q,DRE!AF$4,Aut_BlueMe_Sem_Pedido!$H:$H,"IRRF - MDO CLT - Salário")+SUMIFS(Aut_BlueMe_Sem_Pedido!$J:$J,Aut_BlueMe_Sem_Pedido!$Q:$Q,DRE!AF$4,Aut_BlueMe_Sem_Pedido!$H:$H,"  -  INSS Segurados")+SUMIFS(Aut_Ajustes_Manuais!$G:$G,Aut_Ajustes_Manuais!$I:$I,DRE!AF$4,Aut_Ajustes_Manuais!$F:$F,"MDO CLT - Salário")</f>
        <v/>
      </c>
      <c r="AI120" s="252" t="n"/>
      <c r="AJ120" s="74">
        <f>SUM(AJ121:AJ177)</f>
        <v/>
      </c>
      <c r="AK120" s="76">
        <f>SUMIFS(Aut_BlueMe_Sem_Pedido!$J:$J,Aut_BlueMe_Sem_Pedido!$Q:$Q,DRE!AI$4,Aut_BlueMe_Sem_Pedido!$H:$H,"MDO CLT - Salário")+SUMIFS(Aut_Folha!$J:$J,Aut_Folha!$K:$K,DRE!AI$4,Aut_Folha!$G:$G,"Gorjeta")+SUMIFS(Aut_BlueMe_Sem_Pedido!$J:$J,Aut_BlueMe_Sem_Pedido!$Q:$Q,DRE!AI$4,Aut_BlueMe_Sem_Pedido!$H:$H,"IRRF - MDO CLT - Salário")+SUMIFS(Aut_BlueMe_Sem_Pedido!$J:$J,Aut_BlueMe_Sem_Pedido!$Q:$Q,DRE!AI$4,Aut_BlueMe_Sem_Pedido!$H:$H,"  -  INSS Segurados")+SUMIFS(Aut_Ajustes_Manuais!$G:$G,Aut_Ajustes_Manuais!$I:$I,DRE!AI$4,Aut_Ajustes_Manuais!$F:$F,"MDO CLT - Salário")</f>
        <v/>
      </c>
      <c r="AL120" s="252" t="n"/>
      <c r="AM120" s="74">
        <f>SUM(AM121:AM177)</f>
        <v/>
      </c>
      <c r="AN120" s="76">
        <f>SUMIFS(Aut_BlueMe_Sem_Pedido!$J:$J,Aut_BlueMe_Sem_Pedido!$Q:$Q,DRE!AL$4,Aut_BlueMe_Sem_Pedido!$H:$H,"MDO CLT - Salário")+SUMIFS(Aut_Folha!$J:$J,Aut_Folha!$K:$K,DRE!AL$4,Aut_Folha!$G:$G,"Gorjeta")+SUMIFS(Aut_BlueMe_Sem_Pedido!$J:$J,Aut_BlueMe_Sem_Pedido!$Q:$Q,DRE!AL$4,Aut_BlueMe_Sem_Pedido!$H:$H,"IRRF - MDO CLT - Salário")+SUMIFS(Aut_BlueMe_Sem_Pedido!$J:$J,Aut_BlueMe_Sem_Pedido!$Q:$Q,DRE!AL$4,Aut_BlueMe_Sem_Pedido!$H:$H,"  -  INSS Segurados")+SUMIFS(Aut_Ajustes_Manuais!$G:$G,Aut_Ajustes_Manuais!$I:$I,DRE!AL$4,Aut_Ajustes_Manuais!$F:$F,"MDO CLT - Salário")</f>
        <v/>
      </c>
      <c r="AO120" s="252" t="n"/>
      <c r="AP120" s="74">
        <f>SUM(AP121:AP177)</f>
        <v/>
      </c>
      <c r="AQ120" s="76">
        <f>SUMIFS(Aut_BlueMe_Sem_Pedido!$J:$J,Aut_BlueMe_Sem_Pedido!$Q:$Q,DRE!AO$4,Aut_BlueMe_Sem_Pedido!$H:$H,"MDO CLT - Salário")+SUMIFS(Aut_Folha!$J:$J,Aut_Folha!$K:$K,DRE!AO$4,Aut_Folha!$G:$G,"Gorjeta")+SUMIFS(Aut_BlueMe_Sem_Pedido!$J:$J,Aut_BlueMe_Sem_Pedido!$Q:$Q,DRE!AO$4,Aut_BlueMe_Sem_Pedido!$H:$H,"IRRF - MDO CLT - Salário")+SUMIFS(Aut_BlueMe_Sem_Pedido!$J:$J,Aut_BlueMe_Sem_Pedido!$Q:$Q,DRE!AO$4,Aut_BlueMe_Sem_Pedido!$H:$H,"  -  INSS Segurados")+SUMIFS(Aut_Ajustes_Manuais!$G:$G,Aut_Ajustes_Manuais!$I:$I,DRE!AO$4,Aut_Ajustes_Manuais!$F:$F,"MDO CLT - Salário")</f>
        <v/>
      </c>
      <c r="AR120" s="252">
        <f>SUMIFS($H120:$AO120,$H$5:$AO$5,"&lt;"&amp;MONTH(TODAY()),$H$6:$AO$6,"REAL 25")</f>
        <v/>
      </c>
      <c r="AS120" s="74">
        <f>SUMIFS($I120:$AP120,$I$5:$AP$5,"&lt;"&amp;MONTH(TODAY()),$I$6:$AP$6,"ORÇADO ")</f>
        <v/>
      </c>
      <c r="AT120" s="76">
        <f>SUMIFS($J120:$AQ120,$J$5:$AQ$5,"&lt;"&amp;MONTH(TODAY()),$J$6:$AQ$6,"REAL 26")</f>
        <v/>
      </c>
      <c r="AU120" s="252">
        <f>SUM(H120,K120,N120,Q120,T120,W120,Z120,AC120,AF120,AI120,AL120,AO120)</f>
        <v/>
      </c>
      <c r="AV120" s="74">
        <f>SUM(I120,L120,O120,R120,U120,X120,AA120,AD120,AG120,AJ120,AM120,AP120)</f>
        <v/>
      </c>
      <c r="AW120" s="76">
        <f>SUM(J120,M120,P120,S120,V120,Y120,AB120,AE120,AH120,AK120,AN120,AQ120)</f>
        <v/>
      </c>
      <c r="AX120" s="252">
        <f>SUM(H120,K120,N120)</f>
        <v/>
      </c>
      <c r="AY120" s="74">
        <f>SUM(I120,L120,O120)</f>
        <v/>
      </c>
      <c r="AZ120" s="76">
        <f>SUM(J120,M120,P120)</f>
        <v/>
      </c>
      <c r="BA120" s="252">
        <f>SUM(Q120,T120,W120)</f>
        <v/>
      </c>
      <c r="BB120" s="74">
        <f>SUM(R120,U120,X120)</f>
        <v/>
      </c>
      <c r="BC120" s="76">
        <f>SUM(S120,V120,Y120)</f>
        <v/>
      </c>
      <c r="BD120" s="252">
        <f>SUM(Z120,AC120,AF120)</f>
        <v/>
      </c>
      <c r="BE120" s="74">
        <f>SUM(AA120,AD120,AG120)</f>
        <v/>
      </c>
      <c r="BF120" s="76">
        <f>SUM(AB120,AE120,AH120)</f>
        <v/>
      </c>
      <c r="BG120" s="252">
        <f>SUM(AI120,AL120,AO120)</f>
        <v/>
      </c>
      <c r="BH120" s="74">
        <f>SUM(AJ120,AM120,AP120)</f>
        <v/>
      </c>
      <c r="BI120" s="76">
        <f>SUM(AK120,AN120,AQ120)</f>
        <v/>
      </c>
    </row>
    <row r="121" hidden="1" outlineLevel="1" customFormat="1" s="498">
      <c r="A121" s="95" t="inlineStr">
        <is>
          <t xml:space="preserve">  -  Maitre</t>
        </is>
      </c>
      <c r="B121" s="488" t="n"/>
      <c r="C121" s="24" t="n"/>
      <c r="D121" s="55" t="inlineStr">
        <is>
          <t>Salário Bruto com INSS Segurado dentro do valor</t>
        </is>
      </c>
      <c r="E121" s="87" t="n"/>
      <c r="F121" s="56" t="n"/>
      <c r="G121" s="33" t="n"/>
      <c r="H121" s="241" t="n"/>
      <c r="I121" s="27">
        <f>-SUMIFS(T_HEADCOUNT!$E:$E,T_HEADCOUNT!$C:$C,"-  Maitre",T_HEADCOUNT!$D:$D,"1/2026",T_HEADCOUNT!$B:$B,"CLT")</f>
        <v/>
      </c>
      <c r="J121" s="28">
        <f>SUMIFS(T_REAL!$D:$D,T_REAL!$E:$E,DRE!J$7,T_REAL!$C:$C,DRE!$A121)+SUMIFS(Aut_Ajustes_Manuais!$G:$G,Aut_Ajustes_Manuais!$I:$I,DRE!H$4,Aut_Ajustes_Manuais!$F:$F,"  -  Maitre")</f>
        <v/>
      </c>
      <c r="K121" s="241" t="n"/>
      <c r="L121" s="27">
        <f>-SUMIFS(T_HEADCOUNT!$E:$E,T_HEADCOUNT!$C:$C,"-  Maitre",T_HEADCOUNT!$D:$D,"2/2026",T_HEADCOUNT!$B:$B,"CLT")</f>
        <v/>
      </c>
      <c r="M121" s="28">
        <f>SUMIFS(T_REAL!$D:$D,T_REAL!$E:$E,DRE!M$7,T_REAL!$C:$C,DRE!$A121)+SUMIFS(Aut_Ajustes_Manuais!$G:$G,Aut_Ajustes_Manuais!$I:$I,DRE!K$4,Aut_Ajustes_Manuais!$F:$F,"  -  Maitre")</f>
        <v/>
      </c>
      <c r="N121" s="241" t="n"/>
      <c r="O121" s="27">
        <f>-SUMIFS(T_HEADCOUNT!$E:$E,T_HEADCOUNT!$C:$C,"-  Maitre",T_HEADCOUNT!$D:$D,"3/2026",T_HEADCOUNT!$B:$B,"CLT")</f>
        <v/>
      </c>
      <c r="P121" s="28">
        <f>SUMIFS(T_REAL!$D:$D,T_REAL!$E:$E,DRE!P$7,T_REAL!$C:$C,DRE!$A121)+SUMIFS(Aut_Ajustes_Manuais!$G:$G,Aut_Ajustes_Manuais!$I:$I,DRE!N$4,Aut_Ajustes_Manuais!$F:$F,"  -  Maitre")</f>
        <v/>
      </c>
      <c r="Q121" s="241" t="n"/>
      <c r="R121" s="27">
        <f>-SUMIFS(T_HEADCOUNT!$E:$E,T_HEADCOUNT!$C:$C,"-  Maitre",T_HEADCOUNT!$D:$D,"4/2026",T_HEADCOUNT!$B:$B,"CLT")</f>
        <v/>
      </c>
      <c r="S121" s="28">
        <f>SUMIFS(T_REAL!$D:$D,T_REAL!$E:$E,DRE!S$7,T_REAL!$C:$C,DRE!$A121)+SUMIFS(Aut_Ajustes_Manuais!$G:$G,Aut_Ajustes_Manuais!$I:$I,DRE!Q$4,Aut_Ajustes_Manuais!$F:$F,"  -  Maitre")</f>
        <v/>
      </c>
      <c r="T121" s="241" t="n"/>
      <c r="U121" s="27">
        <f>-SUMIFS(T_HEADCOUNT!$E:$E,T_HEADCOUNT!$C:$C,"-  Maitre",T_HEADCOUNT!$D:$D,"5/2026",T_HEADCOUNT!$B:$B,"CLT")</f>
        <v/>
      </c>
      <c r="V121" s="28">
        <f>SUMIFS(T_REAL!$D:$D,T_REAL!$E:$E,DRE!V$7,T_REAL!$C:$C,DRE!$A121)+SUMIFS(Aut_Ajustes_Manuais!$G:$G,Aut_Ajustes_Manuais!$I:$I,DRE!T$4,Aut_Ajustes_Manuais!$F:$F,"  -  Maitre")</f>
        <v/>
      </c>
      <c r="W121" s="241" t="n"/>
      <c r="X121" s="27">
        <f>-SUMIFS(T_HEADCOUNT!$E:$E,T_HEADCOUNT!$C:$C,"-  Maitre",T_HEADCOUNT!$D:$D,"6/2026",T_HEADCOUNT!$B:$B,"CLT")</f>
        <v/>
      </c>
      <c r="Y121" s="28">
        <f>SUMIFS(T_REAL!$D:$D,T_REAL!$E:$E,DRE!Y$7,T_REAL!$C:$C,DRE!$A121)+SUMIFS(Aut_Ajustes_Manuais!$G:$G,Aut_Ajustes_Manuais!$I:$I,DRE!W$4,Aut_Ajustes_Manuais!$F:$F,"  -  Maitre")</f>
        <v/>
      </c>
      <c r="Z121" s="241" t="n"/>
      <c r="AA121" s="27">
        <f>-SUMIFS(T_HEADCOUNT!$E:$E,T_HEADCOUNT!$C:$C,"-  Maitre",T_HEADCOUNT!$D:$D,"7/2026",T_HEADCOUNT!$B:$B,"CLT")</f>
        <v/>
      </c>
      <c r="AB121" s="28">
        <f>SUMIFS(T_REAL!$D:$D,T_REAL!$E:$E,DRE!AB$7,T_REAL!$C:$C,DRE!$A121)+SUMIFS(Aut_Ajustes_Manuais!$G:$G,Aut_Ajustes_Manuais!$I:$I,DRE!Z$4,Aut_Ajustes_Manuais!$F:$F,"  -  Maitre")</f>
        <v/>
      </c>
      <c r="AC121" s="241" t="n"/>
      <c r="AD121" s="27">
        <f>-SUMIFS(T_HEADCOUNT!$E:$E,T_HEADCOUNT!$C:$C,"-  Maitre",T_HEADCOUNT!$D:$D,"8/2026",T_HEADCOUNT!$B:$B,"CLT")</f>
        <v/>
      </c>
      <c r="AE121" s="28">
        <f>SUMIFS(T_REAL!$D:$D,T_REAL!$E:$E,DRE!AE$7,T_REAL!$C:$C,DRE!$A121)+SUMIFS(Aut_Ajustes_Manuais!$G:$G,Aut_Ajustes_Manuais!$I:$I,DRE!AC$4,Aut_Ajustes_Manuais!$F:$F,"  -  Maitre")</f>
        <v/>
      </c>
      <c r="AF121" s="241" t="n"/>
      <c r="AG121" s="27">
        <f>-SUMIFS(T_HEADCOUNT!$E:$E,T_HEADCOUNT!$C:$C,"-  Maitre",T_HEADCOUNT!$D:$D,"9/2026",T_HEADCOUNT!$B:$B,"CLT")</f>
        <v/>
      </c>
      <c r="AH121" s="28">
        <f>SUMIFS(T_REAL!$D:$D,T_REAL!$E:$E,DRE!AH$7,T_REAL!$C:$C,DRE!$A121)+SUMIFS(Aut_Ajustes_Manuais!$G:$G,Aut_Ajustes_Manuais!$I:$I,DRE!AF$4,Aut_Ajustes_Manuais!$F:$F,"  -  Maitre")</f>
        <v/>
      </c>
      <c r="AI121" s="241" t="n"/>
      <c r="AJ121" s="27">
        <f>-SUMIFS(T_HEADCOUNT!$E:$E,T_HEADCOUNT!$C:$C,"-  Maitre",T_HEADCOUNT!$D:$D,"10/2026",T_HEADCOUNT!$B:$B,"CLT")</f>
        <v/>
      </c>
      <c r="AK121" s="28">
        <f>SUMIFS(T_REAL!$D:$D,T_REAL!$E:$E,DRE!AK$7,T_REAL!$C:$C,DRE!$A121)+SUMIFS(Aut_Ajustes_Manuais!$G:$G,Aut_Ajustes_Manuais!$I:$I,DRE!AI$4,Aut_Ajustes_Manuais!$F:$F,"  -  Maitre")</f>
        <v/>
      </c>
      <c r="AL121" s="241" t="n"/>
      <c r="AM121" s="27">
        <f>-SUMIFS(T_HEADCOUNT!$E:$E,T_HEADCOUNT!$C:$C,"-  Maitre",T_HEADCOUNT!$D:$D,"11/2026",T_HEADCOUNT!$B:$B,"CLT")</f>
        <v/>
      </c>
      <c r="AN121" s="28">
        <f>SUMIFS(T_REAL!$D:$D,T_REAL!$E:$E,DRE!AN$7,T_REAL!$C:$C,DRE!$A121)+SUMIFS(Aut_Ajustes_Manuais!$G:$G,Aut_Ajustes_Manuais!$I:$I,DRE!AL$4,Aut_Ajustes_Manuais!$F:$F,"  -  Maitre")</f>
        <v/>
      </c>
      <c r="AO121" s="241" t="n"/>
      <c r="AP121" s="27">
        <f>-SUMIFS(T_HEADCOUNT!$E:$E,T_HEADCOUNT!$C:$C,"-  Maitre",T_HEADCOUNT!$D:$D,"12/2026",T_HEADCOUNT!$B:$B,"CLT")</f>
        <v/>
      </c>
      <c r="AQ121" s="28">
        <f>SUMIFS(T_REAL!$D:$D,T_REAL!$E:$E,DRE!AQ$7,T_REAL!$C:$C,DRE!$A121)+SUMIFS(Aut_Ajustes_Manuais!$G:$G,Aut_Ajustes_Manuais!$I:$I,DRE!AO$4,Aut_Ajustes_Manuais!$F:$F,"  -  Maitre")</f>
        <v/>
      </c>
      <c r="AR121" s="241">
        <f>SUMIFS($H121:$AO121,$H$5:$AO$5,"&lt;"&amp;MONTH(TODAY()),$H$6:$AO$6,"REAL 25")</f>
        <v/>
      </c>
      <c r="AS121" s="27">
        <f>SUMIFS($I121:$AP121,$I$5:$AP$5,"&lt;"&amp;MONTH(TODAY()),$I$6:$AP$6,"ORÇADO ")</f>
        <v/>
      </c>
      <c r="AT121" s="28">
        <f>SUMIFS($J121:$AQ121,$J$5:$AQ$5,"&lt;"&amp;MONTH(TODAY()),$J$6:$AQ$6,"REAL 26")</f>
        <v/>
      </c>
      <c r="AU121" s="241" t="n"/>
      <c r="AV121" s="27" t="n"/>
      <c r="AW121" s="28" t="n"/>
      <c r="AX121" s="241" t="n"/>
      <c r="AY121" s="27" t="n">
        <v>-8835.119999999999</v>
      </c>
      <c r="AZ121" s="28" t="n"/>
      <c r="BA121" s="241" t="n"/>
      <c r="BB121" s="27" t="n">
        <v>-9082.503359999999</v>
      </c>
      <c r="BC121" s="28" t="n"/>
      <c r="BD121" s="241" t="n"/>
      <c r="BE121" s="27" t="n">
        <v>-9206.195039999999</v>
      </c>
      <c r="BF121" s="28" t="n"/>
      <c r="BG121" s="241" t="n"/>
      <c r="BH121" s="27" t="n">
        <v>-9206.195039999999</v>
      </c>
      <c r="BI121" s="28" t="n"/>
    </row>
    <row r="122" hidden="1" outlineLevel="1" customFormat="1" s="498">
      <c r="A122" s="95" t="inlineStr">
        <is>
          <t xml:space="preserve">  -  Garçon III</t>
        </is>
      </c>
      <c r="B122" s="488" t="n"/>
      <c r="C122" s="24" t="n"/>
      <c r="D122" s="55" t="inlineStr">
        <is>
          <t>Salário Bruto com INSS Segurado dentro do valor</t>
        </is>
      </c>
      <c r="E122" s="87" t="n"/>
      <c r="F122" s="56" t="n"/>
      <c r="G122" s="33" t="n"/>
      <c r="H122" s="241" t="n"/>
      <c r="I122" s="27">
        <f>-SUMIFS(T_HEADCOUNT!$E:$E,T_HEADCOUNT!$C:$C,"-  Garçon III",T_HEADCOUNT!$D:$D,"1/2026",T_HEADCOUNT!$B:$B,"CLT")</f>
        <v/>
      </c>
      <c r="J122" s="28">
        <f>SUMIFS(T_REAL!$D:$D,T_REAL!$E:$E,DRE!J$7,T_REAL!$C:$C,DRE!$A122)+SUMIFS(Aut_Ajustes_Manuais!$G:$G,Aut_Ajustes_Manuais!$I:$I,DRE!H$4,Aut_Ajustes_Manuais!$F:$F,"  -  Garçon III")</f>
        <v/>
      </c>
      <c r="K122" s="241" t="n"/>
      <c r="L122" s="27">
        <f>-SUMIFS(T_HEADCOUNT!$E:$E,T_HEADCOUNT!$C:$C,"-  Garçon III",T_HEADCOUNT!$D:$D,"2/2026",T_HEADCOUNT!$B:$B,"CLT")</f>
        <v/>
      </c>
      <c r="M122" s="28">
        <f>SUMIFS(T_REAL!$D:$D,T_REAL!$E:$E,DRE!M$7,T_REAL!$C:$C,DRE!$A122)+SUMIFS(Aut_Ajustes_Manuais!$G:$G,Aut_Ajustes_Manuais!$I:$I,DRE!K$4,Aut_Ajustes_Manuais!$F:$F,"  -  Garçon III")</f>
        <v/>
      </c>
      <c r="N122" s="241" t="n"/>
      <c r="O122" s="27">
        <f>-SUMIFS(T_HEADCOUNT!$E:$E,T_HEADCOUNT!$C:$C,"-  Garçon III",T_HEADCOUNT!$D:$D,"3/2026",T_HEADCOUNT!$B:$B,"CLT")</f>
        <v/>
      </c>
      <c r="P122" s="28">
        <f>SUMIFS(T_REAL!$D:$D,T_REAL!$E:$E,DRE!P$7,T_REAL!$C:$C,DRE!$A122)+SUMIFS(Aut_Ajustes_Manuais!$G:$G,Aut_Ajustes_Manuais!$I:$I,DRE!N$4,Aut_Ajustes_Manuais!$F:$F,"  -  Garçon III")</f>
        <v/>
      </c>
      <c r="Q122" s="241" t="n"/>
      <c r="R122" s="27">
        <f>-SUMIFS(T_HEADCOUNT!$E:$E,T_HEADCOUNT!$C:$C,"-  Garçon III",T_HEADCOUNT!$D:$D,"4/2026",T_HEADCOUNT!$B:$B,"CLT")</f>
        <v/>
      </c>
      <c r="S122" s="28">
        <f>SUMIFS(T_REAL!$D:$D,T_REAL!$E:$E,DRE!S$7,T_REAL!$C:$C,DRE!$A122)+SUMIFS(Aut_Ajustes_Manuais!$G:$G,Aut_Ajustes_Manuais!$I:$I,DRE!Q$4,Aut_Ajustes_Manuais!$F:$F,"  -  Garçon III")</f>
        <v/>
      </c>
      <c r="T122" s="241" t="n"/>
      <c r="U122" s="27">
        <f>-SUMIFS(T_HEADCOUNT!$E:$E,T_HEADCOUNT!$C:$C,"-  Garçon III",T_HEADCOUNT!$D:$D,"5/2026",T_HEADCOUNT!$B:$B,"CLT")</f>
        <v/>
      </c>
      <c r="V122" s="28">
        <f>SUMIFS(T_REAL!$D:$D,T_REAL!$E:$E,DRE!V$7,T_REAL!$C:$C,DRE!$A122)+SUMIFS(Aut_Ajustes_Manuais!$G:$G,Aut_Ajustes_Manuais!$I:$I,DRE!T$4,Aut_Ajustes_Manuais!$F:$F,"  -  Garçon III")</f>
        <v/>
      </c>
      <c r="W122" s="241" t="n"/>
      <c r="X122" s="27">
        <f>-SUMIFS(T_HEADCOUNT!$E:$E,T_HEADCOUNT!$C:$C,"-  Garçon III",T_HEADCOUNT!$D:$D,"6/2026",T_HEADCOUNT!$B:$B,"CLT")</f>
        <v/>
      </c>
      <c r="Y122" s="28">
        <f>SUMIFS(T_REAL!$D:$D,T_REAL!$E:$E,DRE!Y$7,T_REAL!$C:$C,DRE!$A122)+SUMIFS(Aut_Ajustes_Manuais!$G:$G,Aut_Ajustes_Manuais!$I:$I,DRE!W$4,Aut_Ajustes_Manuais!$F:$F,"  -  Garçon III")</f>
        <v/>
      </c>
      <c r="Z122" s="241" t="n"/>
      <c r="AA122" s="27">
        <f>-SUMIFS(T_HEADCOUNT!$E:$E,T_HEADCOUNT!$C:$C,"-  Garçon III",T_HEADCOUNT!$D:$D,"7/2026",T_HEADCOUNT!$B:$B,"CLT")</f>
        <v/>
      </c>
      <c r="AB122" s="28">
        <f>SUMIFS(T_REAL!$D:$D,T_REAL!$E:$E,DRE!AB$7,T_REAL!$C:$C,DRE!$A122)+SUMIFS(Aut_Ajustes_Manuais!$G:$G,Aut_Ajustes_Manuais!$I:$I,DRE!Z$4,Aut_Ajustes_Manuais!$F:$F,"  -  Garçon III")</f>
        <v/>
      </c>
      <c r="AC122" s="241" t="n"/>
      <c r="AD122" s="27">
        <f>-SUMIFS(T_HEADCOUNT!$E:$E,T_HEADCOUNT!$C:$C,"-  Garçon III",T_HEADCOUNT!$D:$D,"8/2026",T_HEADCOUNT!$B:$B,"CLT")</f>
        <v/>
      </c>
      <c r="AE122" s="28">
        <f>SUMIFS(T_REAL!$D:$D,T_REAL!$E:$E,DRE!AE$7,T_REAL!$C:$C,DRE!$A122)+SUMIFS(Aut_Ajustes_Manuais!$G:$G,Aut_Ajustes_Manuais!$I:$I,DRE!AC$4,Aut_Ajustes_Manuais!$F:$F,"  -  Garçon III")</f>
        <v/>
      </c>
      <c r="AF122" s="241" t="n"/>
      <c r="AG122" s="27">
        <f>-SUMIFS(T_HEADCOUNT!$E:$E,T_HEADCOUNT!$C:$C,"-  Garçon III",T_HEADCOUNT!$D:$D,"9/2026",T_HEADCOUNT!$B:$B,"CLT")</f>
        <v/>
      </c>
      <c r="AH122" s="28">
        <f>SUMIFS(T_REAL!$D:$D,T_REAL!$E:$E,DRE!AH$7,T_REAL!$C:$C,DRE!$A122)+SUMIFS(Aut_Ajustes_Manuais!$G:$G,Aut_Ajustes_Manuais!$I:$I,DRE!AF$4,Aut_Ajustes_Manuais!$F:$F,"  -  Garçon III")</f>
        <v/>
      </c>
      <c r="AI122" s="241" t="n"/>
      <c r="AJ122" s="27">
        <f>-SUMIFS(T_HEADCOUNT!$E:$E,T_HEADCOUNT!$C:$C,"-  Garçon III",T_HEADCOUNT!$D:$D,"10/2026",T_HEADCOUNT!$B:$B,"CLT")</f>
        <v/>
      </c>
      <c r="AK122" s="28">
        <f>SUMIFS(T_REAL!$D:$D,T_REAL!$E:$E,DRE!AK$7,T_REAL!$C:$C,DRE!$A122)+SUMIFS(Aut_Ajustes_Manuais!$G:$G,Aut_Ajustes_Manuais!$I:$I,DRE!AI$4,Aut_Ajustes_Manuais!$F:$F,"  -  Garçon III")</f>
        <v/>
      </c>
      <c r="AL122" s="241" t="n"/>
      <c r="AM122" s="27">
        <f>-SUMIFS(T_HEADCOUNT!$E:$E,T_HEADCOUNT!$C:$C,"-  Garçon III",T_HEADCOUNT!$D:$D,"11/2026",T_HEADCOUNT!$B:$B,"CLT")</f>
        <v/>
      </c>
      <c r="AN122" s="28">
        <f>SUMIFS(T_REAL!$D:$D,T_REAL!$E:$E,DRE!AN$7,T_REAL!$C:$C,DRE!$A122)+SUMIFS(Aut_Ajustes_Manuais!$G:$G,Aut_Ajustes_Manuais!$I:$I,DRE!AL$4,Aut_Ajustes_Manuais!$F:$F,"  -  Garçon III")</f>
        <v/>
      </c>
      <c r="AO122" s="241" t="n"/>
      <c r="AP122" s="27">
        <f>-SUMIFS(T_HEADCOUNT!$E:$E,T_HEADCOUNT!$C:$C,"-  Garçon III",T_HEADCOUNT!$D:$D,"12/2026",T_HEADCOUNT!$B:$B,"CLT")</f>
        <v/>
      </c>
      <c r="AQ122" s="28">
        <f>SUMIFS(T_REAL!$D:$D,T_REAL!$E:$E,DRE!AQ$7,T_REAL!$C:$C,DRE!$A122)+SUMIFS(Aut_Ajustes_Manuais!$G:$G,Aut_Ajustes_Manuais!$I:$I,DRE!AO$4,Aut_Ajustes_Manuais!$F:$F,"  -  Garçon III")</f>
        <v/>
      </c>
      <c r="AR122" s="241">
        <f>SUMIFS($H122:$AO122,$H$5:$AO$5,"&lt;"&amp;MONTH(TODAY()),$H$6:$AO$6,"REAL 25")</f>
        <v/>
      </c>
      <c r="AS122" s="27">
        <f>SUMIFS($I122:$AP122,$I$5:$AP$5,"&lt;"&amp;MONTH(TODAY()),$I$6:$AP$6,"ORÇADO ")</f>
        <v/>
      </c>
      <c r="AT122" s="28">
        <f>SUMIFS($J122:$AQ122,$J$5:$AQ$5,"&lt;"&amp;MONTH(TODAY()),$J$6:$AQ$6,"REAL 26")</f>
        <v/>
      </c>
      <c r="AU122" s="241" t="n"/>
      <c r="AV122" s="27" t="n"/>
      <c r="AW122" s="28" t="n"/>
      <c r="AX122" s="241" t="n"/>
      <c r="AY122" s="27" t="n">
        <v>-19385.6</v>
      </c>
      <c r="AZ122" s="28" t="n"/>
      <c r="BA122" s="241" t="n"/>
      <c r="BB122" s="27" t="n">
        <v>-11794.19904</v>
      </c>
      <c r="BC122" s="28" t="n"/>
      <c r="BD122" s="241" t="n"/>
      <c r="BE122" s="27" t="n">
        <v>-12119.87712</v>
      </c>
      <c r="BF122" s="28" t="n"/>
      <c r="BG122" s="241" t="n"/>
      <c r="BH122" s="27" t="n">
        <v>-12119.87712</v>
      </c>
      <c r="BI122" s="28" t="n"/>
    </row>
    <row r="123" hidden="1" outlineLevel="1" customFormat="1" s="498">
      <c r="A123" s="95" t="inlineStr">
        <is>
          <t xml:space="preserve">  -  Garçon II</t>
        </is>
      </c>
      <c r="B123" s="488" t="n"/>
      <c r="C123" s="24" t="n"/>
      <c r="D123" s="55" t="inlineStr">
        <is>
          <t>Salário Bruto com INSS Segurado dentro do valor</t>
        </is>
      </c>
      <c r="E123" s="87" t="n"/>
      <c r="F123" s="56" t="n"/>
      <c r="G123" s="33" t="n"/>
      <c r="H123" s="241" t="n"/>
      <c r="I123" s="27">
        <f>-SUMIFS(T_HEADCOUNT!$E:$E,T_HEADCOUNT!$C:$C,"-  Garçon II",T_HEADCOUNT!$D:$D,"1/2026",T_HEADCOUNT!$B:$B,"CLT")</f>
        <v/>
      </c>
      <c r="J123" s="28">
        <f>SUMIFS(T_REAL!$D:$D,T_REAL!$E:$E,DRE!J$7,T_REAL!$C:$C,DRE!$A123)+SUMIFS(Aut_Ajustes_Manuais!$G:$G,Aut_Ajustes_Manuais!$I:$I,DRE!H$4,Aut_Ajustes_Manuais!$F:$F,"  -  Garçon II")</f>
        <v/>
      </c>
      <c r="K123" s="241" t="n"/>
      <c r="L123" s="27">
        <f>-SUMIFS(T_HEADCOUNT!$E:$E,T_HEADCOUNT!$C:$C,"-  Garçon II",T_HEADCOUNT!$D:$D,"2/2026",T_HEADCOUNT!$B:$B,"CLT")</f>
        <v/>
      </c>
      <c r="M123" s="28">
        <f>SUMIFS(T_REAL!$D:$D,T_REAL!$E:$E,DRE!M$7,T_REAL!$C:$C,DRE!$A123)+SUMIFS(Aut_Ajustes_Manuais!$G:$G,Aut_Ajustes_Manuais!$I:$I,DRE!K$4,Aut_Ajustes_Manuais!$F:$F,"  -  Garçon II")</f>
        <v/>
      </c>
      <c r="N123" s="241" t="n"/>
      <c r="O123" s="27">
        <f>-SUMIFS(T_HEADCOUNT!$E:$E,T_HEADCOUNT!$C:$C,"-  Garçon II",T_HEADCOUNT!$D:$D,"3/2026",T_HEADCOUNT!$B:$B,"CLT")</f>
        <v/>
      </c>
      <c r="P123" s="28">
        <f>SUMIFS(T_REAL!$D:$D,T_REAL!$E:$E,DRE!P$7,T_REAL!$C:$C,DRE!$A123)+SUMIFS(Aut_Ajustes_Manuais!$G:$G,Aut_Ajustes_Manuais!$I:$I,DRE!N$4,Aut_Ajustes_Manuais!$F:$F,"  -  Garçon II")</f>
        <v/>
      </c>
      <c r="Q123" s="241" t="n"/>
      <c r="R123" s="27">
        <f>-SUMIFS(T_HEADCOUNT!$E:$E,T_HEADCOUNT!$C:$C,"-  Garçon II",T_HEADCOUNT!$D:$D,"4/2026",T_HEADCOUNT!$B:$B,"CLT")</f>
        <v/>
      </c>
      <c r="S123" s="28">
        <f>SUMIFS(T_REAL!$D:$D,T_REAL!$E:$E,DRE!S$7,T_REAL!$C:$C,DRE!$A123)+SUMIFS(Aut_Ajustes_Manuais!$G:$G,Aut_Ajustes_Manuais!$I:$I,DRE!Q$4,Aut_Ajustes_Manuais!$F:$F,"  -  Garçon II")</f>
        <v/>
      </c>
      <c r="T123" s="241" t="n"/>
      <c r="U123" s="27">
        <f>-SUMIFS(T_HEADCOUNT!$E:$E,T_HEADCOUNT!$C:$C,"-  Garçon II",T_HEADCOUNT!$D:$D,"5/2026",T_HEADCOUNT!$B:$B,"CLT")</f>
        <v/>
      </c>
      <c r="V123" s="28">
        <f>SUMIFS(T_REAL!$D:$D,T_REAL!$E:$E,DRE!V$7,T_REAL!$C:$C,DRE!$A123)+SUMIFS(Aut_Ajustes_Manuais!$G:$G,Aut_Ajustes_Manuais!$I:$I,DRE!T$4,Aut_Ajustes_Manuais!$F:$F,"  -  Garçon II")</f>
        <v/>
      </c>
      <c r="W123" s="241" t="n"/>
      <c r="X123" s="27">
        <f>-SUMIFS(T_HEADCOUNT!$E:$E,T_HEADCOUNT!$C:$C,"-  Garçon II",T_HEADCOUNT!$D:$D,"6/2026",T_HEADCOUNT!$B:$B,"CLT")</f>
        <v/>
      </c>
      <c r="Y123" s="28">
        <f>SUMIFS(T_REAL!$D:$D,T_REAL!$E:$E,DRE!Y$7,T_REAL!$C:$C,DRE!$A123)+SUMIFS(Aut_Ajustes_Manuais!$G:$G,Aut_Ajustes_Manuais!$I:$I,DRE!W$4,Aut_Ajustes_Manuais!$F:$F,"  -  Garçon II")</f>
        <v/>
      </c>
      <c r="Z123" s="241" t="n"/>
      <c r="AA123" s="27">
        <f>-SUMIFS(T_HEADCOUNT!$E:$E,T_HEADCOUNT!$C:$C,"-  Garçon II",T_HEADCOUNT!$D:$D,"7/2026",T_HEADCOUNT!$B:$B,"CLT")</f>
        <v/>
      </c>
      <c r="AB123" s="28">
        <f>SUMIFS(T_REAL!$D:$D,T_REAL!$E:$E,DRE!AB$7,T_REAL!$C:$C,DRE!$A123)+SUMIFS(Aut_Ajustes_Manuais!$G:$G,Aut_Ajustes_Manuais!$I:$I,DRE!Z$4,Aut_Ajustes_Manuais!$F:$F,"  -  Garçon II")</f>
        <v/>
      </c>
      <c r="AC123" s="241" t="n"/>
      <c r="AD123" s="27">
        <f>-SUMIFS(T_HEADCOUNT!$E:$E,T_HEADCOUNT!$C:$C,"-  Garçon II",T_HEADCOUNT!$D:$D,"8/2026",T_HEADCOUNT!$B:$B,"CLT")</f>
        <v/>
      </c>
      <c r="AE123" s="28">
        <f>SUMIFS(T_REAL!$D:$D,T_REAL!$E:$E,DRE!AE$7,T_REAL!$C:$C,DRE!$A123)+SUMIFS(Aut_Ajustes_Manuais!$G:$G,Aut_Ajustes_Manuais!$I:$I,DRE!AC$4,Aut_Ajustes_Manuais!$F:$F,"  -  Garçon II")</f>
        <v/>
      </c>
      <c r="AF123" s="241" t="n"/>
      <c r="AG123" s="27">
        <f>-SUMIFS(T_HEADCOUNT!$E:$E,T_HEADCOUNT!$C:$C,"-  Garçon II",T_HEADCOUNT!$D:$D,"9/2026",T_HEADCOUNT!$B:$B,"CLT")</f>
        <v/>
      </c>
      <c r="AH123" s="28">
        <f>SUMIFS(T_REAL!$D:$D,T_REAL!$E:$E,DRE!AH$7,T_REAL!$C:$C,DRE!$A123)+SUMIFS(Aut_Ajustes_Manuais!$G:$G,Aut_Ajustes_Manuais!$I:$I,DRE!AF$4,Aut_Ajustes_Manuais!$F:$F,"  -  Garçon II")</f>
        <v/>
      </c>
      <c r="AI123" s="241" t="n"/>
      <c r="AJ123" s="27">
        <f>-SUMIFS(T_HEADCOUNT!$E:$E,T_HEADCOUNT!$C:$C,"-  Garçon II",T_HEADCOUNT!$D:$D,"10/2026",T_HEADCOUNT!$B:$B,"CLT")</f>
        <v/>
      </c>
      <c r="AK123" s="28">
        <f>SUMIFS(T_REAL!$D:$D,T_REAL!$E:$E,DRE!AK$7,T_REAL!$C:$C,DRE!$A123)+SUMIFS(Aut_Ajustes_Manuais!$G:$G,Aut_Ajustes_Manuais!$I:$I,DRE!AI$4,Aut_Ajustes_Manuais!$F:$F,"  -  Garçon II")</f>
        <v/>
      </c>
      <c r="AL123" s="241" t="n"/>
      <c r="AM123" s="27">
        <f>-SUMIFS(T_HEADCOUNT!$E:$E,T_HEADCOUNT!$C:$C,"-  Garçon II",T_HEADCOUNT!$D:$D,"11/2026",T_HEADCOUNT!$B:$B,"CLT")</f>
        <v/>
      </c>
      <c r="AN123" s="28">
        <f>SUMIFS(T_REAL!$D:$D,T_REAL!$E:$E,DRE!AN$7,T_REAL!$C:$C,DRE!$A123)+SUMIFS(Aut_Ajustes_Manuais!$G:$G,Aut_Ajustes_Manuais!$I:$I,DRE!AL$4,Aut_Ajustes_Manuais!$F:$F,"  -  Garçon II")</f>
        <v/>
      </c>
      <c r="AO123" s="241" t="n"/>
      <c r="AP123" s="27">
        <f>-SUMIFS(T_HEADCOUNT!$E:$E,T_HEADCOUNT!$C:$C,"-  Garçon II",T_HEADCOUNT!$D:$D,"12/2026",T_HEADCOUNT!$B:$B,"CLT")</f>
        <v/>
      </c>
      <c r="AQ123" s="28">
        <f>SUMIFS(T_REAL!$D:$D,T_REAL!$E:$E,DRE!AQ$7,T_REAL!$C:$C,DRE!$A123)+SUMIFS(Aut_Ajustes_Manuais!$G:$G,Aut_Ajustes_Manuais!$I:$I,DRE!AO$4,Aut_Ajustes_Manuais!$F:$F,"  -  Garçon II")</f>
        <v/>
      </c>
      <c r="AR123" s="241">
        <f>SUMIFS($H123:$AO123,$H$5:$AO$5,"&lt;"&amp;MONTH(TODAY()),$H$6:$AO$6,"REAL 25")</f>
        <v/>
      </c>
      <c r="AS123" s="27">
        <f>SUMIFS($I123:$AP123,$I$5:$AP$5,"&lt;"&amp;MONTH(TODAY()),$I$6:$AP$6,"ORÇADO ")</f>
        <v/>
      </c>
      <c r="AT123" s="28">
        <f>SUMIFS($J123:$AQ123,$J$5:$AQ$5,"&lt;"&amp;MONTH(TODAY()),$J$6:$AQ$6,"REAL 26")</f>
        <v/>
      </c>
      <c r="AU123" s="241" t="n"/>
      <c r="AV123" s="27" t="n"/>
      <c r="AW123" s="28" t="n"/>
      <c r="AX123" s="241" t="n"/>
      <c r="AY123" s="27" t="n">
        <v>-8478.200000000001</v>
      </c>
      <c r="AZ123" s="28" t="n"/>
      <c r="BA123" s="241" t="n"/>
      <c r="BB123" s="27" t="n">
        <v>-12895.3422</v>
      </c>
      <c r="BC123" s="28" t="n"/>
      <c r="BD123" s="241" t="n"/>
      <c r="BE123" s="27" t="n">
        <v>-13251.4266</v>
      </c>
      <c r="BF123" s="28" t="n"/>
      <c r="BG123" s="241" t="n"/>
      <c r="BH123" s="27" t="n">
        <v>-13251.4266</v>
      </c>
      <c r="BI123" s="28" t="n"/>
    </row>
    <row r="124" hidden="1" outlineLevel="1" customFormat="1" s="498">
      <c r="A124" s="95" t="inlineStr">
        <is>
          <t xml:space="preserve">  -  Garçon I</t>
        </is>
      </c>
      <c r="B124" s="488" t="n"/>
      <c r="C124" s="24" t="n"/>
      <c r="D124" s="55" t="inlineStr">
        <is>
          <t>Salário Bruto com INSS Segurado dentro do valor</t>
        </is>
      </c>
      <c r="E124" s="87" t="n"/>
      <c r="F124" s="56" t="n"/>
      <c r="G124" s="33" t="n"/>
      <c r="H124" s="241" t="n"/>
      <c r="I124" s="27">
        <f>-SUMIFS(T_HEADCOUNT!$E:$E,T_HEADCOUNT!$C:$C,"-  Garçon I",T_HEADCOUNT!$D:$D,"1/2026",T_HEADCOUNT!$B:$B,"CLT")</f>
        <v/>
      </c>
      <c r="J124" s="28">
        <f>SUMIFS(T_REAL!$D:$D,T_REAL!$E:$E,DRE!J$7,T_REAL!$C:$C,DRE!$A124)+SUMIFS(Aut_Ajustes_Manuais!$G:$G,Aut_Ajustes_Manuais!$I:$I,DRE!H$4,Aut_Ajustes_Manuais!$F:$F,"  -  Garçon I")</f>
        <v/>
      </c>
      <c r="K124" s="241" t="n"/>
      <c r="L124" s="27">
        <f>-SUMIFS(T_HEADCOUNT!$E:$E,T_HEADCOUNT!$C:$C,"-  Garçon I",T_HEADCOUNT!$D:$D,"2/2026",T_HEADCOUNT!$B:$B,"CLT")</f>
        <v/>
      </c>
      <c r="M124" s="28">
        <f>SUMIFS(T_REAL!$D:$D,T_REAL!$E:$E,DRE!M$7,T_REAL!$C:$C,DRE!$A124)+SUMIFS(Aut_Ajustes_Manuais!$G:$G,Aut_Ajustes_Manuais!$I:$I,DRE!K$4,Aut_Ajustes_Manuais!$F:$F,"  -  Garçon I")</f>
        <v/>
      </c>
      <c r="N124" s="241" t="n"/>
      <c r="O124" s="27">
        <f>-SUMIFS(T_HEADCOUNT!$E:$E,T_HEADCOUNT!$C:$C,"-  Garçon I",T_HEADCOUNT!$D:$D,"3/2026",T_HEADCOUNT!$B:$B,"CLT")</f>
        <v/>
      </c>
      <c r="P124" s="28">
        <f>SUMIFS(T_REAL!$D:$D,T_REAL!$E:$E,DRE!P$7,T_REAL!$C:$C,DRE!$A124)+SUMIFS(Aut_Ajustes_Manuais!$G:$G,Aut_Ajustes_Manuais!$I:$I,DRE!N$4,Aut_Ajustes_Manuais!$F:$F,"  -  Garçon I")</f>
        <v/>
      </c>
      <c r="Q124" s="241" t="n"/>
      <c r="R124" s="27">
        <f>-SUMIFS(T_HEADCOUNT!$E:$E,T_HEADCOUNT!$C:$C,"-  Garçon I",T_HEADCOUNT!$D:$D,"4/2026",T_HEADCOUNT!$B:$B,"CLT")</f>
        <v/>
      </c>
      <c r="S124" s="28">
        <f>SUMIFS(T_REAL!$D:$D,T_REAL!$E:$E,DRE!S$7,T_REAL!$C:$C,DRE!$A124)+SUMIFS(Aut_Ajustes_Manuais!$G:$G,Aut_Ajustes_Manuais!$I:$I,DRE!Q$4,Aut_Ajustes_Manuais!$F:$F,"  -  Garçon I")</f>
        <v/>
      </c>
      <c r="T124" s="241" t="n"/>
      <c r="U124" s="27">
        <f>-SUMIFS(T_HEADCOUNT!$E:$E,T_HEADCOUNT!$C:$C,"-  Garçon I",T_HEADCOUNT!$D:$D,"5/2026",T_HEADCOUNT!$B:$B,"CLT")</f>
        <v/>
      </c>
      <c r="V124" s="28">
        <f>SUMIFS(T_REAL!$D:$D,T_REAL!$E:$E,DRE!V$7,T_REAL!$C:$C,DRE!$A124)+SUMIFS(Aut_Ajustes_Manuais!$G:$G,Aut_Ajustes_Manuais!$I:$I,DRE!T$4,Aut_Ajustes_Manuais!$F:$F,"  -  Garçon I")</f>
        <v/>
      </c>
      <c r="W124" s="241" t="n"/>
      <c r="X124" s="27">
        <f>-SUMIFS(T_HEADCOUNT!$E:$E,T_HEADCOUNT!$C:$C,"-  Garçon I",T_HEADCOUNT!$D:$D,"6/2026",T_HEADCOUNT!$B:$B,"CLT")</f>
        <v/>
      </c>
      <c r="Y124" s="28">
        <f>SUMIFS(T_REAL!$D:$D,T_REAL!$E:$E,DRE!Y$7,T_REAL!$C:$C,DRE!$A124)+SUMIFS(Aut_Ajustes_Manuais!$G:$G,Aut_Ajustes_Manuais!$I:$I,DRE!W$4,Aut_Ajustes_Manuais!$F:$F,"  -  Garçon I")</f>
        <v/>
      </c>
      <c r="Z124" s="241" t="n"/>
      <c r="AA124" s="27">
        <f>-SUMIFS(T_HEADCOUNT!$E:$E,T_HEADCOUNT!$C:$C,"-  Garçon I",T_HEADCOUNT!$D:$D,"7/2026",T_HEADCOUNT!$B:$B,"CLT")</f>
        <v/>
      </c>
      <c r="AB124" s="28">
        <f>SUMIFS(T_REAL!$D:$D,T_REAL!$E:$E,DRE!AB$7,T_REAL!$C:$C,DRE!$A124)+SUMIFS(Aut_Ajustes_Manuais!$G:$G,Aut_Ajustes_Manuais!$I:$I,DRE!Z$4,Aut_Ajustes_Manuais!$F:$F,"  -  Garçon I")</f>
        <v/>
      </c>
      <c r="AC124" s="241" t="n"/>
      <c r="AD124" s="27">
        <f>-SUMIFS(T_HEADCOUNT!$E:$E,T_HEADCOUNT!$C:$C,"-  Garçon I",T_HEADCOUNT!$D:$D,"8/2026",T_HEADCOUNT!$B:$B,"CLT")</f>
        <v/>
      </c>
      <c r="AE124" s="28">
        <f>SUMIFS(T_REAL!$D:$D,T_REAL!$E:$E,DRE!AE$7,T_REAL!$C:$C,DRE!$A124)+SUMIFS(Aut_Ajustes_Manuais!$G:$G,Aut_Ajustes_Manuais!$I:$I,DRE!AC$4,Aut_Ajustes_Manuais!$F:$F,"  -  Garçon I")</f>
        <v/>
      </c>
      <c r="AF124" s="241" t="n"/>
      <c r="AG124" s="27">
        <f>-SUMIFS(T_HEADCOUNT!$E:$E,T_HEADCOUNT!$C:$C,"-  Garçon I",T_HEADCOUNT!$D:$D,"9/2026",T_HEADCOUNT!$B:$B,"CLT")</f>
        <v/>
      </c>
      <c r="AH124" s="28">
        <f>SUMIFS(T_REAL!$D:$D,T_REAL!$E:$E,DRE!AH$7,T_REAL!$C:$C,DRE!$A124)+SUMIFS(Aut_Ajustes_Manuais!$G:$G,Aut_Ajustes_Manuais!$I:$I,DRE!AF$4,Aut_Ajustes_Manuais!$F:$F,"  -  Garçon I")</f>
        <v/>
      </c>
      <c r="AI124" s="241" t="n"/>
      <c r="AJ124" s="27">
        <f>-SUMIFS(T_HEADCOUNT!$E:$E,T_HEADCOUNT!$C:$C,"-  Garçon I",T_HEADCOUNT!$D:$D,"10/2026",T_HEADCOUNT!$B:$B,"CLT")</f>
        <v/>
      </c>
      <c r="AK124" s="28">
        <f>SUMIFS(T_REAL!$D:$D,T_REAL!$E:$E,DRE!AK$7,T_REAL!$C:$C,DRE!$A124)+SUMIFS(Aut_Ajustes_Manuais!$G:$G,Aut_Ajustes_Manuais!$I:$I,DRE!AI$4,Aut_Ajustes_Manuais!$F:$F,"  -  Garçon I")</f>
        <v/>
      </c>
      <c r="AL124" s="241" t="n"/>
      <c r="AM124" s="27">
        <f>-SUMIFS(T_HEADCOUNT!$E:$E,T_HEADCOUNT!$C:$C,"-  Garçon I",T_HEADCOUNT!$D:$D,"11/2026",T_HEADCOUNT!$B:$B,"CLT")</f>
        <v/>
      </c>
      <c r="AN124" s="28">
        <f>SUMIFS(T_REAL!$D:$D,T_REAL!$E:$E,DRE!AN$7,T_REAL!$C:$C,DRE!$A124)+SUMIFS(Aut_Ajustes_Manuais!$G:$G,Aut_Ajustes_Manuais!$I:$I,DRE!AL$4,Aut_Ajustes_Manuais!$F:$F,"  -  Garçon I")</f>
        <v/>
      </c>
      <c r="AO124" s="241" t="n"/>
      <c r="AP124" s="27">
        <f>-SUMIFS(T_HEADCOUNT!$E:$E,T_HEADCOUNT!$C:$C,"-  Garçon I",T_HEADCOUNT!$D:$D,"12/2026",T_HEADCOUNT!$B:$B,"CLT")</f>
        <v/>
      </c>
      <c r="AQ124" s="28">
        <f>SUMIFS(T_REAL!$D:$D,T_REAL!$E:$E,DRE!AQ$7,T_REAL!$C:$C,DRE!$A124)+SUMIFS(Aut_Ajustes_Manuais!$G:$G,Aut_Ajustes_Manuais!$I:$I,DRE!AO$4,Aut_Ajustes_Manuais!$F:$F,"  -  Garçon I")</f>
        <v/>
      </c>
      <c r="AR124" s="241">
        <f>SUMIFS($H124:$AO124,$H$5:$AO$5,"&lt;"&amp;MONTH(TODAY()),$H$6:$AO$6,"REAL 25")</f>
        <v/>
      </c>
      <c r="AS124" s="27">
        <f>SUMIFS($I124:$AP124,$I$5:$AP$5,"&lt;"&amp;MONTH(TODAY()),$I$6:$AP$6,"ORÇADO ")</f>
        <v/>
      </c>
      <c r="AT124" s="28">
        <f>SUMIFS($J124:$AQ124,$J$5:$AQ$5,"&lt;"&amp;MONTH(TODAY()),$J$6:$AQ$6,"REAL 26")</f>
        <v/>
      </c>
      <c r="AU124" s="241" t="n"/>
      <c r="AV124" s="27" t="n"/>
      <c r="AW124" s="28" t="n"/>
      <c r="AX124" s="241" t="n"/>
      <c r="AY124" s="27" t="n">
        <v>-12769.4</v>
      </c>
      <c r="AZ124" s="28" t="n"/>
      <c r="BA124" s="241" t="n"/>
      <c r="BB124" s="27" t="n">
        <v>-15537.80592</v>
      </c>
      <c r="BC124" s="28" t="n"/>
      <c r="BD124" s="241" t="n"/>
      <c r="BE124" s="27" t="n">
        <v>-15966.85776</v>
      </c>
      <c r="BF124" s="28" t="n"/>
      <c r="BG124" s="241" t="n"/>
      <c r="BH124" s="27" t="n">
        <v>-15966.85776</v>
      </c>
      <c r="BI124" s="28" t="n"/>
    </row>
    <row r="125" hidden="1" outlineLevel="1" customFormat="1" s="498">
      <c r="A125" s="95" t="inlineStr">
        <is>
          <t xml:space="preserve">  -  Passador de Chopp</t>
        </is>
      </c>
      <c r="B125" s="488" t="n"/>
      <c r="C125" s="24" t="n"/>
      <c r="D125" s="55" t="inlineStr">
        <is>
          <t>Salário Bruto com INSS Segurado dentro do valor</t>
        </is>
      </c>
      <c r="E125" s="87" t="n"/>
      <c r="F125" s="56" t="n"/>
      <c r="G125" s="33" t="n"/>
      <c r="H125" s="241" t="n"/>
      <c r="I125" s="27">
        <f>-SUMIFS(T_HEADCOUNT!$E:$E,T_HEADCOUNT!$C:$C,"-  Passador de Chopp",T_HEADCOUNT!$D:$D,"1/2026",T_HEADCOUNT!$B:$B,"CLT")</f>
        <v/>
      </c>
      <c r="J125" s="28">
        <f>SUMIFS(T_REAL!$D:$D,T_REAL!$E:$E,DRE!J$7,T_REAL!$C:$C,DRE!$A125)+SUMIFS(Aut_Ajustes_Manuais!$G:$G,Aut_Ajustes_Manuais!$I:$I,DRE!H$4,Aut_Ajustes_Manuais!$F:$F,"  -  Passador de Chopp")</f>
        <v/>
      </c>
      <c r="K125" s="241" t="n"/>
      <c r="L125" s="27">
        <f>-SUMIFS(T_HEADCOUNT!$E:$E,T_HEADCOUNT!$C:$C,"-  Passador de Chopp",T_HEADCOUNT!$D:$D,"2/2026",T_HEADCOUNT!$B:$B,"CLT")</f>
        <v/>
      </c>
      <c r="M125" s="28">
        <f>SUMIFS(T_REAL!$D:$D,T_REAL!$E:$E,DRE!M$7,T_REAL!$C:$C,DRE!$A125)+SUMIFS(Aut_Ajustes_Manuais!$G:$G,Aut_Ajustes_Manuais!$I:$I,DRE!K$4,Aut_Ajustes_Manuais!$F:$F,"  -  Passador de Chopp")</f>
        <v/>
      </c>
      <c r="N125" s="241" t="n"/>
      <c r="O125" s="27">
        <f>-SUMIFS(T_HEADCOUNT!$E:$E,T_HEADCOUNT!$C:$C,"-  Passador de Chopp",T_HEADCOUNT!$D:$D,"3/2026",T_HEADCOUNT!$B:$B,"CLT")</f>
        <v/>
      </c>
      <c r="P125" s="28">
        <f>SUMIFS(T_REAL!$D:$D,T_REAL!$E:$E,DRE!P$7,T_REAL!$C:$C,DRE!$A125)+SUMIFS(Aut_Ajustes_Manuais!$G:$G,Aut_Ajustes_Manuais!$I:$I,DRE!N$4,Aut_Ajustes_Manuais!$F:$F,"  -  Passador de Chopp")</f>
        <v/>
      </c>
      <c r="Q125" s="241" t="n"/>
      <c r="R125" s="27">
        <f>-SUMIFS(T_HEADCOUNT!$E:$E,T_HEADCOUNT!$C:$C,"-  Passador de Chopp",T_HEADCOUNT!$D:$D,"4/2026",T_HEADCOUNT!$B:$B,"CLT")</f>
        <v/>
      </c>
      <c r="S125" s="28">
        <f>SUMIFS(T_REAL!$D:$D,T_REAL!$E:$E,DRE!S$7,T_REAL!$C:$C,DRE!$A125)+SUMIFS(Aut_Ajustes_Manuais!$G:$G,Aut_Ajustes_Manuais!$I:$I,DRE!Q$4,Aut_Ajustes_Manuais!$F:$F,"  -  Passador de Chopp")</f>
        <v/>
      </c>
      <c r="T125" s="241" t="n"/>
      <c r="U125" s="27">
        <f>-SUMIFS(T_HEADCOUNT!$E:$E,T_HEADCOUNT!$C:$C,"-  Passador de Chopp",T_HEADCOUNT!$D:$D,"5/2026",T_HEADCOUNT!$B:$B,"CLT")</f>
        <v/>
      </c>
      <c r="V125" s="28">
        <f>SUMIFS(T_REAL!$D:$D,T_REAL!$E:$E,DRE!V$7,T_REAL!$C:$C,DRE!$A125)+SUMIFS(Aut_Ajustes_Manuais!$G:$G,Aut_Ajustes_Manuais!$I:$I,DRE!T$4,Aut_Ajustes_Manuais!$F:$F,"  -  Passador de Chopp")</f>
        <v/>
      </c>
      <c r="W125" s="241" t="n"/>
      <c r="X125" s="27">
        <f>-SUMIFS(T_HEADCOUNT!$E:$E,T_HEADCOUNT!$C:$C,"-  Passador de Chopp",T_HEADCOUNT!$D:$D,"6/2026",T_HEADCOUNT!$B:$B,"CLT")</f>
        <v/>
      </c>
      <c r="Y125" s="28">
        <f>SUMIFS(T_REAL!$D:$D,T_REAL!$E:$E,DRE!Y$7,T_REAL!$C:$C,DRE!$A125)+SUMIFS(Aut_Ajustes_Manuais!$G:$G,Aut_Ajustes_Manuais!$I:$I,DRE!W$4,Aut_Ajustes_Manuais!$F:$F,"  -  Passador de Chopp")</f>
        <v/>
      </c>
      <c r="Z125" s="241" t="n"/>
      <c r="AA125" s="27">
        <f>-SUMIFS(T_HEADCOUNT!$E:$E,T_HEADCOUNT!$C:$C,"-  Passador de Chopp",T_HEADCOUNT!$D:$D,"7/2026",T_HEADCOUNT!$B:$B,"CLT")</f>
        <v/>
      </c>
      <c r="AB125" s="28">
        <f>SUMIFS(T_REAL!$D:$D,T_REAL!$E:$E,DRE!AB$7,T_REAL!$C:$C,DRE!$A125)+SUMIFS(Aut_Ajustes_Manuais!$G:$G,Aut_Ajustes_Manuais!$I:$I,DRE!Z$4,Aut_Ajustes_Manuais!$F:$F,"  -  Passador de Chopp")</f>
        <v/>
      </c>
      <c r="AC125" s="241" t="n"/>
      <c r="AD125" s="27">
        <f>-SUMIFS(T_HEADCOUNT!$E:$E,T_HEADCOUNT!$C:$C,"-  Passador de Chopp",T_HEADCOUNT!$D:$D,"8/2026",T_HEADCOUNT!$B:$B,"CLT")</f>
        <v/>
      </c>
      <c r="AE125" s="28">
        <f>SUMIFS(T_REAL!$D:$D,T_REAL!$E:$E,DRE!AE$7,T_REAL!$C:$C,DRE!$A125)+SUMIFS(Aut_Ajustes_Manuais!$G:$G,Aut_Ajustes_Manuais!$I:$I,DRE!AC$4,Aut_Ajustes_Manuais!$F:$F,"  -  Passador de Chopp")</f>
        <v/>
      </c>
      <c r="AF125" s="241" t="n"/>
      <c r="AG125" s="27">
        <f>-SUMIFS(T_HEADCOUNT!$E:$E,T_HEADCOUNT!$C:$C,"-  Passador de Chopp",T_HEADCOUNT!$D:$D,"9/2026",T_HEADCOUNT!$B:$B,"CLT")</f>
        <v/>
      </c>
      <c r="AH125" s="28">
        <f>SUMIFS(T_REAL!$D:$D,T_REAL!$E:$E,DRE!AH$7,T_REAL!$C:$C,DRE!$A125)+SUMIFS(Aut_Ajustes_Manuais!$G:$G,Aut_Ajustes_Manuais!$I:$I,DRE!AF$4,Aut_Ajustes_Manuais!$F:$F,"  -  Passador de Chopp")</f>
        <v/>
      </c>
      <c r="AI125" s="241" t="n"/>
      <c r="AJ125" s="27">
        <f>-SUMIFS(T_HEADCOUNT!$E:$E,T_HEADCOUNT!$C:$C,"-  Passador de Chopp",T_HEADCOUNT!$D:$D,"10/2026",T_HEADCOUNT!$B:$B,"CLT")</f>
        <v/>
      </c>
      <c r="AK125" s="28">
        <f>SUMIFS(T_REAL!$D:$D,T_REAL!$E:$E,DRE!AK$7,T_REAL!$C:$C,DRE!$A125)+SUMIFS(Aut_Ajustes_Manuais!$G:$G,Aut_Ajustes_Manuais!$I:$I,DRE!AI$4,Aut_Ajustes_Manuais!$F:$F,"  -  Passador de Chopp")</f>
        <v/>
      </c>
      <c r="AL125" s="241" t="n"/>
      <c r="AM125" s="27">
        <f>-SUMIFS(T_HEADCOUNT!$E:$E,T_HEADCOUNT!$C:$C,"-  Passador de Chopp",T_HEADCOUNT!$D:$D,"11/2026",T_HEADCOUNT!$B:$B,"CLT")</f>
        <v/>
      </c>
      <c r="AN125" s="28">
        <f>SUMIFS(T_REAL!$D:$D,T_REAL!$E:$E,DRE!AN$7,T_REAL!$C:$C,DRE!$A125)+SUMIFS(Aut_Ajustes_Manuais!$G:$G,Aut_Ajustes_Manuais!$I:$I,DRE!AL$4,Aut_Ajustes_Manuais!$F:$F,"  -  Passador de Chopp")</f>
        <v/>
      </c>
      <c r="AO125" s="241" t="n"/>
      <c r="AP125" s="27">
        <f>-SUMIFS(T_HEADCOUNT!$E:$E,T_HEADCOUNT!$C:$C,"-  Passador de Chopp",T_HEADCOUNT!$D:$D,"12/2026",T_HEADCOUNT!$B:$B,"CLT")</f>
        <v/>
      </c>
      <c r="AQ125" s="28">
        <f>SUMIFS(T_REAL!$D:$D,T_REAL!$E:$E,DRE!AQ$7,T_REAL!$C:$C,DRE!$A125)+SUMIFS(Aut_Ajustes_Manuais!$G:$G,Aut_Ajustes_Manuais!$I:$I,DRE!AO$4,Aut_Ajustes_Manuais!$F:$F,"  -  Passador de Chopp")</f>
        <v/>
      </c>
      <c r="AR125" s="241">
        <f>SUMIFS($H125:$AO125,$H$5:$AO$5,"&lt;"&amp;MONTH(TODAY()),$H$6:$AO$6,"REAL 25")</f>
        <v/>
      </c>
      <c r="AS125" s="27">
        <f>SUMIFS($I125:$AP125,$I$5:$AP$5,"&lt;"&amp;MONTH(TODAY()),$I$6:$AP$6,"ORÇADO ")</f>
        <v/>
      </c>
      <c r="AT125" s="28">
        <f>SUMIFS($J125:$AQ125,$J$5:$AQ$5,"&lt;"&amp;MONTH(TODAY()),$J$6:$AQ$6,"REAL 26")</f>
        <v/>
      </c>
      <c r="AU125" s="241" t="n"/>
      <c r="AV125" s="27" t="n"/>
      <c r="AW125" s="28" t="n"/>
      <c r="AX125" s="241" t="n"/>
      <c r="AY125" s="27" t="n">
        <v>0</v>
      </c>
      <c r="AZ125" s="28" t="n"/>
      <c r="BA125" s="241" t="n"/>
      <c r="BB125" s="27" t="n">
        <v>0</v>
      </c>
      <c r="BC125" s="28" t="n"/>
      <c r="BD125" s="241" t="n"/>
      <c r="BE125" s="27" t="n">
        <v>0</v>
      </c>
      <c r="BF125" s="28" t="n"/>
      <c r="BG125" s="241" t="n"/>
      <c r="BH125" s="27" t="n">
        <v>0</v>
      </c>
      <c r="BI125" s="28" t="n"/>
    </row>
    <row r="126" hidden="1" outlineLevel="1" customFormat="1" s="498">
      <c r="A126" s="95" t="inlineStr">
        <is>
          <t xml:space="preserve">  -  Cumin</t>
        </is>
      </c>
      <c r="B126" s="488" t="n"/>
      <c r="C126" s="24" t="n"/>
      <c r="D126" s="55" t="inlineStr">
        <is>
          <t>Salário Bruto com INSS Segurado dentro do valor</t>
        </is>
      </c>
      <c r="E126" s="87" t="n"/>
      <c r="F126" s="56" t="n"/>
      <c r="G126" s="33" t="n"/>
      <c r="H126" s="241" t="n"/>
      <c r="I126" s="27">
        <f>-SUMIFS(T_HEADCOUNT!$E:$E,T_HEADCOUNT!$C:$C,"-  Cumin",T_HEADCOUNT!$D:$D,"1/2026",T_HEADCOUNT!$B:$B,"CLT")</f>
        <v/>
      </c>
      <c r="J126" s="28">
        <f>SUMIFS(T_REAL!$D:$D,T_REAL!$E:$E,DRE!J$7,T_REAL!$C:$C,DRE!$A126)+SUMIFS(Aut_Ajustes_Manuais!$G:$G,Aut_Ajustes_Manuais!$I:$I,DRE!H$4,Aut_Ajustes_Manuais!$F:$F,"  -  Cumin")</f>
        <v/>
      </c>
      <c r="K126" s="241" t="n"/>
      <c r="L126" s="27">
        <f>-SUMIFS(T_HEADCOUNT!$E:$E,T_HEADCOUNT!$C:$C,"-  Cumin",T_HEADCOUNT!$D:$D,"2/2026",T_HEADCOUNT!$B:$B,"CLT")</f>
        <v/>
      </c>
      <c r="M126" s="28">
        <f>SUMIFS(T_REAL!$D:$D,T_REAL!$E:$E,DRE!M$7,T_REAL!$C:$C,DRE!$A126)+SUMIFS(Aut_Ajustes_Manuais!$G:$G,Aut_Ajustes_Manuais!$I:$I,DRE!K$4,Aut_Ajustes_Manuais!$F:$F,"  -  Cumin")</f>
        <v/>
      </c>
      <c r="N126" s="241" t="n"/>
      <c r="O126" s="27">
        <f>-SUMIFS(T_HEADCOUNT!$E:$E,T_HEADCOUNT!$C:$C,"-  Cumin",T_HEADCOUNT!$D:$D,"3/2026",T_HEADCOUNT!$B:$B,"CLT")</f>
        <v/>
      </c>
      <c r="P126" s="28">
        <f>SUMIFS(T_REAL!$D:$D,T_REAL!$E:$E,DRE!P$7,T_REAL!$C:$C,DRE!$A126)+SUMIFS(Aut_Ajustes_Manuais!$G:$G,Aut_Ajustes_Manuais!$I:$I,DRE!N$4,Aut_Ajustes_Manuais!$F:$F,"  -  Cumin")</f>
        <v/>
      </c>
      <c r="Q126" s="241" t="n"/>
      <c r="R126" s="27">
        <f>-SUMIFS(T_HEADCOUNT!$E:$E,T_HEADCOUNT!$C:$C,"-  Cumin",T_HEADCOUNT!$D:$D,"4/2026",T_HEADCOUNT!$B:$B,"CLT")</f>
        <v/>
      </c>
      <c r="S126" s="28">
        <f>SUMIFS(T_REAL!$D:$D,T_REAL!$E:$E,DRE!S$7,T_REAL!$C:$C,DRE!$A126)+SUMIFS(Aut_Ajustes_Manuais!$G:$G,Aut_Ajustes_Manuais!$I:$I,DRE!Q$4,Aut_Ajustes_Manuais!$F:$F,"  -  Cumin")</f>
        <v/>
      </c>
      <c r="T126" s="241" t="n"/>
      <c r="U126" s="27">
        <f>-SUMIFS(T_HEADCOUNT!$E:$E,T_HEADCOUNT!$C:$C,"-  Cumin",T_HEADCOUNT!$D:$D,"5/2026",T_HEADCOUNT!$B:$B,"CLT")</f>
        <v/>
      </c>
      <c r="V126" s="28">
        <f>SUMIFS(T_REAL!$D:$D,T_REAL!$E:$E,DRE!V$7,T_REAL!$C:$C,DRE!$A126)+SUMIFS(Aut_Ajustes_Manuais!$G:$G,Aut_Ajustes_Manuais!$I:$I,DRE!T$4,Aut_Ajustes_Manuais!$F:$F,"  -  Cumin")</f>
        <v/>
      </c>
      <c r="W126" s="241" t="n"/>
      <c r="X126" s="27">
        <f>-SUMIFS(T_HEADCOUNT!$E:$E,T_HEADCOUNT!$C:$C,"-  Cumin",T_HEADCOUNT!$D:$D,"6/2026",T_HEADCOUNT!$B:$B,"CLT")</f>
        <v/>
      </c>
      <c r="Y126" s="28">
        <f>SUMIFS(T_REAL!$D:$D,T_REAL!$E:$E,DRE!Y$7,T_REAL!$C:$C,DRE!$A126)+SUMIFS(Aut_Ajustes_Manuais!$G:$G,Aut_Ajustes_Manuais!$I:$I,DRE!W$4,Aut_Ajustes_Manuais!$F:$F,"  -  Cumin")</f>
        <v/>
      </c>
      <c r="Z126" s="241" t="n"/>
      <c r="AA126" s="27">
        <f>-SUMIFS(T_HEADCOUNT!$E:$E,T_HEADCOUNT!$C:$C,"-  Cumin",T_HEADCOUNT!$D:$D,"7/2026",T_HEADCOUNT!$B:$B,"CLT")</f>
        <v/>
      </c>
      <c r="AB126" s="28">
        <f>SUMIFS(T_REAL!$D:$D,T_REAL!$E:$E,DRE!AB$7,T_REAL!$C:$C,DRE!$A126)+SUMIFS(Aut_Ajustes_Manuais!$G:$G,Aut_Ajustes_Manuais!$I:$I,DRE!Z$4,Aut_Ajustes_Manuais!$F:$F,"  -  Cumin")</f>
        <v/>
      </c>
      <c r="AC126" s="241" t="n"/>
      <c r="AD126" s="27">
        <f>-SUMIFS(T_HEADCOUNT!$E:$E,T_HEADCOUNT!$C:$C,"-  Cumin",T_HEADCOUNT!$D:$D,"8/2026",T_HEADCOUNT!$B:$B,"CLT")</f>
        <v/>
      </c>
      <c r="AE126" s="28">
        <f>SUMIFS(T_REAL!$D:$D,T_REAL!$E:$E,DRE!AE$7,T_REAL!$C:$C,DRE!$A126)+SUMIFS(Aut_Ajustes_Manuais!$G:$G,Aut_Ajustes_Manuais!$I:$I,DRE!AC$4,Aut_Ajustes_Manuais!$F:$F,"  -  Cumin")</f>
        <v/>
      </c>
      <c r="AF126" s="241" t="n"/>
      <c r="AG126" s="27">
        <f>-SUMIFS(T_HEADCOUNT!$E:$E,T_HEADCOUNT!$C:$C,"-  Cumin",T_HEADCOUNT!$D:$D,"9/2026",T_HEADCOUNT!$B:$B,"CLT")</f>
        <v/>
      </c>
      <c r="AH126" s="28">
        <f>SUMIFS(T_REAL!$D:$D,T_REAL!$E:$E,DRE!AH$7,T_REAL!$C:$C,DRE!$A126)+SUMIFS(Aut_Ajustes_Manuais!$G:$G,Aut_Ajustes_Manuais!$I:$I,DRE!AF$4,Aut_Ajustes_Manuais!$F:$F,"  -  Cumin")</f>
        <v/>
      </c>
      <c r="AI126" s="241" t="n"/>
      <c r="AJ126" s="27">
        <f>-SUMIFS(T_HEADCOUNT!$E:$E,T_HEADCOUNT!$C:$C,"-  Cumin",T_HEADCOUNT!$D:$D,"10/2026",T_HEADCOUNT!$B:$B,"CLT")</f>
        <v/>
      </c>
      <c r="AK126" s="28">
        <f>SUMIFS(T_REAL!$D:$D,T_REAL!$E:$E,DRE!AK$7,T_REAL!$C:$C,DRE!$A126)+SUMIFS(Aut_Ajustes_Manuais!$G:$G,Aut_Ajustes_Manuais!$I:$I,DRE!AI$4,Aut_Ajustes_Manuais!$F:$F,"  -  Cumin")</f>
        <v/>
      </c>
      <c r="AL126" s="241" t="n"/>
      <c r="AM126" s="27">
        <f>-SUMIFS(T_HEADCOUNT!$E:$E,T_HEADCOUNT!$C:$C,"-  Cumin",T_HEADCOUNT!$D:$D,"11/2026",T_HEADCOUNT!$B:$B,"CLT")</f>
        <v/>
      </c>
      <c r="AN126" s="28">
        <f>SUMIFS(T_REAL!$D:$D,T_REAL!$E:$E,DRE!AN$7,T_REAL!$C:$C,DRE!$A126)+SUMIFS(Aut_Ajustes_Manuais!$G:$G,Aut_Ajustes_Manuais!$I:$I,DRE!AL$4,Aut_Ajustes_Manuais!$F:$F,"  -  Cumin")</f>
        <v/>
      </c>
      <c r="AO126" s="241" t="n"/>
      <c r="AP126" s="27">
        <f>-SUMIFS(T_HEADCOUNT!$E:$E,T_HEADCOUNT!$C:$C,"-  Cumin",T_HEADCOUNT!$D:$D,"12/2026",T_HEADCOUNT!$B:$B,"CLT")</f>
        <v/>
      </c>
      <c r="AQ126" s="28">
        <f>SUMIFS(T_REAL!$D:$D,T_REAL!$E:$E,DRE!AQ$7,T_REAL!$C:$C,DRE!$A126)+SUMIFS(Aut_Ajustes_Manuais!$G:$G,Aut_Ajustes_Manuais!$I:$I,DRE!AO$4,Aut_Ajustes_Manuais!$F:$F,"  -  Cumin")</f>
        <v/>
      </c>
      <c r="AR126" s="241">
        <f>SUMIFS($H126:$AO126,$H$5:$AO$5,"&lt;"&amp;MONTH(TODAY()),$H$6:$AO$6,"REAL 25")</f>
        <v/>
      </c>
      <c r="AS126" s="27">
        <f>SUMIFS($I126:$AP126,$I$5:$AP$5,"&lt;"&amp;MONTH(TODAY()),$I$6:$AP$6,"ORÇADO ")</f>
        <v/>
      </c>
      <c r="AT126" s="28">
        <f>SUMIFS($J126:$AQ126,$J$5:$AQ$5,"&lt;"&amp;MONTH(TODAY()),$J$6:$AQ$6,"REAL 26")</f>
        <v/>
      </c>
      <c r="AU126" s="241" t="n"/>
      <c r="AV126" s="27" t="n"/>
      <c r="AW126" s="28" t="n"/>
      <c r="AX126" s="241" t="n"/>
      <c r="AY126" s="27" t="n">
        <v>-1869.4</v>
      </c>
      <c r="AZ126" s="28" t="n"/>
      <c r="BA126" s="241" t="n"/>
      <c r="BB126" s="27" t="n">
        <v>0</v>
      </c>
      <c r="BC126" s="28" t="n"/>
      <c r="BD126" s="241" t="n"/>
      <c r="BE126" s="27" t="n">
        <v>0</v>
      </c>
      <c r="BF126" s="28" t="n"/>
      <c r="BG126" s="241" t="n"/>
      <c r="BH126" s="27" t="n">
        <v>0</v>
      </c>
      <c r="BI126" s="28" t="n"/>
    </row>
    <row r="127" hidden="1" outlineLevel="1" customFormat="1" s="498">
      <c r="A127" s="95" t="inlineStr">
        <is>
          <t xml:space="preserve">  -  Sub Chefe de Bar</t>
        </is>
      </c>
      <c r="B127" s="488" t="n"/>
      <c r="C127" s="24" t="n"/>
      <c r="D127" s="55" t="inlineStr">
        <is>
          <t>Salário Bruto com INSS Segurado dentro do valor</t>
        </is>
      </c>
      <c r="E127" s="87" t="n"/>
      <c r="F127" s="56" t="n"/>
      <c r="G127" s="33" t="n"/>
      <c r="H127" s="241" t="n"/>
      <c r="I127" s="27">
        <f>-SUMIFS(T_HEADCOUNT!$E:$E,T_HEADCOUNT!$C:$C,"-  Sub Chefe de Bar",T_HEADCOUNT!$D:$D,"1/2026",T_HEADCOUNT!$B:$B,"CLT")</f>
        <v/>
      </c>
      <c r="J127" s="28">
        <f>SUMIFS(T_REAL!$D:$D,T_REAL!$E:$E,DRE!J$7,T_REAL!$C:$C,DRE!$A127)+SUMIFS(Aut_Ajustes_Manuais!$G:$G,Aut_Ajustes_Manuais!$I:$I,DRE!H$4,Aut_Ajustes_Manuais!$F:$F,"  -  Sub Chefe de Bar")</f>
        <v/>
      </c>
      <c r="K127" s="241" t="n"/>
      <c r="L127" s="27">
        <f>-SUMIFS(T_HEADCOUNT!$E:$E,T_HEADCOUNT!$C:$C,"-  Sub Chefe de Bar",T_HEADCOUNT!$D:$D,"2/2026",T_HEADCOUNT!$B:$B,"CLT")</f>
        <v/>
      </c>
      <c r="M127" s="28">
        <f>SUMIFS(T_REAL!$D:$D,T_REAL!$E:$E,DRE!M$7,T_REAL!$C:$C,DRE!$A127)+SUMIFS(Aut_Ajustes_Manuais!$G:$G,Aut_Ajustes_Manuais!$I:$I,DRE!K$4,Aut_Ajustes_Manuais!$F:$F,"  -  Sub Chefe de Bar")</f>
        <v/>
      </c>
      <c r="N127" s="241" t="n"/>
      <c r="O127" s="27">
        <f>-SUMIFS(T_HEADCOUNT!$E:$E,T_HEADCOUNT!$C:$C,"-  Sub Chefe de Bar",T_HEADCOUNT!$D:$D,"3/2026",T_HEADCOUNT!$B:$B,"CLT")</f>
        <v/>
      </c>
      <c r="P127" s="28">
        <f>SUMIFS(T_REAL!$D:$D,T_REAL!$E:$E,DRE!P$7,T_REAL!$C:$C,DRE!$A127)+SUMIFS(Aut_Ajustes_Manuais!$G:$G,Aut_Ajustes_Manuais!$I:$I,DRE!N$4,Aut_Ajustes_Manuais!$F:$F,"  -  Sub Chefe de Bar")</f>
        <v/>
      </c>
      <c r="Q127" s="241" t="n"/>
      <c r="R127" s="27">
        <f>-SUMIFS(T_HEADCOUNT!$E:$E,T_HEADCOUNT!$C:$C,"-  Sub Chefe de Bar",T_HEADCOUNT!$D:$D,"4/2026",T_HEADCOUNT!$B:$B,"CLT")</f>
        <v/>
      </c>
      <c r="S127" s="28">
        <f>SUMIFS(T_REAL!$D:$D,T_REAL!$E:$E,DRE!S$7,T_REAL!$C:$C,DRE!$A127)+SUMIFS(Aut_Ajustes_Manuais!$G:$G,Aut_Ajustes_Manuais!$I:$I,DRE!Q$4,Aut_Ajustes_Manuais!$F:$F,"  -  Sub Chefe de Bar")</f>
        <v/>
      </c>
      <c r="T127" s="241" t="n"/>
      <c r="U127" s="27">
        <f>-SUMIFS(T_HEADCOUNT!$E:$E,T_HEADCOUNT!$C:$C,"-  Sub Chefe de Bar",T_HEADCOUNT!$D:$D,"5/2026",T_HEADCOUNT!$B:$B,"CLT")</f>
        <v/>
      </c>
      <c r="V127" s="28">
        <f>SUMIFS(T_REAL!$D:$D,T_REAL!$E:$E,DRE!V$7,T_REAL!$C:$C,DRE!$A127)+SUMIFS(Aut_Ajustes_Manuais!$G:$G,Aut_Ajustes_Manuais!$I:$I,DRE!T$4,Aut_Ajustes_Manuais!$F:$F,"  -  Sub Chefe de Bar")</f>
        <v/>
      </c>
      <c r="W127" s="241" t="n"/>
      <c r="X127" s="27">
        <f>-SUMIFS(T_HEADCOUNT!$E:$E,T_HEADCOUNT!$C:$C,"-  Sub Chefe de Bar",T_HEADCOUNT!$D:$D,"6/2026",T_HEADCOUNT!$B:$B,"CLT")</f>
        <v/>
      </c>
      <c r="Y127" s="28">
        <f>SUMIFS(T_REAL!$D:$D,T_REAL!$E:$E,DRE!Y$7,T_REAL!$C:$C,DRE!$A127)+SUMIFS(Aut_Ajustes_Manuais!$G:$G,Aut_Ajustes_Manuais!$I:$I,DRE!W$4,Aut_Ajustes_Manuais!$F:$F,"  -  Sub Chefe de Bar")</f>
        <v/>
      </c>
      <c r="Z127" s="241" t="n"/>
      <c r="AA127" s="27">
        <f>-SUMIFS(T_HEADCOUNT!$E:$E,T_HEADCOUNT!$C:$C,"-  Sub Chefe de Bar",T_HEADCOUNT!$D:$D,"7/2026",T_HEADCOUNT!$B:$B,"CLT")</f>
        <v/>
      </c>
      <c r="AB127" s="28">
        <f>SUMIFS(T_REAL!$D:$D,T_REAL!$E:$E,DRE!AB$7,T_REAL!$C:$C,DRE!$A127)+SUMIFS(Aut_Ajustes_Manuais!$G:$G,Aut_Ajustes_Manuais!$I:$I,DRE!Z$4,Aut_Ajustes_Manuais!$F:$F,"  -  Sub Chefe de Bar")</f>
        <v/>
      </c>
      <c r="AC127" s="241" t="n"/>
      <c r="AD127" s="27">
        <f>-SUMIFS(T_HEADCOUNT!$E:$E,T_HEADCOUNT!$C:$C,"-  Sub Chefe de Bar",T_HEADCOUNT!$D:$D,"8/2026",T_HEADCOUNT!$B:$B,"CLT")</f>
        <v/>
      </c>
      <c r="AE127" s="28">
        <f>SUMIFS(T_REAL!$D:$D,T_REAL!$E:$E,DRE!AE$7,T_REAL!$C:$C,DRE!$A127)+SUMIFS(Aut_Ajustes_Manuais!$G:$G,Aut_Ajustes_Manuais!$I:$I,DRE!AC$4,Aut_Ajustes_Manuais!$F:$F,"  -  Sub Chefe de Bar")</f>
        <v/>
      </c>
      <c r="AF127" s="241" t="n"/>
      <c r="AG127" s="27">
        <f>-SUMIFS(T_HEADCOUNT!$E:$E,T_HEADCOUNT!$C:$C,"-  Sub Chefe de Bar",T_HEADCOUNT!$D:$D,"9/2026",T_HEADCOUNT!$B:$B,"CLT")</f>
        <v/>
      </c>
      <c r="AH127" s="28">
        <f>SUMIFS(T_REAL!$D:$D,T_REAL!$E:$E,DRE!AH$7,T_REAL!$C:$C,DRE!$A127)+SUMIFS(Aut_Ajustes_Manuais!$G:$G,Aut_Ajustes_Manuais!$I:$I,DRE!AF$4,Aut_Ajustes_Manuais!$F:$F,"  -  Sub Chefe de Bar")</f>
        <v/>
      </c>
      <c r="AI127" s="241" t="n"/>
      <c r="AJ127" s="27">
        <f>-SUMIFS(T_HEADCOUNT!$E:$E,T_HEADCOUNT!$C:$C,"-  Sub Chefe de Bar",T_HEADCOUNT!$D:$D,"10/2026",T_HEADCOUNT!$B:$B,"CLT")</f>
        <v/>
      </c>
      <c r="AK127" s="28">
        <f>SUMIFS(T_REAL!$D:$D,T_REAL!$E:$E,DRE!AK$7,T_REAL!$C:$C,DRE!$A127)+SUMIFS(Aut_Ajustes_Manuais!$G:$G,Aut_Ajustes_Manuais!$I:$I,DRE!AI$4,Aut_Ajustes_Manuais!$F:$F,"  -  Sub Chefe de Bar")</f>
        <v/>
      </c>
      <c r="AL127" s="241" t="n"/>
      <c r="AM127" s="27">
        <f>-SUMIFS(T_HEADCOUNT!$E:$E,T_HEADCOUNT!$C:$C,"-  Sub Chefe de Bar",T_HEADCOUNT!$D:$D,"11/2026",T_HEADCOUNT!$B:$B,"CLT")</f>
        <v/>
      </c>
      <c r="AN127" s="28">
        <f>SUMIFS(T_REAL!$D:$D,T_REAL!$E:$E,DRE!AN$7,T_REAL!$C:$C,DRE!$A127)+SUMIFS(Aut_Ajustes_Manuais!$G:$G,Aut_Ajustes_Manuais!$I:$I,DRE!AL$4,Aut_Ajustes_Manuais!$F:$F,"  -  Sub Chefe de Bar")</f>
        <v/>
      </c>
      <c r="AO127" s="241" t="n"/>
      <c r="AP127" s="27">
        <f>-SUMIFS(T_HEADCOUNT!$E:$E,T_HEADCOUNT!$C:$C,"-  Sub Chefe de Bar",T_HEADCOUNT!$D:$D,"12/2026",T_HEADCOUNT!$B:$B,"CLT")</f>
        <v/>
      </c>
      <c r="AQ127" s="28">
        <f>SUMIFS(T_REAL!$D:$D,T_REAL!$E:$E,DRE!AQ$7,T_REAL!$C:$C,DRE!$A127)+SUMIFS(Aut_Ajustes_Manuais!$G:$G,Aut_Ajustes_Manuais!$I:$I,DRE!AO$4,Aut_Ajustes_Manuais!$F:$F,"  -  Sub Chefe de Bar")</f>
        <v/>
      </c>
      <c r="AR127" s="241">
        <f>SUMIFS($H127:$AO127,$H$5:$AO$5,"&lt;"&amp;MONTH(TODAY()),$H$6:$AO$6,"REAL 25")</f>
        <v/>
      </c>
      <c r="AS127" s="27">
        <f>SUMIFS($I127:$AP127,$I$5:$AP$5,"&lt;"&amp;MONTH(TODAY()),$I$6:$AP$6,"ORÇADO ")</f>
        <v/>
      </c>
      <c r="AT127" s="28">
        <f>SUMIFS($J127:$AQ127,$J$5:$AQ$5,"&lt;"&amp;MONTH(TODAY()),$J$6:$AQ$6,"REAL 26")</f>
        <v/>
      </c>
      <c r="AU127" s="241" t="n"/>
      <c r="AV127" s="27" t="n"/>
      <c r="AW127" s="28" t="n"/>
      <c r="AX127" s="241" t="n"/>
      <c r="AY127" s="27" t="n">
        <v>0</v>
      </c>
      <c r="AZ127" s="28" t="n"/>
      <c r="BA127" s="241" t="n"/>
      <c r="BB127" s="27" t="n">
        <v>0</v>
      </c>
      <c r="BC127" s="28" t="n"/>
      <c r="BD127" s="241" t="n"/>
      <c r="BE127" s="27" t="n">
        <v>0</v>
      </c>
      <c r="BF127" s="28" t="n"/>
      <c r="BG127" s="241" t="n"/>
      <c r="BH127" s="27" t="n">
        <v>0</v>
      </c>
      <c r="BI127" s="28" t="n"/>
    </row>
    <row r="128" hidden="1" outlineLevel="1" customFormat="1" s="498">
      <c r="A128" s="95" t="inlineStr">
        <is>
          <t xml:space="preserve">  -  Bartender III</t>
        </is>
      </c>
      <c r="B128" s="488" t="n"/>
      <c r="C128" s="24" t="n"/>
      <c r="D128" s="55" t="inlineStr">
        <is>
          <t>Salário Bruto com INSS Segurado dentro do valor</t>
        </is>
      </c>
      <c r="E128" s="87" t="n"/>
      <c r="F128" s="56" t="n"/>
      <c r="G128" s="33" t="n"/>
      <c r="H128" s="241" t="n"/>
      <c r="I128" s="27">
        <f>-SUMIFS(T_HEADCOUNT!$E:$E,T_HEADCOUNT!$C:$C,"-  Bartender III",T_HEADCOUNT!$D:$D,"1/2026",T_HEADCOUNT!$B:$B,"CLT")</f>
        <v/>
      </c>
      <c r="J128" s="28">
        <f>SUMIFS(T_REAL!$D:$D,T_REAL!$E:$E,DRE!J$7,T_REAL!$C:$C,DRE!$A128)+SUMIFS(Aut_Ajustes_Manuais!$G:$G,Aut_Ajustes_Manuais!$I:$I,DRE!H$4,Aut_Ajustes_Manuais!$F:$F,"  -  Bartender III")</f>
        <v/>
      </c>
      <c r="K128" s="241" t="n"/>
      <c r="L128" s="27">
        <f>-SUMIFS(T_HEADCOUNT!$E:$E,T_HEADCOUNT!$C:$C,"-  Bartender III",T_HEADCOUNT!$D:$D,"2/2026",T_HEADCOUNT!$B:$B,"CLT")</f>
        <v/>
      </c>
      <c r="M128" s="28">
        <f>SUMIFS(T_REAL!$D:$D,T_REAL!$E:$E,DRE!M$7,T_REAL!$C:$C,DRE!$A128)+SUMIFS(Aut_Ajustes_Manuais!$G:$G,Aut_Ajustes_Manuais!$I:$I,DRE!K$4,Aut_Ajustes_Manuais!$F:$F,"  -  Bartender III")</f>
        <v/>
      </c>
      <c r="N128" s="241" t="n"/>
      <c r="O128" s="27">
        <f>-SUMIFS(T_HEADCOUNT!$E:$E,T_HEADCOUNT!$C:$C,"-  Bartender III",T_HEADCOUNT!$D:$D,"3/2026",T_HEADCOUNT!$B:$B,"CLT")</f>
        <v/>
      </c>
      <c r="P128" s="28">
        <f>SUMIFS(T_REAL!$D:$D,T_REAL!$E:$E,DRE!P$7,T_REAL!$C:$C,DRE!$A128)+SUMIFS(Aut_Ajustes_Manuais!$G:$G,Aut_Ajustes_Manuais!$I:$I,DRE!N$4,Aut_Ajustes_Manuais!$F:$F,"  -  Bartender III")</f>
        <v/>
      </c>
      <c r="Q128" s="241" t="n"/>
      <c r="R128" s="27">
        <f>-SUMIFS(T_HEADCOUNT!$E:$E,T_HEADCOUNT!$C:$C,"-  Bartender III",T_HEADCOUNT!$D:$D,"4/2026",T_HEADCOUNT!$B:$B,"CLT")</f>
        <v/>
      </c>
      <c r="S128" s="28">
        <f>SUMIFS(T_REAL!$D:$D,T_REAL!$E:$E,DRE!S$7,T_REAL!$C:$C,DRE!$A128)+SUMIFS(Aut_Ajustes_Manuais!$G:$G,Aut_Ajustes_Manuais!$I:$I,DRE!Q$4,Aut_Ajustes_Manuais!$F:$F,"  -  Bartender III")</f>
        <v/>
      </c>
      <c r="T128" s="241" t="n"/>
      <c r="U128" s="27">
        <f>-SUMIFS(T_HEADCOUNT!$E:$E,T_HEADCOUNT!$C:$C,"-  Bartender III",T_HEADCOUNT!$D:$D,"5/2026",T_HEADCOUNT!$B:$B,"CLT")</f>
        <v/>
      </c>
      <c r="V128" s="28">
        <f>SUMIFS(T_REAL!$D:$D,T_REAL!$E:$E,DRE!V$7,T_REAL!$C:$C,DRE!$A128)+SUMIFS(Aut_Ajustes_Manuais!$G:$G,Aut_Ajustes_Manuais!$I:$I,DRE!T$4,Aut_Ajustes_Manuais!$F:$F,"  -  Bartender III")</f>
        <v/>
      </c>
      <c r="W128" s="241" t="n"/>
      <c r="X128" s="27">
        <f>-SUMIFS(T_HEADCOUNT!$E:$E,T_HEADCOUNT!$C:$C,"-  Bartender III",T_HEADCOUNT!$D:$D,"6/2026",T_HEADCOUNT!$B:$B,"CLT")</f>
        <v/>
      </c>
      <c r="Y128" s="28">
        <f>SUMIFS(T_REAL!$D:$D,T_REAL!$E:$E,DRE!Y$7,T_REAL!$C:$C,DRE!$A128)+SUMIFS(Aut_Ajustes_Manuais!$G:$G,Aut_Ajustes_Manuais!$I:$I,DRE!W$4,Aut_Ajustes_Manuais!$F:$F,"  -  Bartender III")</f>
        <v/>
      </c>
      <c r="Z128" s="241" t="n"/>
      <c r="AA128" s="27">
        <f>-SUMIFS(T_HEADCOUNT!$E:$E,T_HEADCOUNT!$C:$C,"-  Bartender III",T_HEADCOUNT!$D:$D,"7/2026",T_HEADCOUNT!$B:$B,"CLT")</f>
        <v/>
      </c>
      <c r="AB128" s="28">
        <f>SUMIFS(T_REAL!$D:$D,T_REAL!$E:$E,DRE!AB$7,T_REAL!$C:$C,DRE!$A128)+SUMIFS(Aut_Ajustes_Manuais!$G:$G,Aut_Ajustes_Manuais!$I:$I,DRE!Z$4,Aut_Ajustes_Manuais!$F:$F,"  -  Bartender III")</f>
        <v/>
      </c>
      <c r="AC128" s="241" t="n"/>
      <c r="AD128" s="27">
        <f>-SUMIFS(T_HEADCOUNT!$E:$E,T_HEADCOUNT!$C:$C,"-  Bartender III",T_HEADCOUNT!$D:$D,"8/2026",T_HEADCOUNT!$B:$B,"CLT")</f>
        <v/>
      </c>
      <c r="AE128" s="28">
        <f>SUMIFS(T_REAL!$D:$D,T_REAL!$E:$E,DRE!AE$7,T_REAL!$C:$C,DRE!$A128)+SUMIFS(Aut_Ajustes_Manuais!$G:$G,Aut_Ajustes_Manuais!$I:$I,DRE!AC$4,Aut_Ajustes_Manuais!$F:$F,"  -  Bartender III")</f>
        <v/>
      </c>
      <c r="AF128" s="241" t="n"/>
      <c r="AG128" s="27">
        <f>-SUMIFS(T_HEADCOUNT!$E:$E,T_HEADCOUNT!$C:$C,"-  Bartender III",T_HEADCOUNT!$D:$D,"9/2026",T_HEADCOUNT!$B:$B,"CLT")</f>
        <v/>
      </c>
      <c r="AH128" s="28">
        <f>SUMIFS(T_REAL!$D:$D,T_REAL!$E:$E,DRE!AH$7,T_REAL!$C:$C,DRE!$A128)+SUMIFS(Aut_Ajustes_Manuais!$G:$G,Aut_Ajustes_Manuais!$I:$I,DRE!AF$4,Aut_Ajustes_Manuais!$F:$F,"  -  Bartender III")</f>
        <v/>
      </c>
      <c r="AI128" s="241" t="n"/>
      <c r="AJ128" s="27">
        <f>-SUMIFS(T_HEADCOUNT!$E:$E,T_HEADCOUNT!$C:$C,"-  Bartender III",T_HEADCOUNT!$D:$D,"10/2026",T_HEADCOUNT!$B:$B,"CLT")</f>
        <v/>
      </c>
      <c r="AK128" s="28">
        <f>SUMIFS(T_REAL!$D:$D,T_REAL!$E:$E,DRE!AK$7,T_REAL!$C:$C,DRE!$A128)+SUMIFS(Aut_Ajustes_Manuais!$G:$G,Aut_Ajustes_Manuais!$I:$I,DRE!AI$4,Aut_Ajustes_Manuais!$F:$F,"  -  Bartender III")</f>
        <v/>
      </c>
      <c r="AL128" s="241" t="n"/>
      <c r="AM128" s="27">
        <f>-SUMIFS(T_HEADCOUNT!$E:$E,T_HEADCOUNT!$C:$C,"-  Bartender III",T_HEADCOUNT!$D:$D,"11/2026",T_HEADCOUNT!$B:$B,"CLT")</f>
        <v/>
      </c>
      <c r="AN128" s="28">
        <f>SUMIFS(T_REAL!$D:$D,T_REAL!$E:$E,DRE!AN$7,T_REAL!$C:$C,DRE!$A128)+SUMIFS(Aut_Ajustes_Manuais!$G:$G,Aut_Ajustes_Manuais!$I:$I,DRE!AL$4,Aut_Ajustes_Manuais!$F:$F,"  -  Bartender III")</f>
        <v/>
      </c>
      <c r="AO128" s="241" t="n"/>
      <c r="AP128" s="27">
        <f>-SUMIFS(T_HEADCOUNT!$E:$E,T_HEADCOUNT!$C:$C,"-  Bartender III",T_HEADCOUNT!$D:$D,"12/2026",T_HEADCOUNT!$B:$B,"CLT")</f>
        <v/>
      </c>
      <c r="AQ128" s="28">
        <f>SUMIFS(T_REAL!$D:$D,T_REAL!$E:$E,DRE!AQ$7,T_REAL!$C:$C,DRE!$A128)+SUMIFS(Aut_Ajustes_Manuais!$G:$G,Aut_Ajustes_Manuais!$I:$I,DRE!AO$4,Aut_Ajustes_Manuais!$F:$F,"  -  Bartender III")</f>
        <v/>
      </c>
      <c r="AR128" s="241">
        <f>SUMIFS($H128:$AO128,$H$5:$AO$5,"&lt;"&amp;MONTH(TODAY()),$H$6:$AO$6,"REAL 25")</f>
        <v/>
      </c>
      <c r="AS128" s="27">
        <f>SUMIFS($I128:$AP128,$I$5:$AP$5,"&lt;"&amp;MONTH(TODAY()),$I$6:$AP$6,"ORÇADO ")</f>
        <v/>
      </c>
      <c r="AT128" s="28">
        <f>SUMIFS($J128:$AQ128,$J$5:$AQ$5,"&lt;"&amp;MONTH(TODAY()),$J$6:$AQ$6,"REAL 26")</f>
        <v/>
      </c>
      <c r="AU128" s="241" t="n"/>
      <c r="AV128" s="27" t="n"/>
      <c r="AW128" s="28" t="n"/>
      <c r="AX128" s="241" t="n"/>
      <c r="AY128" s="27" t="n">
        <v>-15508.48</v>
      </c>
      <c r="AZ128" s="28" t="n"/>
      <c r="BA128" s="241" t="n"/>
      <c r="BB128" s="27" t="n">
        <v>-11794.19904</v>
      </c>
      <c r="BC128" s="28" t="n"/>
      <c r="BD128" s="241" t="n"/>
      <c r="BE128" s="27" t="n">
        <v>-12119.87712</v>
      </c>
      <c r="BF128" s="28" t="n"/>
      <c r="BG128" s="241" t="n"/>
      <c r="BH128" s="27" t="n">
        <v>-12119.87712</v>
      </c>
      <c r="BI128" s="28" t="n"/>
    </row>
    <row r="129" hidden="1" outlineLevel="1" customFormat="1" s="498">
      <c r="A129" s="95" t="inlineStr">
        <is>
          <t xml:space="preserve">  -  Bartender II</t>
        </is>
      </c>
      <c r="B129" s="488" t="n"/>
      <c r="C129" s="24" t="n"/>
      <c r="D129" s="55" t="inlineStr">
        <is>
          <t>Salário Bruto com INSS Segurado dentro do valor</t>
        </is>
      </c>
      <c r="E129" s="87" t="n"/>
      <c r="F129" s="56" t="n"/>
      <c r="G129" s="33" t="n"/>
      <c r="H129" s="241" t="n"/>
      <c r="I129" s="27">
        <f>-SUMIFS(T_HEADCOUNT!$E:$E,T_HEADCOUNT!$C:$C,"-  Bartender II",T_HEADCOUNT!$D:$D,"1/2026",T_HEADCOUNT!$B:$B,"CLT")</f>
        <v/>
      </c>
      <c r="J129" s="28">
        <f>SUMIFS(T_REAL!$D:$D,T_REAL!$E:$E,DRE!J$7,T_REAL!$C:$C,DRE!$A129)+SUMIFS(Aut_Ajustes_Manuais!$G:$G,Aut_Ajustes_Manuais!$I:$I,DRE!H$4,Aut_Ajustes_Manuais!$F:$F,"  -  Bartender II")</f>
        <v/>
      </c>
      <c r="K129" s="241" t="n"/>
      <c r="L129" s="27">
        <f>-SUMIFS(T_HEADCOUNT!$E:$E,T_HEADCOUNT!$C:$C,"-  Bartender II",T_HEADCOUNT!$D:$D,"2/2026",T_HEADCOUNT!$B:$B,"CLT")</f>
        <v/>
      </c>
      <c r="M129" s="28">
        <f>SUMIFS(T_REAL!$D:$D,T_REAL!$E:$E,DRE!M$7,T_REAL!$C:$C,DRE!$A129)+SUMIFS(Aut_Ajustes_Manuais!$G:$G,Aut_Ajustes_Manuais!$I:$I,DRE!K$4,Aut_Ajustes_Manuais!$F:$F,"  -  Bartender II")</f>
        <v/>
      </c>
      <c r="N129" s="241" t="n"/>
      <c r="O129" s="27">
        <f>-SUMIFS(T_HEADCOUNT!$E:$E,T_HEADCOUNT!$C:$C,"-  Bartender II",T_HEADCOUNT!$D:$D,"3/2026",T_HEADCOUNT!$B:$B,"CLT")</f>
        <v/>
      </c>
      <c r="P129" s="28">
        <f>SUMIFS(T_REAL!$D:$D,T_REAL!$E:$E,DRE!P$7,T_REAL!$C:$C,DRE!$A129)+SUMIFS(Aut_Ajustes_Manuais!$G:$G,Aut_Ajustes_Manuais!$I:$I,DRE!N$4,Aut_Ajustes_Manuais!$F:$F,"  -  Bartender II")</f>
        <v/>
      </c>
      <c r="Q129" s="241" t="n"/>
      <c r="R129" s="27">
        <f>-SUMIFS(T_HEADCOUNT!$E:$E,T_HEADCOUNT!$C:$C,"-  Bartender II",T_HEADCOUNT!$D:$D,"4/2026",T_HEADCOUNT!$B:$B,"CLT")</f>
        <v/>
      </c>
      <c r="S129" s="28">
        <f>SUMIFS(T_REAL!$D:$D,T_REAL!$E:$E,DRE!S$7,T_REAL!$C:$C,DRE!$A129)+SUMIFS(Aut_Ajustes_Manuais!$G:$G,Aut_Ajustes_Manuais!$I:$I,DRE!Q$4,Aut_Ajustes_Manuais!$F:$F,"  -  Bartender II")</f>
        <v/>
      </c>
      <c r="T129" s="241" t="n"/>
      <c r="U129" s="27">
        <f>-SUMIFS(T_HEADCOUNT!$E:$E,T_HEADCOUNT!$C:$C,"-  Bartender II",T_HEADCOUNT!$D:$D,"5/2026",T_HEADCOUNT!$B:$B,"CLT")</f>
        <v/>
      </c>
      <c r="V129" s="28">
        <f>SUMIFS(T_REAL!$D:$D,T_REAL!$E:$E,DRE!V$7,T_REAL!$C:$C,DRE!$A129)+SUMIFS(Aut_Ajustes_Manuais!$G:$G,Aut_Ajustes_Manuais!$I:$I,DRE!T$4,Aut_Ajustes_Manuais!$F:$F,"  -  Bartender II")</f>
        <v/>
      </c>
      <c r="W129" s="241" t="n"/>
      <c r="X129" s="27">
        <f>-SUMIFS(T_HEADCOUNT!$E:$E,T_HEADCOUNT!$C:$C,"-  Bartender II",T_HEADCOUNT!$D:$D,"6/2026",T_HEADCOUNT!$B:$B,"CLT")</f>
        <v/>
      </c>
      <c r="Y129" s="28">
        <f>SUMIFS(T_REAL!$D:$D,T_REAL!$E:$E,DRE!Y$7,T_REAL!$C:$C,DRE!$A129)+SUMIFS(Aut_Ajustes_Manuais!$G:$G,Aut_Ajustes_Manuais!$I:$I,DRE!W$4,Aut_Ajustes_Manuais!$F:$F,"  -  Bartender II")</f>
        <v/>
      </c>
      <c r="Z129" s="241" t="n"/>
      <c r="AA129" s="27">
        <f>-SUMIFS(T_HEADCOUNT!$E:$E,T_HEADCOUNT!$C:$C,"-  Bartender II",T_HEADCOUNT!$D:$D,"7/2026",T_HEADCOUNT!$B:$B,"CLT")</f>
        <v/>
      </c>
      <c r="AB129" s="28">
        <f>SUMIFS(T_REAL!$D:$D,T_REAL!$E:$E,DRE!AB$7,T_REAL!$C:$C,DRE!$A129)+SUMIFS(Aut_Ajustes_Manuais!$G:$G,Aut_Ajustes_Manuais!$I:$I,DRE!Z$4,Aut_Ajustes_Manuais!$F:$F,"  -  Bartender II")</f>
        <v/>
      </c>
      <c r="AC129" s="241" t="n"/>
      <c r="AD129" s="27">
        <f>-SUMIFS(T_HEADCOUNT!$E:$E,T_HEADCOUNT!$C:$C,"-  Bartender II",T_HEADCOUNT!$D:$D,"8/2026",T_HEADCOUNT!$B:$B,"CLT")</f>
        <v/>
      </c>
      <c r="AE129" s="28">
        <f>SUMIFS(T_REAL!$D:$D,T_REAL!$E:$E,DRE!AE$7,T_REAL!$C:$C,DRE!$A129)+SUMIFS(Aut_Ajustes_Manuais!$G:$G,Aut_Ajustes_Manuais!$I:$I,DRE!AC$4,Aut_Ajustes_Manuais!$F:$F,"  -  Bartender II")</f>
        <v/>
      </c>
      <c r="AF129" s="241" t="n"/>
      <c r="AG129" s="27">
        <f>-SUMIFS(T_HEADCOUNT!$E:$E,T_HEADCOUNT!$C:$C,"-  Bartender II",T_HEADCOUNT!$D:$D,"9/2026",T_HEADCOUNT!$B:$B,"CLT")</f>
        <v/>
      </c>
      <c r="AH129" s="28">
        <f>SUMIFS(T_REAL!$D:$D,T_REAL!$E:$E,DRE!AH$7,T_REAL!$C:$C,DRE!$A129)+SUMIFS(Aut_Ajustes_Manuais!$G:$G,Aut_Ajustes_Manuais!$I:$I,DRE!AF$4,Aut_Ajustes_Manuais!$F:$F,"  -  Bartender II")</f>
        <v/>
      </c>
      <c r="AI129" s="241" t="n"/>
      <c r="AJ129" s="27">
        <f>-SUMIFS(T_HEADCOUNT!$E:$E,T_HEADCOUNT!$C:$C,"-  Bartender II",T_HEADCOUNT!$D:$D,"10/2026",T_HEADCOUNT!$B:$B,"CLT")</f>
        <v/>
      </c>
      <c r="AK129" s="28">
        <f>SUMIFS(T_REAL!$D:$D,T_REAL!$E:$E,DRE!AK$7,T_REAL!$C:$C,DRE!$A129)+SUMIFS(Aut_Ajustes_Manuais!$G:$G,Aut_Ajustes_Manuais!$I:$I,DRE!AI$4,Aut_Ajustes_Manuais!$F:$F,"  -  Bartender II")</f>
        <v/>
      </c>
      <c r="AL129" s="241" t="n"/>
      <c r="AM129" s="27">
        <f>-SUMIFS(T_HEADCOUNT!$E:$E,T_HEADCOUNT!$C:$C,"-  Bartender II",T_HEADCOUNT!$D:$D,"11/2026",T_HEADCOUNT!$B:$B,"CLT")</f>
        <v/>
      </c>
      <c r="AN129" s="28">
        <f>SUMIFS(T_REAL!$D:$D,T_REAL!$E:$E,DRE!AN$7,T_REAL!$C:$C,DRE!$A129)+SUMIFS(Aut_Ajustes_Manuais!$G:$G,Aut_Ajustes_Manuais!$I:$I,DRE!AL$4,Aut_Ajustes_Manuais!$F:$F,"  -  Bartender II")</f>
        <v/>
      </c>
      <c r="AO129" s="241" t="n"/>
      <c r="AP129" s="27">
        <f>-SUMIFS(T_HEADCOUNT!$E:$E,T_HEADCOUNT!$C:$C,"-  Bartender II",T_HEADCOUNT!$D:$D,"12/2026",T_HEADCOUNT!$B:$B,"CLT")</f>
        <v/>
      </c>
      <c r="AQ129" s="28">
        <f>SUMIFS(T_REAL!$D:$D,T_REAL!$E:$E,DRE!AQ$7,T_REAL!$C:$C,DRE!$A129)+SUMIFS(Aut_Ajustes_Manuais!$G:$G,Aut_Ajustes_Manuais!$I:$I,DRE!AO$4,Aut_Ajustes_Manuais!$F:$F,"  -  Bartender II")</f>
        <v/>
      </c>
      <c r="AR129" s="241">
        <f>SUMIFS($H129:$AO129,$H$5:$AO$5,"&lt;"&amp;MONTH(TODAY()),$H$6:$AO$6,"REAL 25")</f>
        <v/>
      </c>
      <c r="AS129" s="27">
        <f>SUMIFS($I129:$AP129,$I$5:$AP$5,"&lt;"&amp;MONTH(TODAY()),$I$6:$AP$6,"ORÇADO ")</f>
        <v/>
      </c>
      <c r="AT129" s="28">
        <f>SUMIFS($J129:$AQ129,$J$5:$AQ$5,"&lt;"&amp;MONTH(TODAY()),$J$6:$AQ$6,"REAL 26")</f>
        <v/>
      </c>
      <c r="AU129" s="241" t="n"/>
      <c r="AV129" s="27" t="n"/>
      <c r="AW129" s="28" t="n"/>
      <c r="AX129" s="241" t="n"/>
      <c r="AY129" s="27" t="n">
        <v>-7861.28</v>
      </c>
      <c r="AZ129" s="28" t="n"/>
      <c r="BA129" s="241" t="n"/>
      <c r="BB129" s="27" t="n">
        <v>-11957.00688</v>
      </c>
      <c r="BC129" s="28" t="n"/>
      <c r="BD129" s="241" t="n"/>
      <c r="BE129" s="27" t="n">
        <v>-12287.18064</v>
      </c>
      <c r="BF129" s="28" t="n"/>
      <c r="BG129" s="241" t="n"/>
      <c r="BH129" s="27" t="n">
        <v>-12287.18064</v>
      </c>
      <c r="BI129" s="28" t="n"/>
    </row>
    <row r="130" hidden="1" outlineLevel="1" customFormat="1" s="498">
      <c r="A130" s="95" t="inlineStr">
        <is>
          <t xml:space="preserve">  -  Bartender I</t>
        </is>
      </c>
      <c r="B130" s="488" t="n"/>
      <c r="C130" s="24" t="n"/>
      <c r="D130" s="55" t="inlineStr">
        <is>
          <t>Salário Bruto com INSS Segurado dentro do valor</t>
        </is>
      </c>
      <c r="E130" s="87" t="n"/>
      <c r="F130" s="56" t="n"/>
      <c r="G130" s="33" t="n"/>
      <c r="H130" s="241" t="n"/>
      <c r="I130" s="27">
        <f>-SUMIFS(T_HEADCOUNT!$E:$E,T_HEADCOUNT!$C:$C,"-  Bartender I",T_HEADCOUNT!$D:$D,"1/2026",T_HEADCOUNT!$B:$B,"CLT")</f>
        <v/>
      </c>
      <c r="J130" s="28">
        <f>SUMIFS(T_REAL!$D:$D,T_REAL!$E:$E,DRE!J$7,T_REAL!$C:$C,DRE!$A130)+SUMIFS(Aut_Ajustes_Manuais!$G:$G,Aut_Ajustes_Manuais!$I:$I,DRE!H$4,Aut_Ajustes_Manuais!$F:$F,"  -  Bartender I")</f>
        <v/>
      </c>
      <c r="K130" s="241" t="n"/>
      <c r="L130" s="27">
        <f>-SUMIFS(T_HEADCOUNT!$E:$E,T_HEADCOUNT!$C:$C,"-  Bartender I",T_HEADCOUNT!$D:$D,"2/2026",T_HEADCOUNT!$B:$B,"CLT")</f>
        <v/>
      </c>
      <c r="M130" s="28">
        <f>SUMIFS(T_REAL!$D:$D,T_REAL!$E:$E,DRE!M$7,T_REAL!$C:$C,DRE!$A130)+SUMIFS(Aut_Ajustes_Manuais!$G:$G,Aut_Ajustes_Manuais!$I:$I,DRE!K$4,Aut_Ajustes_Manuais!$F:$F,"  -  Bartender I")</f>
        <v/>
      </c>
      <c r="N130" s="241" t="n"/>
      <c r="O130" s="27">
        <f>-SUMIFS(T_HEADCOUNT!$E:$E,T_HEADCOUNT!$C:$C,"-  Bartender I",T_HEADCOUNT!$D:$D,"3/2026",T_HEADCOUNT!$B:$B,"CLT")</f>
        <v/>
      </c>
      <c r="P130" s="28">
        <f>SUMIFS(T_REAL!$D:$D,T_REAL!$E:$E,DRE!P$7,T_REAL!$C:$C,DRE!$A130)+SUMIFS(Aut_Ajustes_Manuais!$G:$G,Aut_Ajustes_Manuais!$I:$I,DRE!N$4,Aut_Ajustes_Manuais!$F:$F,"  -  Bartender I")</f>
        <v/>
      </c>
      <c r="Q130" s="241" t="n"/>
      <c r="R130" s="27">
        <f>-SUMIFS(T_HEADCOUNT!$E:$E,T_HEADCOUNT!$C:$C,"-  Bartender I",T_HEADCOUNT!$D:$D,"4/2026",T_HEADCOUNT!$B:$B,"CLT")</f>
        <v/>
      </c>
      <c r="S130" s="28">
        <f>SUMIFS(T_REAL!$D:$D,T_REAL!$E:$E,DRE!S$7,T_REAL!$C:$C,DRE!$A130)+SUMIFS(Aut_Ajustes_Manuais!$G:$G,Aut_Ajustes_Manuais!$I:$I,DRE!Q$4,Aut_Ajustes_Manuais!$F:$F,"  -  Bartender I")</f>
        <v/>
      </c>
      <c r="T130" s="241" t="n"/>
      <c r="U130" s="27">
        <f>-SUMIFS(T_HEADCOUNT!$E:$E,T_HEADCOUNT!$C:$C,"-  Bartender I",T_HEADCOUNT!$D:$D,"5/2026",T_HEADCOUNT!$B:$B,"CLT")</f>
        <v/>
      </c>
      <c r="V130" s="28">
        <f>SUMIFS(T_REAL!$D:$D,T_REAL!$E:$E,DRE!V$7,T_REAL!$C:$C,DRE!$A130)+SUMIFS(Aut_Ajustes_Manuais!$G:$G,Aut_Ajustes_Manuais!$I:$I,DRE!T$4,Aut_Ajustes_Manuais!$F:$F,"  -  Bartender I")</f>
        <v/>
      </c>
      <c r="W130" s="241" t="n"/>
      <c r="X130" s="27">
        <f>-SUMIFS(T_HEADCOUNT!$E:$E,T_HEADCOUNT!$C:$C,"-  Bartender I",T_HEADCOUNT!$D:$D,"6/2026",T_HEADCOUNT!$B:$B,"CLT")</f>
        <v/>
      </c>
      <c r="Y130" s="28">
        <f>SUMIFS(T_REAL!$D:$D,T_REAL!$E:$E,DRE!Y$7,T_REAL!$C:$C,DRE!$A130)+SUMIFS(Aut_Ajustes_Manuais!$G:$G,Aut_Ajustes_Manuais!$I:$I,DRE!W$4,Aut_Ajustes_Manuais!$F:$F,"  -  Bartender I")</f>
        <v/>
      </c>
      <c r="Z130" s="241" t="n"/>
      <c r="AA130" s="27">
        <f>-SUMIFS(T_HEADCOUNT!$E:$E,T_HEADCOUNT!$C:$C,"-  Bartender I",T_HEADCOUNT!$D:$D,"7/2026",T_HEADCOUNT!$B:$B,"CLT")</f>
        <v/>
      </c>
      <c r="AB130" s="28">
        <f>SUMIFS(T_REAL!$D:$D,T_REAL!$E:$E,DRE!AB$7,T_REAL!$C:$C,DRE!$A130)+SUMIFS(Aut_Ajustes_Manuais!$G:$G,Aut_Ajustes_Manuais!$I:$I,DRE!Z$4,Aut_Ajustes_Manuais!$F:$F,"  -  Bartender I")</f>
        <v/>
      </c>
      <c r="AC130" s="241" t="n"/>
      <c r="AD130" s="27">
        <f>-SUMIFS(T_HEADCOUNT!$E:$E,T_HEADCOUNT!$C:$C,"-  Bartender I",T_HEADCOUNT!$D:$D,"8/2026",T_HEADCOUNT!$B:$B,"CLT")</f>
        <v/>
      </c>
      <c r="AE130" s="28">
        <f>SUMIFS(T_REAL!$D:$D,T_REAL!$E:$E,DRE!AE$7,T_REAL!$C:$C,DRE!$A130)+SUMIFS(Aut_Ajustes_Manuais!$G:$G,Aut_Ajustes_Manuais!$I:$I,DRE!AC$4,Aut_Ajustes_Manuais!$F:$F,"  -  Bartender I")</f>
        <v/>
      </c>
      <c r="AF130" s="241" t="n"/>
      <c r="AG130" s="27">
        <f>-SUMIFS(T_HEADCOUNT!$E:$E,T_HEADCOUNT!$C:$C,"-  Bartender I",T_HEADCOUNT!$D:$D,"9/2026",T_HEADCOUNT!$B:$B,"CLT")</f>
        <v/>
      </c>
      <c r="AH130" s="28">
        <f>SUMIFS(T_REAL!$D:$D,T_REAL!$E:$E,DRE!AH$7,T_REAL!$C:$C,DRE!$A130)+SUMIFS(Aut_Ajustes_Manuais!$G:$G,Aut_Ajustes_Manuais!$I:$I,DRE!AF$4,Aut_Ajustes_Manuais!$F:$F,"  -  Bartender I")</f>
        <v/>
      </c>
      <c r="AI130" s="241" t="n"/>
      <c r="AJ130" s="27">
        <f>-SUMIFS(T_HEADCOUNT!$E:$E,T_HEADCOUNT!$C:$C,"-  Bartender I",T_HEADCOUNT!$D:$D,"10/2026",T_HEADCOUNT!$B:$B,"CLT")</f>
        <v/>
      </c>
      <c r="AK130" s="28">
        <f>SUMIFS(T_REAL!$D:$D,T_REAL!$E:$E,DRE!AK$7,T_REAL!$C:$C,DRE!$A130)+SUMIFS(Aut_Ajustes_Manuais!$G:$G,Aut_Ajustes_Manuais!$I:$I,DRE!AI$4,Aut_Ajustes_Manuais!$F:$F,"  -  Bartender I")</f>
        <v/>
      </c>
      <c r="AL130" s="241" t="n"/>
      <c r="AM130" s="27">
        <f>-SUMIFS(T_HEADCOUNT!$E:$E,T_HEADCOUNT!$C:$C,"-  Bartender I",T_HEADCOUNT!$D:$D,"11/2026",T_HEADCOUNT!$B:$B,"CLT")</f>
        <v/>
      </c>
      <c r="AN130" s="28">
        <f>SUMIFS(T_REAL!$D:$D,T_REAL!$E:$E,DRE!AN$7,T_REAL!$C:$C,DRE!$A130)+SUMIFS(Aut_Ajustes_Manuais!$G:$G,Aut_Ajustes_Manuais!$I:$I,DRE!AL$4,Aut_Ajustes_Manuais!$F:$F,"  -  Bartender I")</f>
        <v/>
      </c>
      <c r="AO130" s="241" t="n"/>
      <c r="AP130" s="27">
        <f>-SUMIFS(T_HEADCOUNT!$E:$E,T_HEADCOUNT!$C:$C,"-  Bartender I",T_HEADCOUNT!$D:$D,"12/2026",T_HEADCOUNT!$B:$B,"CLT")</f>
        <v/>
      </c>
      <c r="AQ130" s="28">
        <f>SUMIFS(T_REAL!$D:$D,T_REAL!$E:$E,DRE!AQ$7,T_REAL!$C:$C,DRE!$A130)+SUMIFS(Aut_Ajustes_Manuais!$G:$G,Aut_Ajustes_Manuais!$I:$I,DRE!AO$4,Aut_Ajustes_Manuais!$F:$F,"  -  Bartender I")</f>
        <v/>
      </c>
      <c r="AR130" s="241">
        <f>SUMIFS($H130:$AO130,$H$5:$AO$5,"&lt;"&amp;MONTH(TODAY()),$H$6:$AO$6,"REAL 25")</f>
        <v/>
      </c>
      <c r="AS130" s="27">
        <f>SUMIFS($I130:$AP130,$I$5:$AP$5,"&lt;"&amp;MONTH(TODAY()),$I$6:$AP$6,"ORÇADO ")</f>
        <v/>
      </c>
      <c r="AT130" s="28">
        <f>SUMIFS($J130:$AQ130,$J$5:$AQ$5,"&lt;"&amp;MONTH(TODAY()),$J$6:$AQ$6,"REAL 26")</f>
        <v/>
      </c>
      <c r="AU130" s="241" t="n"/>
      <c r="AV130" s="27" t="n"/>
      <c r="AW130" s="28" t="n"/>
      <c r="AX130" s="241" t="n"/>
      <c r="AY130" s="27" t="n">
        <v>-7691.49</v>
      </c>
      <c r="AZ130" s="28" t="n"/>
      <c r="BA130" s="241" t="n"/>
      <c r="BB130" s="27" t="n">
        <v>-7799.17086</v>
      </c>
      <c r="BC130" s="28" t="n"/>
      <c r="BD130" s="241" t="n"/>
      <c r="BE130" s="27" t="n">
        <v>-8014.532579999999</v>
      </c>
      <c r="BF130" s="28" t="n"/>
      <c r="BG130" s="241" t="n"/>
      <c r="BH130" s="27" t="n">
        <v>-8014.532579999999</v>
      </c>
      <c r="BI130" s="28" t="n"/>
    </row>
    <row r="131" hidden="1" outlineLevel="1" customFormat="1" s="498">
      <c r="A131" s="95" t="inlineStr">
        <is>
          <t xml:space="preserve">  -  Bar Back</t>
        </is>
      </c>
      <c r="B131" s="488" t="n"/>
      <c r="C131" s="24" t="n"/>
      <c r="D131" s="55" t="inlineStr">
        <is>
          <t>Salário Bruto com INSS Segurado dentro do valor</t>
        </is>
      </c>
      <c r="E131" s="87" t="n"/>
      <c r="F131" s="56" t="n"/>
      <c r="G131" s="33" t="n"/>
      <c r="H131" s="241" t="n"/>
      <c r="I131" s="27">
        <f>-SUMIFS(T_HEADCOUNT!$E:$E,T_HEADCOUNT!$C:$C,"-  Bar Back",T_HEADCOUNT!$D:$D,"1/2026",T_HEADCOUNT!$B:$B,"CLT")</f>
        <v/>
      </c>
      <c r="J131" s="28">
        <f>SUMIFS(T_REAL!$D:$D,T_REAL!$E:$E,DRE!J$7,T_REAL!$C:$C,DRE!$A131)+SUMIFS(Aut_Ajustes_Manuais!$G:$G,Aut_Ajustes_Manuais!$I:$I,DRE!H$4,Aut_Ajustes_Manuais!$F:$F,"  -  Bar Back")</f>
        <v/>
      </c>
      <c r="K131" s="241" t="n"/>
      <c r="L131" s="27">
        <f>-SUMIFS(T_HEADCOUNT!$E:$E,T_HEADCOUNT!$C:$C,"-  Bar Back",T_HEADCOUNT!$D:$D,"2/2026",T_HEADCOUNT!$B:$B,"CLT")</f>
        <v/>
      </c>
      <c r="M131" s="28">
        <f>SUMIFS(T_REAL!$D:$D,T_REAL!$E:$E,DRE!M$7,T_REAL!$C:$C,DRE!$A131)+SUMIFS(Aut_Ajustes_Manuais!$G:$G,Aut_Ajustes_Manuais!$I:$I,DRE!K$4,Aut_Ajustes_Manuais!$F:$F,"  -  Bar Back")</f>
        <v/>
      </c>
      <c r="N131" s="241" t="n"/>
      <c r="O131" s="27">
        <f>-SUMIFS(T_HEADCOUNT!$E:$E,T_HEADCOUNT!$C:$C,"-  Bar Back",T_HEADCOUNT!$D:$D,"3/2026",T_HEADCOUNT!$B:$B,"CLT")</f>
        <v/>
      </c>
      <c r="P131" s="28">
        <f>SUMIFS(T_REAL!$D:$D,T_REAL!$E:$E,DRE!P$7,T_REAL!$C:$C,DRE!$A131)+SUMIFS(Aut_Ajustes_Manuais!$G:$G,Aut_Ajustes_Manuais!$I:$I,DRE!N$4,Aut_Ajustes_Manuais!$F:$F,"  -  Bar Back")</f>
        <v/>
      </c>
      <c r="Q131" s="241" t="n"/>
      <c r="R131" s="27">
        <f>-SUMIFS(T_HEADCOUNT!$E:$E,T_HEADCOUNT!$C:$C,"-  Bar Back",T_HEADCOUNT!$D:$D,"4/2026",T_HEADCOUNT!$B:$B,"CLT")</f>
        <v/>
      </c>
      <c r="S131" s="28">
        <f>SUMIFS(T_REAL!$D:$D,T_REAL!$E:$E,DRE!S$7,T_REAL!$C:$C,DRE!$A131)+SUMIFS(Aut_Ajustes_Manuais!$G:$G,Aut_Ajustes_Manuais!$I:$I,DRE!Q$4,Aut_Ajustes_Manuais!$F:$F,"  -  Bar Back")</f>
        <v/>
      </c>
      <c r="T131" s="241" t="n"/>
      <c r="U131" s="27">
        <f>-SUMIFS(T_HEADCOUNT!$E:$E,T_HEADCOUNT!$C:$C,"-  Bar Back",T_HEADCOUNT!$D:$D,"5/2026",T_HEADCOUNT!$B:$B,"CLT")</f>
        <v/>
      </c>
      <c r="V131" s="28">
        <f>SUMIFS(T_REAL!$D:$D,T_REAL!$E:$E,DRE!V$7,T_REAL!$C:$C,DRE!$A131)+SUMIFS(Aut_Ajustes_Manuais!$G:$G,Aut_Ajustes_Manuais!$I:$I,DRE!T$4,Aut_Ajustes_Manuais!$F:$F,"  -  Bar Back")</f>
        <v/>
      </c>
      <c r="W131" s="241" t="n"/>
      <c r="X131" s="27">
        <f>-SUMIFS(T_HEADCOUNT!$E:$E,T_HEADCOUNT!$C:$C,"-  Bar Back",T_HEADCOUNT!$D:$D,"6/2026",T_HEADCOUNT!$B:$B,"CLT")</f>
        <v/>
      </c>
      <c r="Y131" s="28">
        <f>SUMIFS(T_REAL!$D:$D,T_REAL!$E:$E,DRE!Y$7,T_REAL!$C:$C,DRE!$A131)+SUMIFS(Aut_Ajustes_Manuais!$G:$G,Aut_Ajustes_Manuais!$I:$I,DRE!W$4,Aut_Ajustes_Manuais!$F:$F,"  -  Bar Back")</f>
        <v/>
      </c>
      <c r="Z131" s="241" t="n"/>
      <c r="AA131" s="27">
        <f>-SUMIFS(T_HEADCOUNT!$E:$E,T_HEADCOUNT!$C:$C,"-  Bar Back",T_HEADCOUNT!$D:$D,"7/2026",T_HEADCOUNT!$B:$B,"CLT")</f>
        <v/>
      </c>
      <c r="AB131" s="28">
        <f>SUMIFS(T_REAL!$D:$D,T_REAL!$E:$E,DRE!AB$7,T_REAL!$C:$C,DRE!$A131)+SUMIFS(Aut_Ajustes_Manuais!$G:$G,Aut_Ajustes_Manuais!$I:$I,DRE!Z$4,Aut_Ajustes_Manuais!$F:$F,"  -  Bar Back")</f>
        <v/>
      </c>
      <c r="AC131" s="241" t="n"/>
      <c r="AD131" s="27">
        <f>-SUMIFS(T_HEADCOUNT!$E:$E,T_HEADCOUNT!$C:$C,"-  Bar Back",T_HEADCOUNT!$D:$D,"8/2026",T_HEADCOUNT!$B:$B,"CLT")</f>
        <v/>
      </c>
      <c r="AE131" s="28">
        <f>SUMIFS(T_REAL!$D:$D,T_REAL!$E:$E,DRE!AE$7,T_REAL!$C:$C,DRE!$A131)+SUMIFS(Aut_Ajustes_Manuais!$G:$G,Aut_Ajustes_Manuais!$I:$I,DRE!AC$4,Aut_Ajustes_Manuais!$F:$F,"  -  Bar Back")</f>
        <v/>
      </c>
      <c r="AF131" s="241" t="n"/>
      <c r="AG131" s="27">
        <f>-SUMIFS(T_HEADCOUNT!$E:$E,T_HEADCOUNT!$C:$C,"-  Bar Back",T_HEADCOUNT!$D:$D,"9/2026",T_HEADCOUNT!$B:$B,"CLT")</f>
        <v/>
      </c>
      <c r="AH131" s="28">
        <f>SUMIFS(T_REAL!$D:$D,T_REAL!$E:$E,DRE!AH$7,T_REAL!$C:$C,DRE!$A131)+SUMIFS(Aut_Ajustes_Manuais!$G:$G,Aut_Ajustes_Manuais!$I:$I,DRE!AF$4,Aut_Ajustes_Manuais!$F:$F,"  -  Bar Back")</f>
        <v/>
      </c>
      <c r="AI131" s="241" t="n"/>
      <c r="AJ131" s="27">
        <f>-SUMIFS(T_HEADCOUNT!$E:$E,T_HEADCOUNT!$C:$C,"-  Bar Back",T_HEADCOUNT!$D:$D,"10/2026",T_HEADCOUNT!$B:$B,"CLT")</f>
        <v/>
      </c>
      <c r="AK131" s="28">
        <f>SUMIFS(T_REAL!$D:$D,T_REAL!$E:$E,DRE!AK$7,T_REAL!$C:$C,DRE!$A131)+SUMIFS(Aut_Ajustes_Manuais!$G:$G,Aut_Ajustes_Manuais!$I:$I,DRE!AI$4,Aut_Ajustes_Manuais!$F:$F,"  -  Bar Back")</f>
        <v/>
      </c>
      <c r="AL131" s="241" t="n"/>
      <c r="AM131" s="27">
        <f>-SUMIFS(T_HEADCOUNT!$E:$E,T_HEADCOUNT!$C:$C,"-  Bar Back",T_HEADCOUNT!$D:$D,"11/2026",T_HEADCOUNT!$B:$B,"CLT")</f>
        <v/>
      </c>
      <c r="AN131" s="28">
        <f>SUMIFS(T_REAL!$D:$D,T_REAL!$E:$E,DRE!AN$7,T_REAL!$C:$C,DRE!$A131)+SUMIFS(Aut_Ajustes_Manuais!$G:$G,Aut_Ajustes_Manuais!$I:$I,DRE!AL$4,Aut_Ajustes_Manuais!$F:$F,"  -  Bar Back")</f>
        <v/>
      </c>
      <c r="AO131" s="241" t="n"/>
      <c r="AP131" s="27">
        <f>-SUMIFS(T_HEADCOUNT!$E:$E,T_HEADCOUNT!$C:$C,"-  Bar Back",T_HEADCOUNT!$D:$D,"12/2026",T_HEADCOUNT!$B:$B,"CLT")</f>
        <v/>
      </c>
      <c r="AQ131" s="28">
        <f>SUMIFS(T_REAL!$D:$D,T_REAL!$E:$E,DRE!AQ$7,T_REAL!$C:$C,DRE!$A131)+SUMIFS(Aut_Ajustes_Manuais!$G:$G,Aut_Ajustes_Manuais!$I:$I,DRE!AO$4,Aut_Ajustes_Manuais!$F:$F,"  -  Bar Back")</f>
        <v/>
      </c>
      <c r="AR131" s="241">
        <f>SUMIFS($H131:$AO131,$H$5:$AO$5,"&lt;"&amp;MONTH(TODAY()),$H$6:$AO$6,"REAL 25")</f>
        <v/>
      </c>
      <c r="AS131" s="27">
        <f>SUMIFS($I131:$AP131,$I$5:$AP$5,"&lt;"&amp;MONTH(TODAY()),$I$6:$AP$6,"ORÇADO ")</f>
        <v/>
      </c>
      <c r="AT131" s="28">
        <f>SUMIFS($J131:$AQ131,$J$5:$AQ$5,"&lt;"&amp;MONTH(TODAY()),$J$6:$AQ$6,"REAL 26")</f>
        <v/>
      </c>
      <c r="AU131" s="241" t="n"/>
      <c r="AV131" s="27" t="n"/>
      <c r="AW131" s="28" t="n"/>
      <c r="AX131" s="241" t="n"/>
      <c r="AY131" s="27" t="n">
        <v>-11216.4</v>
      </c>
      <c r="AZ131" s="28" t="n"/>
      <c r="BA131" s="241" t="n"/>
      <c r="BB131" s="27" t="n">
        <v>-11373.4296</v>
      </c>
      <c r="BC131" s="28" t="n"/>
      <c r="BD131" s="241" t="n"/>
      <c r="BE131" s="27" t="n">
        <v>-11687.4888</v>
      </c>
      <c r="BF131" s="28" t="n"/>
      <c r="BG131" s="241" t="n"/>
      <c r="BH131" s="27" t="n">
        <v>-11687.4888</v>
      </c>
      <c r="BI131" s="28" t="n"/>
    </row>
    <row r="132" hidden="1" outlineLevel="1" customFormat="1" s="498">
      <c r="A132" s="95" t="inlineStr">
        <is>
          <t xml:space="preserve">  -  Barista III</t>
        </is>
      </c>
      <c r="B132" s="488" t="n"/>
      <c r="C132" s="24" t="n"/>
      <c r="D132" s="55" t="inlineStr">
        <is>
          <t>Salário Bruto com INSS Segurado dentro do valor</t>
        </is>
      </c>
      <c r="E132" s="87" t="n"/>
      <c r="F132" s="56" t="n"/>
      <c r="G132" s="33" t="n"/>
      <c r="H132" s="241" t="n"/>
      <c r="I132" s="27">
        <f>-SUMIFS(T_HEADCOUNT!$E:$E,T_HEADCOUNT!$C:$C,"-  Barista III",T_HEADCOUNT!$D:$D,"1/2026",T_HEADCOUNT!$B:$B,"CLT")</f>
        <v/>
      </c>
      <c r="J132" s="28">
        <f>SUMIFS(T_REAL!$D:$D,T_REAL!$E:$E,DRE!J$7,T_REAL!$C:$C,DRE!$A132)+SUMIFS(Aut_Ajustes_Manuais!$G:$G,Aut_Ajustes_Manuais!$I:$I,DRE!H$4,Aut_Ajustes_Manuais!$F:$F,"  -  Barista III")</f>
        <v/>
      </c>
      <c r="K132" s="241" t="n"/>
      <c r="L132" s="27">
        <f>-SUMIFS(T_HEADCOUNT!$E:$E,T_HEADCOUNT!$C:$C,"-  Barista III",T_HEADCOUNT!$D:$D,"2/2026",T_HEADCOUNT!$B:$B,"CLT")</f>
        <v/>
      </c>
      <c r="M132" s="28">
        <f>SUMIFS(T_REAL!$D:$D,T_REAL!$E:$E,DRE!M$7,T_REAL!$C:$C,DRE!$A132)+SUMIFS(Aut_Ajustes_Manuais!$G:$G,Aut_Ajustes_Manuais!$I:$I,DRE!K$4,Aut_Ajustes_Manuais!$F:$F,"  -  Barista III")</f>
        <v/>
      </c>
      <c r="N132" s="241" t="n"/>
      <c r="O132" s="27">
        <f>-SUMIFS(T_HEADCOUNT!$E:$E,T_HEADCOUNT!$C:$C,"-  Barista III",T_HEADCOUNT!$D:$D,"3/2026",T_HEADCOUNT!$B:$B,"CLT")</f>
        <v/>
      </c>
      <c r="P132" s="28">
        <f>SUMIFS(T_REAL!$D:$D,T_REAL!$E:$E,DRE!P$7,T_REAL!$C:$C,DRE!$A132)+SUMIFS(Aut_Ajustes_Manuais!$G:$G,Aut_Ajustes_Manuais!$I:$I,DRE!N$4,Aut_Ajustes_Manuais!$F:$F,"  -  Barista III")</f>
        <v/>
      </c>
      <c r="Q132" s="241" t="n"/>
      <c r="R132" s="27">
        <f>-SUMIFS(T_HEADCOUNT!$E:$E,T_HEADCOUNT!$C:$C,"-  Barista III",T_HEADCOUNT!$D:$D,"4/2026",T_HEADCOUNT!$B:$B,"CLT")</f>
        <v/>
      </c>
      <c r="S132" s="28">
        <f>SUMIFS(T_REAL!$D:$D,T_REAL!$E:$E,DRE!S$7,T_REAL!$C:$C,DRE!$A132)+SUMIFS(Aut_Ajustes_Manuais!$G:$G,Aut_Ajustes_Manuais!$I:$I,DRE!Q$4,Aut_Ajustes_Manuais!$F:$F,"  -  Barista III")</f>
        <v/>
      </c>
      <c r="T132" s="241" t="n"/>
      <c r="U132" s="27">
        <f>-SUMIFS(T_HEADCOUNT!$E:$E,T_HEADCOUNT!$C:$C,"-  Barista III",T_HEADCOUNT!$D:$D,"5/2026",T_HEADCOUNT!$B:$B,"CLT")</f>
        <v/>
      </c>
      <c r="V132" s="28">
        <f>SUMIFS(T_REAL!$D:$D,T_REAL!$E:$E,DRE!V$7,T_REAL!$C:$C,DRE!$A132)+SUMIFS(Aut_Ajustes_Manuais!$G:$G,Aut_Ajustes_Manuais!$I:$I,DRE!T$4,Aut_Ajustes_Manuais!$F:$F,"  -  Barista III")</f>
        <v/>
      </c>
      <c r="W132" s="241" t="n"/>
      <c r="X132" s="27">
        <f>-SUMIFS(T_HEADCOUNT!$E:$E,T_HEADCOUNT!$C:$C,"-  Barista III",T_HEADCOUNT!$D:$D,"6/2026",T_HEADCOUNT!$B:$B,"CLT")</f>
        <v/>
      </c>
      <c r="Y132" s="28">
        <f>SUMIFS(T_REAL!$D:$D,T_REAL!$E:$E,DRE!Y$7,T_REAL!$C:$C,DRE!$A132)+SUMIFS(Aut_Ajustes_Manuais!$G:$G,Aut_Ajustes_Manuais!$I:$I,DRE!W$4,Aut_Ajustes_Manuais!$F:$F,"  -  Barista III")</f>
        <v/>
      </c>
      <c r="Z132" s="241" t="n"/>
      <c r="AA132" s="27">
        <f>-SUMIFS(T_HEADCOUNT!$E:$E,T_HEADCOUNT!$C:$C,"-  Barista III",T_HEADCOUNT!$D:$D,"7/2026",T_HEADCOUNT!$B:$B,"CLT")</f>
        <v/>
      </c>
      <c r="AB132" s="28">
        <f>SUMIFS(T_REAL!$D:$D,T_REAL!$E:$E,DRE!AB$7,T_REAL!$C:$C,DRE!$A132)+SUMIFS(Aut_Ajustes_Manuais!$G:$G,Aut_Ajustes_Manuais!$I:$I,DRE!Z$4,Aut_Ajustes_Manuais!$F:$F,"  -  Barista III")</f>
        <v/>
      </c>
      <c r="AC132" s="241" t="n"/>
      <c r="AD132" s="27">
        <f>-SUMIFS(T_HEADCOUNT!$E:$E,T_HEADCOUNT!$C:$C,"-  Barista III",T_HEADCOUNT!$D:$D,"8/2026",T_HEADCOUNT!$B:$B,"CLT")</f>
        <v/>
      </c>
      <c r="AE132" s="28">
        <f>SUMIFS(T_REAL!$D:$D,T_REAL!$E:$E,DRE!AE$7,T_REAL!$C:$C,DRE!$A132)+SUMIFS(Aut_Ajustes_Manuais!$G:$G,Aut_Ajustes_Manuais!$I:$I,DRE!AC$4,Aut_Ajustes_Manuais!$F:$F,"  -  Barista III")</f>
        <v/>
      </c>
      <c r="AF132" s="241" t="n"/>
      <c r="AG132" s="27">
        <f>-SUMIFS(T_HEADCOUNT!$E:$E,T_HEADCOUNT!$C:$C,"-  Barista III",T_HEADCOUNT!$D:$D,"9/2026",T_HEADCOUNT!$B:$B,"CLT")</f>
        <v/>
      </c>
      <c r="AH132" s="28">
        <f>SUMIFS(T_REAL!$D:$D,T_REAL!$E:$E,DRE!AH$7,T_REAL!$C:$C,DRE!$A132)+SUMIFS(Aut_Ajustes_Manuais!$G:$G,Aut_Ajustes_Manuais!$I:$I,DRE!AF$4,Aut_Ajustes_Manuais!$F:$F,"  -  Barista III")</f>
        <v/>
      </c>
      <c r="AI132" s="241" t="n"/>
      <c r="AJ132" s="27">
        <f>-SUMIFS(T_HEADCOUNT!$E:$E,T_HEADCOUNT!$C:$C,"-  Barista III",T_HEADCOUNT!$D:$D,"10/2026",T_HEADCOUNT!$B:$B,"CLT")</f>
        <v/>
      </c>
      <c r="AK132" s="28">
        <f>SUMIFS(T_REAL!$D:$D,T_REAL!$E:$E,DRE!AK$7,T_REAL!$C:$C,DRE!$A132)+SUMIFS(Aut_Ajustes_Manuais!$G:$G,Aut_Ajustes_Manuais!$I:$I,DRE!AI$4,Aut_Ajustes_Manuais!$F:$F,"  -  Barista III")</f>
        <v/>
      </c>
      <c r="AL132" s="241" t="n"/>
      <c r="AM132" s="27">
        <f>-SUMIFS(T_HEADCOUNT!$E:$E,T_HEADCOUNT!$C:$C,"-  Barista III",T_HEADCOUNT!$D:$D,"11/2026",T_HEADCOUNT!$B:$B,"CLT")</f>
        <v/>
      </c>
      <c r="AN132" s="28">
        <f>SUMIFS(T_REAL!$D:$D,T_REAL!$E:$E,DRE!AN$7,T_REAL!$C:$C,DRE!$A132)+SUMIFS(Aut_Ajustes_Manuais!$G:$G,Aut_Ajustes_Manuais!$I:$I,DRE!AL$4,Aut_Ajustes_Manuais!$F:$F,"  -  Barista III")</f>
        <v/>
      </c>
      <c r="AO132" s="241" t="n"/>
      <c r="AP132" s="27">
        <f>-SUMIFS(T_HEADCOUNT!$E:$E,T_HEADCOUNT!$C:$C,"-  Barista III",T_HEADCOUNT!$D:$D,"12/2026",T_HEADCOUNT!$B:$B,"CLT")</f>
        <v/>
      </c>
      <c r="AQ132" s="28">
        <f>SUMIFS(T_REAL!$D:$D,T_REAL!$E:$E,DRE!AQ$7,T_REAL!$C:$C,DRE!$A132)+SUMIFS(Aut_Ajustes_Manuais!$G:$G,Aut_Ajustes_Manuais!$I:$I,DRE!AO$4,Aut_Ajustes_Manuais!$F:$F,"  -  Barista III")</f>
        <v/>
      </c>
      <c r="AR132" s="241">
        <f>SUMIFS($H132:$AO132,$H$5:$AO$5,"&lt;"&amp;MONTH(TODAY()),$H$6:$AO$6,"REAL 25")</f>
        <v/>
      </c>
      <c r="AS132" s="27">
        <f>SUMIFS($I132:$AP132,$I$5:$AP$5,"&lt;"&amp;MONTH(TODAY()),$I$6:$AP$6,"ORÇADO ")</f>
        <v/>
      </c>
      <c r="AT132" s="28">
        <f>SUMIFS($J132:$AQ132,$J$5:$AQ$5,"&lt;"&amp;MONTH(TODAY()),$J$6:$AQ$6,"REAL 26")</f>
        <v/>
      </c>
      <c r="AU132" s="241" t="n"/>
      <c r="AV132" s="27" t="n"/>
      <c r="AW132" s="28" t="n"/>
      <c r="AX132" s="241" t="n"/>
      <c r="AY132" s="27" t="n">
        <v>-2330.67</v>
      </c>
      <c r="AZ132" s="28" t="n"/>
      <c r="BA132" s="241" t="n"/>
      <c r="BB132" s="27" t="n">
        <v>0</v>
      </c>
      <c r="BC132" s="28" t="n"/>
      <c r="BD132" s="241" t="n"/>
      <c r="BE132" s="27" t="n">
        <v>0</v>
      </c>
      <c r="BF132" s="28" t="n"/>
      <c r="BG132" s="241" t="n"/>
      <c r="BH132" s="27" t="n">
        <v>0</v>
      </c>
      <c r="BI132" s="28" t="n"/>
    </row>
    <row r="133" hidden="1" outlineLevel="1" customFormat="1" s="498">
      <c r="A133" s="95" t="inlineStr">
        <is>
          <t xml:space="preserve">  -  Barista II</t>
        </is>
      </c>
      <c r="B133" s="488" t="n"/>
      <c r="C133" s="24" t="n"/>
      <c r="D133" s="55" t="inlineStr">
        <is>
          <t>Salário Bruto com INSS Segurado dentro do valor</t>
        </is>
      </c>
      <c r="E133" s="87" t="n"/>
      <c r="F133" s="56" t="n"/>
      <c r="G133" s="33" t="n"/>
      <c r="H133" s="241" t="n"/>
      <c r="I133" s="27">
        <f>-SUMIFS(T_HEADCOUNT!$E:$E,T_HEADCOUNT!$C:$C,"-  Barista II",T_HEADCOUNT!$D:$D,"1/2026",T_HEADCOUNT!$B:$B,"CLT")</f>
        <v/>
      </c>
      <c r="J133" s="28">
        <f>SUMIFS(T_REAL!$D:$D,T_REAL!$E:$E,DRE!J$7,T_REAL!$C:$C,DRE!$A133)+SUMIFS(Aut_Ajustes_Manuais!$G:$G,Aut_Ajustes_Manuais!$I:$I,DRE!H$4,Aut_Ajustes_Manuais!$F:$F,"  -  Barista II")</f>
        <v/>
      </c>
      <c r="K133" s="241" t="n"/>
      <c r="L133" s="27">
        <f>-SUMIFS(T_HEADCOUNT!$E:$E,T_HEADCOUNT!$C:$C,"-  Barista II",T_HEADCOUNT!$D:$D,"2/2026",T_HEADCOUNT!$B:$B,"CLT")</f>
        <v/>
      </c>
      <c r="M133" s="28">
        <f>SUMIFS(T_REAL!$D:$D,T_REAL!$E:$E,DRE!M$7,T_REAL!$C:$C,DRE!$A133)+SUMIFS(Aut_Ajustes_Manuais!$G:$G,Aut_Ajustes_Manuais!$I:$I,DRE!K$4,Aut_Ajustes_Manuais!$F:$F,"  -  Barista II")</f>
        <v/>
      </c>
      <c r="N133" s="241" t="n"/>
      <c r="O133" s="27">
        <f>-SUMIFS(T_HEADCOUNT!$E:$E,T_HEADCOUNT!$C:$C,"-  Barista II",T_HEADCOUNT!$D:$D,"3/2026",T_HEADCOUNT!$B:$B,"CLT")</f>
        <v/>
      </c>
      <c r="P133" s="28">
        <f>SUMIFS(T_REAL!$D:$D,T_REAL!$E:$E,DRE!P$7,T_REAL!$C:$C,DRE!$A133)+SUMIFS(Aut_Ajustes_Manuais!$G:$G,Aut_Ajustes_Manuais!$I:$I,DRE!N$4,Aut_Ajustes_Manuais!$F:$F,"  -  Barista II")</f>
        <v/>
      </c>
      <c r="Q133" s="241" t="n"/>
      <c r="R133" s="27">
        <f>-SUMIFS(T_HEADCOUNT!$E:$E,T_HEADCOUNT!$C:$C,"-  Barista II",T_HEADCOUNT!$D:$D,"4/2026",T_HEADCOUNT!$B:$B,"CLT")</f>
        <v/>
      </c>
      <c r="S133" s="28">
        <f>SUMIFS(T_REAL!$D:$D,T_REAL!$E:$E,DRE!S$7,T_REAL!$C:$C,DRE!$A133)+SUMIFS(Aut_Ajustes_Manuais!$G:$G,Aut_Ajustes_Manuais!$I:$I,DRE!Q$4,Aut_Ajustes_Manuais!$F:$F,"  -  Barista II")</f>
        <v/>
      </c>
      <c r="T133" s="241" t="n"/>
      <c r="U133" s="27">
        <f>-SUMIFS(T_HEADCOUNT!$E:$E,T_HEADCOUNT!$C:$C,"-  Barista II",T_HEADCOUNT!$D:$D,"5/2026",T_HEADCOUNT!$B:$B,"CLT")</f>
        <v/>
      </c>
      <c r="V133" s="28">
        <f>SUMIFS(T_REAL!$D:$D,T_REAL!$E:$E,DRE!V$7,T_REAL!$C:$C,DRE!$A133)+SUMIFS(Aut_Ajustes_Manuais!$G:$G,Aut_Ajustes_Manuais!$I:$I,DRE!T$4,Aut_Ajustes_Manuais!$F:$F,"  -  Barista II")</f>
        <v/>
      </c>
      <c r="W133" s="241" t="n"/>
      <c r="X133" s="27">
        <f>-SUMIFS(T_HEADCOUNT!$E:$E,T_HEADCOUNT!$C:$C,"-  Barista II",T_HEADCOUNT!$D:$D,"6/2026",T_HEADCOUNT!$B:$B,"CLT")</f>
        <v/>
      </c>
      <c r="Y133" s="28">
        <f>SUMIFS(T_REAL!$D:$D,T_REAL!$E:$E,DRE!Y$7,T_REAL!$C:$C,DRE!$A133)+SUMIFS(Aut_Ajustes_Manuais!$G:$G,Aut_Ajustes_Manuais!$I:$I,DRE!W$4,Aut_Ajustes_Manuais!$F:$F,"  -  Barista II")</f>
        <v/>
      </c>
      <c r="Z133" s="241" t="n"/>
      <c r="AA133" s="27">
        <f>-SUMIFS(T_HEADCOUNT!$E:$E,T_HEADCOUNT!$C:$C,"-  Barista II",T_HEADCOUNT!$D:$D,"7/2026",T_HEADCOUNT!$B:$B,"CLT")</f>
        <v/>
      </c>
      <c r="AB133" s="28">
        <f>SUMIFS(T_REAL!$D:$D,T_REAL!$E:$E,DRE!AB$7,T_REAL!$C:$C,DRE!$A133)+SUMIFS(Aut_Ajustes_Manuais!$G:$G,Aut_Ajustes_Manuais!$I:$I,DRE!Z$4,Aut_Ajustes_Manuais!$F:$F,"  -  Barista II")</f>
        <v/>
      </c>
      <c r="AC133" s="241" t="n"/>
      <c r="AD133" s="27">
        <f>-SUMIFS(T_HEADCOUNT!$E:$E,T_HEADCOUNT!$C:$C,"-  Barista II",T_HEADCOUNT!$D:$D,"8/2026",T_HEADCOUNT!$B:$B,"CLT")</f>
        <v/>
      </c>
      <c r="AE133" s="28">
        <f>SUMIFS(T_REAL!$D:$D,T_REAL!$E:$E,DRE!AE$7,T_REAL!$C:$C,DRE!$A133)+SUMIFS(Aut_Ajustes_Manuais!$G:$G,Aut_Ajustes_Manuais!$I:$I,DRE!AC$4,Aut_Ajustes_Manuais!$F:$F,"  -  Barista II")</f>
        <v/>
      </c>
      <c r="AF133" s="241" t="n"/>
      <c r="AG133" s="27">
        <f>-SUMIFS(T_HEADCOUNT!$E:$E,T_HEADCOUNT!$C:$C,"-  Barista II",T_HEADCOUNT!$D:$D,"9/2026",T_HEADCOUNT!$B:$B,"CLT")</f>
        <v/>
      </c>
      <c r="AH133" s="28">
        <f>SUMIFS(T_REAL!$D:$D,T_REAL!$E:$E,DRE!AH$7,T_REAL!$C:$C,DRE!$A133)+SUMIFS(Aut_Ajustes_Manuais!$G:$G,Aut_Ajustes_Manuais!$I:$I,DRE!AF$4,Aut_Ajustes_Manuais!$F:$F,"  -  Barista II")</f>
        <v/>
      </c>
      <c r="AI133" s="241" t="n"/>
      <c r="AJ133" s="27">
        <f>-SUMIFS(T_HEADCOUNT!$E:$E,T_HEADCOUNT!$C:$C,"-  Barista II",T_HEADCOUNT!$D:$D,"10/2026",T_HEADCOUNT!$B:$B,"CLT")</f>
        <v/>
      </c>
      <c r="AK133" s="28">
        <f>SUMIFS(T_REAL!$D:$D,T_REAL!$E:$E,DRE!AK$7,T_REAL!$C:$C,DRE!$A133)+SUMIFS(Aut_Ajustes_Manuais!$G:$G,Aut_Ajustes_Manuais!$I:$I,DRE!AI$4,Aut_Ajustes_Manuais!$F:$F,"  -  Barista II")</f>
        <v/>
      </c>
      <c r="AL133" s="241" t="n"/>
      <c r="AM133" s="27">
        <f>-SUMIFS(T_HEADCOUNT!$E:$E,T_HEADCOUNT!$C:$C,"-  Barista II",T_HEADCOUNT!$D:$D,"11/2026",T_HEADCOUNT!$B:$B,"CLT")</f>
        <v/>
      </c>
      <c r="AN133" s="28">
        <f>SUMIFS(T_REAL!$D:$D,T_REAL!$E:$E,DRE!AN$7,T_REAL!$C:$C,DRE!$A133)+SUMIFS(Aut_Ajustes_Manuais!$G:$G,Aut_Ajustes_Manuais!$I:$I,DRE!AL$4,Aut_Ajustes_Manuais!$F:$F,"  -  Barista II")</f>
        <v/>
      </c>
      <c r="AO133" s="241" t="n"/>
      <c r="AP133" s="27">
        <f>-SUMIFS(T_HEADCOUNT!$E:$E,T_HEADCOUNT!$C:$C,"-  Barista II",T_HEADCOUNT!$D:$D,"12/2026",T_HEADCOUNT!$B:$B,"CLT")</f>
        <v/>
      </c>
      <c r="AQ133" s="28">
        <f>SUMIFS(T_REAL!$D:$D,T_REAL!$E:$E,DRE!AQ$7,T_REAL!$C:$C,DRE!$A133)+SUMIFS(Aut_Ajustes_Manuais!$G:$G,Aut_Ajustes_Manuais!$I:$I,DRE!AO$4,Aut_Ajustes_Manuais!$F:$F,"  -  Barista II")</f>
        <v/>
      </c>
      <c r="AR133" s="241">
        <f>SUMIFS($H133:$AO133,$H$5:$AO$5,"&lt;"&amp;MONTH(TODAY()),$H$6:$AO$6,"REAL 25")</f>
        <v/>
      </c>
      <c r="AS133" s="27">
        <f>SUMIFS($I133:$AP133,$I$5:$AP$5,"&lt;"&amp;MONTH(TODAY()),$I$6:$AP$6,"ORÇADO ")</f>
        <v/>
      </c>
      <c r="AT133" s="28">
        <f>SUMIFS($J133:$AQ133,$J$5:$AQ$5,"&lt;"&amp;MONTH(TODAY()),$J$6:$AQ$6,"REAL 26")</f>
        <v/>
      </c>
      <c r="AU133" s="241" t="n"/>
      <c r="AV133" s="27" t="n"/>
      <c r="AW133" s="28" t="n"/>
      <c r="AX133" s="241" t="n"/>
      <c r="AY133" s="27" t="n">
        <v>-5107.76</v>
      </c>
      <c r="AZ133" s="28" t="n"/>
      <c r="BA133" s="241" t="n"/>
      <c r="BB133" s="27" t="n">
        <v>-7768.90296</v>
      </c>
      <c r="BC133" s="28" t="n"/>
      <c r="BD133" s="241" t="n"/>
      <c r="BE133" s="27" t="n">
        <v>-7983.42888</v>
      </c>
      <c r="BF133" s="28" t="n"/>
      <c r="BG133" s="241" t="n"/>
      <c r="BH133" s="27" t="n">
        <v>-7983.42888</v>
      </c>
      <c r="BI133" s="28" t="n"/>
    </row>
    <row r="134" hidden="1" outlineLevel="1" customFormat="1" s="498">
      <c r="A134" s="95" t="inlineStr">
        <is>
          <t xml:space="preserve">  -  Barista I</t>
        </is>
      </c>
      <c r="B134" s="488" t="n"/>
      <c r="C134" s="24" t="n"/>
      <c r="D134" s="55" t="inlineStr">
        <is>
          <t>Salário Bruto com INSS Segurado dentro do valor</t>
        </is>
      </c>
      <c r="E134" s="87" t="n"/>
      <c r="F134" s="56" t="n"/>
      <c r="G134" s="33" t="n"/>
      <c r="H134" s="241" t="n"/>
      <c r="I134" s="27">
        <f>-SUMIFS(T_HEADCOUNT!$E:$E,T_HEADCOUNT!$C:$C,"-  Barista I",T_HEADCOUNT!$D:$D,"1/2026",T_HEADCOUNT!$B:$B,"CLT")</f>
        <v/>
      </c>
      <c r="J134" s="28">
        <f>SUMIFS(T_REAL!$D:$D,T_REAL!$E:$E,DRE!J$7,T_REAL!$C:$C,DRE!$A134)+SUMIFS(Aut_Ajustes_Manuais!$G:$G,Aut_Ajustes_Manuais!$I:$I,DRE!H$4,Aut_Ajustes_Manuais!$F:$F,"  -  Barista I")</f>
        <v/>
      </c>
      <c r="K134" s="241" t="n"/>
      <c r="L134" s="27">
        <f>-SUMIFS(T_HEADCOUNT!$E:$E,T_HEADCOUNT!$C:$C,"-  Barista I",T_HEADCOUNT!$D:$D,"2/2026",T_HEADCOUNT!$B:$B,"CLT")</f>
        <v/>
      </c>
      <c r="M134" s="28">
        <f>SUMIFS(T_REAL!$D:$D,T_REAL!$E:$E,DRE!M$7,T_REAL!$C:$C,DRE!$A134)+SUMIFS(Aut_Ajustes_Manuais!$G:$G,Aut_Ajustes_Manuais!$I:$I,DRE!K$4,Aut_Ajustes_Manuais!$F:$F,"  -  Barista I")</f>
        <v/>
      </c>
      <c r="N134" s="241" t="n"/>
      <c r="O134" s="27">
        <f>-SUMIFS(T_HEADCOUNT!$E:$E,T_HEADCOUNT!$C:$C,"-  Barista I",T_HEADCOUNT!$D:$D,"3/2026",T_HEADCOUNT!$B:$B,"CLT")</f>
        <v/>
      </c>
      <c r="P134" s="28">
        <f>SUMIFS(T_REAL!$D:$D,T_REAL!$E:$E,DRE!P$7,T_REAL!$C:$C,DRE!$A134)+SUMIFS(Aut_Ajustes_Manuais!$G:$G,Aut_Ajustes_Manuais!$I:$I,DRE!N$4,Aut_Ajustes_Manuais!$F:$F,"  -  Barista I")</f>
        <v/>
      </c>
      <c r="Q134" s="241" t="n"/>
      <c r="R134" s="27">
        <f>-SUMIFS(T_HEADCOUNT!$E:$E,T_HEADCOUNT!$C:$C,"-  Barista I",T_HEADCOUNT!$D:$D,"4/2026",T_HEADCOUNT!$B:$B,"CLT")</f>
        <v/>
      </c>
      <c r="S134" s="28">
        <f>SUMIFS(T_REAL!$D:$D,T_REAL!$E:$E,DRE!S$7,T_REAL!$C:$C,DRE!$A134)+SUMIFS(Aut_Ajustes_Manuais!$G:$G,Aut_Ajustes_Manuais!$I:$I,DRE!Q$4,Aut_Ajustes_Manuais!$F:$F,"  -  Barista I")</f>
        <v/>
      </c>
      <c r="T134" s="241" t="n"/>
      <c r="U134" s="27">
        <f>-SUMIFS(T_HEADCOUNT!$E:$E,T_HEADCOUNT!$C:$C,"-  Barista I",T_HEADCOUNT!$D:$D,"5/2026",T_HEADCOUNT!$B:$B,"CLT")</f>
        <v/>
      </c>
      <c r="V134" s="28">
        <f>SUMIFS(T_REAL!$D:$D,T_REAL!$E:$E,DRE!V$7,T_REAL!$C:$C,DRE!$A134)+SUMIFS(Aut_Ajustes_Manuais!$G:$G,Aut_Ajustes_Manuais!$I:$I,DRE!T$4,Aut_Ajustes_Manuais!$F:$F,"  -  Barista I")</f>
        <v/>
      </c>
      <c r="W134" s="241" t="n"/>
      <c r="X134" s="27">
        <f>-SUMIFS(T_HEADCOUNT!$E:$E,T_HEADCOUNT!$C:$C,"-  Barista I",T_HEADCOUNT!$D:$D,"6/2026",T_HEADCOUNT!$B:$B,"CLT")</f>
        <v/>
      </c>
      <c r="Y134" s="28">
        <f>SUMIFS(T_REAL!$D:$D,T_REAL!$E:$E,DRE!Y$7,T_REAL!$C:$C,DRE!$A134)+SUMIFS(Aut_Ajustes_Manuais!$G:$G,Aut_Ajustes_Manuais!$I:$I,DRE!W$4,Aut_Ajustes_Manuais!$F:$F,"  -  Barista I")</f>
        <v/>
      </c>
      <c r="Z134" s="241" t="n"/>
      <c r="AA134" s="27">
        <f>-SUMIFS(T_HEADCOUNT!$E:$E,T_HEADCOUNT!$C:$C,"-  Barista I",T_HEADCOUNT!$D:$D,"7/2026",T_HEADCOUNT!$B:$B,"CLT")</f>
        <v/>
      </c>
      <c r="AB134" s="28">
        <f>SUMIFS(T_REAL!$D:$D,T_REAL!$E:$E,DRE!AB$7,T_REAL!$C:$C,DRE!$A134)+SUMIFS(Aut_Ajustes_Manuais!$G:$G,Aut_Ajustes_Manuais!$I:$I,DRE!Z$4,Aut_Ajustes_Manuais!$F:$F,"  -  Barista I")</f>
        <v/>
      </c>
      <c r="AC134" s="241" t="n"/>
      <c r="AD134" s="27">
        <f>-SUMIFS(T_HEADCOUNT!$E:$E,T_HEADCOUNT!$C:$C,"-  Barista I",T_HEADCOUNT!$D:$D,"8/2026",T_HEADCOUNT!$B:$B,"CLT")</f>
        <v/>
      </c>
      <c r="AE134" s="28">
        <f>SUMIFS(T_REAL!$D:$D,T_REAL!$E:$E,DRE!AE$7,T_REAL!$C:$C,DRE!$A134)+SUMIFS(Aut_Ajustes_Manuais!$G:$G,Aut_Ajustes_Manuais!$I:$I,DRE!AC$4,Aut_Ajustes_Manuais!$F:$F,"  -  Barista I")</f>
        <v/>
      </c>
      <c r="AF134" s="241" t="n"/>
      <c r="AG134" s="27">
        <f>-SUMIFS(T_HEADCOUNT!$E:$E,T_HEADCOUNT!$C:$C,"-  Barista I",T_HEADCOUNT!$D:$D,"9/2026",T_HEADCOUNT!$B:$B,"CLT")</f>
        <v/>
      </c>
      <c r="AH134" s="28">
        <f>SUMIFS(T_REAL!$D:$D,T_REAL!$E:$E,DRE!AH$7,T_REAL!$C:$C,DRE!$A134)+SUMIFS(Aut_Ajustes_Manuais!$G:$G,Aut_Ajustes_Manuais!$I:$I,DRE!AF$4,Aut_Ajustes_Manuais!$F:$F,"  -  Barista I")</f>
        <v/>
      </c>
      <c r="AI134" s="241" t="n"/>
      <c r="AJ134" s="27">
        <f>-SUMIFS(T_HEADCOUNT!$E:$E,T_HEADCOUNT!$C:$C,"-  Barista I",T_HEADCOUNT!$D:$D,"10/2026",T_HEADCOUNT!$B:$B,"CLT")</f>
        <v/>
      </c>
      <c r="AK134" s="28">
        <f>SUMIFS(T_REAL!$D:$D,T_REAL!$E:$E,DRE!AK$7,T_REAL!$C:$C,DRE!$A134)+SUMIFS(Aut_Ajustes_Manuais!$G:$G,Aut_Ajustes_Manuais!$I:$I,DRE!AI$4,Aut_Ajustes_Manuais!$F:$F,"  -  Barista I")</f>
        <v/>
      </c>
      <c r="AL134" s="241" t="n"/>
      <c r="AM134" s="27">
        <f>-SUMIFS(T_HEADCOUNT!$E:$E,T_HEADCOUNT!$C:$C,"-  Barista I",T_HEADCOUNT!$D:$D,"11/2026",T_HEADCOUNT!$B:$B,"CLT")</f>
        <v/>
      </c>
      <c r="AN134" s="28">
        <f>SUMIFS(T_REAL!$D:$D,T_REAL!$E:$E,DRE!AN$7,T_REAL!$C:$C,DRE!$A134)+SUMIFS(Aut_Ajustes_Manuais!$G:$G,Aut_Ajustes_Manuais!$I:$I,DRE!AL$4,Aut_Ajustes_Manuais!$F:$F,"  -  Barista I")</f>
        <v/>
      </c>
      <c r="AO134" s="241" t="n"/>
      <c r="AP134" s="27">
        <f>-SUMIFS(T_HEADCOUNT!$E:$E,T_HEADCOUNT!$C:$C,"-  Barista I",T_HEADCOUNT!$D:$D,"12/2026",T_HEADCOUNT!$B:$B,"CLT")</f>
        <v/>
      </c>
      <c r="AQ134" s="28">
        <f>SUMIFS(T_REAL!$D:$D,T_REAL!$E:$E,DRE!AQ$7,T_REAL!$C:$C,DRE!$A134)+SUMIFS(Aut_Ajustes_Manuais!$G:$G,Aut_Ajustes_Manuais!$I:$I,DRE!AO$4,Aut_Ajustes_Manuais!$F:$F,"  -  Barista I")</f>
        <v/>
      </c>
      <c r="AR134" s="241">
        <f>SUMIFS($H134:$AO134,$H$5:$AO$5,"&lt;"&amp;MONTH(TODAY()),$H$6:$AO$6,"REAL 25")</f>
        <v/>
      </c>
      <c r="AS134" s="27">
        <f>SUMIFS($I134:$AP134,$I$5:$AP$5,"&lt;"&amp;MONTH(TODAY()),$I$6:$AP$6,"ORÇADO ")</f>
        <v/>
      </c>
      <c r="AT134" s="28">
        <f>SUMIFS($J134:$AQ134,$J$5:$AQ$5,"&lt;"&amp;MONTH(TODAY()),$J$6:$AQ$6,"REAL 26")</f>
        <v/>
      </c>
      <c r="AU134" s="241" t="n"/>
      <c r="AV134" s="27" t="n"/>
      <c r="AW134" s="28" t="n"/>
      <c r="AX134" s="241" t="n"/>
      <c r="AY134" s="27" t="n">
        <v>0</v>
      </c>
      <c r="AZ134" s="28" t="n"/>
      <c r="BA134" s="241" t="n"/>
      <c r="BB134" s="27" t="n">
        <v>0</v>
      </c>
      <c r="BC134" s="28" t="n"/>
      <c r="BD134" s="241" t="n"/>
      <c r="BE134" s="27" t="n">
        <v>0</v>
      </c>
      <c r="BF134" s="28" t="n"/>
      <c r="BG134" s="241" t="n"/>
      <c r="BH134" s="27" t="n">
        <v>0</v>
      </c>
      <c r="BI134" s="28" t="n"/>
    </row>
    <row r="135" hidden="1" outlineLevel="1" customFormat="1" s="498">
      <c r="A135" s="95" t="inlineStr">
        <is>
          <t xml:space="preserve">  -  Chopeiro III</t>
        </is>
      </c>
      <c r="B135" s="488" t="n"/>
      <c r="C135" s="24" t="n"/>
      <c r="D135" s="55" t="inlineStr">
        <is>
          <t>Salário Bruto com INSS Segurado dentro do valor</t>
        </is>
      </c>
      <c r="E135" s="87" t="n"/>
      <c r="F135" s="56" t="n"/>
      <c r="G135" s="33" t="n"/>
      <c r="H135" s="241" t="n"/>
      <c r="I135" s="27">
        <f>-SUMIFS(T_HEADCOUNT!$E:$E,T_HEADCOUNT!$C:$C,"-  Chopeiro III",T_HEADCOUNT!$D:$D,"1/2026",T_HEADCOUNT!$B:$B,"CLT")</f>
        <v/>
      </c>
      <c r="J135" s="28">
        <f>SUMIFS(T_REAL!$D:$D,T_REAL!$E:$E,DRE!J$7,T_REAL!$C:$C,DRE!$A135)+SUMIFS(Aut_Ajustes_Manuais!$G:$G,Aut_Ajustes_Manuais!$I:$I,DRE!H$4,Aut_Ajustes_Manuais!$F:$F,"  -  Chopeiro III")</f>
        <v/>
      </c>
      <c r="K135" s="241" t="n"/>
      <c r="L135" s="27">
        <f>-SUMIFS(T_HEADCOUNT!$E:$E,T_HEADCOUNT!$C:$C,"-  Chopeiro III",T_HEADCOUNT!$D:$D,"2/2026",T_HEADCOUNT!$B:$B,"CLT")</f>
        <v/>
      </c>
      <c r="M135" s="28">
        <f>SUMIFS(T_REAL!$D:$D,T_REAL!$E:$E,DRE!M$7,T_REAL!$C:$C,DRE!$A135)+SUMIFS(Aut_Ajustes_Manuais!$G:$G,Aut_Ajustes_Manuais!$I:$I,DRE!K$4,Aut_Ajustes_Manuais!$F:$F,"  -  Chopeiro III")</f>
        <v/>
      </c>
      <c r="N135" s="241" t="n"/>
      <c r="O135" s="27">
        <f>-SUMIFS(T_HEADCOUNT!$E:$E,T_HEADCOUNT!$C:$C,"-  Chopeiro III",T_HEADCOUNT!$D:$D,"3/2026",T_HEADCOUNT!$B:$B,"CLT")</f>
        <v/>
      </c>
      <c r="P135" s="28">
        <f>SUMIFS(T_REAL!$D:$D,T_REAL!$E:$E,DRE!P$7,T_REAL!$C:$C,DRE!$A135)+SUMIFS(Aut_Ajustes_Manuais!$G:$G,Aut_Ajustes_Manuais!$I:$I,DRE!N$4,Aut_Ajustes_Manuais!$F:$F,"  -  Chopeiro III")</f>
        <v/>
      </c>
      <c r="Q135" s="241" t="n"/>
      <c r="R135" s="27">
        <f>-SUMIFS(T_HEADCOUNT!$E:$E,T_HEADCOUNT!$C:$C,"-  Chopeiro III",T_HEADCOUNT!$D:$D,"4/2026",T_HEADCOUNT!$B:$B,"CLT")</f>
        <v/>
      </c>
      <c r="S135" s="28">
        <f>SUMIFS(T_REAL!$D:$D,T_REAL!$E:$E,DRE!S$7,T_REAL!$C:$C,DRE!$A135)+SUMIFS(Aut_Ajustes_Manuais!$G:$G,Aut_Ajustes_Manuais!$I:$I,DRE!Q$4,Aut_Ajustes_Manuais!$F:$F,"  -  Chopeiro III")</f>
        <v/>
      </c>
      <c r="T135" s="241" t="n"/>
      <c r="U135" s="27">
        <f>-SUMIFS(T_HEADCOUNT!$E:$E,T_HEADCOUNT!$C:$C,"-  Chopeiro III",T_HEADCOUNT!$D:$D,"5/2026",T_HEADCOUNT!$B:$B,"CLT")</f>
        <v/>
      </c>
      <c r="V135" s="28">
        <f>SUMIFS(T_REAL!$D:$D,T_REAL!$E:$E,DRE!V$7,T_REAL!$C:$C,DRE!$A135)+SUMIFS(Aut_Ajustes_Manuais!$G:$G,Aut_Ajustes_Manuais!$I:$I,DRE!T$4,Aut_Ajustes_Manuais!$F:$F,"  -  Chopeiro III")</f>
        <v/>
      </c>
      <c r="W135" s="241" t="n"/>
      <c r="X135" s="27">
        <f>-SUMIFS(T_HEADCOUNT!$E:$E,T_HEADCOUNT!$C:$C,"-  Chopeiro III",T_HEADCOUNT!$D:$D,"6/2026",T_HEADCOUNT!$B:$B,"CLT")</f>
        <v/>
      </c>
      <c r="Y135" s="28">
        <f>SUMIFS(T_REAL!$D:$D,T_REAL!$E:$E,DRE!Y$7,T_REAL!$C:$C,DRE!$A135)+SUMIFS(Aut_Ajustes_Manuais!$G:$G,Aut_Ajustes_Manuais!$I:$I,DRE!W$4,Aut_Ajustes_Manuais!$F:$F,"  -  Chopeiro III")</f>
        <v/>
      </c>
      <c r="Z135" s="241" t="n"/>
      <c r="AA135" s="27">
        <f>-SUMIFS(T_HEADCOUNT!$E:$E,T_HEADCOUNT!$C:$C,"-  Chopeiro III",T_HEADCOUNT!$D:$D,"7/2026",T_HEADCOUNT!$B:$B,"CLT")</f>
        <v/>
      </c>
      <c r="AB135" s="28">
        <f>SUMIFS(T_REAL!$D:$D,T_REAL!$E:$E,DRE!AB$7,T_REAL!$C:$C,DRE!$A135)+SUMIFS(Aut_Ajustes_Manuais!$G:$G,Aut_Ajustes_Manuais!$I:$I,DRE!Z$4,Aut_Ajustes_Manuais!$F:$F,"  -  Chopeiro III")</f>
        <v/>
      </c>
      <c r="AC135" s="241" t="n"/>
      <c r="AD135" s="27">
        <f>-SUMIFS(T_HEADCOUNT!$E:$E,T_HEADCOUNT!$C:$C,"-  Chopeiro III",T_HEADCOUNT!$D:$D,"8/2026",T_HEADCOUNT!$B:$B,"CLT")</f>
        <v/>
      </c>
      <c r="AE135" s="28">
        <f>SUMIFS(T_REAL!$D:$D,T_REAL!$E:$E,DRE!AE$7,T_REAL!$C:$C,DRE!$A135)+SUMIFS(Aut_Ajustes_Manuais!$G:$G,Aut_Ajustes_Manuais!$I:$I,DRE!AC$4,Aut_Ajustes_Manuais!$F:$F,"  -  Chopeiro III")</f>
        <v/>
      </c>
      <c r="AF135" s="241" t="n"/>
      <c r="AG135" s="27">
        <f>-SUMIFS(T_HEADCOUNT!$E:$E,T_HEADCOUNT!$C:$C,"-  Chopeiro III",T_HEADCOUNT!$D:$D,"9/2026",T_HEADCOUNT!$B:$B,"CLT")</f>
        <v/>
      </c>
      <c r="AH135" s="28">
        <f>SUMIFS(T_REAL!$D:$D,T_REAL!$E:$E,DRE!AH$7,T_REAL!$C:$C,DRE!$A135)+SUMIFS(Aut_Ajustes_Manuais!$G:$G,Aut_Ajustes_Manuais!$I:$I,DRE!AF$4,Aut_Ajustes_Manuais!$F:$F,"  -  Chopeiro III")</f>
        <v/>
      </c>
      <c r="AI135" s="241" t="n"/>
      <c r="AJ135" s="27">
        <f>-SUMIFS(T_HEADCOUNT!$E:$E,T_HEADCOUNT!$C:$C,"-  Chopeiro III",T_HEADCOUNT!$D:$D,"10/2026",T_HEADCOUNT!$B:$B,"CLT")</f>
        <v/>
      </c>
      <c r="AK135" s="28">
        <f>SUMIFS(T_REAL!$D:$D,T_REAL!$E:$E,DRE!AK$7,T_REAL!$C:$C,DRE!$A135)+SUMIFS(Aut_Ajustes_Manuais!$G:$G,Aut_Ajustes_Manuais!$I:$I,DRE!AI$4,Aut_Ajustes_Manuais!$F:$F,"  -  Chopeiro III")</f>
        <v/>
      </c>
      <c r="AL135" s="241" t="n"/>
      <c r="AM135" s="27">
        <f>-SUMIFS(T_HEADCOUNT!$E:$E,T_HEADCOUNT!$C:$C,"-  Chopeiro III",T_HEADCOUNT!$D:$D,"11/2026",T_HEADCOUNT!$B:$B,"CLT")</f>
        <v/>
      </c>
      <c r="AN135" s="28">
        <f>SUMIFS(T_REAL!$D:$D,T_REAL!$E:$E,DRE!AN$7,T_REAL!$C:$C,DRE!$A135)+SUMIFS(Aut_Ajustes_Manuais!$G:$G,Aut_Ajustes_Manuais!$I:$I,DRE!AL$4,Aut_Ajustes_Manuais!$F:$F,"  -  Chopeiro III")</f>
        <v/>
      </c>
      <c r="AO135" s="241" t="n"/>
      <c r="AP135" s="27">
        <f>-SUMIFS(T_HEADCOUNT!$E:$E,T_HEADCOUNT!$C:$C,"-  Chopeiro III",T_HEADCOUNT!$D:$D,"12/2026",T_HEADCOUNT!$B:$B,"CLT")</f>
        <v/>
      </c>
      <c r="AQ135" s="28">
        <f>SUMIFS(T_REAL!$D:$D,T_REAL!$E:$E,DRE!AQ$7,T_REAL!$C:$C,DRE!$A135)+SUMIFS(Aut_Ajustes_Manuais!$G:$G,Aut_Ajustes_Manuais!$I:$I,DRE!AO$4,Aut_Ajustes_Manuais!$F:$F,"  -  Chopeiro III")</f>
        <v/>
      </c>
      <c r="AR135" s="241">
        <f>SUMIFS($H135:$AO135,$H$5:$AO$5,"&lt;"&amp;MONTH(TODAY()),$H$6:$AO$6,"REAL 25")</f>
        <v/>
      </c>
      <c r="AS135" s="27">
        <f>SUMIFS($I135:$AP135,$I$5:$AP$5,"&lt;"&amp;MONTH(TODAY()),$I$6:$AP$6,"ORÇADO ")</f>
        <v/>
      </c>
      <c r="AT135" s="28">
        <f>SUMIFS($J135:$AQ135,$J$5:$AQ$5,"&lt;"&amp;MONTH(TODAY()),$J$6:$AQ$6,"REAL 26")</f>
        <v/>
      </c>
      <c r="AU135" s="241" t="n"/>
      <c r="AV135" s="27" t="n"/>
      <c r="AW135" s="28" t="n"/>
      <c r="AX135" s="241" t="n"/>
      <c r="AY135" s="27" t="n">
        <v>0</v>
      </c>
      <c r="AZ135" s="28" t="n"/>
      <c r="BA135" s="241" t="n"/>
      <c r="BB135" s="27" t="n">
        <v>0</v>
      </c>
      <c r="BC135" s="28" t="n"/>
      <c r="BD135" s="241" t="n"/>
      <c r="BE135" s="27" t="n">
        <v>0</v>
      </c>
      <c r="BF135" s="28" t="n"/>
      <c r="BG135" s="241" t="n"/>
      <c r="BH135" s="27" t="n">
        <v>0</v>
      </c>
      <c r="BI135" s="28" t="n"/>
    </row>
    <row r="136" hidden="1" outlineLevel="1" customFormat="1" s="498">
      <c r="A136" s="95" t="inlineStr">
        <is>
          <t xml:space="preserve">  -  Chopeiro II</t>
        </is>
      </c>
      <c r="B136" s="488" t="n"/>
      <c r="C136" s="24" t="n"/>
      <c r="D136" s="55" t="inlineStr">
        <is>
          <t>Salário Bruto com INSS Segurado dentro do valor</t>
        </is>
      </c>
      <c r="E136" s="87" t="n"/>
      <c r="F136" s="56" t="n"/>
      <c r="G136" s="33" t="n"/>
      <c r="H136" s="241" t="n"/>
      <c r="I136" s="27">
        <f>-SUMIFS(T_HEADCOUNT!$E:$E,T_HEADCOUNT!$C:$C,"-  Chopeiro II",T_HEADCOUNT!$D:$D,"1/2026",T_HEADCOUNT!$B:$B,"CLT")</f>
        <v/>
      </c>
      <c r="J136" s="28">
        <f>SUMIFS(T_REAL!$D:$D,T_REAL!$E:$E,DRE!J$7,T_REAL!$C:$C,DRE!$A136)+SUMIFS(Aut_Ajustes_Manuais!$G:$G,Aut_Ajustes_Manuais!$I:$I,DRE!H$4,Aut_Ajustes_Manuais!$F:$F,"  -  Chopeiro II")</f>
        <v/>
      </c>
      <c r="K136" s="241" t="n"/>
      <c r="L136" s="27">
        <f>-SUMIFS(T_HEADCOUNT!$E:$E,T_HEADCOUNT!$C:$C,"-  Chopeiro II",T_HEADCOUNT!$D:$D,"2/2026",T_HEADCOUNT!$B:$B,"CLT")</f>
        <v/>
      </c>
      <c r="M136" s="28">
        <f>SUMIFS(T_REAL!$D:$D,T_REAL!$E:$E,DRE!M$7,T_REAL!$C:$C,DRE!$A136)+SUMIFS(Aut_Ajustes_Manuais!$G:$G,Aut_Ajustes_Manuais!$I:$I,DRE!K$4,Aut_Ajustes_Manuais!$F:$F,"  -  Chopeiro II")</f>
        <v/>
      </c>
      <c r="N136" s="241" t="n"/>
      <c r="O136" s="27">
        <f>-SUMIFS(T_HEADCOUNT!$E:$E,T_HEADCOUNT!$C:$C,"-  Chopeiro II",T_HEADCOUNT!$D:$D,"3/2026",T_HEADCOUNT!$B:$B,"CLT")</f>
        <v/>
      </c>
      <c r="P136" s="28">
        <f>SUMIFS(T_REAL!$D:$D,T_REAL!$E:$E,DRE!P$7,T_REAL!$C:$C,DRE!$A136)+SUMIFS(Aut_Ajustes_Manuais!$G:$G,Aut_Ajustes_Manuais!$I:$I,DRE!N$4,Aut_Ajustes_Manuais!$F:$F,"  -  Chopeiro II")</f>
        <v/>
      </c>
      <c r="Q136" s="241" t="n"/>
      <c r="R136" s="27">
        <f>-SUMIFS(T_HEADCOUNT!$E:$E,T_HEADCOUNT!$C:$C,"-  Chopeiro II",T_HEADCOUNT!$D:$D,"4/2026",T_HEADCOUNT!$B:$B,"CLT")</f>
        <v/>
      </c>
      <c r="S136" s="28">
        <f>SUMIFS(T_REAL!$D:$D,T_REAL!$E:$E,DRE!S$7,T_REAL!$C:$C,DRE!$A136)+SUMIFS(Aut_Ajustes_Manuais!$G:$G,Aut_Ajustes_Manuais!$I:$I,DRE!Q$4,Aut_Ajustes_Manuais!$F:$F,"  -  Chopeiro II")</f>
        <v/>
      </c>
      <c r="T136" s="241" t="n"/>
      <c r="U136" s="27">
        <f>-SUMIFS(T_HEADCOUNT!$E:$E,T_HEADCOUNT!$C:$C,"-  Chopeiro II",T_HEADCOUNT!$D:$D,"5/2026",T_HEADCOUNT!$B:$B,"CLT")</f>
        <v/>
      </c>
      <c r="V136" s="28">
        <f>SUMIFS(T_REAL!$D:$D,T_REAL!$E:$E,DRE!V$7,T_REAL!$C:$C,DRE!$A136)+SUMIFS(Aut_Ajustes_Manuais!$G:$G,Aut_Ajustes_Manuais!$I:$I,DRE!T$4,Aut_Ajustes_Manuais!$F:$F,"  -  Chopeiro II")</f>
        <v/>
      </c>
      <c r="W136" s="241" t="n"/>
      <c r="X136" s="27">
        <f>-SUMIFS(T_HEADCOUNT!$E:$E,T_HEADCOUNT!$C:$C,"-  Chopeiro II",T_HEADCOUNT!$D:$D,"6/2026",T_HEADCOUNT!$B:$B,"CLT")</f>
        <v/>
      </c>
      <c r="Y136" s="28">
        <f>SUMIFS(T_REAL!$D:$D,T_REAL!$E:$E,DRE!Y$7,T_REAL!$C:$C,DRE!$A136)+SUMIFS(Aut_Ajustes_Manuais!$G:$G,Aut_Ajustes_Manuais!$I:$I,DRE!W$4,Aut_Ajustes_Manuais!$F:$F,"  -  Chopeiro II")</f>
        <v/>
      </c>
      <c r="Z136" s="241" t="n"/>
      <c r="AA136" s="27">
        <f>-SUMIFS(T_HEADCOUNT!$E:$E,T_HEADCOUNT!$C:$C,"-  Chopeiro II",T_HEADCOUNT!$D:$D,"7/2026",T_HEADCOUNT!$B:$B,"CLT")</f>
        <v/>
      </c>
      <c r="AB136" s="28">
        <f>SUMIFS(T_REAL!$D:$D,T_REAL!$E:$E,DRE!AB$7,T_REAL!$C:$C,DRE!$A136)+SUMIFS(Aut_Ajustes_Manuais!$G:$G,Aut_Ajustes_Manuais!$I:$I,DRE!Z$4,Aut_Ajustes_Manuais!$F:$F,"  -  Chopeiro II")</f>
        <v/>
      </c>
      <c r="AC136" s="241" t="n"/>
      <c r="AD136" s="27">
        <f>-SUMIFS(T_HEADCOUNT!$E:$E,T_HEADCOUNT!$C:$C,"-  Chopeiro II",T_HEADCOUNT!$D:$D,"8/2026",T_HEADCOUNT!$B:$B,"CLT")</f>
        <v/>
      </c>
      <c r="AE136" s="28">
        <f>SUMIFS(T_REAL!$D:$D,T_REAL!$E:$E,DRE!AE$7,T_REAL!$C:$C,DRE!$A136)+SUMIFS(Aut_Ajustes_Manuais!$G:$G,Aut_Ajustes_Manuais!$I:$I,DRE!AC$4,Aut_Ajustes_Manuais!$F:$F,"  -  Chopeiro II")</f>
        <v/>
      </c>
      <c r="AF136" s="241" t="n"/>
      <c r="AG136" s="27">
        <f>-SUMIFS(T_HEADCOUNT!$E:$E,T_HEADCOUNT!$C:$C,"-  Chopeiro II",T_HEADCOUNT!$D:$D,"9/2026",T_HEADCOUNT!$B:$B,"CLT")</f>
        <v/>
      </c>
      <c r="AH136" s="28">
        <f>SUMIFS(T_REAL!$D:$D,T_REAL!$E:$E,DRE!AH$7,T_REAL!$C:$C,DRE!$A136)+SUMIFS(Aut_Ajustes_Manuais!$G:$G,Aut_Ajustes_Manuais!$I:$I,DRE!AF$4,Aut_Ajustes_Manuais!$F:$F,"  -  Chopeiro II")</f>
        <v/>
      </c>
      <c r="AI136" s="241" t="n"/>
      <c r="AJ136" s="27">
        <f>-SUMIFS(T_HEADCOUNT!$E:$E,T_HEADCOUNT!$C:$C,"-  Chopeiro II",T_HEADCOUNT!$D:$D,"10/2026",T_HEADCOUNT!$B:$B,"CLT")</f>
        <v/>
      </c>
      <c r="AK136" s="28">
        <f>SUMIFS(T_REAL!$D:$D,T_REAL!$E:$E,DRE!AK$7,T_REAL!$C:$C,DRE!$A136)+SUMIFS(Aut_Ajustes_Manuais!$G:$G,Aut_Ajustes_Manuais!$I:$I,DRE!AI$4,Aut_Ajustes_Manuais!$F:$F,"  -  Chopeiro II")</f>
        <v/>
      </c>
      <c r="AL136" s="241" t="n"/>
      <c r="AM136" s="27">
        <f>-SUMIFS(T_HEADCOUNT!$E:$E,T_HEADCOUNT!$C:$C,"-  Chopeiro II",T_HEADCOUNT!$D:$D,"11/2026",T_HEADCOUNT!$B:$B,"CLT")</f>
        <v/>
      </c>
      <c r="AN136" s="28">
        <f>SUMIFS(T_REAL!$D:$D,T_REAL!$E:$E,DRE!AN$7,T_REAL!$C:$C,DRE!$A136)+SUMIFS(Aut_Ajustes_Manuais!$G:$G,Aut_Ajustes_Manuais!$I:$I,DRE!AL$4,Aut_Ajustes_Manuais!$F:$F,"  -  Chopeiro II")</f>
        <v/>
      </c>
      <c r="AO136" s="241" t="n"/>
      <c r="AP136" s="27">
        <f>-SUMIFS(T_HEADCOUNT!$E:$E,T_HEADCOUNT!$C:$C,"-  Chopeiro II",T_HEADCOUNT!$D:$D,"12/2026",T_HEADCOUNT!$B:$B,"CLT")</f>
        <v/>
      </c>
      <c r="AQ136" s="28">
        <f>SUMIFS(T_REAL!$D:$D,T_REAL!$E:$E,DRE!AQ$7,T_REAL!$C:$C,DRE!$A136)+SUMIFS(Aut_Ajustes_Manuais!$G:$G,Aut_Ajustes_Manuais!$I:$I,DRE!AO$4,Aut_Ajustes_Manuais!$F:$F,"  -  Chopeiro II")</f>
        <v/>
      </c>
      <c r="AR136" s="241">
        <f>SUMIFS($H136:$AO136,$H$5:$AO$5,"&lt;"&amp;MONTH(TODAY()),$H$6:$AO$6,"REAL 25")</f>
        <v/>
      </c>
      <c r="AS136" s="27">
        <f>SUMIFS($I136:$AP136,$I$5:$AP$5,"&lt;"&amp;MONTH(TODAY()),$I$6:$AP$6,"ORÇADO ")</f>
        <v/>
      </c>
      <c r="AT136" s="28">
        <f>SUMIFS($J136:$AQ136,$J$5:$AQ$5,"&lt;"&amp;MONTH(TODAY()),$J$6:$AQ$6,"REAL 26")</f>
        <v/>
      </c>
      <c r="AU136" s="241" t="n"/>
      <c r="AV136" s="27" t="n"/>
      <c r="AW136" s="28" t="n"/>
      <c r="AX136" s="241" t="n"/>
      <c r="AY136" s="27" t="n">
        <v>0</v>
      </c>
      <c r="AZ136" s="28" t="n"/>
      <c r="BA136" s="241" t="n"/>
      <c r="BB136" s="27" t="n">
        <v>0</v>
      </c>
      <c r="BC136" s="28" t="n"/>
      <c r="BD136" s="241" t="n"/>
      <c r="BE136" s="27" t="n">
        <v>0</v>
      </c>
      <c r="BF136" s="28" t="n"/>
      <c r="BG136" s="241" t="n"/>
      <c r="BH136" s="27" t="n">
        <v>0</v>
      </c>
      <c r="BI136" s="28" t="n"/>
    </row>
    <row r="137" hidden="1" outlineLevel="1" customFormat="1" s="498">
      <c r="A137" s="95" t="inlineStr">
        <is>
          <t xml:space="preserve">  -  Chopeiro I</t>
        </is>
      </c>
      <c r="B137" s="488" t="n"/>
      <c r="C137" s="24" t="n"/>
      <c r="D137" s="55" t="inlineStr">
        <is>
          <t>Salário Bruto com INSS Segurado dentro do valor</t>
        </is>
      </c>
      <c r="E137" s="87" t="n"/>
      <c r="F137" s="56" t="n"/>
      <c r="G137" s="33" t="n"/>
      <c r="H137" s="241" t="n"/>
      <c r="I137" s="27">
        <f>-SUMIFS(T_HEADCOUNT!$E:$E,T_HEADCOUNT!$C:$C,"-  Chopeiro I",T_HEADCOUNT!$D:$D,"1/2026",T_HEADCOUNT!$B:$B,"CLT")</f>
        <v/>
      </c>
      <c r="J137" s="28">
        <f>SUMIFS(T_REAL!$D:$D,T_REAL!$E:$E,DRE!J$7,T_REAL!$C:$C,DRE!$A137)+SUMIFS(Aut_Ajustes_Manuais!$G:$G,Aut_Ajustes_Manuais!$I:$I,DRE!H$4,Aut_Ajustes_Manuais!$F:$F,"  -  Chopeiro I")</f>
        <v/>
      </c>
      <c r="K137" s="241" t="n"/>
      <c r="L137" s="27">
        <f>-SUMIFS(T_HEADCOUNT!$E:$E,T_HEADCOUNT!$C:$C,"-  Chopeiro I",T_HEADCOUNT!$D:$D,"2/2026",T_HEADCOUNT!$B:$B,"CLT")</f>
        <v/>
      </c>
      <c r="M137" s="28">
        <f>SUMIFS(T_REAL!$D:$D,T_REAL!$E:$E,DRE!M$7,T_REAL!$C:$C,DRE!$A137)+SUMIFS(Aut_Ajustes_Manuais!$G:$G,Aut_Ajustes_Manuais!$I:$I,DRE!K$4,Aut_Ajustes_Manuais!$F:$F,"  -  Chopeiro I")</f>
        <v/>
      </c>
      <c r="N137" s="241" t="n"/>
      <c r="O137" s="27">
        <f>-SUMIFS(T_HEADCOUNT!$E:$E,T_HEADCOUNT!$C:$C,"-  Chopeiro I",T_HEADCOUNT!$D:$D,"3/2026",T_HEADCOUNT!$B:$B,"CLT")</f>
        <v/>
      </c>
      <c r="P137" s="28">
        <f>SUMIFS(T_REAL!$D:$D,T_REAL!$E:$E,DRE!P$7,T_REAL!$C:$C,DRE!$A137)+SUMIFS(Aut_Ajustes_Manuais!$G:$G,Aut_Ajustes_Manuais!$I:$I,DRE!N$4,Aut_Ajustes_Manuais!$F:$F,"  -  Chopeiro I")</f>
        <v/>
      </c>
      <c r="Q137" s="241" t="n"/>
      <c r="R137" s="27">
        <f>-SUMIFS(T_HEADCOUNT!$E:$E,T_HEADCOUNT!$C:$C,"-  Chopeiro I",T_HEADCOUNT!$D:$D,"4/2026",T_HEADCOUNT!$B:$B,"CLT")</f>
        <v/>
      </c>
      <c r="S137" s="28">
        <f>SUMIFS(T_REAL!$D:$D,T_REAL!$E:$E,DRE!S$7,T_REAL!$C:$C,DRE!$A137)+SUMIFS(Aut_Ajustes_Manuais!$G:$G,Aut_Ajustes_Manuais!$I:$I,DRE!Q$4,Aut_Ajustes_Manuais!$F:$F,"  -  Chopeiro I")</f>
        <v/>
      </c>
      <c r="T137" s="241" t="n"/>
      <c r="U137" s="27">
        <f>-SUMIFS(T_HEADCOUNT!$E:$E,T_HEADCOUNT!$C:$C,"-  Chopeiro I",T_HEADCOUNT!$D:$D,"5/2026",T_HEADCOUNT!$B:$B,"CLT")</f>
        <v/>
      </c>
      <c r="V137" s="28">
        <f>SUMIFS(T_REAL!$D:$D,T_REAL!$E:$E,DRE!V$7,T_REAL!$C:$C,DRE!$A137)+SUMIFS(Aut_Ajustes_Manuais!$G:$G,Aut_Ajustes_Manuais!$I:$I,DRE!T$4,Aut_Ajustes_Manuais!$F:$F,"  -  Chopeiro I")</f>
        <v/>
      </c>
      <c r="W137" s="241" t="n"/>
      <c r="X137" s="27">
        <f>-SUMIFS(T_HEADCOUNT!$E:$E,T_HEADCOUNT!$C:$C,"-  Chopeiro I",T_HEADCOUNT!$D:$D,"6/2026",T_HEADCOUNT!$B:$B,"CLT")</f>
        <v/>
      </c>
      <c r="Y137" s="28">
        <f>SUMIFS(T_REAL!$D:$D,T_REAL!$E:$E,DRE!Y$7,T_REAL!$C:$C,DRE!$A137)+SUMIFS(Aut_Ajustes_Manuais!$G:$G,Aut_Ajustes_Manuais!$I:$I,DRE!W$4,Aut_Ajustes_Manuais!$F:$F,"  -  Chopeiro I")</f>
        <v/>
      </c>
      <c r="Z137" s="241" t="n"/>
      <c r="AA137" s="27">
        <f>-SUMIFS(T_HEADCOUNT!$E:$E,T_HEADCOUNT!$C:$C,"-  Chopeiro I",T_HEADCOUNT!$D:$D,"7/2026",T_HEADCOUNT!$B:$B,"CLT")</f>
        <v/>
      </c>
      <c r="AB137" s="28">
        <f>SUMIFS(T_REAL!$D:$D,T_REAL!$E:$E,DRE!AB$7,T_REAL!$C:$C,DRE!$A137)+SUMIFS(Aut_Ajustes_Manuais!$G:$G,Aut_Ajustes_Manuais!$I:$I,DRE!Z$4,Aut_Ajustes_Manuais!$F:$F,"  -  Chopeiro I")</f>
        <v/>
      </c>
      <c r="AC137" s="241" t="n"/>
      <c r="AD137" s="27">
        <f>-SUMIFS(T_HEADCOUNT!$E:$E,T_HEADCOUNT!$C:$C,"-  Chopeiro I",T_HEADCOUNT!$D:$D,"8/2026",T_HEADCOUNT!$B:$B,"CLT")</f>
        <v/>
      </c>
      <c r="AE137" s="28">
        <f>SUMIFS(T_REAL!$D:$D,T_REAL!$E:$E,DRE!AE$7,T_REAL!$C:$C,DRE!$A137)+SUMIFS(Aut_Ajustes_Manuais!$G:$G,Aut_Ajustes_Manuais!$I:$I,DRE!AC$4,Aut_Ajustes_Manuais!$F:$F,"  -  Chopeiro I")</f>
        <v/>
      </c>
      <c r="AF137" s="241" t="n"/>
      <c r="AG137" s="27">
        <f>-SUMIFS(T_HEADCOUNT!$E:$E,T_HEADCOUNT!$C:$C,"-  Chopeiro I",T_HEADCOUNT!$D:$D,"9/2026",T_HEADCOUNT!$B:$B,"CLT")</f>
        <v/>
      </c>
      <c r="AH137" s="28">
        <f>SUMIFS(T_REAL!$D:$D,T_REAL!$E:$E,DRE!AH$7,T_REAL!$C:$C,DRE!$A137)+SUMIFS(Aut_Ajustes_Manuais!$G:$G,Aut_Ajustes_Manuais!$I:$I,DRE!AF$4,Aut_Ajustes_Manuais!$F:$F,"  -  Chopeiro I")</f>
        <v/>
      </c>
      <c r="AI137" s="241" t="n"/>
      <c r="AJ137" s="27">
        <f>-SUMIFS(T_HEADCOUNT!$E:$E,T_HEADCOUNT!$C:$C,"-  Chopeiro I",T_HEADCOUNT!$D:$D,"10/2026",T_HEADCOUNT!$B:$B,"CLT")</f>
        <v/>
      </c>
      <c r="AK137" s="28">
        <f>SUMIFS(T_REAL!$D:$D,T_REAL!$E:$E,DRE!AK$7,T_REAL!$C:$C,DRE!$A137)+SUMIFS(Aut_Ajustes_Manuais!$G:$G,Aut_Ajustes_Manuais!$I:$I,DRE!AI$4,Aut_Ajustes_Manuais!$F:$F,"  -  Chopeiro I")</f>
        <v/>
      </c>
      <c r="AL137" s="241" t="n"/>
      <c r="AM137" s="27">
        <f>-SUMIFS(T_HEADCOUNT!$E:$E,T_HEADCOUNT!$C:$C,"-  Chopeiro I",T_HEADCOUNT!$D:$D,"11/2026",T_HEADCOUNT!$B:$B,"CLT")</f>
        <v/>
      </c>
      <c r="AN137" s="28">
        <f>SUMIFS(T_REAL!$D:$D,T_REAL!$E:$E,DRE!AN$7,T_REAL!$C:$C,DRE!$A137)+SUMIFS(Aut_Ajustes_Manuais!$G:$G,Aut_Ajustes_Manuais!$I:$I,DRE!AL$4,Aut_Ajustes_Manuais!$F:$F,"  -  Chopeiro I")</f>
        <v/>
      </c>
      <c r="AO137" s="241" t="n"/>
      <c r="AP137" s="27">
        <f>-SUMIFS(T_HEADCOUNT!$E:$E,T_HEADCOUNT!$C:$C,"-  Chopeiro I",T_HEADCOUNT!$D:$D,"12/2026",T_HEADCOUNT!$B:$B,"CLT")</f>
        <v/>
      </c>
      <c r="AQ137" s="28">
        <f>SUMIFS(T_REAL!$D:$D,T_REAL!$E:$E,DRE!AQ$7,T_REAL!$C:$C,DRE!$A137)+SUMIFS(Aut_Ajustes_Manuais!$G:$G,Aut_Ajustes_Manuais!$I:$I,DRE!AO$4,Aut_Ajustes_Manuais!$F:$F,"  -  Chopeiro I")</f>
        <v/>
      </c>
      <c r="AR137" s="241">
        <f>SUMIFS($H137:$AO137,$H$5:$AO$5,"&lt;"&amp;MONTH(TODAY()),$H$6:$AO$6,"REAL 25")</f>
        <v/>
      </c>
      <c r="AS137" s="27">
        <f>SUMIFS($I137:$AP137,$I$5:$AP$5,"&lt;"&amp;MONTH(TODAY()),$I$6:$AP$6,"ORÇADO ")</f>
        <v/>
      </c>
      <c r="AT137" s="28">
        <f>SUMIFS($J137:$AQ137,$J$5:$AQ$5,"&lt;"&amp;MONTH(TODAY()),$J$6:$AQ$6,"REAL 26")</f>
        <v/>
      </c>
      <c r="AU137" s="241" t="n"/>
      <c r="AV137" s="27" t="n"/>
      <c r="AW137" s="28" t="n"/>
      <c r="AX137" s="241" t="n"/>
      <c r="AY137" s="27" t="n">
        <v>0</v>
      </c>
      <c r="AZ137" s="28" t="n"/>
      <c r="BA137" s="241" t="n"/>
      <c r="BB137" s="27" t="n">
        <v>0</v>
      </c>
      <c r="BC137" s="28" t="n"/>
      <c r="BD137" s="241" t="n"/>
      <c r="BE137" s="27" t="n">
        <v>0</v>
      </c>
      <c r="BF137" s="28" t="n"/>
      <c r="BG137" s="241" t="n"/>
      <c r="BH137" s="27" t="n">
        <v>0</v>
      </c>
      <c r="BI137" s="28" t="n"/>
    </row>
    <row r="138" hidden="1" outlineLevel="1" customFormat="1" s="498">
      <c r="A138" s="95" t="inlineStr">
        <is>
          <t xml:space="preserve">  -  Sub Chefe de Cozinha</t>
        </is>
      </c>
      <c r="B138" s="488" t="n"/>
      <c r="C138" s="24" t="n"/>
      <c r="D138" s="55" t="inlineStr">
        <is>
          <t>Salário Bruto com INSS Segurado dentro do valor</t>
        </is>
      </c>
      <c r="E138" s="87" t="n"/>
      <c r="F138" s="56" t="n"/>
      <c r="G138" s="33" t="n"/>
      <c r="H138" s="241" t="n"/>
      <c r="I138" s="27">
        <f>-SUMIFS(T_HEADCOUNT!$E:$E,T_HEADCOUNT!$C:$C,"-  Sub Chefe de Cozinha",T_HEADCOUNT!$D:$D,"1/2026",T_HEADCOUNT!$B:$B,"CLT")</f>
        <v/>
      </c>
      <c r="J138" s="28">
        <f>SUMIFS(T_REAL!$D:$D,T_REAL!$E:$E,DRE!J$7,T_REAL!$C:$C,DRE!$A138)+SUMIFS(Aut_Ajustes_Manuais!$G:$G,Aut_Ajustes_Manuais!$I:$I,DRE!H$4,Aut_Ajustes_Manuais!$F:$F,"  -  Sub Chefe de Cozinha")</f>
        <v/>
      </c>
      <c r="K138" s="241" t="n"/>
      <c r="L138" s="27">
        <f>-SUMIFS(T_HEADCOUNT!$E:$E,T_HEADCOUNT!$C:$C,"-  Sub Chefe de Cozinha",T_HEADCOUNT!$D:$D,"2/2026",T_HEADCOUNT!$B:$B,"CLT")</f>
        <v/>
      </c>
      <c r="M138" s="28">
        <f>SUMIFS(T_REAL!$D:$D,T_REAL!$E:$E,DRE!M$7,T_REAL!$C:$C,DRE!$A138)+SUMIFS(Aut_Ajustes_Manuais!$G:$G,Aut_Ajustes_Manuais!$I:$I,DRE!K$4,Aut_Ajustes_Manuais!$F:$F,"  -  Sub Chefe de Cozinha")</f>
        <v/>
      </c>
      <c r="N138" s="241" t="n"/>
      <c r="O138" s="27">
        <f>-SUMIFS(T_HEADCOUNT!$E:$E,T_HEADCOUNT!$C:$C,"-  Sub Chefe de Cozinha",T_HEADCOUNT!$D:$D,"3/2026",T_HEADCOUNT!$B:$B,"CLT")</f>
        <v/>
      </c>
      <c r="P138" s="28">
        <f>SUMIFS(T_REAL!$D:$D,T_REAL!$E:$E,DRE!P$7,T_REAL!$C:$C,DRE!$A138)+SUMIFS(Aut_Ajustes_Manuais!$G:$G,Aut_Ajustes_Manuais!$I:$I,DRE!N$4,Aut_Ajustes_Manuais!$F:$F,"  -  Sub Chefe de Cozinha")</f>
        <v/>
      </c>
      <c r="Q138" s="241" t="n"/>
      <c r="R138" s="27">
        <f>-SUMIFS(T_HEADCOUNT!$E:$E,T_HEADCOUNT!$C:$C,"-  Sub Chefe de Cozinha",T_HEADCOUNT!$D:$D,"4/2026",T_HEADCOUNT!$B:$B,"CLT")</f>
        <v/>
      </c>
      <c r="S138" s="28">
        <f>SUMIFS(T_REAL!$D:$D,T_REAL!$E:$E,DRE!S$7,T_REAL!$C:$C,DRE!$A138)+SUMIFS(Aut_Ajustes_Manuais!$G:$G,Aut_Ajustes_Manuais!$I:$I,DRE!Q$4,Aut_Ajustes_Manuais!$F:$F,"  -  Sub Chefe de Cozinha")</f>
        <v/>
      </c>
      <c r="T138" s="241" t="n"/>
      <c r="U138" s="27">
        <f>-SUMIFS(T_HEADCOUNT!$E:$E,T_HEADCOUNT!$C:$C,"-  Sub Chefe de Cozinha",T_HEADCOUNT!$D:$D,"5/2026",T_HEADCOUNT!$B:$B,"CLT")</f>
        <v/>
      </c>
      <c r="V138" s="28">
        <f>SUMIFS(T_REAL!$D:$D,T_REAL!$E:$E,DRE!V$7,T_REAL!$C:$C,DRE!$A138)+SUMIFS(Aut_Ajustes_Manuais!$G:$G,Aut_Ajustes_Manuais!$I:$I,DRE!T$4,Aut_Ajustes_Manuais!$F:$F,"  -  Sub Chefe de Cozinha")</f>
        <v/>
      </c>
      <c r="W138" s="241" t="n"/>
      <c r="X138" s="27">
        <f>-SUMIFS(T_HEADCOUNT!$E:$E,T_HEADCOUNT!$C:$C,"-  Sub Chefe de Cozinha",T_HEADCOUNT!$D:$D,"6/2026",T_HEADCOUNT!$B:$B,"CLT")</f>
        <v/>
      </c>
      <c r="Y138" s="28">
        <f>SUMIFS(T_REAL!$D:$D,T_REAL!$E:$E,DRE!Y$7,T_REAL!$C:$C,DRE!$A138)+SUMIFS(Aut_Ajustes_Manuais!$G:$G,Aut_Ajustes_Manuais!$I:$I,DRE!W$4,Aut_Ajustes_Manuais!$F:$F,"  -  Sub Chefe de Cozinha")</f>
        <v/>
      </c>
      <c r="Z138" s="241" t="n"/>
      <c r="AA138" s="27">
        <f>-SUMIFS(T_HEADCOUNT!$E:$E,T_HEADCOUNT!$C:$C,"-  Sub Chefe de Cozinha",T_HEADCOUNT!$D:$D,"7/2026",T_HEADCOUNT!$B:$B,"CLT")</f>
        <v/>
      </c>
      <c r="AB138" s="28">
        <f>SUMIFS(T_REAL!$D:$D,T_REAL!$E:$E,DRE!AB$7,T_REAL!$C:$C,DRE!$A138)+SUMIFS(Aut_Ajustes_Manuais!$G:$G,Aut_Ajustes_Manuais!$I:$I,DRE!Z$4,Aut_Ajustes_Manuais!$F:$F,"  -  Sub Chefe de Cozinha")</f>
        <v/>
      </c>
      <c r="AC138" s="241" t="n"/>
      <c r="AD138" s="27">
        <f>-SUMIFS(T_HEADCOUNT!$E:$E,T_HEADCOUNT!$C:$C,"-  Sub Chefe de Cozinha",T_HEADCOUNT!$D:$D,"8/2026",T_HEADCOUNT!$B:$B,"CLT")</f>
        <v/>
      </c>
      <c r="AE138" s="28">
        <f>SUMIFS(T_REAL!$D:$D,T_REAL!$E:$E,DRE!AE$7,T_REAL!$C:$C,DRE!$A138)+SUMIFS(Aut_Ajustes_Manuais!$G:$G,Aut_Ajustes_Manuais!$I:$I,DRE!AC$4,Aut_Ajustes_Manuais!$F:$F,"  -  Sub Chefe de Cozinha")</f>
        <v/>
      </c>
      <c r="AF138" s="241" t="n"/>
      <c r="AG138" s="27">
        <f>-SUMIFS(T_HEADCOUNT!$E:$E,T_HEADCOUNT!$C:$C,"-  Sub Chefe de Cozinha",T_HEADCOUNT!$D:$D,"9/2026",T_HEADCOUNT!$B:$B,"CLT")</f>
        <v/>
      </c>
      <c r="AH138" s="28">
        <f>SUMIFS(T_REAL!$D:$D,T_REAL!$E:$E,DRE!AH$7,T_REAL!$C:$C,DRE!$A138)+SUMIFS(Aut_Ajustes_Manuais!$G:$G,Aut_Ajustes_Manuais!$I:$I,DRE!AF$4,Aut_Ajustes_Manuais!$F:$F,"  -  Sub Chefe de Cozinha")</f>
        <v/>
      </c>
      <c r="AI138" s="241" t="n"/>
      <c r="AJ138" s="27">
        <f>-SUMIFS(T_HEADCOUNT!$E:$E,T_HEADCOUNT!$C:$C,"-  Sub Chefe de Cozinha",T_HEADCOUNT!$D:$D,"10/2026",T_HEADCOUNT!$B:$B,"CLT")</f>
        <v/>
      </c>
      <c r="AK138" s="28">
        <f>SUMIFS(T_REAL!$D:$D,T_REAL!$E:$E,DRE!AK$7,T_REAL!$C:$C,DRE!$A138)+SUMIFS(Aut_Ajustes_Manuais!$G:$G,Aut_Ajustes_Manuais!$I:$I,DRE!AI$4,Aut_Ajustes_Manuais!$F:$F,"  -  Sub Chefe de Cozinha")</f>
        <v/>
      </c>
      <c r="AL138" s="241" t="n"/>
      <c r="AM138" s="27">
        <f>-SUMIFS(T_HEADCOUNT!$E:$E,T_HEADCOUNT!$C:$C,"-  Sub Chefe de Cozinha",T_HEADCOUNT!$D:$D,"11/2026",T_HEADCOUNT!$B:$B,"CLT")</f>
        <v/>
      </c>
      <c r="AN138" s="28">
        <f>SUMIFS(T_REAL!$D:$D,T_REAL!$E:$E,DRE!AN$7,T_REAL!$C:$C,DRE!$A138)+SUMIFS(Aut_Ajustes_Manuais!$G:$G,Aut_Ajustes_Manuais!$I:$I,DRE!AL$4,Aut_Ajustes_Manuais!$F:$F,"  -  Sub Chefe de Cozinha")</f>
        <v/>
      </c>
      <c r="AO138" s="241" t="n"/>
      <c r="AP138" s="27">
        <f>-SUMIFS(T_HEADCOUNT!$E:$E,T_HEADCOUNT!$C:$C,"-  Sub Chefe de Cozinha",T_HEADCOUNT!$D:$D,"12/2026",T_HEADCOUNT!$B:$B,"CLT")</f>
        <v/>
      </c>
      <c r="AQ138" s="28">
        <f>SUMIFS(T_REAL!$D:$D,T_REAL!$E:$E,DRE!AQ$7,T_REAL!$C:$C,DRE!$A138)+SUMIFS(Aut_Ajustes_Manuais!$G:$G,Aut_Ajustes_Manuais!$I:$I,DRE!AO$4,Aut_Ajustes_Manuais!$F:$F,"  -  Sub Chefe de Cozinha")</f>
        <v/>
      </c>
      <c r="AR138" s="241">
        <f>SUMIFS($H138:$AO138,$H$5:$AO$5,"&lt;"&amp;MONTH(TODAY()),$H$6:$AO$6,"REAL 25")</f>
        <v/>
      </c>
      <c r="AS138" s="27">
        <f>SUMIFS($I138:$AP138,$I$5:$AP$5,"&lt;"&amp;MONTH(TODAY()),$I$6:$AP$6,"ORÇADO ")</f>
        <v/>
      </c>
      <c r="AT138" s="28">
        <f>SUMIFS($J138:$AQ138,$J$5:$AQ$5,"&lt;"&amp;MONTH(TODAY()),$J$6:$AQ$6,"REAL 26")</f>
        <v/>
      </c>
      <c r="AU138" s="241" t="n"/>
      <c r="AV138" s="27" t="n"/>
      <c r="AW138" s="28" t="n"/>
      <c r="AX138" s="241" t="n"/>
      <c r="AY138" s="27" t="n">
        <v>0</v>
      </c>
      <c r="AZ138" s="28" t="n"/>
      <c r="BA138" s="241" t="n"/>
      <c r="BB138" s="27" t="n">
        <v>0</v>
      </c>
      <c r="BC138" s="28" t="n"/>
      <c r="BD138" s="241" t="n"/>
      <c r="BE138" s="27" t="n">
        <v>0</v>
      </c>
      <c r="BF138" s="28" t="n"/>
      <c r="BG138" s="241" t="n"/>
      <c r="BH138" s="27" t="n">
        <v>0</v>
      </c>
      <c r="BI138" s="28" t="n"/>
    </row>
    <row r="139" hidden="1" outlineLevel="1" customFormat="1" s="498">
      <c r="A139" s="95" t="inlineStr">
        <is>
          <t xml:space="preserve">  -  Cozinheiro Líder</t>
        </is>
      </c>
      <c r="B139" s="488" t="n"/>
      <c r="C139" s="24" t="n"/>
      <c r="D139" s="55" t="inlineStr">
        <is>
          <t>Salário Bruto com INSS Segurado dentro do valor</t>
        </is>
      </c>
      <c r="E139" s="87" t="n"/>
      <c r="F139" s="56" t="n"/>
      <c r="G139" s="33" t="n"/>
      <c r="H139" s="241" t="n"/>
      <c r="I139" s="27">
        <f>-SUMIFS(T_HEADCOUNT!$E:$E,T_HEADCOUNT!$C:$C,"-  Cozinheiro Líder",T_HEADCOUNT!$D:$D,"1/2026",T_HEADCOUNT!$B:$B,"CLT")</f>
        <v/>
      </c>
      <c r="J139" s="28">
        <f>SUMIFS(T_REAL!$D:$D,T_REAL!$E:$E,DRE!J$7,T_REAL!$C:$C,DRE!$A139)+SUMIFS(Aut_Ajustes_Manuais!$G:$G,Aut_Ajustes_Manuais!$I:$I,DRE!H$4,Aut_Ajustes_Manuais!$F:$F,"  -  Cozinheiro Líder")</f>
        <v/>
      </c>
      <c r="K139" s="241" t="n"/>
      <c r="L139" s="27">
        <f>-SUMIFS(T_HEADCOUNT!$E:$E,T_HEADCOUNT!$C:$C,"-  Cozinheiro Líder",T_HEADCOUNT!$D:$D,"2/2026",T_HEADCOUNT!$B:$B,"CLT")</f>
        <v/>
      </c>
      <c r="M139" s="28">
        <f>SUMIFS(T_REAL!$D:$D,T_REAL!$E:$E,DRE!M$7,T_REAL!$C:$C,DRE!$A139)+SUMIFS(Aut_Ajustes_Manuais!$G:$G,Aut_Ajustes_Manuais!$I:$I,DRE!K$4,Aut_Ajustes_Manuais!$F:$F,"  -  Cozinheiro Líder")</f>
        <v/>
      </c>
      <c r="N139" s="241" t="n"/>
      <c r="O139" s="27">
        <f>-SUMIFS(T_HEADCOUNT!$E:$E,T_HEADCOUNT!$C:$C,"-  Cozinheiro Líder",T_HEADCOUNT!$D:$D,"3/2026",T_HEADCOUNT!$B:$B,"CLT")</f>
        <v/>
      </c>
      <c r="P139" s="28">
        <f>SUMIFS(T_REAL!$D:$D,T_REAL!$E:$E,DRE!P$7,T_REAL!$C:$C,DRE!$A139)+SUMIFS(Aut_Ajustes_Manuais!$G:$G,Aut_Ajustes_Manuais!$I:$I,DRE!N$4,Aut_Ajustes_Manuais!$F:$F,"  -  Cozinheiro Líder")</f>
        <v/>
      </c>
      <c r="Q139" s="241" t="n"/>
      <c r="R139" s="27">
        <f>-SUMIFS(T_HEADCOUNT!$E:$E,T_HEADCOUNT!$C:$C,"-  Cozinheiro Líder",T_HEADCOUNT!$D:$D,"4/2026",T_HEADCOUNT!$B:$B,"CLT")</f>
        <v/>
      </c>
      <c r="S139" s="28">
        <f>SUMIFS(T_REAL!$D:$D,T_REAL!$E:$E,DRE!S$7,T_REAL!$C:$C,DRE!$A139)+SUMIFS(Aut_Ajustes_Manuais!$G:$G,Aut_Ajustes_Manuais!$I:$I,DRE!Q$4,Aut_Ajustes_Manuais!$F:$F,"  -  Cozinheiro Líder")</f>
        <v/>
      </c>
      <c r="T139" s="241" t="n"/>
      <c r="U139" s="27">
        <f>-SUMIFS(T_HEADCOUNT!$E:$E,T_HEADCOUNT!$C:$C,"-  Cozinheiro Líder",T_HEADCOUNT!$D:$D,"5/2026",T_HEADCOUNT!$B:$B,"CLT")</f>
        <v/>
      </c>
      <c r="V139" s="28">
        <f>SUMIFS(T_REAL!$D:$D,T_REAL!$E:$E,DRE!V$7,T_REAL!$C:$C,DRE!$A139)+SUMIFS(Aut_Ajustes_Manuais!$G:$G,Aut_Ajustes_Manuais!$I:$I,DRE!T$4,Aut_Ajustes_Manuais!$F:$F,"  -  Cozinheiro Líder")</f>
        <v/>
      </c>
      <c r="W139" s="241" t="n"/>
      <c r="X139" s="27">
        <f>-SUMIFS(T_HEADCOUNT!$E:$E,T_HEADCOUNT!$C:$C,"-  Cozinheiro Líder",T_HEADCOUNT!$D:$D,"6/2026",T_HEADCOUNT!$B:$B,"CLT")</f>
        <v/>
      </c>
      <c r="Y139" s="28">
        <f>SUMIFS(T_REAL!$D:$D,T_REAL!$E:$E,DRE!Y$7,T_REAL!$C:$C,DRE!$A139)+SUMIFS(Aut_Ajustes_Manuais!$G:$G,Aut_Ajustes_Manuais!$I:$I,DRE!W$4,Aut_Ajustes_Manuais!$F:$F,"  -  Cozinheiro Líder")</f>
        <v/>
      </c>
      <c r="Z139" s="241" t="n"/>
      <c r="AA139" s="27">
        <f>-SUMIFS(T_HEADCOUNT!$E:$E,T_HEADCOUNT!$C:$C,"-  Cozinheiro Líder",T_HEADCOUNT!$D:$D,"7/2026",T_HEADCOUNT!$B:$B,"CLT")</f>
        <v/>
      </c>
      <c r="AB139" s="28">
        <f>SUMIFS(T_REAL!$D:$D,T_REAL!$E:$E,DRE!AB$7,T_REAL!$C:$C,DRE!$A139)+SUMIFS(Aut_Ajustes_Manuais!$G:$G,Aut_Ajustes_Manuais!$I:$I,DRE!Z$4,Aut_Ajustes_Manuais!$F:$F,"  -  Cozinheiro Líder")</f>
        <v/>
      </c>
      <c r="AC139" s="241" t="n"/>
      <c r="AD139" s="27">
        <f>-SUMIFS(T_HEADCOUNT!$E:$E,T_HEADCOUNT!$C:$C,"-  Cozinheiro Líder",T_HEADCOUNT!$D:$D,"8/2026",T_HEADCOUNT!$B:$B,"CLT")</f>
        <v/>
      </c>
      <c r="AE139" s="28">
        <f>SUMIFS(T_REAL!$D:$D,T_REAL!$E:$E,DRE!AE$7,T_REAL!$C:$C,DRE!$A139)+SUMIFS(Aut_Ajustes_Manuais!$G:$G,Aut_Ajustes_Manuais!$I:$I,DRE!AC$4,Aut_Ajustes_Manuais!$F:$F,"  -  Cozinheiro Líder")</f>
        <v/>
      </c>
      <c r="AF139" s="241" t="n"/>
      <c r="AG139" s="27">
        <f>-SUMIFS(T_HEADCOUNT!$E:$E,T_HEADCOUNT!$C:$C,"-  Cozinheiro Líder",T_HEADCOUNT!$D:$D,"9/2026",T_HEADCOUNT!$B:$B,"CLT")</f>
        <v/>
      </c>
      <c r="AH139" s="28">
        <f>SUMIFS(T_REAL!$D:$D,T_REAL!$E:$E,DRE!AH$7,T_REAL!$C:$C,DRE!$A139)+SUMIFS(Aut_Ajustes_Manuais!$G:$G,Aut_Ajustes_Manuais!$I:$I,DRE!AF$4,Aut_Ajustes_Manuais!$F:$F,"  -  Cozinheiro Líder")</f>
        <v/>
      </c>
      <c r="AI139" s="241" t="n"/>
      <c r="AJ139" s="27">
        <f>-SUMIFS(T_HEADCOUNT!$E:$E,T_HEADCOUNT!$C:$C,"-  Cozinheiro Líder",T_HEADCOUNT!$D:$D,"10/2026",T_HEADCOUNT!$B:$B,"CLT")</f>
        <v/>
      </c>
      <c r="AK139" s="28">
        <f>SUMIFS(T_REAL!$D:$D,T_REAL!$E:$E,DRE!AK$7,T_REAL!$C:$C,DRE!$A139)+SUMIFS(Aut_Ajustes_Manuais!$G:$G,Aut_Ajustes_Manuais!$I:$I,DRE!AI$4,Aut_Ajustes_Manuais!$F:$F,"  -  Cozinheiro Líder")</f>
        <v/>
      </c>
      <c r="AL139" s="241" t="n"/>
      <c r="AM139" s="27">
        <f>-SUMIFS(T_HEADCOUNT!$E:$E,T_HEADCOUNT!$C:$C,"-  Cozinheiro Líder",T_HEADCOUNT!$D:$D,"11/2026",T_HEADCOUNT!$B:$B,"CLT")</f>
        <v/>
      </c>
      <c r="AN139" s="28">
        <f>SUMIFS(T_REAL!$D:$D,T_REAL!$E:$E,DRE!AN$7,T_REAL!$C:$C,DRE!$A139)+SUMIFS(Aut_Ajustes_Manuais!$G:$G,Aut_Ajustes_Manuais!$I:$I,DRE!AL$4,Aut_Ajustes_Manuais!$F:$F,"  -  Cozinheiro Líder")</f>
        <v/>
      </c>
      <c r="AO139" s="241" t="n"/>
      <c r="AP139" s="27">
        <f>-SUMIFS(T_HEADCOUNT!$E:$E,T_HEADCOUNT!$C:$C,"-  Cozinheiro Líder",T_HEADCOUNT!$D:$D,"12/2026",T_HEADCOUNT!$B:$B,"CLT")</f>
        <v/>
      </c>
      <c r="AQ139" s="28">
        <f>SUMIFS(T_REAL!$D:$D,T_REAL!$E:$E,DRE!AQ$7,T_REAL!$C:$C,DRE!$A139)+SUMIFS(Aut_Ajustes_Manuais!$G:$G,Aut_Ajustes_Manuais!$I:$I,DRE!AO$4,Aut_Ajustes_Manuais!$F:$F,"  -  Cozinheiro Líder")</f>
        <v/>
      </c>
      <c r="AR139" s="241">
        <f>SUMIFS($H139:$AO139,$H$5:$AO$5,"&lt;"&amp;MONTH(TODAY()),$H$6:$AO$6,"REAL 25")</f>
        <v/>
      </c>
      <c r="AS139" s="27">
        <f>SUMIFS($I139:$AP139,$I$5:$AP$5,"&lt;"&amp;MONTH(TODAY()),$I$6:$AP$6,"ORÇADO ")</f>
        <v/>
      </c>
      <c r="AT139" s="28">
        <f>SUMIFS($J139:$AQ139,$J$5:$AQ$5,"&lt;"&amp;MONTH(TODAY()),$J$6:$AQ$6,"REAL 26")</f>
        <v/>
      </c>
      <c r="AU139" s="241" t="n"/>
      <c r="AV139" s="27" t="n"/>
      <c r="AW139" s="28" t="n"/>
      <c r="AX139" s="241" t="n"/>
      <c r="AY139" s="27" t="n">
        <v>0</v>
      </c>
      <c r="AZ139" s="28" t="n"/>
      <c r="BA139" s="241" t="n"/>
      <c r="BB139" s="27" t="n">
        <v>0</v>
      </c>
      <c r="BC139" s="28" t="n"/>
      <c r="BD139" s="241" t="n"/>
      <c r="BE139" s="27" t="n">
        <v>0</v>
      </c>
      <c r="BF139" s="28" t="n"/>
      <c r="BG139" s="241" t="n"/>
      <c r="BH139" s="27" t="n">
        <v>0</v>
      </c>
      <c r="BI139" s="28" t="n"/>
    </row>
    <row r="140" hidden="1" outlineLevel="1" customFormat="1" s="498">
      <c r="A140" s="95" t="inlineStr">
        <is>
          <t xml:space="preserve">  -  Cozinheiro III</t>
        </is>
      </c>
      <c r="B140" s="488" t="n"/>
      <c r="C140" s="24" t="n"/>
      <c r="D140" s="55" t="inlineStr">
        <is>
          <t>Salário Bruto com INSS Segurado dentro do valor</t>
        </is>
      </c>
      <c r="E140" s="87" t="n"/>
      <c r="F140" s="56" t="n"/>
      <c r="G140" s="33" t="n"/>
      <c r="H140" s="241" t="n"/>
      <c r="I140" s="27">
        <f>-SUMIFS(T_HEADCOUNT!$E:$E,T_HEADCOUNT!$C:$C,"-  Cozinheiro III",T_HEADCOUNT!$D:$D,"1/2026",T_HEADCOUNT!$B:$B,"CLT")</f>
        <v/>
      </c>
      <c r="J140" s="28">
        <f>SUMIFS(T_REAL!$D:$D,T_REAL!$E:$E,DRE!J$7,T_REAL!$C:$C,DRE!$A140)+SUMIFS(Aut_Ajustes_Manuais!$G:$G,Aut_Ajustes_Manuais!$I:$I,DRE!H$4,Aut_Ajustes_Manuais!$F:$F,"  -  Cozinheiro III")</f>
        <v/>
      </c>
      <c r="K140" s="241" t="n"/>
      <c r="L140" s="27">
        <f>-SUMIFS(T_HEADCOUNT!$E:$E,T_HEADCOUNT!$C:$C,"-  Cozinheiro III",T_HEADCOUNT!$D:$D,"2/2026",T_HEADCOUNT!$B:$B,"CLT")</f>
        <v/>
      </c>
      <c r="M140" s="28">
        <f>SUMIFS(T_REAL!$D:$D,T_REAL!$E:$E,DRE!M$7,T_REAL!$C:$C,DRE!$A140)+SUMIFS(Aut_Ajustes_Manuais!$G:$G,Aut_Ajustes_Manuais!$I:$I,DRE!K$4,Aut_Ajustes_Manuais!$F:$F,"  -  Cozinheiro III")</f>
        <v/>
      </c>
      <c r="N140" s="241" t="n"/>
      <c r="O140" s="27">
        <f>-SUMIFS(T_HEADCOUNT!$E:$E,T_HEADCOUNT!$C:$C,"-  Cozinheiro III",T_HEADCOUNT!$D:$D,"3/2026",T_HEADCOUNT!$B:$B,"CLT")</f>
        <v/>
      </c>
      <c r="P140" s="28">
        <f>SUMIFS(T_REAL!$D:$D,T_REAL!$E:$E,DRE!P$7,T_REAL!$C:$C,DRE!$A140)+SUMIFS(Aut_Ajustes_Manuais!$G:$G,Aut_Ajustes_Manuais!$I:$I,DRE!N$4,Aut_Ajustes_Manuais!$F:$F,"  -  Cozinheiro III")</f>
        <v/>
      </c>
      <c r="Q140" s="241" t="n"/>
      <c r="R140" s="27">
        <f>-SUMIFS(T_HEADCOUNT!$E:$E,T_HEADCOUNT!$C:$C,"-  Cozinheiro III",T_HEADCOUNT!$D:$D,"4/2026",T_HEADCOUNT!$B:$B,"CLT")</f>
        <v/>
      </c>
      <c r="S140" s="28">
        <f>SUMIFS(T_REAL!$D:$D,T_REAL!$E:$E,DRE!S$7,T_REAL!$C:$C,DRE!$A140)+SUMIFS(Aut_Ajustes_Manuais!$G:$G,Aut_Ajustes_Manuais!$I:$I,DRE!Q$4,Aut_Ajustes_Manuais!$F:$F,"  -  Cozinheiro III")</f>
        <v/>
      </c>
      <c r="T140" s="241" t="n"/>
      <c r="U140" s="27">
        <f>-SUMIFS(T_HEADCOUNT!$E:$E,T_HEADCOUNT!$C:$C,"-  Cozinheiro III",T_HEADCOUNT!$D:$D,"5/2026",T_HEADCOUNT!$B:$B,"CLT")</f>
        <v/>
      </c>
      <c r="V140" s="28">
        <f>SUMIFS(T_REAL!$D:$D,T_REAL!$E:$E,DRE!V$7,T_REAL!$C:$C,DRE!$A140)+SUMIFS(Aut_Ajustes_Manuais!$G:$G,Aut_Ajustes_Manuais!$I:$I,DRE!T$4,Aut_Ajustes_Manuais!$F:$F,"  -  Cozinheiro III")</f>
        <v/>
      </c>
      <c r="W140" s="241" t="n"/>
      <c r="X140" s="27">
        <f>-SUMIFS(T_HEADCOUNT!$E:$E,T_HEADCOUNT!$C:$C,"-  Cozinheiro III",T_HEADCOUNT!$D:$D,"6/2026",T_HEADCOUNT!$B:$B,"CLT")</f>
        <v/>
      </c>
      <c r="Y140" s="28">
        <f>SUMIFS(T_REAL!$D:$D,T_REAL!$E:$E,DRE!Y$7,T_REAL!$C:$C,DRE!$A140)+SUMIFS(Aut_Ajustes_Manuais!$G:$G,Aut_Ajustes_Manuais!$I:$I,DRE!W$4,Aut_Ajustes_Manuais!$F:$F,"  -  Cozinheiro III")</f>
        <v/>
      </c>
      <c r="Z140" s="241" t="n"/>
      <c r="AA140" s="27">
        <f>-SUMIFS(T_HEADCOUNT!$E:$E,T_HEADCOUNT!$C:$C,"-  Cozinheiro III",T_HEADCOUNT!$D:$D,"7/2026",T_HEADCOUNT!$B:$B,"CLT")</f>
        <v/>
      </c>
      <c r="AB140" s="28">
        <f>SUMIFS(T_REAL!$D:$D,T_REAL!$E:$E,DRE!AB$7,T_REAL!$C:$C,DRE!$A140)+SUMIFS(Aut_Ajustes_Manuais!$G:$G,Aut_Ajustes_Manuais!$I:$I,DRE!Z$4,Aut_Ajustes_Manuais!$F:$F,"  -  Cozinheiro III")</f>
        <v/>
      </c>
      <c r="AC140" s="241" t="n"/>
      <c r="AD140" s="27">
        <f>-SUMIFS(T_HEADCOUNT!$E:$E,T_HEADCOUNT!$C:$C,"-  Cozinheiro III",T_HEADCOUNT!$D:$D,"8/2026",T_HEADCOUNT!$B:$B,"CLT")</f>
        <v/>
      </c>
      <c r="AE140" s="28">
        <f>SUMIFS(T_REAL!$D:$D,T_REAL!$E:$E,DRE!AE$7,T_REAL!$C:$C,DRE!$A140)+SUMIFS(Aut_Ajustes_Manuais!$G:$G,Aut_Ajustes_Manuais!$I:$I,DRE!AC$4,Aut_Ajustes_Manuais!$F:$F,"  -  Cozinheiro III")</f>
        <v/>
      </c>
      <c r="AF140" s="241" t="n"/>
      <c r="AG140" s="27">
        <f>-SUMIFS(T_HEADCOUNT!$E:$E,T_HEADCOUNT!$C:$C,"-  Cozinheiro III",T_HEADCOUNT!$D:$D,"9/2026",T_HEADCOUNT!$B:$B,"CLT")</f>
        <v/>
      </c>
      <c r="AH140" s="28">
        <f>SUMIFS(T_REAL!$D:$D,T_REAL!$E:$E,DRE!AH$7,T_REAL!$C:$C,DRE!$A140)+SUMIFS(Aut_Ajustes_Manuais!$G:$G,Aut_Ajustes_Manuais!$I:$I,DRE!AF$4,Aut_Ajustes_Manuais!$F:$F,"  -  Cozinheiro III")</f>
        <v/>
      </c>
      <c r="AI140" s="241" t="n"/>
      <c r="AJ140" s="27">
        <f>-SUMIFS(T_HEADCOUNT!$E:$E,T_HEADCOUNT!$C:$C,"-  Cozinheiro III",T_HEADCOUNT!$D:$D,"10/2026",T_HEADCOUNT!$B:$B,"CLT")</f>
        <v/>
      </c>
      <c r="AK140" s="28">
        <f>SUMIFS(T_REAL!$D:$D,T_REAL!$E:$E,DRE!AK$7,T_REAL!$C:$C,DRE!$A140)+SUMIFS(Aut_Ajustes_Manuais!$G:$G,Aut_Ajustes_Manuais!$I:$I,DRE!AI$4,Aut_Ajustes_Manuais!$F:$F,"  -  Cozinheiro III")</f>
        <v/>
      </c>
      <c r="AL140" s="241" t="n"/>
      <c r="AM140" s="27">
        <f>-SUMIFS(T_HEADCOUNT!$E:$E,T_HEADCOUNT!$C:$C,"-  Cozinheiro III",T_HEADCOUNT!$D:$D,"11/2026",T_HEADCOUNT!$B:$B,"CLT")</f>
        <v/>
      </c>
      <c r="AN140" s="28">
        <f>SUMIFS(T_REAL!$D:$D,T_REAL!$E:$E,DRE!AN$7,T_REAL!$C:$C,DRE!$A140)+SUMIFS(Aut_Ajustes_Manuais!$G:$G,Aut_Ajustes_Manuais!$I:$I,DRE!AL$4,Aut_Ajustes_Manuais!$F:$F,"  -  Cozinheiro III")</f>
        <v/>
      </c>
      <c r="AO140" s="241" t="n"/>
      <c r="AP140" s="27">
        <f>-SUMIFS(T_HEADCOUNT!$E:$E,T_HEADCOUNT!$C:$C,"-  Cozinheiro III",T_HEADCOUNT!$D:$D,"12/2026",T_HEADCOUNT!$B:$B,"CLT")</f>
        <v/>
      </c>
      <c r="AQ140" s="28">
        <f>SUMIFS(T_REAL!$D:$D,T_REAL!$E:$E,DRE!AQ$7,T_REAL!$C:$C,DRE!$A140)+SUMIFS(Aut_Ajustes_Manuais!$G:$G,Aut_Ajustes_Manuais!$I:$I,DRE!AO$4,Aut_Ajustes_Manuais!$F:$F,"  -  Cozinheiro III")</f>
        <v/>
      </c>
      <c r="AR140" s="241">
        <f>SUMIFS($H140:$AO140,$H$5:$AO$5,"&lt;"&amp;MONTH(TODAY()),$H$6:$AO$6,"REAL 25")</f>
        <v/>
      </c>
      <c r="AS140" s="27">
        <f>SUMIFS($I140:$AP140,$I$5:$AP$5,"&lt;"&amp;MONTH(TODAY()),$I$6:$AP$6,"ORÇADO ")</f>
        <v/>
      </c>
      <c r="AT140" s="28">
        <f>SUMIFS($J140:$AQ140,$J$5:$AQ$5,"&lt;"&amp;MONTH(TODAY()),$J$6:$AQ$6,"REAL 26")</f>
        <v/>
      </c>
      <c r="AU140" s="241" t="n"/>
      <c r="AV140" s="27" t="n"/>
      <c r="AW140" s="28" t="n"/>
      <c r="AX140" s="241" t="n"/>
      <c r="AY140" s="27" t="n">
        <v>-23262.72</v>
      </c>
      <c r="AZ140" s="28" t="n"/>
      <c r="BA140" s="241" t="n"/>
      <c r="BB140" s="27" t="n">
        <v>-23588.39808</v>
      </c>
      <c r="BC140" s="28" t="n"/>
      <c r="BD140" s="241" t="n"/>
      <c r="BE140" s="27" t="n">
        <v>-24239.75424</v>
      </c>
      <c r="BF140" s="28" t="n"/>
      <c r="BG140" s="241" t="n"/>
      <c r="BH140" s="27" t="n">
        <v>-24239.75424</v>
      </c>
      <c r="BI140" s="28" t="n"/>
    </row>
    <row r="141" hidden="1" outlineLevel="1" customFormat="1" s="498">
      <c r="A141" s="95" t="inlineStr">
        <is>
          <t xml:space="preserve">  -  Cozinheiro II</t>
        </is>
      </c>
      <c r="B141" s="488" t="n"/>
      <c r="C141" s="24" t="n"/>
      <c r="D141" s="55" t="inlineStr">
        <is>
          <t>Salário Bruto com INSS Segurado dentro do valor</t>
        </is>
      </c>
      <c r="E141" s="87" t="n"/>
      <c r="F141" s="56" t="n"/>
      <c r="G141" s="33" t="n"/>
      <c r="H141" s="241" t="n"/>
      <c r="I141" s="27">
        <f>-SUMIFS(T_HEADCOUNT!$E:$E,T_HEADCOUNT!$C:$C,"-  Cozinheiro II",T_HEADCOUNT!$D:$D,"1/2026",T_HEADCOUNT!$B:$B,"CLT")</f>
        <v/>
      </c>
      <c r="J141" s="28">
        <f>SUMIFS(T_REAL!$D:$D,T_REAL!$E:$E,DRE!J$7,T_REAL!$C:$C,DRE!$A141)+SUMIFS(Aut_Ajustes_Manuais!$G:$G,Aut_Ajustes_Manuais!$I:$I,DRE!H$4,Aut_Ajustes_Manuais!$F:$F,"  -  Cozinheiro II")</f>
        <v/>
      </c>
      <c r="K141" s="241" t="n"/>
      <c r="L141" s="27">
        <f>-SUMIFS(T_HEADCOUNT!$E:$E,T_HEADCOUNT!$C:$C,"-  Cozinheiro II",T_HEADCOUNT!$D:$D,"2/2026",T_HEADCOUNT!$B:$B,"CLT")</f>
        <v/>
      </c>
      <c r="M141" s="28">
        <f>SUMIFS(T_REAL!$D:$D,T_REAL!$E:$E,DRE!M$7,T_REAL!$C:$C,DRE!$A141)+SUMIFS(Aut_Ajustes_Manuais!$G:$G,Aut_Ajustes_Manuais!$I:$I,DRE!K$4,Aut_Ajustes_Manuais!$F:$F,"  -  Cozinheiro II")</f>
        <v/>
      </c>
      <c r="N141" s="241" t="n"/>
      <c r="O141" s="27">
        <f>-SUMIFS(T_HEADCOUNT!$E:$E,T_HEADCOUNT!$C:$C,"-  Cozinheiro II",T_HEADCOUNT!$D:$D,"3/2026",T_HEADCOUNT!$B:$B,"CLT")</f>
        <v/>
      </c>
      <c r="P141" s="28">
        <f>SUMIFS(T_REAL!$D:$D,T_REAL!$E:$E,DRE!P$7,T_REAL!$C:$C,DRE!$A141)+SUMIFS(Aut_Ajustes_Manuais!$G:$G,Aut_Ajustes_Manuais!$I:$I,DRE!N$4,Aut_Ajustes_Manuais!$F:$F,"  -  Cozinheiro II")</f>
        <v/>
      </c>
      <c r="Q141" s="241" t="n"/>
      <c r="R141" s="27">
        <f>-SUMIFS(T_HEADCOUNT!$E:$E,T_HEADCOUNT!$C:$C,"-  Cozinheiro II",T_HEADCOUNT!$D:$D,"4/2026",T_HEADCOUNT!$B:$B,"CLT")</f>
        <v/>
      </c>
      <c r="S141" s="28">
        <f>SUMIFS(T_REAL!$D:$D,T_REAL!$E:$E,DRE!S$7,T_REAL!$C:$C,DRE!$A141)+SUMIFS(Aut_Ajustes_Manuais!$G:$G,Aut_Ajustes_Manuais!$I:$I,DRE!Q$4,Aut_Ajustes_Manuais!$F:$F,"  -  Cozinheiro II")</f>
        <v/>
      </c>
      <c r="T141" s="241" t="n"/>
      <c r="U141" s="27">
        <f>-SUMIFS(T_HEADCOUNT!$E:$E,T_HEADCOUNT!$C:$C,"-  Cozinheiro II",T_HEADCOUNT!$D:$D,"5/2026",T_HEADCOUNT!$B:$B,"CLT")</f>
        <v/>
      </c>
      <c r="V141" s="28">
        <f>SUMIFS(T_REAL!$D:$D,T_REAL!$E:$E,DRE!V$7,T_REAL!$C:$C,DRE!$A141)+SUMIFS(Aut_Ajustes_Manuais!$G:$G,Aut_Ajustes_Manuais!$I:$I,DRE!T$4,Aut_Ajustes_Manuais!$F:$F,"  -  Cozinheiro II")</f>
        <v/>
      </c>
      <c r="W141" s="241" t="n"/>
      <c r="X141" s="27">
        <f>-SUMIFS(T_HEADCOUNT!$E:$E,T_HEADCOUNT!$C:$C,"-  Cozinheiro II",T_HEADCOUNT!$D:$D,"6/2026",T_HEADCOUNT!$B:$B,"CLT")</f>
        <v/>
      </c>
      <c r="Y141" s="28">
        <f>SUMIFS(T_REAL!$D:$D,T_REAL!$E:$E,DRE!Y$7,T_REAL!$C:$C,DRE!$A141)+SUMIFS(Aut_Ajustes_Manuais!$G:$G,Aut_Ajustes_Manuais!$I:$I,DRE!W$4,Aut_Ajustes_Manuais!$F:$F,"  -  Cozinheiro II")</f>
        <v/>
      </c>
      <c r="Z141" s="241" t="n"/>
      <c r="AA141" s="27">
        <f>-SUMIFS(T_HEADCOUNT!$E:$E,T_HEADCOUNT!$C:$C,"-  Cozinheiro II",T_HEADCOUNT!$D:$D,"7/2026",T_HEADCOUNT!$B:$B,"CLT")</f>
        <v/>
      </c>
      <c r="AB141" s="28">
        <f>SUMIFS(T_REAL!$D:$D,T_REAL!$E:$E,DRE!AB$7,T_REAL!$C:$C,DRE!$A141)+SUMIFS(Aut_Ajustes_Manuais!$G:$G,Aut_Ajustes_Manuais!$I:$I,DRE!Z$4,Aut_Ajustes_Manuais!$F:$F,"  -  Cozinheiro II")</f>
        <v/>
      </c>
      <c r="AC141" s="241" t="n"/>
      <c r="AD141" s="27">
        <f>-SUMIFS(T_HEADCOUNT!$E:$E,T_HEADCOUNT!$C:$C,"-  Cozinheiro II",T_HEADCOUNT!$D:$D,"8/2026",T_HEADCOUNT!$B:$B,"CLT")</f>
        <v/>
      </c>
      <c r="AE141" s="28">
        <f>SUMIFS(T_REAL!$D:$D,T_REAL!$E:$E,DRE!AE$7,T_REAL!$C:$C,DRE!$A141)+SUMIFS(Aut_Ajustes_Manuais!$G:$G,Aut_Ajustes_Manuais!$I:$I,DRE!AC$4,Aut_Ajustes_Manuais!$F:$F,"  -  Cozinheiro II")</f>
        <v/>
      </c>
      <c r="AF141" s="241" t="n"/>
      <c r="AG141" s="27">
        <f>-SUMIFS(T_HEADCOUNT!$E:$E,T_HEADCOUNT!$C:$C,"-  Cozinheiro II",T_HEADCOUNT!$D:$D,"9/2026",T_HEADCOUNT!$B:$B,"CLT")</f>
        <v/>
      </c>
      <c r="AH141" s="28">
        <f>SUMIFS(T_REAL!$D:$D,T_REAL!$E:$E,DRE!AH$7,T_REAL!$C:$C,DRE!$A141)+SUMIFS(Aut_Ajustes_Manuais!$G:$G,Aut_Ajustes_Manuais!$I:$I,DRE!AF$4,Aut_Ajustes_Manuais!$F:$F,"  -  Cozinheiro II")</f>
        <v/>
      </c>
      <c r="AI141" s="241" t="n"/>
      <c r="AJ141" s="27">
        <f>-SUMIFS(T_HEADCOUNT!$E:$E,T_HEADCOUNT!$C:$C,"-  Cozinheiro II",T_HEADCOUNT!$D:$D,"10/2026",T_HEADCOUNT!$B:$B,"CLT")</f>
        <v/>
      </c>
      <c r="AK141" s="28">
        <f>SUMIFS(T_REAL!$D:$D,T_REAL!$E:$E,DRE!AK$7,T_REAL!$C:$C,DRE!$A141)+SUMIFS(Aut_Ajustes_Manuais!$G:$G,Aut_Ajustes_Manuais!$I:$I,DRE!AI$4,Aut_Ajustes_Manuais!$F:$F,"  -  Cozinheiro II")</f>
        <v/>
      </c>
      <c r="AL141" s="241" t="n"/>
      <c r="AM141" s="27">
        <f>-SUMIFS(T_HEADCOUNT!$E:$E,T_HEADCOUNT!$C:$C,"-  Cozinheiro II",T_HEADCOUNT!$D:$D,"11/2026",T_HEADCOUNT!$B:$B,"CLT")</f>
        <v/>
      </c>
      <c r="AN141" s="28">
        <f>SUMIFS(T_REAL!$D:$D,T_REAL!$E:$E,DRE!AN$7,T_REAL!$C:$C,DRE!$A141)+SUMIFS(Aut_Ajustes_Manuais!$G:$G,Aut_Ajustes_Manuais!$I:$I,DRE!AL$4,Aut_Ajustes_Manuais!$F:$F,"  -  Cozinheiro II")</f>
        <v/>
      </c>
      <c r="AO141" s="241" t="n"/>
      <c r="AP141" s="27">
        <f>-SUMIFS(T_HEADCOUNT!$E:$E,T_HEADCOUNT!$C:$C,"-  Cozinheiro II",T_HEADCOUNT!$D:$D,"12/2026",T_HEADCOUNT!$B:$B,"CLT")</f>
        <v/>
      </c>
      <c r="AQ141" s="28">
        <f>SUMIFS(T_REAL!$D:$D,T_REAL!$E:$E,DRE!AQ$7,T_REAL!$C:$C,DRE!$A141)+SUMIFS(Aut_Ajustes_Manuais!$G:$G,Aut_Ajustes_Manuais!$I:$I,DRE!AO$4,Aut_Ajustes_Manuais!$F:$F,"  -  Cozinheiro II")</f>
        <v/>
      </c>
      <c r="AR141" s="241">
        <f>SUMIFS($H141:$AO141,$H$5:$AO$5,"&lt;"&amp;MONTH(TODAY()),$H$6:$AO$6,"REAL 25")</f>
        <v/>
      </c>
      <c r="AS141" s="27">
        <f>SUMIFS($I141:$AP141,$I$5:$AP$5,"&lt;"&amp;MONTH(TODAY()),$I$6:$AP$6,"ORÇADO ")</f>
        <v/>
      </c>
      <c r="AT141" s="28">
        <f>SUMIFS($J141:$AQ141,$J$5:$AQ$5,"&lt;"&amp;MONTH(TODAY()),$J$6:$AQ$6,"REAL 26")</f>
        <v/>
      </c>
      <c r="AU141" s="241" t="n"/>
      <c r="AV141" s="27" t="n"/>
      <c r="AW141" s="28" t="n"/>
      <c r="AX141" s="241" t="n"/>
      <c r="AY141" s="27" t="n">
        <v>-6688.02</v>
      </c>
      <c r="AZ141" s="28" t="n"/>
      <c r="BA141" s="241" t="n"/>
      <c r="BB141" s="27" t="n">
        <v>-6781.65228</v>
      </c>
      <c r="BC141" s="28" t="n"/>
      <c r="BD141" s="241" t="n"/>
      <c r="BE141" s="27" t="n">
        <v>-6968.91684</v>
      </c>
      <c r="BF141" s="28" t="n"/>
      <c r="BG141" s="241" t="n"/>
      <c r="BH141" s="27" t="n">
        <v>-6968.91684</v>
      </c>
      <c r="BI141" s="28" t="n"/>
    </row>
    <row r="142" hidden="1" outlineLevel="1" customFormat="1" s="498">
      <c r="A142" s="95" t="inlineStr">
        <is>
          <t xml:space="preserve">  -  Cozinheiro I</t>
        </is>
      </c>
      <c r="B142" s="488" t="n"/>
      <c r="C142" s="24" t="n"/>
      <c r="D142" s="55" t="inlineStr">
        <is>
          <t>Salário Bruto com INSS Segurado dentro do valor</t>
        </is>
      </c>
      <c r="E142" s="87" t="n"/>
      <c r="F142" s="56" t="n"/>
      <c r="G142" s="33" t="n"/>
      <c r="H142" s="241" t="n"/>
      <c r="I142" s="27">
        <f>-SUMIFS(T_HEADCOUNT!$E:$E,T_HEADCOUNT!$C:$C,"-  Cozinheiro I",T_HEADCOUNT!$D:$D,"1/2026",T_HEADCOUNT!$B:$B,"CLT")</f>
        <v/>
      </c>
      <c r="J142" s="28">
        <f>SUMIFS(T_REAL!$D:$D,T_REAL!$E:$E,DRE!J$7,T_REAL!$C:$C,DRE!$A142)+SUMIFS(Aut_Ajustes_Manuais!$G:$G,Aut_Ajustes_Manuais!$I:$I,DRE!H$4,Aut_Ajustes_Manuais!$F:$F,"  -  Cozinheiro I")</f>
        <v/>
      </c>
      <c r="K142" s="241" t="n"/>
      <c r="L142" s="27">
        <f>-SUMIFS(T_HEADCOUNT!$E:$E,T_HEADCOUNT!$C:$C,"-  Cozinheiro I",T_HEADCOUNT!$D:$D,"2/2026",T_HEADCOUNT!$B:$B,"CLT")</f>
        <v/>
      </c>
      <c r="M142" s="28">
        <f>SUMIFS(T_REAL!$D:$D,T_REAL!$E:$E,DRE!M$7,T_REAL!$C:$C,DRE!$A142)+SUMIFS(Aut_Ajustes_Manuais!$G:$G,Aut_Ajustes_Manuais!$I:$I,DRE!K$4,Aut_Ajustes_Manuais!$F:$F,"  -  Cozinheiro I")</f>
        <v/>
      </c>
      <c r="N142" s="241" t="n"/>
      <c r="O142" s="27">
        <f>-SUMIFS(T_HEADCOUNT!$E:$E,T_HEADCOUNT!$C:$C,"-  Cozinheiro I",T_HEADCOUNT!$D:$D,"3/2026",T_HEADCOUNT!$B:$B,"CLT")</f>
        <v/>
      </c>
      <c r="P142" s="28">
        <f>SUMIFS(T_REAL!$D:$D,T_REAL!$E:$E,DRE!P$7,T_REAL!$C:$C,DRE!$A142)+SUMIFS(Aut_Ajustes_Manuais!$G:$G,Aut_Ajustes_Manuais!$I:$I,DRE!N$4,Aut_Ajustes_Manuais!$F:$F,"  -  Cozinheiro I")</f>
        <v/>
      </c>
      <c r="Q142" s="241" t="n"/>
      <c r="R142" s="27">
        <f>-SUMIFS(T_HEADCOUNT!$E:$E,T_HEADCOUNT!$C:$C,"-  Cozinheiro I",T_HEADCOUNT!$D:$D,"4/2026",T_HEADCOUNT!$B:$B,"CLT")</f>
        <v/>
      </c>
      <c r="S142" s="28">
        <f>SUMIFS(T_REAL!$D:$D,T_REAL!$E:$E,DRE!S$7,T_REAL!$C:$C,DRE!$A142)+SUMIFS(Aut_Ajustes_Manuais!$G:$G,Aut_Ajustes_Manuais!$I:$I,DRE!Q$4,Aut_Ajustes_Manuais!$F:$F,"  -  Cozinheiro I")</f>
        <v/>
      </c>
      <c r="T142" s="241" t="n"/>
      <c r="U142" s="27">
        <f>-SUMIFS(T_HEADCOUNT!$E:$E,T_HEADCOUNT!$C:$C,"-  Cozinheiro I",T_HEADCOUNT!$D:$D,"5/2026",T_HEADCOUNT!$B:$B,"CLT")</f>
        <v/>
      </c>
      <c r="V142" s="28">
        <f>SUMIFS(T_REAL!$D:$D,T_REAL!$E:$E,DRE!V$7,T_REAL!$C:$C,DRE!$A142)+SUMIFS(Aut_Ajustes_Manuais!$G:$G,Aut_Ajustes_Manuais!$I:$I,DRE!T$4,Aut_Ajustes_Manuais!$F:$F,"  -  Cozinheiro I")</f>
        <v/>
      </c>
      <c r="W142" s="241" t="n"/>
      <c r="X142" s="27">
        <f>-SUMIFS(T_HEADCOUNT!$E:$E,T_HEADCOUNT!$C:$C,"-  Cozinheiro I",T_HEADCOUNT!$D:$D,"6/2026",T_HEADCOUNT!$B:$B,"CLT")</f>
        <v/>
      </c>
      <c r="Y142" s="28">
        <f>SUMIFS(T_REAL!$D:$D,T_REAL!$E:$E,DRE!Y$7,T_REAL!$C:$C,DRE!$A142)+SUMIFS(Aut_Ajustes_Manuais!$G:$G,Aut_Ajustes_Manuais!$I:$I,DRE!W$4,Aut_Ajustes_Manuais!$F:$F,"  -  Cozinheiro I")</f>
        <v/>
      </c>
      <c r="Z142" s="241" t="n"/>
      <c r="AA142" s="27">
        <f>-SUMIFS(T_HEADCOUNT!$E:$E,T_HEADCOUNT!$C:$C,"-  Cozinheiro I",T_HEADCOUNT!$D:$D,"7/2026",T_HEADCOUNT!$B:$B,"CLT")</f>
        <v/>
      </c>
      <c r="AB142" s="28">
        <f>SUMIFS(T_REAL!$D:$D,T_REAL!$E:$E,DRE!AB$7,T_REAL!$C:$C,DRE!$A142)+SUMIFS(Aut_Ajustes_Manuais!$G:$G,Aut_Ajustes_Manuais!$I:$I,DRE!Z$4,Aut_Ajustes_Manuais!$F:$F,"  -  Cozinheiro I")</f>
        <v/>
      </c>
      <c r="AC142" s="241" t="n"/>
      <c r="AD142" s="27">
        <f>-SUMIFS(T_HEADCOUNT!$E:$E,T_HEADCOUNT!$C:$C,"-  Cozinheiro I",T_HEADCOUNT!$D:$D,"8/2026",T_HEADCOUNT!$B:$B,"CLT")</f>
        <v/>
      </c>
      <c r="AE142" s="28">
        <f>SUMIFS(T_REAL!$D:$D,T_REAL!$E:$E,DRE!AE$7,T_REAL!$C:$C,DRE!$A142)+SUMIFS(Aut_Ajustes_Manuais!$G:$G,Aut_Ajustes_Manuais!$I:$I,DRE!AC$4,Aut_Ajustes_Manuais!$F:$F,"  -  Cozinheiro I")</f>
        <v/>
      </c>
      <c r="AF142" s="241" t="n"/>
      <c r="AG142" s="27">
        <f>-SUMIFS(T_HEADCOUNT!$E:$E,T_HEADCOUNT!$C:$C,"-  Cozinheiro I",T_HEADCOUNT!$D:$D,"9/2026",T_HEADCOUNT!$B:$B,"CLT")</f>
        <v/>
      </c>
      <c r="AH142" s="28">
        <f>SUMIFS(T_REAL!$D:$D,T_REAL!$E:$E,DRE!AH$7,T_REAL!$C:$C,DRE!$A142)+SUMIFS(Aut_Ajustes_Manuais!$G:$G,Aut_Ajustes_Manuais!$I:$I,DRE!AF$4,Aut_Ajustes_Manuais!$F:$F,"  -  Cozinheiro I")</f>
        <v/>
      </c>
      <c r="AI142" s="241" t="n"/>
      <c r="AJ142" s="27">
        <f>-SUMIFS(T_HEADCOUNT!$E:$E,T_HEADCOUNT!$C:$C,"-  Cozinheiro I",T_HEADCOUNT!$D:$D,"10/2026",T_HEADCOUNT!$B:$B,"CLT")</f>
        <v/>
      </c>
      <c r="AK142" s="28">
        <f>SUMIFS(T_REAL!$D:$D,T_REAL!$E:$E,DRE!AK$7,T_REAL!$C:$C,DRE!$A142)+SUMIFS(Aut_Ajustes_Manuais!$G:$G,Aut_Ajustes_Manuais!$I:$I,DRE!AI$4,Aut_Ajustes_Manuais!$F:$F,"  -  Cozinheiro I")</f>
        <v/>
      </c>
      <c r="AL142" s="241" t="n"/>
      <c r="AM142" s="27">
        <f>-SUMIFS(T_HEADCOUNT!$E:$E,T_HEADCOUNT!$C:$C,"-  Cozinheiro I",T_HEADCOUNT!$D:$D,"11/2026",T_HEADCOUNT!$B:$B,"CLT")</f>
        <v/>
      </c>
      <c r="AN142" s="28">
        <f>SUMIFS(T_REAL!$D:$D,T_REAL!$E:$E,DRE!AN$7,T_REAL!$C:$C,DRE!$A142)+SUMIFS(Aut_Ajustes_Manuais!$G:$G,Aut_Ajustes_Manuais!$I:$I,DRE!AL$4,Aut_Ajustes_Manuais!$F:$F,"  -  Cozinheiro I")</f>
        <v/>
      </c>
      <c r="AO142" s="241" t="n"/>
      <c r="AP142" s="27">
        <f>-SUMIFS(T_HEADCOUNT!$E:$E,T_HEADCOUNT!$C:$C,"-  Cozinheiro I",T_HEADCOUNT!$D:$D,"12/2026",T_HEADCOUNT!$B:$B,"CLT")</f>
        <v/>
      </c>
      <c r="AQ142" s="28">
        <f>SUMIFS(T_REAL!$D:$D,T_REAL!$E:$E,DRE!AQ$7,T_REAL!$C:$C,DRE!$A142)+SUMIFS(Aut_Ajustes_Manuais!$G:$G,Aut_Ajustes_Manuais!$I:$I,DRE!AO$4,Aut_Ajustes_Manuais!$F:$F,"  -  Cozinheiro I")</f>
        <v/>
      </c>
      <c r="AR142" s="241">
        <f>SUMIFS($H142:$AO142,$H$5:$AO$5,"&lt;"&amp;MONTH(TODAY()),$H$6:$AO$6,"REAL 25")</f>
        <v/>
      </c>
      <c r="AS142" s="27">
        <f>SUMIFS($I142:$AP142,$I$5:$AP$5,"&lt;"&amp;MONTH(TODAY()),$I$6:$AP$6,"ORÇADO ")</f>
        <v/>
      </c>
      <c r="AT142" s="28">
        <f>SUMIFS($J142:$AQ142,$J$5:$AQ$5,"&lt;"&amp;MONTH(TODAY()),$J$6:$AQ$6,"REAL 26")</f>
        <v/>
      </c>
      <c r="AU142" s="241" t="n"/>
      <c r="AV142" s="27" t="n"/>
      <c r="AW142" s="28" t="n"/>
      <c r="AX142" s="241" t="n"/>
      <c r="AY142" s="27" t="n">
        <v>-7691.25</v>
      </c>
      <c r="AZ142" s="28" t="n"/>
      <c r="BA142" s="241" t="n"/>
      <c r="BB142" s="27" t="n">
        <v>-7798.9275</v>
      </c>
      <c r="BC142" s="28" t="n"/>
      <c r="BD142" s="241" t="n"/>
      <c r="BE142" s="27" t="n">
        <v>-8014.282499999999</v>
      </c>
      <c r="BF142" s="28" t="n"/>
      <c r="BG142" s="241" t="n"/>
      <c r="BH142" s="27" t="n">
        <v>-8014.282499999999</v>
      </c>
      <c r="BI142" s="28" t="n"/>
    </row>
    <row r="143" hidden="1" outlineLevel="1" customFormat="1" s="498">
      <c r="A143" s="95" t="inlineStr">
        <is>
          <t xml:space="preserve">  -  Ajud cozinha</t>
        </is>
      </c>
      <c r="B143" s="488" t="n"/>
      <c r="C143" s="24" t="n"/>
      <c r="D143" s="55" t="inlineStr">
        <is>
          <t>Salário Bruto com INSS Segurado dentro do valor</t>
        </is>
      </c>
      <c r="E143" s="87" t="n"/>
      <c r="F143" s="56" t="n"/>
      <c r="G143" s="33" t="n"/>
      <c r="H143" s="241" t="n"/>
      <c r="I143" s="27">
        <f>-SUMIFS(T_HEADCOUNT!$E:$E,T_HEADCOUNT!$C:$C,"-  Ajud cozinha",T_HEADCOUNT!$D:$D,"1/2026",T_HEADCOUNT!$B:$B,"CLT")</f>
        <v/>
      </c>
      <c r="J143" s="28">
        <f>SUMIFS(T_REAL!$D:$D,T_REAL!$E:$E,DRE!J$7,T_REAL!$C:$C,DRE!$A143)+SUMIFS(Aut_Ajustes_Manuais!$G:$G,Aut_Ajustes_Manuais!$I:$I,DRE!H$4,Aut_Ajustes_Manuais!$F:$F,"  -  Ajud cozinha")</f>
        <v/>
      </c>
      <c r="K143" s="241" t="n"/>
      <c r="L143" s="27">
        <f>-SUMIFS(T_HEADCOUNT!$E:$E,T_HEADCOUNT!$C:$C,"-  Ajud cozinha",T_HEADCOUNT!$D:$D,"2/2026",T_HEADCOUNT!$B:$B,"CLT")</f>
        <v/>
      </c>
      <c r="M143" s="28">
        <f>SUMIFS(T_REAL!$D:$D,T_REAL!$E:$E,DRE!M$7,T_REAL!$C:$C,DRE!$A143)+SUMIFS(Aut_Ajustes_Manuais!$G:$G,Aut_Ajustes_Manuais!$I:$I,DRE!K$4,Aut_Ajustes_Manuais!$F:$F,"  -  Ajud cozinha")</f>
        <v/>
      </c>
      <c r="N143" s="241" t="n"/>
      <c r="O143" s="27">
        <f>-SUMIFS(T_HEADCOUNT!$E:$E,T_HEADCOUNT!$C:$C,"-  Ajud cozinha",T_HEADCOUNT!$D:$D,"3/2026",T_HEADCOUNT!$B:$B,"CLT")</f>
        <v/>
      </c>
      <c r="P143" s="28">
        <f>SUMIFS(T_REAL!$D:$D,T_REAL!$E:$E,DRE!P$7,T_REAL!$C:$C,DRE!$A143)+SUMIFS(Aut_Ajustes_Manuais!$G:$G,Aut_Ajustes_Manuais!$I:$I,DRE!N$4,Aut_Ajustes_Manuais!$F:$F,"  -  Ajud cozinha")</f>
        <v/>
      </c>
      <c r="Q143" s="241" t="n"/>
      <c r="R143" s="27">
        <f>-SUMIFS(T_HEADCOUNT!$E:$E,T_HEADCOUNT!$C:$C,"-  Ajud cozinha",T_HEADCOUNT!$D:$D,"4/2026",T_HEADCOUNT!$B:$B,"CLT")</f>
        <v/>
      </c>
      <c r="S143" s="28">
        <f>SUMIFS(T_REAL!$D:$D,T_REAL!$E:$E,DRE!S$7,T_REAL!$C:$C,DRE!$A143)+SUMIFS(Aut_Ajustes_Manuais!$G:$G,Aut_Ajustes_Manuais!$I:$I,DRE!Q$4,Aut_Ajustes_Manuais!$F:$F,"  -  Ajud cozinha")</f>
        <v/>
      </c>
      <c r="T143" s="241" t="n"/>
      <c r="U143" s="27">
        <f>-SUMIFS(T_HEADCOUNT!$E:$E,T_HEADCOUNT!$C:$C,"-  Ajud cozinha",T_HEADCOUNT!$D:$D,"5/2026",T_HEADCOUNT!$B:$B,"CLT")</f>
        <v/>
      </c>
      <c r="V143" s="28">
        <f>SUMIFS(T_REAL!$D:$D,T_REAL!$E:$E,DRE!V$7,T_REAL!$C:$C,DRE!$A143)+SUMIFS(Aut_Ajustes_Manuais!$G:$G,Aut_Ajustes_Manuais!$I:$I,DRE!T$4,Aut_Ajustes_Manuais!$F:$F,"  -  Ajud cozinha")</f>
        <v/>
      </c>
      <c r="W143" s="241" t="n"/>
      <c r="X143" s="27">
        <f>-SUMIFS(T_HEADCOUNT!$E:$E,T_HEADCOUNT!$C:$C,"-  Ajud cozinha",T_HEADCOUNT!$D:$D,"6/2026",T_HEADCOUNT!$B:$B,"CLT")</f>
        <v/>
      </c>
      <c r="Y143" s="28">
        <f>SUMIFS(T_REAL!$D:$D,T_REAL!$E:$E,DRE!Y$7,T_REAL!$C:$C,DRE!$A143)+SUMIFS(Aut_Ajustes_Manuais!$G:$G,Aut_Ajustes_Manuais!$I:$I,DRE!W$4,Aut_Ajustes_Manuais!$F:$F,"  -  Ajud cozinha")</f>
        <v/>
      </c>
      <c r="Z143" s="241" t="n"/>
      <c r="AA143" s="27">
        <f>-SUMIFS(T_HEADCOUNT!$E:$E,T_HEADCOUNT!$C:$C,"-  Ajud cozinha",T_HEADCOUNT!$D:$D,"7/2026",T_HEADCOUNT!$B:$B,"CLT")</f>
        <v/>
      </c>
      <c r="AB143" s="28">
        <f>SUMIFS(T_REAL!$D:$D,T_REAL!$E:$E,DRE!AB$7,T_REAL!$C:$C,DRE!$A143)+SUMIFS(Aut_Ajustes_Manuais!$G:$G,Aut_Ajustes_Manuais!$I:$I,DRE!Z$4,Aut_Ajustes_Manuais!$F:$F,"  -  Ajud cozinha")</f>
        <v/>
      </c>
      <c r="AC143" s="241" t="n"/>
      <c r="AD143" s="27">
        <f>-SUMIFS(T_HEADCOUNT!$E:$E,T_HEADCOUNT!$C:$C,"-  Ajud cozinha",T_HEADCOUNT!$D:$D,"8/2026",T_HEADCOUNT!$B:$B,"CLT")</f>
        <v/>
      </c>
      <c r="AE143" s="28">
        <f>SUMIFS(T_REAL!$D:$D,T_REAL!$E:$E,DRE!AE$7,T_REAL!$C:$C,DRE!$A143)+SUMIFS(Aut_Ajustes_Manuais!$G:$G,Aut_Ajustes_Manuais!$I:$I,DRE!AC$4,Aut_Ajustes_Manuais!$F:$F,"  -  Ajud cozinha")</f>
        <v/>
      </c>
      <c r="AF143" s="241" t="n"/>
      <c r="AG143" s="27">
        <f>-SUMIFS(T_HEADCOUNT!$E:$E,T_HEADCOUNT!$C:$C,"-  Ajud cozinha",T_HEADCOUNT!$D:$D,"9/2026",T_HEADCOUNT!$B:$B,"CLT")</f>
        <v/>
      </c>
      <c r="AH143" s="28">
        <f>SUMIFS(T_REAL!$D:$D,T_REAL!$E:$E,DRE!AH$7,T_REAL!$C:$C,DRE!$A143)+SUMIFS(Aut_Ajustes_Manuais!$G:$G,Aut_Ajustes_Manuais!$I:$I,DRE!AF$4,Aut_Ajustes_Manuais!$F:$F,"  -  Ajud cozinha")</f>
        <v/>
      </c>
      <c r="AI143" s="241" t="n"/>
      <c r="AJ143" s="27">
        <f>-SUMIFS(T_HEADCOUNT!$E:$E,T_HEADCOUNT!$C:$C,"-  Ajud cozinha",T_HEADCOUNT!$D:$D,"10/2026",T_HEADCOUNT!$B:$B,"CLT")</f>
        <v/>
      </c>
      <c r="AK143" s="28">
        <f>SUMIFS(T_REAL!$D:$D,T_REAL!$E:$E,DRE!AK$7,T_REAL!$C:$C,DRE!$A143)+SUMIFS(Aut_Ajustes_Manuais!$G:$G,Aut_Ajustes_Manuais!$I:$I,DRE!AI$4,Aut_Ajustes_Manuais!$F:$F,"  -  Ajud cozinha")</f>
        <v/>
      </c>
      <c r="AL143" s="241" t="n"/>
      <c r="AM143" s="27">
        <f>-SUMIFS(T_HEADCOUNT!$E:$E,T_HEADCOUNT!$C:$C,"-  Ajud cozinha",T_HEADCOUNT!$D:$D,"11/2026",T_HEADCOUNT!$B:$B,"CLT")</f>
        <v/>
      </c>
      <c r="AN143" s="28">
        <f>SUMIFS(T_REAL!$D:$D,T_REAL!$E:$E,DRE!AN$7,T_REAL!$C:$C,DRE!$A143)+SUMIFS(Aut_Ajustes_Manuais!$G:$G,Aut_Ajustes_Manuais!$I:$I,DRE!AL$4,Aut_Ajustes_Manuais!$F:$F,"  -  Ajud cozinha")</f>
        <v/>
      </c>
      <c r="AO143" s="241" t="n"/>
      <c r="AP143" s="27">
        <f>-SUMIFS(T_HEADCOUNT!$E:$E,T_HEADCOUNT!$C:$C,"-  Ajud cozinha",T_HEADCOUNT!$D:$D,"12/2026",T_HEADCOUNT!$B:$B,"CLT")</f>
        <v/>
      </c>
      <c r="AQ143" s="28">
        <f>SUMIFS(T_REAL!$D:$D,T_REAL!$E:$E,DRE!AQ$7,T_REAL!$C:$C,DRE!$A143)+SUMIFS(Aut_Ajustes_Manuais!$G:$G,Aut_Ajustes_Manuais!$I:$I,DRE!AO$4,Aut_Ajustes_Manuais!$F:$F,"  -  Ajud cozinha")</f>
        <v/>
      </c>
      <c r="AR143" s="241">
        <f>SUMIFS($H143:$AO143,$H$5:$AO$5,"&lt;"&amp;MONTH(TODAY()),$H$6:$AO$6,"REAL 25")</f>
        <v/>
      </c>
      <c r="AS143" s="27">
        <f>SUMIFS($I143:$AP143,$I$5:$AP$5,"&lt;"&amp;MONTH(TODAY()),$I$6:$AP$6,"ORÇADO ")</f>
        <v/>
      </c>
      <c r="AT143" s="28">
        <f>SUMIFS($J143:$AQ143,$J$5:$AQ$5,"&lt;"&amp;MONTH(TODAY()),$J$6:$AQ$6,"REAL 26")</f>
        <v/>
      </c>
      <c r="AU143" s="241" t="n"/>
      <c r="AV143" s="27" t="n"/>
      <c r="AW143" s="28" t="n"/>
      <c r="AX143" s="241" t="n"/>
      <c r="AY143" s="27" t="n">
        <v>0</v>
      </c>
      <c r="AZ143" s="28" t="n"/>
      <c r="BA143" s="241" t="n"/>
      <c r="BB143" s="27" t="n">
        <v>0</v>
      </c>
      <c r="BC143" s="28" t="n"/>
      <c r="BD143" s="241" t="n"/>
      <c r="BE143" s="27" t="n">
        <v>0</v>
      </c>
      <c r="BF143" s="28" t="n"/>
      <c r="BG143" s="241" t="n"/>
      <c r="BH143" s="27" t="n">
        <v>0</v>
      </c>
      <c r="BI143" s="28" t="n"/>
    </row>
    <row r="144" hidden="1" outlineLevel="1" customFormat="1" s="498">
      <c r="A144" s="95" t="inlineStr">
        <is>
          <t xml:space="preserve">  -  Saladeiro</t>
        </is>
      </c>
      <c r="B144" s="488" t="n"/>
      <c r="C144" s="24" t="n"/>
      <c r="D144" s="55" t="inlineStr">
        <is>
          <t>Salário Bruto com INSS Segurado dentro do valor</t>
        </is>
      </c>
      <c r="E144" s="87" t="n"/>
      <c r="F144" s="56" t="n"/>
      <c r="G144" s="33" t="n"/>
      <c r="H144" s="241" t="n"/>
      <c r="I144" s="27">
        <f>-SUMIFS(T_HEADCOUNT!$E:$E,T_HEADCOUNT!$C:$C,"-  Saladeiro",T_HEADCOUNT!$D:$D,"1/2026",T_HEADCOUNT!$B:$B,"CLT")</f>
        <v/>
      </c>
      <c r="J144" s="28">
        <f>SUMIFS(T_REAL!$D:$D,T_REAL!$E:$E,DRE!J$7,T_REAL!$C:$C,DRE!$A144)+SUMIFS(Aut_Ajustes_Manuais!$G:$G,Aut_Ajustes_Manuais!$I:$I,DRE!H$4,Aut_Ajustes_Manuais!$F:$F,"  -  Saladeiro")</f>
        <v/>
      </c>
      <c r="K144" s="241" t="n"/>
      <c r="L144" s="27">
        <f>-SUMIFS(T_HEADCOUNT!$E:$E,T_HEADCOUNT!$C:$C,"-  Saladeiro",T_HEADCOUNT!$D:$D,"2/2026",T_HEADCOUNT!$B:$B,"CLT")</f>
        <v/>
      </c>
      <c r="M144" s="28">
        <f>SUMIFS(T_REAL!$D:$D,T_REAL!$E:$E,DRE!M$7,T_REAL!$C:$C,DRE!$A144)+SUMIFS(Aut_Ajustes_Manuais!$G:$G,Aut_Ajustes_Manuais!$I:$I,DRE!K$4,Aut_Ajustes_Manuais!$F:$F,"  -  Saladeiro")</f>
        <v/>
      </c>
      <c r="N144" s="241" t="n"/>
      <c r="O144" s="27">
        <f>-SUMIFS(T_HEADCOUNT!$E:$E,T_HEADCOUNT!$C:$C,"-  Saladeiro",T_HEADCOUNT!$D:$D,"3/2026",T_HEADCOUNT!$B:$B,"CLT")</f>
        <v/>
      </c>
      <c r="P144" s="28">
        <f>SUMIFS(T_REAL!$D:$D,T_REAL!$E:$E,DRE!P$7,T_REAL!$C:$C,DRE!$A144)+SUMIFS(Aut_Ajustes_Manuais!$G:$G,Aut_Ajustes_Manuais!$I:$I,DRE!N$4,Aut_Ajustes_Manuais!$F:$F,"  -  Saladeiro")</f>
        <v/>
      </c>
      <c r="Q144" s="241" t="n"/>
      <c r="R144" s="27">
        <f>-SUMIFS(T_HEADCOUNT!$E:$E,T_HEADCOUNT!$C:$C,"-  Saladeiro",T_HEADCOUNT!$D:$D,"4/2026",T_HEADCOUNT!$B:$B,"CLT")</f>
        <v/>
      </c>
      <c r="S144" s="28">
        <f>SUMIFS(T_REAL!$D:$D,T_REAL!$E:$E,DRE!S$7,T_REAL!$C:$C,DRE!$A144)+SUMIFS(Aut_Ajustes_Manuais!$G:$G,Aut_Ajustes_Manuais!$I:$I,DRE!Q$4,Aut_Ajustes_Manuais!$F:$F,"  -  Saladeiro")</f>
        <v/>
      </c>
      <c r="T144" s="241" t="n"/>
      <c r="U144" s="27">
        <f>-SUMIFS(T_HEADCOUNT!$E:$E,T_HEADCOUNT!$C:$C,"-  Saladeiro",T_HEADCOUNT!$D:$D,"5/2026",T_HEADCOUNT!$B:$B,"CLT")</f>
        <v/>
      </c>
      <c r="V144" s="28">
        <f>SUMIFS(T_REAL!$D:$D,T_REAL!$E:$E,DRE!V$7,T_REAL!$C:$C,DRE!$A144)+SUMIFS(Aut_Ajustes_Manuais!$G:$G,Aut_Ajustes_Manuais!$I:$I,DRE!T$4,Aut_Ajustes_Manuais!$F:$F,"  -  Saladeiro")</f>
        <v/>
      </c>
      <c r="W144" s="241" t="n"/>
      <c r="X144" s="27">
        <f>-SUMIFS(T_HEADCOUNT!$E:$E,T_HEADCOUNT!$C:$C,"-  Saladeiro",T_HEADCOUNT!$D:$D,"6/2026",T_HEADCOUNT!$B:$B,"CLT")</f>
        <v/>
      </c>
      <c r="Y144" s="28">
        <f>SUMIFS(T_REAL!$D:$D,T_REAL!$E:$E,DRE!Y$7,T_REAL!$C:$C,DRE!$A144)+SUMIFS(Aut_Ajustes_Manuais!$G:$G,Aut_Ajustes_Manuais!$I:$I,DRE!W$4,Aut_Ajustes_Manuais!$F:$F,"  -  Saladeiro")</f>
        <v/>
      </c>
      <c r="Z144" s="241" t="n"/>
      <c r="AA144" s="27">
        <f>-SUMIFS(T_HEADCOUNT!$E:$E,T_HEADCOUNT!$C:$C,"-  Saladeiro",T_HEADCOUNT!$D:$D,"7/2026",T_HEADCOUNT!$B:$B,"CLT")</f>
        <v/>
      </c>
      <c r="AB144" s="28">
        <f>SUMIFS(T_REAL!$D:$D,T_REAL!$E:$E,DRE!AB$7,T_REAL!$C:$C,DRE!$A144)+SUMIFS(Aut_Ajustes_Manuais!$G:$G,Aut_Ajustes_Manuais!$I:$I,DRE!Z$4,Aut_Ajustes_Manuais!$F:$F,"  -  Saladeiro")</f>
        <v/>
      </c>
      <c r="AC144" s="241" t="n"/>
      <c r="AD144" s="27">
        <f>-SUMIFS(T_HEADCOUNT!$E:$E,T_HEADCOUNT!$C:$C,"-  Saladeiro",T_HEADCOUNT!$D:$D,"8/2026",T_HEADCOUNT!$B:$B,"CLT")</f>
        <v/>
      </c>
      <c r="AE144" s="28">
        <f>SUMIFS(T_REAL!$D:$D,T_REAL!$E:$E,DRE!AE$7,T_REAL!$C:$C,DRE!$A144)+SUMIFS(Aut_Ajustes_Manuais!$G:$G,Aut_Ajustes_Manuais!$I:$I,DRE!AC$4,Aut_Ajustes_Manuais!$F:$F,"  -  Saladeiro")</f>
        <v/>
      </c>
      <c r="AF144" s="241" t="n"/>
      <c r="AG144" s="27">
        <f>-SUMIFS(T_HEADCOUNT!$E:$E,T_HEADCOUNT!$C:$C,"-  Saladeiro",T_HEADCOUNT!$D:$D,"9/2026",T_HEADCOUNT!$B:$B,"CLT")</f>
        <v/>
      </c>
      <c r="AH144" s="28">
        <f>SUMIFS(T_REAL!$D:$D,T_REAL!$E:$E,DRE!AH$7,T_REAL!$C:$C,DRE!$A144)+SUMIFS(Aut_Ajustes_Manuais!$G:$G,Aut_Ajustes_Manuais!$I:$I,DRE!AF$4,Aut_Ajustes_Manuais!$F:$F,"  -  Saladeiro")</f>
        <v/>
      </c>
      <c r="AI144" s="241" t="n"/>
      <c r="AJ144" s="27">
        <f>-SUMIFS(T_HEADCOUNT!$E:$E,T_HEADCOUNT!$C:$C,"-  Saladeiro",T_HEADCOUNT!$D:$D,"10/2026",T_HEADCOUNT!$B:$B,"CLT")</f>
        <v/>
      </c>
      <c r="AK144" s="28">
        <f>SUMIFS(T_REAL!$D:$D,T_REAL!$E:$E,DRE!AK$7,T_REAL!$C:$C,DRE!$A144)+SUMIFS(Aut_Ajustes_Manuais!$G:$G,Aut_Ajustes_Manuais!$I:$I,DRE!AI$4,Aut_Ajustes_Manuais!$F:$F,"  -  Saladeiro")</f>
        <v/>
      </c>
      <c r="AL144" s="241" t="n"/>
      <c r="AM144" s="27">
        <f>-SUMIFS(T_HEADCOUNT!$E:$E,T_HEADCOUNT!$C:$C,"-  Saladeiro",T_HEADCOUNT!$D:$D,"11/2026",T_HEADCOUNT!$B:$B,"CLT")</f>
        <v/>
      </c>
      <c r="AN144" s="28">
        <f>SUMIFS(T_REAL!$D:$D,T_REAL!$E:$E,DRE!AN$7,T_REAL!$C:$C,DRE!$A144)+SUMIFS(Aut_Ajustes_Manuais!$G:$G,Aut_Ajustes_Manuais!$I:$I,DRE!AL$4,Aut_Ajustes_Manuais!$F:$F,"  -  Saladeiro")</f>
        <v/>
      </c>
      <c r="AO144" s="241" t="n"/>
      <c r="AP144" s="27">
        <f>-SUMIFS(T_HEADCOUNT!$E:$E,T_HEADCOUNT!$C:$C,"-  Saladeiro",T_HEADCOUNT!$D:$D,"12/2026",T_HEADCOUNT!$B:$B,"CLT")</f>
        <v/>
      </c>
      <c r="AQ144" s="28">
        <f>SUMIFS(T_REAL!$D:$D,T_REAL!$E:$E,DRE!AQ$7,T_REAL!$C:$C,DRE!$A144)+SUMIFS(Aut_Ajustes_Manuais!$G:$G,Aut_Ajustes_Manuais!$I:$I,DRE!AO$4,Aut_Ajustes_Manuais!$F:$F,"  -  Saladeiro")</f>
        <v/>
      </c>
      <c r="AR144" s="241">
        <f>SUMIFS($H144:$AO144,$H$5:$AO$5,"&lt;"&amp;MONTH(TODAY()),$H$6:$AO$6,"REAL 25")</f>
        <v/>
      </c>
      <c r="AS144" s="27">
        <f>SUMIFS($I144:$AP144,$I$5:$AP$5,"&lt;"&amp;MONTH(TODAY()),$I$6:$AP$6,"ORÇADO ")</f>
        <v/>
      </c>
      <c r="AT144" s="28">
        <f>SUMIFS($J144:$AQ144,$J$5:$AQ$5,"&lt;"&amp;MONTH(TODAY()),$J$6:$AQ$6,"REAL 26")</f>
        <v/>
      </c>
      <c r="AU144" s="241" t="n"/>
      <c r="AV144" s="27" t="n"/>
      <c r="AW144" s="28" t="n"/>
      <c r="AX144" s="241" t="n"/>
      <c r="AY144" s="27" t="n">
        <v>0</v>
      </c>
      <c r="AZ144" s="28" t="n"/>
      <c r="BA144" s="241" t="n"/>
      <c r="BB144" s="27" t="n">
        <v>0</v>
      </c>
      <c r="BC144" s="28" t="n"/>
      <c r="BD144" s="241" t="n"/>
      <c r="BE144" s="27" t="n">
        <v>0</v>
      </c>
      <c r="BF144" s="28" t="n"/>
      <c r="BG144" s="241" t="n"/>
      <c r="BH144" s="27" t="n">
        <v>0</v>
      </c>
      <c r="BI144" s="28" t="n"/>
    </row>
    <row r="145" hidden="1" outlineLevel="1" customFormat="1" s="498">
      <c r="A145" s="95" t="inlineStr">
        <is>
          <t xml:space="preserve">  -  Pia</t>
        </is>
      </c>
      <c r="B145" s="488" t="n"/>
      <c r="C145" s="24" t="n"/>
      <c r="D145" s="55" t="inlineStr">
        <is>
          <t>Salário Bruto com INSS Segurado dentro do valor</t>
        </is>
      </c>
      <c r="E145" s="87" t="n"/>
      <c r="F145" s="56" t="n"/>
      <c r="G145" s="33" t="n"/>
      <c r="H145" s="241" t="n"/>
      <c r="I145" s="27">
        <f>-SUMIFS(T_HEADCOUNT!$E:$E,T_HEADCOUNT!$C:$C,"-  Pia",T_HEADCOUNT!$D:$D,"1/2026",T_HEADCOUNT!$B:$B,"CLT")</f>
        <v/>
      </c>
      <c r="J145" s="28">
        <f>SUMIFS(T_REAL!$D:$D,T_REAL!$E:$E,DRE!J$7,T_REAL!$C:$C,DRE!$A145)+SUMIFS(Aut_Ajustes_Manuais!$G:$G,Aut_Ajustes_Manuais!$I:$I,DRE!H$4,Aut_Ajustes_Manuais!$F:$F,"  -  Pia")</f>
        <v/>
      </c>
      <c r="K145" s="241" t="n"/>
      <c r="L145" s="27">
        <f>-SUMIFS(T_HEADCOUNT!$E:$E,T_HEADCOUNT!$C:$C,"-  Pia",T_HEADCOUNT!$D:$D,"2/2026",T_HEADCOUNT!$B:$B,"CLT")</f>
        <v/>
      </c>
      <c r="M145" s="28">
        <f>SUMIFS(T_REAL!$D:$D,T_REAL!$E:$E,DRE!M$7,T_REAL!$C:$C,DRE!$A145)+SUMIFS(Aut_Ajustes_Manuais!$G:$G,Aut_Ajustes_Manuais!$I:$I,DRE!K$4,Aut_Ajustes_Manuais!$F:$F,"  -  Pia")</f>
        <v/>
      </c>
      <c r="N145" s="241" t="n"/>
      <c r="O145" s="27">
        <f>-SUMIFS(T_HEADCOUNT!$E:$E,T_HEADCOUNT!$C:$C,"-  Pia",T_HEADCOUNT!$D:$D,"3/2026",T_HEADCOUNT!$B:$B,"CLT")</f>
        <v/>
      </c>
      <c r="P145" s="28">
        <f>SUMIFS(T_REAL!$D:$D,T_REAL!$E:$E,DRE!P$7,T_REAL!$C:$C,DRE!$A145)+SUMIFS(Aut_Ajustes_Manuais!$G:$G,Aut_Ajustes_Manuais!$I:$I,DRE!N$4,Aut_Ajustes_Manuais!$F:$F,"  -  Pia")</f>
        <v/>
      </c>
      <c r="Q145" s="241" t="n"/>
      <c r="R145" s="27">
        <f>-SUMIFS(T_HEADCOUNT!$E:$E,T_HEADCOUNT!$C:$C,"-  Pia",T_HEADCOUNT!$D:$D,"4/2026",T_HEADCOUNT!$B:$B,"CLT")</f>
        <v/>
      </c>
      <c r="S145" s="28">
        <f>SUMIFS(T_REAL!$D:$D,T_REAL!$E:$E,DRE!S$7,T_REAL!$C:$C,DRE!$A145)+SUMIFS(Aut_Ajustes_Manuais!$G:$G,Aut_Ajustes_Manuais!$I:$I,DRE!Q$4,Aut_Ajustes_Manuais!$F:$F,"  -  Pia")</f>
        <v/>
      </c>
      <c r="T145" s="241" t="n"/>
      <c r="U145" s="27">
        <f>-SUMIFS(T_HEADCOUNT!$E:$E,T_HEADCOUNT!$C:$C,"-  Pia",T_HEADCOUNT!$D:$D,"5/2026",T_HEADCOUNT!$B:$B,"CLT")</f>
        <v/>
      </c>
      <c r="V145" s="28">
        <f>SUMIFS(T_REAL!$D:$D,T_REAL!$E:$E,DRE!V$7,T_REAL!$C:$C,DRE!$A145)+SUMIFS(Aut_Ajustes_Manuais!$G:$G,Aut_Ajustes_Manuais!$I:$I,DRE!T$4,Aut_Ajustes_Manuais!$F:$F,"  -  Pia")</f>
        <v/>
      </c>
      <c r="W145" s="241" t="n"/>
      <c r="X145" s="27">
        <f>-SUMIFS(T_HEADCOUNT!$E:$E,T_HEADCOUNT!$C:$C,"-  Pia",T_HEADCOUNT!$D:$D,"6/2026",T_HEADCOUNT!$B:$B,"CLT")</f>
        <v/>
      </c>
      <c r="Y145" s="28">
        <f>SUMIFS(T_REAL!$D:$D,T_REAL!$E:$E,DRE!Y$7,T_REAL!$C:$C,DRE!$A145)+SUMIFS(Aut_Ajustes_Manuais!$G:$G,Aut_Ajustes_Manuais!$I:$I,DRE!W$4,Aut_Ajustes_Manuais!$F:$F,"  -  Pia")</f>
        <v/>
      </c>
      <c r="Z145" s="241" t="n"/>
      <c r="AA145" s="27">
        <f>-SUMIFS(T_HEADCOUNT!$E:$E,T_HEADCOUNT!$C:$C,"-  Pia",T_HEADCOUNT!$D:$D,"7/2026",T_HEADCOUNT!$B:$B,"CLT")</f>
        <v/>
      </c>
      <c r="AB145" s="28">
        <f>SUMIFS(T_REAL!$D:$D,T_REAL!$E:$E,DRE!AB$7,T_REAL!$C:$C,DRE!$A145)+SUMIFS(Aut_Ajustes_Manuais!$G:$G,Aut_Ajustes_Manuais!$I:$I,DRE!Z$4,Aut_Ajustes_Manuais!$F:$F,"  -  Pia")</f>
        <v/>
      </c>
      <c r="AC145" s="241" t="n"/>
      <c r="AD145" s="27">
        <f>-SUMIFS(T_HEADCOUNT!$E:$E,T_HEADCOUNT!$C:$C,"-  Pia",T_HEADCOUNT!$D:$D,"8/2026",T_HEADCOUNT!$B:$B,"CLT")</f>
        <v/>
      </c>
      <c r="AE145" s="28">
        <f>SUMIFS(T_REAL!$D:$D,T_REAL!$E:$E,DRE!AE$7,T_REAL!$C:$C,DRE!$A145)+SUMIFS(Aut_Ajustes_Manuais!$G:$G,Aut_Ajustes_Manuais!$I:$I,DRE!AC$4,Aut_Ajustes_Manuais!$F:$F,"  -  Pia")</f>
        <v/>
      </c>
      <c r="AF145" s="241" t="n"/>
      <c r="AG145" s="27">
        <f>-SUMIFS(T_HEADCOUNT!$E:$E,T_HEADCOUNT!$C:$C,"-  Pia",T_HEADCOUNT!$D:$D,"9/2026",T_HEADCOUNT!$B:$B,"CLT")</f>
        <v/>
      </c>
      <c r="AH145" s="28">
        <f>SUMIFS(T_REAL!$D:$D,T_REAL!$E:$E,DRE!AH$7,T_REAL!$C:$C,DRE!$A145)+SUMIFS(Aut_Ajustes_Manuais!$G:$G,Aut_Ajustes_Manuais!$I:$I,DRE!AF$4,Aut_Ajustes_Manuais!$F:$F,"  -  Pia")</f>
        <v/>
      </c>
      <c r="AI145" s="241" t="n"/>
      <c r="AJ145" s="27">
        <f>-SUMIFS(T_HEADCOUNT!$E:$E,T_HEADCOUNT!$C:$C,"-  Pia",T_HEADCOUNT!$D:$D,"10/2026",T_HEADCOUNT!$B:$B,"CLT")</f>
        <v/>
      </c>
      <c r="AK145" s="28">
        <f>SUMIFS(T_REAL!$D:$D,T_REAL!$E:$E,DRE!AK$7,T_REAL!$C:$C,DRE!$A145)+SUMIFS(Aut_Ajustes_Manuais!$G:$G,Aut_Ajustes_Manuais!$I:$I,DRE!AI$4,Aut_Ajustes_Manuais!$F:$F,"  -  Pia")</f>
        <v/>
      </c>
      <c r="AL145" s="241" t="n"/>
      <c r="AM145" s="27">
        <f>-SUMIFS(T_HEADCOUNT!$E:$E,T_HEADCOUNT!$C:$C,"-  Pia",T_HEADCOUNT!$D:$D,"11/2026",T_HEADCOUNT!$B:$B,"CLT")</f>
        <v/>
      </c>
      <c r="AN145" s="28">
        <f>SUMIFS(T_REAL!$D:$D,T_REAL!$E:$E,DRE!AN$7,T_REAL!$C:$C,DRE!$A145)+SUMIFS(Aut_Ajustes_Manuais!$G:$G,Aut_Ajustes_Manuais!$I:$I,DRE!AL$4,Aut_Ajustes_Manuais!$F:$F,"  -  Pia")</f>
        <v/>
      </c>
      <c r="AO145" s="241" t="n"/>
      <c r="AP145" s="27">
        <f>-SUMIFS(T_HEADCOUNT!$E:$E,T_HEADCOUNT!$C:$C,"-  Pia",T_HEADCOUNT!$D:$D,"12/2026",T_HEADCOUNT!$B:$B,"CLT")</f>
        <v/>
      </c>
      <c r="AQ145" s="28">
        <f>SUMIFS(T_REAL!$D:$D,T_REAL!$E:$E,DRE!AQ$7,T_REAL!$C:$C,DRE!$A145)+SUMIFS(Aut_Ajustes_Manuais!$G:$G,Aut_Ajustes_Manuais!$I:$I,DRE!AO$4,Aut_Ajustes_Manuais!$F:$F,"  -  Pia")</f>
        <v/>
      </c>
      <c r="AR145" s="241">
        <f>SUMIFS($H145:$AO145,$H$5:$AO$5,"&lt;"&amp;MONTH(TODAY()),$H$6:$AO$6,"REAL 25")</f>
        <v/>
      </c>
      <c r="AS145" s="27">
        <f>SUMIFS($I145:$AP145,$I$5:$AP$5,"&lt;"&amp;MONTH(TODAY()),$I$6:$AP$6,"ORÇADO ")</f>
        <v/>
      </c>
      <c r="AT145" s="28">
        <f>SUMIFS($J145:$AQ145,$J$5:$AQ$5,"&lt;"&amp;MONTH(TODAY()),$J$6:$AQ$6,"REAL 26")</f>
        <v/>
      </c>
      <c r="AU145" s="241" t="n"/>
      <c r="AV145" s="27" t="n"/>
      <c r="AW145" s="28" t="n"/>
      <c r="AX145" s="241" t="n"/>
      <c r="AY145" s="27" t="n">
        <v>0</v>
      </c>
      <c r="AZ145" s="28" t="n"/>
      <c r="BA145" s="241" t="n"/>
      <c r="BB145" s="27" t="n">
        <v>0</v>
      </c>
      <c r="BC145" s="28" t="n"/>
      <c r="BD145" s="241" t="n"/>
      <c r="BE145" s="27" t="n">
        <v>0</v>
      </c>
      <c r="BF145" s="28" t="n"/>
      <c r="BG145" s="241" t="n"/>
      <c r="BH145" s="27" t="n">
        <v>0</v>
      </c>
      <c r="BI145" s="28" t="n"/>
    </row>
    <row r="146" hidden="1" outlineLevel="1" customFormat="1" s="498">
      <c r="A146" s="95" t="inlineStr">
        <is>
          <t xml:space="preserve">  -  Sub Chefe de Confeitaria</t>
        </is>
      </c>
      <c r="B146" s="488" t="n"/>
      <c r="C146" s="24" t="n"/>
      <c r="D146" s="55" t="inlineStr">
        <is>
          <t>Salário Bruto com INSS Segurado dentro do valor</t>
        </is>
      </c>
      <c r="E146" s="87" t="n"/>
      <c r="F146" s="56" t="n"/>
      <c r="G146" s="33" t="n"/>
      <c r="H146" s="241" t="n"/>
      <c r="I146" s="27">
        <f>-SUMIFS(T_HEADCOUNT!$E:$E,T_HEADCOUNT!$C:$C,"-  Sub Chefe de Confeitaria",T_HEADCOUNT!$D:$D,"1/2026",T_HEADCOUNT!$B:$B,"CLT")</f>
        <v/>
      </c>
      <c r="J146" s="28">
        <f>SUMIFS(T_REAL!$D:$D,T_REAL!$E:$E,DRE!J$7,T_REAL!$C:$C,DRE!$A146)+SUMIFS(Aut_Ajustes_Manuais!$G:$G,Aut_Ajustes_Manuais!$I:$I,DRE!H$4,Aut_Ajustes_Manuais!$F:$F,"  -  Sub Chefe de Confeitaria")</f>
        <v/>
      </c>
      <c r="K146" s="241" t="n"/>
      <c r="L146" s="27">
        <f>-SUMIFS(T_HEADCOUNT!$E:$E,T_HEADCOUNT!$C:$C,"-  Sub Chefe de Confeitaria",T_HEADCOUNT!$D:$D,"2/2026",T_HEADCOUNT!$B:$B,"CLT")</f>
        <v/>
      </c>
      <c r="M146" s="28">
        <f>SUMIFS(T_REAL!$D:$D,T_REAL!$E:$E,DRE!M$7,T_REAL!$C:$C,DRE!$A146)+SUMIFS(Aut_Ajustes_Manuais!$G:$G,Aut_Ajustes_Manuais!$I:$I,DRE!K$4,Aut_Ajustes_Manuais!$F:$F,"  -  Sub Chefe de Confeitaria")</f>
        <v/>
      </c>
      <c r="N146" s="241" t="n"/>
      <c r="O146" s="27">
        <f>-SUMIFS(T_HEADCOUNT!$E:$E,T_HEADCOUNT!$C:$C,"-  Sub Chefe de Confeitaria",T_HEADCOUNT!$D:$D,"3/2026",T_HEADCOUNT!$B:$B,"CLT")</f>
        <v/>
      </c>
      <c r="P146" s="28">
        <f>SUMIFS(T_REAL!$D:$D,T_REAL!$E:$E,DRE!P$7,T_REAL!$C:$C,DRE!$A146)+SUMIFS(Aut_Ajustes_Manuais!$G:$G,Aut_Ajustes_Manuais!$I:$I,DRE!N$4,Aut_Ajustes_Manuais!$F:$F,"  -  Sub Chefe de Confeitaria")</f>
        <v/>
      </c>
      <c r="Q146" s="241" t="n"/>
      <c r="R146" s="27">
        <f>-SUMIFS(T_HEADCOUNT!$E:$E,T_HEADCOUNT!$C:$C,"-  Sub Chefe de Confeitaria",T_HEADCOUNT!$D:$D,"4/2026",T_HEADCOUNT!$B:$B,"CLT")</f>
        <v/>
      </c>
      <c r="S146" s="28">
        <f>SUMIFS(T_REAL!$D:$D,T_REAL!$E:$E,DRE!S$7,T_REAL!$C:$C,DRE!$A146)+SUMIFS(Aut_Ajustes_Manuais!$G:$G,Aut_Ajustes_Manuais!$I:$I,DRE!Q$4,Aut_Ajustes_Manuais!$F:$F,"  -  Sub Chefe de Confeitaria")</f>
        <v/>
      </c>
      <c r="T146" s="241" t="n"/>
      <c r="U146" s="27">
        <f>-SUMIFS(T_HEADCOUNT!$E:$E,T_HEADCOUNT!$C:$C,"-  Sub Chefe de Confeitaria",T_HEADCOUNT!$D:$D,"5/2026",T_HEADCOUNT!$B:$B,"CLT")</f>
        <v/>
      </c>
      <c r="V146" s="28">
        <f>SUMIFS(T_REAL!$D:$D,T_REAL!$E:$E,DRE!V$7,T_REAL!$C:$C,DRE!$A146)+SUMIFS(Aut_Ajustes_Manuais!$G:$G,Aut_Ajustes_Manuais!$I:$I,DRE!T$4,Aut_Ajustes_Manuais!$F:$F,"  -  Sub Chefe de Confeitaria")</f>
        <v/>
      </c>
      <c r="W146" s="241" t="n"/>
      <c r="X146" s="27">
        <f>-SUMIFS(T_HEADCOUNT!$E:$E,T_HEADCOUNT!$C:$C,"-  Sub Chefe de Confeitaria",T_HEADCOUNT!$D:$D,"6/2026",T_HEADCOUNT!$B:$B,"CLT")</f>
        <v/>
      </c>
      <c r="Y146" s="28">
        <f>SUMIFS(T_REAL!$D:$D,T_REAL!$E:$E,DRE!Y$7,T_REAL!$C:$C,DRE!$A146)+SUMIFS(Aut_Ajustes_Manuais!$G:$G,Aut_Ajustes_Manuais!$I:$I,DRE!W$4,Aut_Ajustes_Manuais!$F:$F,"  -  Sub Chefe de Confeitaria")</f>
        <v/>
      </c>
      <c r="Z146" s="241" t="n"/>
      <c r="AA146" s="27">
        <f>-SUMIFS(T_HEADCOUNT!$E:$E,T_HEADCOUNT!$C:$C,"-  Sub Chefe de Confeitaria",T_HEADCOUNT!$D:$D,"7/2026",T_HEADCOUNT!$B:$B,"CLT")</f>
        <v/>
      </c>
      <c r="AB146" s="28">
        <f>SUMIFS(T_REAL!$D:$D,T_REAL!$E:$E,DRE!AB$7,T_REAL!$C:$C,DRE!$A146)+SUMIFS(Aut_Ajustes_Manuais!$G:$G,Aut_Ajustes_Manuais!$I:$I,DRE!Z$4,Aut_Ajustes_Manuais!$F:$F,"  -  Sub Chefe de Confeitaria")</f>
        <v/>
      </c>
      <c r="AC146" s="241" t="n"/>
      <c r="AD146" s="27">
        <f>-SUMIFS(T_HEADCOUNT!$E:$E,T_HEADCOUNT!$C:$C,"-  Sub Chefe de Confeitaria",T_HEADCOUNT!$D:$D,"8/2026",T_HEADCOUNT!$B:$B,"CLT")</f>
        <v/>
      </c>
      <c r="AE146" s="28">
        <f>SUMIFS(T_REAL!$D:$D,T_REAL!$E:$E,DRE!AE$7,T_REAL!$C:$C,DRE!$A146)+SUMIFS(Aut_Ajustes_Manuais!$G:$G,Aut_Ajustes_Manuais!$I:$I,DRE!AC$4,Aut_Ajustes_Manuais!$F:$F,"  -  Sub Chefe de Confeitaria")</f>
        <v/>
      </c>
      <c r="AF146" s="241" t="n"/>
      <c r="AG146" s="27">
        <f>-SUMIFS(T_HEADCOUNT!$E:$E,T_HEADCOUNT!$C:$C,"-  Sub Chefe de Confeitaria",T_HEADCOUNT!$D:$D,"9/2026",T_HEADCOUNT!$B:$B,"CLT")</f>
        <v/>
      </c>
      <c r="AH146" s="28">
        <f>SUMIFS(T_REAL!$D:$D,T_REAL!$E:$E,DRE!AH$7,T_REAL!$C:$C,DRE!$A146)+SUMIFS(Aut_Ajustes_Manuais!$G:$G,Aut_Ajustes_Manuais!$I:$I,DRE!AF$4,Aut_Ajustes_Manuais!$F:$F,"  -  Sub Chefe de Confeitaria")</f>
        <v/>
      </c>
      <c r="AI146" s="241" t="n"/>
      <c r="AJ146" s="27">
        <f>-SUMIFS(T_HEADCOUNT!$E:$E,T_HEADCOUNT!$C:$C,"-  Sub Chefe de Confeitaria",T_HEADCOUNT!$D:$D,"10/2026",T_HEADCOUNT!$B:$B,"CLT")</f>
        <v/>
      </c>
      <c r="AK146" s="28">
        <f>SUMIFS(T_REAL!$D:$D,T_REAL!$E:$E,DRE!AK$7,T_REAL!$C:$C,DRE!$A146)+SUMIFS(Aut_Ajustes_Manuais!$G:$G,Aut_Ajustes_Manuais!$I:$I,DRE!AI$4,Aut_Ajustes_Manuais!$F:$F,"  -  Sub Chefe de Confeitaria")</f>
        <v/>
      </c>
      <c r="AL146" s="241" t="n"/>
      <c r="AM146" s="27">
        <f>-SUMIFS(T_HEADCOUNT!$E:$E,T_HEADCOUNT!$C:$C,"-  Sub Chefe de Confeitaria",T_HEADCOUNT!$D:$D,"11/2026",T_HEADCOUNT!$B:$B,"CLT")</f>
        <v/>
      </c>
      <c r="AN146" s="28">
        <f>SUMIFS(T_REAL!$D:$D,T_REAL!$E:$E,DRE!AN$7,T_REAL!$C:$C,DRE!$A146)+SUMIFS(Aut_Ajustes_Manuais!$G:$G,Aut_Ajustes_Manuais!$I:$I,DRE!AL$4,Aut_Ajustes_Manuais!$F:$F,"  -  Sub Chefe de Confeitaria")</f>
        <v/>
      </c>
      <c r="AO146" s="241" t="n"/>
      <c r="AP146" s="27">
        <f>-SUMIFS(T_HEADCOUNT!$E:$E,T_HEADCOUNT!$C:$C,"-  Sub Chefe de Confeitaria",T_HEADCOUNT!$D:$D,"12/2026",T_HEADCOUNT!$B:$B,"CLT")</f>
        <v/>
      </c>
      <c r="AQ146" s="28">
        <f>SUMIFS(T_REAL!$D:$D,T_REAL!$E:$E,DRE!AQ$7,T_REAL!$C:$C,DRE!$A146)+SUMIFS(Aut_Ajustes_Manuais!$G:$G,Aut_Ajustes_Manuais!$I:$I,DRE!AO$4,Aut_Ajustes_Manuais!$F:$F,"  -  Sub Chefe de Confeitaria")</f>
        <v/>
      </c>
      <c r="AR146" s="241">
        <f>SUMIFS($H146:$AO146,$H$5:$AO$5,"&lt;"&amp;MONTH(TODAY()),$H$6:$AO$6,"REAL 25")</f>
        <v/>
      </c>
      <c r="AS146" s="27">
        <f>SUMIFS($I146:$AP146,$I$5:$AP$5,"&lt;"&amp;MONTH(TODAY()),$I$6:$AP$6,"ORÇADO ")</f>
        <v/>
      </c>
      <c r="AT146" s="28">
        <f>SUMIFS($J146:$AQ146,$J$5:$AQ$5,"&lt;"&amp;MONTH(TODAY()),$J$6:$AQ$6,"REAL 26")</f>
        <v/>
      </c>
      <c r="AU146" s="241" t="n"/>
      <c r="AV146" s="27" t="n"/>
      <c r="AW146" s="28" t="n"/>
      <c r="AX146" s="241" t="n"/>
      <c r="AY146" s="27" t="n">
        <v>0</v>
      </c>
      <c r="AZ146" s="28" t="n"/>
      <c r="BA146" s="241" t="n"/>
      <c r="BB146" s="27" t="n">
        <v>0</v>
      </c>
      <c r="BC146" s="28" t="n"/>
      <c r="BD146" s="241" t="n"/>
      <c r="BE146" s="27" t="n">
        <v>0</v>
      </c>
      <c r="BF146" s="28" t="n"/>
      <c r="BG146" s="241" t="n"/>
      <c r="BH146" s="27" t="n">
        <v>0</v>
      </c>
      <c r="BI146" s="28" t="n"/>
    </row>
    <row r="147" hidden="1" outlineLevel="1" customFormat="1" s="498">
      <c r="A147" s="95" t="inlineStr">
        <is>
          <t xml:space="preserve">  -  Confeiteiro III</t>
        </is>
      </c>
      <c r="B147" s="488" t="n"/>
      <c r="C147" s="24" t="n"/>
      <c r="D147" s="55" t="inlineStr">
        <is>
          <t>Salário Bruto com INSS Segurado dentro do valor</t>
        </is>
      </c>
      <c r="E147" s="87" t="n"/>
      <c r="F147" s="56" t="n"/>
      <c r="G147" s="33" t="n"/>
      <c r="H147" s="241" t="n"/>
      <c r="I147" s="27">
        <f>-SUMIFS(T_HEADCOUNT!$E:$E,T_HEADCOUNT!$C:$C,"-  Confeiteiro III",T_HEADCOUNT!$D:$D,"1/2026",T_HEADCOUNT!$B:$B,"CLT")</f>
        <v/>
      </c>
      <c r="J147" s="28">
        <f>SUMIFS(T_REAL!$D:$D,T_REAL!$E:$E,DRE!J$7,T_REAL!$C:$C,DRE!$A147)+SUMIFS(Aut_Ajustes_Manuais!$G:$G,Aut_Ajustes_Manuais!$I:$I,DRE!H$4,Aut_Ajustes_Manuais!$F:$F,"  -  Confeiteiro III")</f>
        <v/>
      </c>
      <c r="K147" s="241" t="n"/>
      <c r="L147" s="27">
        <f>-SUMIFS(T_HEADCOUNT!$E:$E,T_HEADCOUNT!$C:$C,"-  Confeiteiro III",T_HEADCOUNT!$D:$D,"2/2026",T_HEADCOUNT!$B:$B,"CLT")</f>
        <v/>
      </c>
      <c r="M147" s="28">
        <f>SUMIFS(T_REAL!$D:$D,T_REAL!$E:$E,DRE!M$7,T_REAL!$C:$C,DRE!$A147)+SUMIFS(Aut_Ajustes_Manuais!$G:$G,Aut_Ajustes_Manuais!$I:$I,DRE!K$4,Aut_Ajustes_Manuais!$F:$F,"  -  Confeiteiro III")</f>
        <v/>
      </c>
      <c r="N147" s="241" t="n"/>
      <c r="O147" s="27">
        <f>-SUMIFS(T_HEADCOUNT!$E:$E,T_HEADCOUNT!$C:$C,"-  Confeiteiro III",T_HEADCOUNT!$D:$D,"3/2026",T_HEADCOUNT!$B:$B,"CLT")</f>
        <v/>
      </c>
      <c r="P147" s="28">
        <f>SUMIFS(T_REAL!$D:$D,T_REAL!$E:$E,DRE!P$7,T_REAL!$C:$C,DRE!$A147)+SUMIFS(Aut_Ajustes_Manuais!$G:$G,Aut_Ajustes_Manuais!$I:$I,DRE!N$4,Aut_Ajustes_Manuais!$F:$F,"  -  Confeiteiro III")</f>
        <v/>
      </c>
      <c r="Q147" s="241" t="n"/>
      <c r="R147" s="27">
        <f>-SUMIFS(T_HEADCOUNT!$E:$E,T_HEADCOUNT!$C:$C,"-  Confeiteiro III",T_HEADCOUNT!$D:$D,"4/2026",T_HEADCOUNT!$B:$B,"CLT")</f>
        <v/>
      </c>
      <c r="S147" s="28">
        <f>SUMIFS(T_REAL!$D:$D,T_REAL!$E:$E,DRE!S$7,T_REAL!$C:$C,DRE!$A147)+SUMIFS(Aut_Ajustes_Manuais!$G:$G,Aut_Ajustes_Manuais!$I:$I,DRE!Q$4,Aut_Ajustes_Manuais!$F:$F,"  -  Confeiteiro III")</f>
        <v/>
      </c>
      <c r="T147" s="241" t="n"/>
      <c r="U147" s="27">
        <f>-SUMIFS(T_HEADCOUNT!$E:$E,T_HEADCOUNT!$C:$C,"-  Confeiteiro III",T_HEADCOUNT!$D:$D,"5/2026",T_HEADCOUNT!$B:$B,"CLT")</f>
        <v/>
      </c>
      <c r="V147" s="28">
        <f>SUMIFS(T_REAL!$D:$D,T_REAL!$E:$E,DRE!V$7,T_REAL!$C:$C,DRE!$A147)+SUMIFS(Aut_Ajustes_Manuais!$G:$G,Aut_Ajustes_Manuais!$I:$I,DRE!T$4,Aut_Ajustes_Manuais!$F:$F,"  -  Confeiteiro III")</f>
        <v/>
      </c>
      <c r="W147" s="241" t="n"/>
      <c r="X147" s="27">
        <f>-SUMIFS(T_HEADCOUNT!$E:$E,T_HEADCOUNT!$C:$C,"-  Confeiteiro III",T_HEADCOUNT!$D:$D,"6/2026",T_HEADCOUNT!$B:$B,"CLT")</f>
        <v/>
      </c>
      <c r="Y147" s="28">
        <f>SUMIFS(T_REAL!$D:$D,T_REAL!$E:$E,DRE!Y$7,T_REAL!$C:$C,DRE!$A147)+SUMIFS(Aut_Ajustes_Manuais!$G:$G,Aut_Ajustes_Manuais!$I:$I,DRE!W$4,Aut_Ajustes_Manuais!$F:$F,"  -  Confeiteiro III")</f>
        <v/>
      </c>
      <c r="Z147" s="241" t="n"/>
      <c r="AA147" s="27">
        <f>-SUMIFS(T_HEADCOUNT!$E:$E,T_HEADCOUNT!$C:$C,"-  Confeiteiro III",T_HEADCOUNT!$D:$D,"7/2026",T_HEADCOUNT!$B:$B,"CLT")</f>
        <v/>
      </c>
      <c r="AB147" s="28">
        <f>SUMIFS(T_REAL!$D:$D,T_REAL!$E:$E,DRE!AB$7,T_REAL!$C:$C,DRE!$A147)+SUMIFS(Aut_Ajustes_Manuais!$G:$G,Aut_Ajustes_Manuais!$I:$I,DRE!Z$4,Aut_Ajustes_Manuais!$F:$F,"  -  Confeiteiro III")</f>
        <v/>
      </c>
      <c r="AC147" s="241" t="n"/>
      <c r="AD147" s="27">
        <f>-SUMIFS(T_HEADCOUNT!$E:$E,T_HEADCOUNT!$C:$C,"-  Confeiteiro III",T_HEADCOUNT!$D:$D,"8/2026",T_HEADCOUNT!$B:$B,"CLT")</f>
        <v/>
      </c>
      <c r="AE147" s="28">
        <f>SUMIFS(T_REAL!$D:$D,T_REAL!$E:$E,DRE!AE$7,T_REAL!$C:$C,DRE!$A147)+SUMIFS(Aut_Ajustes_Manuais!$G:$G,Aut_Ajustes_Manuais!$I:$I,DRE!AC$4,Aut_Ajustes_Manuais!$F:$F,"  -  Confeiteiro III")</f>
        <v/>
      </c>
      <c r="AF147" s="241" t="n"/>
      <c r="AG147" s="27">
        <f>-SUMIFS(T_HEADCOUNT!$E:$E,T_HEADCOUNT!$C:$C,"-  Confeiteiro III",T_HEADCOUNT!$D:$D,"9/2026",T_HEADCOUNT!$B:$B,"CLT")</f>
        <v/>
      </c>
      <c r="AH147" s="28">
        <f>SUMIFS(T_REAL!$D:$D,T_REAL!$E:$E,DRE!AH$7,T_REAL!$C:$C,DRE!$A147)+SUMIFS(Aut_Ajustes_Manuais!$G:$G,Aut_Ajustes_Manuais!$I:$I,DRE!AF$4,Aut_Ajustes_Manuais!$F:$F,"  -  Confeiteiro III")</f>
        <v/>
      </c>
      <c r="AI147" s="241" t="n"/>
      <c r="AJ147" s="27">
        <f>-SUMIFS(T_HEADCOUNT!$E:$E,T_HEADCOUNT!$C:$C,"-  Confeiteiro III",T_HEADCOUNT!$D:$D,"10/2026",T_HEADCOUNT!$B:$B,"CLT")</f>
        <v/>
      </c>
      <c r="AK147" s="28">
        <f>SUMIFS(T_REAL!$D:$D,T_REAL!$E:$E,DRE!AK$7,T_REAL!$C:$C,DRE!$A147)+SUMIFS(Aut_Ajustes_Manuais!$G:$G,Aut_Ajustes_Manuais!$I:$I,DRE!AI$4,Aut_Ajustes_Manuais!$F:$F,"  -  Confeiteiro III")</f>
        <v/>
      </c>
      <c r="AL147" s="241" t="n"/>
      <c r="AM147" s="27">
        <f>-SUMIFS(T_HEADCOUNT!$E:$E,T_HEADCOUNT!$C:$C,"-  Confeiteiro III",T_HEADCOUNT!$D:$D,"11/2026",T_HEADCOUNT!$B:$B,"CLT")</f>
        <v/>
      </c>
      <c r="AN147" s="28">
        <f>SUMIFS(T_REAL!$D:$D,T_REAL!$E:$E,DRE!AN$7,T_REAL!$C:$C,DRE!$A147)+SUMIFS(Aut_Ajustes_Manuais!$G:$G,Aut_Ajustes_Manuais!$I:$I,DRE!AL$4,Aut_Ajustes_Manuais!$F:$F,"  -  Confeiteiro III")</f>
        <v/>
      </c>
      <c r="AO147" s="241" t="n"/>
      <c r="AP147" s="27">
        <f>-SUMIFS(T_HEADCOUNT!$E:$E,T_HEADCOUNT!$C:$C,"-  Confeiteiro III",T_HEADCOUNT!$D:$D,"12/2026",T_HEADCOUNT!$B:$B,"CLT")</f>
        <v/>
      </c>
      <c r="AQ147" s="28">
        <f>SUMIFS(T_REAL!$D:$D,T_REAL!$E:$E,DRE!AQ$7,T_REAL!$C:$C,DRE!$A147)+SUMIFS(Aut_Ajustes_Manuais!$G:$G,Aut_Ajustes_Manuais!$I:$I,DRE!AO$4,Aut_Ajustes_Manuais!$F:$F,"  -  Confeiteiro III")</f>
        <v/>
      </c>
      <c r="AR147" s="241">
        <f>SUMIFS($H147:$AO147,$H$5:$AO$5,"&lt;"&amp;MONTH(TODAY()),$H$6:$AO$6,"REAL 25")</f>
        <v/>
      </c>
      <c r="AS147" s="27">
        <f>SUMIFS($I147:$AP147,$I$5:$AP$5,"&lt;"&amp;MONTH(TODAY()),$I$6:$AP$6,"ORÇADO ")</f>
        <v/>
      </c>
      <c r="AT147" s="28">
        <f>SUMIFS($J147:$AQ147,$J$5:$AQ$5,"&lt;"&amp;MONTH(TODAY()),$J$6:$AQ$6,"REAL 26")</f>
        <v/>
      </c>
      <c r="AU147" s="241" t="n"/>
      <c r="AV147" s="27" t="n"/>
      <c r="AW147" s="28" t="n"/>
      <c r="AX147" s="241" t="n"/>
      <c r="AY147" s="27" t="n">
        <v>0</v>
      </c>
      <c r="AZ147" s="28" t="n"/>
      <c r="BA147" s="241" t="n"/>
      <c r="BB147" s="27" t="n">
        <v>0</v>
      </c>
      <c r="BC147" s="28" t="n"/>
      <c r="BD147" s="241" t="n"/>
      <c r="BE147" s="27" t="n">
        <v>0</v>
      </c>
      <c r="BF147" s="28" t="n"/>
      <c r="BG147" s="241" t="n"/>
      <c r="BH147" s="27" t="n">
        <v>0</v>
      </c>
      <c r="BI147" s="28" t="n"/>
    </row>
    <row r="148" hidden="1" outlineLevel="1" customFormat="1" s="498">
      <c r="A148" s="95" t="inlineStr">
        <is>
          <t xml:space="preserve">  -  Confeiteiro II</t>
        </is>
      </c>
      <c r="B148" s="488" t="n"/>
      <c r="C148" s="24" t="n"/>
      <c r="D148" s="55" t="inlineStr">
        <is>
          <t>Salário Bruto com INSS Segurado dentro do valor</t>
        </is>
      </c>
      <c r="E148" s="87" t="n"/>
      <c r="F148" s="56" t="n"/>
      <c r="G148" s="33" t="n"/>
      <c r="H148" s="241" t="n"/>
      <c r="I148" s="27">
        <f>-SUMIFS(T_HEADCOUNT!$E:$E,T_HEADCOUNT!$C:$C,"-  Confeiteiro II",T_HEADCOUNT!$D:$D,"1/2026",T_HEADCOUNT!$B:$B,"CLT")</f>
        <v/>
      </c>
      <c r="J148" s="28">
        <f>SUMIFS(T_REAL!$D:$D,T_REAL!$E:$E,DRE!J$7,T_REAL!$C:$C,DRE!$A148)+SUMIFS(Aut_Ajustes_Manuais!$G:$G,Aut_Ajustes_Manuais!$I:$I,DRE!H$4,Aut_Ajustes_Manuais!$F:$F,"  -  Confeiteiro II")</f>
        <v/>
      </c>
      <c r="K148" s="241" t="n"/>
      <c r="L148" s="27">
        <f>-SUMIFS(T_HEADCOUNT!$E:$E,T_HEADCOUNT!$C:$C,"-  Confeiteiro II",T_HEADCOUNT!$D:$D,"2/2026",T_HEADCOUNT!$B:$B,"CLT")</f>
        <v/>
      </c>
      <c r="M148" s="28">
        <f>SUMIFS(T_REAL!$D:$D,T_REAL!$E:$E,DRE!M$7,T_REAL!$C:$C,DRE!$A148)+SUMIFS(Aut_Ajustes_Manuais!$G:$G,Aut_Ajustes_Manuais!$I:$I,DRE!K$4,Aut_Ajustes_Manuais!$F:$F,"  -  Confeiteiro II")</f>
        <v/>
      </c>
      <c r="N148" s="241" t="n"/>
      <c r="O148" s="27">
        <f>-SUMIFS(T_HEADCOUNT!$E:$E,T_HEADCOUNT!$C:$C,"-  Confeiteiro II",T_HEADCOUNT!$D:$D,"3/2026",T_HEADCOUNT!$B:$B,"CLT")</f>
        <v/>
      </c>
      <c r="P148" s="28">
        <f>SUMIFS(T_REAL!$D:$D,T_REAL!$E:$E,DRE!P$7,T_REAL!$C:$C,DRE!$A148)+SUMIFS(Aut_Ajustes_Manuais!$G:$G,Aut_Ajustes_Manuais!$I:$I,DRE!N$4,Aut_Ajustes_Manuais!$F:$F,"  -  Confeiteiro II")</f>
        <v/>
      </c>
      <c r="Q148" s="241" t="n"/>
      <c r="R148" s="27">
        <f>-SUMIFS(T_HEADCOUNT!$E:$E,T_HEADCOUNT!$C:$C,"-  Confeiteiro II",T_HEADCOUNT!$D:$D,"4/2026",T_HEADCOUNT!$B:$B,"CLT")</f>
        <v/>
      </c>
      <c r="S148" s="28">
        <f>SUMIFS(T_REAL!$D:$D,T_REAL!$E:$E,DRE!S$7,T_REAL!$C:$C,DRE!$A148)+SUMIFS(Aut_Ajustes_Manuais!$G:$G,Aut_Ajustes_Manuais!$I:$I,DRE!Q$4,Aut_Ajustes_Manuais!$F:$F,"  -  Confeiteiro II")</f>
        <v/>
      </c>
      <c r="T148" s="241" t="n"/>
      <c r="U148" s="27">
        <f>-SUMIFS(T_HEADCOUNT!$E:$E,T_HEADCOUNT!$C:$C,"-  Confeiteiro II",T_HEADCOUNT!$D:$D,"5/2026",T_HEADCOUNT!$B:$B,"CLT")</f>
        <v/>
      </c>
      <c r="V148" s="28">
        <f>SUMIFS(T_REAL!$D:$D,T_REAL!$E:$E,DRE!V$7,T_REAL!$C:$C,DRE!$A148)+SUMIFS(Aut_Ajustes_Manuais!$G:$G,Aut_Ajustes_Manuais!$I:$I,DRE!T$4,Aut_Ajustes_Manuais!$F:$F,"  -  Confeiteiro II")</f>
        <v/>
      </c>
      <c r="W148" s="241" t="n"/>
      <c r="X148" s="27">
        <f>-SUMIFS(T_HEADCOUNT!$E:$E,T_HEADCOUNT!$C:$C,"-  Confeiteiro II",T_HEADCOUNT!$D:$D,"6/2026",T_HEADCOUNT!$B:$B,"CLT")</f>
        <v/>
      </c>
      <c r="Y148" s="28">
        <f>SUMIFS(T_REAL!$D:$D,T_REAL!$E:$E,DRE!Y$7,T_REAL!$C:$C,DRE!$A148)+SUMIFS(Aut_Ajustes_Manuais!$G:$G,Aut_Ajustes_Manuais!$I:$I,DRE!W$4,Aut_Ajustes_Manuais!$F:$F,"  -  Confeiteiro II")</f>
        <v/>
      </c>
      <c r="Z148" s="241" t="n"/>
      <c r="AA148" s="27">
        <f>-SUMIFS(T_HEADCOUNT!$E:$E,T_HEADCOUNT!$C:$C,"-  Confeiteiro II",T_HEADCOUNT!$D:$D,"7/2026",T_HEADCOUNT!$B:$B,"CLT")</f>
        <v/>
      </c>
      <c r="AB148" s="28">
        <f>SUMIFS(T_REAL!$D:$D,T_REAL!$E:$E,DRE!AB$7,T_REAL!$C:$C,DRE!$A148)+SUMIFS(Aut_Ajustes_Manuais!$G:$G,Aut_Ajustes_Manuais!$I:$I,DRE!Z$4,Aut_Ajustes_Manuais!$F:$F,"  -  Confeiteiro II")</f>
        <v/>
      </c>
      <c r="AC148" s="241" t="n"/>
      <c r="AD148" s="27">
        <f>-SUMIFS(T_HEADCOUNT!$E:$E,T_HEADCOUNT!$C:$C,"-  Confeiteiro II",T_HEADCOUNT!$D:$D,"8/2026",T_HEADCOUNT!$B:$B,"CLT")</f>
        <v/>
      </c>
      <c r="AE148" s="28">
        <f>SUMIFS(T_REAL!$D:$D,T_REAL!$E:$E,DRE!AE$7,T_REAL!$C:$C,DRE!$A148)+SUMIFS(Aut_Ajustes_Manuais!$G:$G,Aut_Ajustes_Manuais!$I:$I,DRE!AC$4,Aut_Ajustes_Manuais!$F:$F,"  -  Confeiteiro II")</f>
        <v/>
      </c>
      <c r="AF148" s="241" t="n"/>
      <c r="AG148" s="27">
        <f>-SUMIFS(T_HEADCOUNT!$E:$E,T_HEADCOUNT!$C:$C,"-  Confeiteiro II",T_HEADCOUNT!$D:$D,"9/2026",T_HEADCOUNT!$B:$B,"CLT")</f>
        <v/>
      </c>
      <c r="AH148" s="28">
        <f>SUMIFS(T_REAL!$D:$D,T_REAL!$E:$E,DRE!AH$7,T_REAL!$C:$C,DRE!$A148)+SUMIFS(Aut_Ajustes_Manuais!$G:$G,Aut_Ajustes_Manuais!$I:$I,DRE!AF$4,Aut_Ajustes_Manuais!$F:$F,"  -  Confeiteiro II")</f>
        <v/>
      </c>
      <c r="AI148" s="241" t="n"/>
      <c r="AJ148" s="27">
        <f>-SUMIFS(T_HEADCOUNT!$E:$E,T_HEADCOUNT!$C:$C,"-  Confeiteiro II",T_HEADCOUNT!$D:$D,"10/2026",T_HEADCOUNT!$B:$B,"CLT")</f>
        <v/>
      </c>
      <c r="AK148" s="28">
        <f>SUMIFS(T_REAL!$D:$D,T_REAL!$E:$E,DRE!AK$7,T_REAL!$C:$C,DRE!$A148)+SUMIFS(Aut_Ajustes_Manuais!$G:$G,Aut_Ajustes_Manuais!$I:$I,DRE!AI$4,Aut_Ajustes_Manuais!$F:$F,"  -  Confeiteiro II")</f>
        <v/>
      </c>
      <c r="AL148" s="241" t="n"/>
      <c r="AM148" s="27">
        <f>-SUMIFS(T_HEADCOUNT!$E:$E,T_HEADCOUNT!$C:$C,"-  Confeiteiro II",T_HEADCOUNT!$D:$D,"11/2026",T_HEADCOUNT!$B:$B,"CLT")</f>
        <v/>
      </c>
      <c r="AN148" s="28">
        <f>SUMIFS(T_REAL!$D:$D,T_REAL!$E:$E,DRE!AN$7,T_REAL!$C:$C,DRE!$A148)+SUMIFS(Aut_Ajustes_Manuais!$G:$G,Aut_Ajustes_Manuais!$I:$I,DRE!AL$4,Aut_Ajustes_Manuais!$F:$F,"  -  Confeiteiro II")</f>
        <v/>
      </c>
      <c r="AO148" s="241" t="n"/>
      <c r="AP148" s="27">
        <f>-SUMIFS(T_HEADCOUNT!$E:$E,T_HEADCOUNT!$C:$C,"-  Confeiteiro II",T_HEADCOUNT!$D:$D,"12/2026",T_HEADCOUNT!$B:$B,"CLT")</f>
        <v/>
      </c>
      <c r="AQ148" s="28">
        <f>SUMIFS(T_REAL!$D:$D,T_REAL!$E:$E,DRE!AQ$7,T_REAL!$C:$C,DRE!$A148)+SUMIFS(Aut_Ajustes_Manuais!$G:$G,Aut_Ajustes_Manuais!$I:$I,DRE!AO$4,Aut_Ajustes_Manuais!$F:$F,"  -  Confeiteiro II")</f>
        <v/>
      </c>
      <c r="AR148" s="241">
        <f>SUMIFS($H148:$AO148,$H$5:$AO$5,"&lt;"&amp;MONTH(TODAY()),$H$6:$AO$6,"REAL 25")</f>
        <v/>
      </c>
      <c r="AS148" s="27">
        <f>SUMIFS($I148:$AP148,$I$5:$AP$5,"&lt;"&amp;MONTH(TODAY()),$I$6:$AP$6,"ORÇADO ")</f>
        <v/>
      </c>
      <c r="AT148" s="28">
        <f>SUMIFS($J148:$AQ148,$J$5:$AQ$5,"&lt;"&amp;MONTH(TODAY()),$J$6:$AQ$6,"REAL 26")</f>
        <v/>
      </c>
      <c r="AU148" s="241" t="n"/>
      <c r="AV148" s="27" t="n"/>
      <c r="AW148" s="28" t="n"/>
      <c r="AX148" s="241" t="n"/>
      <c r="AY148" s="27" t="n">
        <v>0</v>
      </c>
      <c r="AZ148" s="28" t="n"/>
      <c r="BA148" s="241" t="n"/>
      <c r="BB148" s="27" t="n">
        <v>0</v>
      </c>
      <c r="BC148" s="28" t="n"/>
      <c r="BD148" s="241" t="n"/>
      <c r="BE148" s="27" t="n">
        <v>0</v>
      </c>
      <c r="BF148" s="28" t="n"/>
      <c r="BG148" s="241" t="n"/>
      <c r="BH148" s="27" t="n">
        <v>0</v>
      </c>
      <c r="BI148" s="28" t="n"/>
    </row>
    <row r="149" hidden="1" outlineLevel="1" customFormat="1" s="498">
      <c r="A149" s="95" t="inlineStr">
        <is>
          <t xml:space="preserve">  -  Confeiteiro I</t>
        </is>
      </c>
      <c r="B149" s="488" t="n"/>
      <c r="C149" s="24" t="n"/>
      <c r="D149" s="55" t="inlineStr">
        <is>
          <t>Salário Bruto com INSS Segurado dentro do valor</t>
        </is>
      </c>
      <c r="E149" s="87" t="n"/>
      <c r="F149" s="56" t="n"/>
      <c r="G149" s="33" t="n"/>
      <c r="H149" s="241" t="n"/>
      <c r="I149" s="27">
        <f>-SUMIFS(T_HEADCOUNT!$E:$E,T_HEADCOUNT!$C:$C,"-  Confeiteiro I",T_HEADCOUNT!$D:$D,"1/2026",T_HEADCOUNT!$B:$B,"CLT")</f>
        <v/>
      </c>
      <c r="J149" s="28">
        <f>SUMIFS(T_REAL!$D:$D,T_REAL!$E:$E,DRE!J$7,T_REAL!$C:$C,DRE!$A149)+SUMIFS(Aut_Ajustes_Manuais!$G:$G,Aut_Ajustes_Manuais!$I:$I,DRE!H$4,Aut_Ajustes_Manuais!$F:$F,"  -  Confeiteiro I")</f>
        <v/>
      </c>
      <c r="K149" s="241" t="n"/>
      <c r="L149" s="27">
        <f>-SUMIFS(T_HEADCOUNT!$E:$E,T_HEADCOUNT!$C:$C,"-  Confeiteiro I",T_HEADCOUNT!$D:$D,"2/2026",T_HEADCOUNT!$B:$B,"CLT")</f>
        <v/>
      </c>
      <c r="M149" s="28">
        <f>SUMIFS(T_REAL!$D:$D,T_REAL!$E:$E,DRE!M$7,T_REAL!$C:$C,DRE!$A149)+SUMIFS(Aut_Ajustes_Manuais!$G:$G,Aut_Ajustes_Manuais!$I:$I,DRE!K$4,Aut_Ajustes_Manuais!$F:$F,"  -  Confeiteiro I")</f>
        <v/>
      </c>
      <c r="N149" s="241" t="n"/>
      <c r="O149" s="27">
        <f>-SUMIFS(T_HEADCOUNT!$E:$E,T_HEADCOUNT!$C:$C,"-  Confeiteiro I",T_HEADCOUNT!$D:$D,"3/2026",T_HEADCOUNT!$B:$B,"CLT")</f>
        <v/>
      </c>
      <c r="P149" s="28">
        <f>SUMIFS(T_REAL!$D:$D,T_REAL!$E:$E,DRE!P$7,T_REAL!$C:$C,DRE!$A149)+SUMIFS(Aut_Ajustes_Manuais!$G:$G,Aut_Ajustes_Manuais!$I:$I,DRE!N$4,Aut_Ajustes_Manuais!$F:$F,"  -  Confeiteiro I")</f>
        <v/>
      </c>
      <c r="Q149" s="241" t="n"/>
      <c r="R149" s="27">
        <f>-SUMIFS(T_HEADCOUNT!$E:$E,T_HEADCOUNT!$C:$C,"-  Confeiteiro I",T_HEADCOUNT!$D:$D,"4/2026",T_HEADCOUNT!$B:$B,"CLT")</f>
        <v/>
      </c>
      <c r="S149" s="28">
        <f>SUMIFS(T_REAL!$D:$D,T_REAL!$E:$E,DRE!S$7,T_REAL!$C:$C,DRE!$A149)+SUMIFS(Aut_Ajustes_Manuais!$G:$G,Aut_Ajustes_Manuais!$I:$I,DRE!Q$4,Aut_Ajustes_Manuais!$F:$F,"  -  Confeiteiro I")</f>
        <v/>
      </c>
      <c r="T149" s="241" t="n"/>
      <c r="U149" s="27">
        <f>-SUMIFS(T_HEADCOUNT!$E:$E,T_HEADCOUNT!$C:$C,"-  Confeiteiro I",T_HEADCOUNT!$D:$D,"5/2026",T_HEADCOUNT!$B:$B,"CLT")</f>
        <v/>
      </c>
      <c r="V149" s="28">
        <f>SUMIFS(T_REAL!$D:$D,T_REAL!$E:$E,DRE!V$7,T_REAL!$C:$C,DRE!$A149)+SUMIFS(Aut_Ajustes_Manuais!$G:$G,Aut_Ajustes_Manuais!$I:$I,DRE!T$4,Aut_Ajustes_Manuais!$F:$F,"  -  Confeiteiro I")</f>
        <v/>
      </c>
      <c r="W149" s="241" t="n"/>
      <c r="X149" s="27">
        <f>-SUMIFS(T_HEADCOUNT!$E:$E,T_HEADCOUNT!$C:$C,"-  Confeiteiro I",T_HEADCOUNT!$D:$D,"6/2026",T_HEADCOUNT!$B:$B,"CLT")</f>
        <v/>
      </c>
      <c r="Y149" s="28">
        <f>SUMIFS(T_REAL!$D:$D,T_REAL!$E:$E,DRE!Y$7,T_REAL!$C:$C,DRE!$A149)+SUMIFS(Aut_Ajustes_Manuais!$G:$G,Aut_Ajustes_Manuais!$I:$I,DRE!W$4,Aut_Ajustes_Manuais!$F:$F,"  -  Confeiteiro I")</f>
        <v/>
      </c>
      <c r="Z149" s="241" t="n"/>
      <c r="AA149" s="27">
        <f>-SUMIFS(T_HEADCOUNT!$E:$E,T_HEADCOUNT!$C:$C,"-  Confeiteiro I",T_HEADCOUNT!$D:$D,"7/2026",T_HEADCOUNT!$B:$B,"CLT")</f>
        <v/>
      </c>
      <c r="AB149" s="28">
        <f>SUMIFS(T_REAL!$D:$D,T_REAL!$E:$E,DRE!AB$7,T_REAL!$C:$C,DRE!$A149)+SUMIFS(Aut_Ajustes_Manuais!$G:$G,Aut_Ajustes_Manuais!$I:$I,DRE!Z$4,Aut_Ajustes_Manuais!$F:$F,"  -  Confeiteiro I")</f>
        <v/>
      </c>
      <c r="AC149" s="241" t="n"/>
      <c r="AD149" s="27">
        <f>-SUMIFS(T_HEADCOUNT!$E:$E,T_HEADCOUNT!$C:$C,"-  Confeiteiro I",T_HEADCOUNT!$D:$D,"8/2026",T_HEADCOUNT!$B:$B,"CLT")</f>
        <v/>
      </c>
      <c r="AE149" s="28">
        <f>SUMIFS(T_REAL!$D:$D,T_REAL!$E:$E,DRE!AE$7,T_REAL!$C:$C,DRE!$A149)+SUMIFS(Aut_Ajustes_Manuais!$G:$G,Aut_Ajustes_Manuais!$I:$I,DRE!AC$4,Aut_Ajustes_Manuais!$F:$F,"  -  Confeiteiro I")</f>
        <v/>
      </c>
      <c r="AF149" s="241" t="n"/>
      <c r="AG149" s="27">
        <f>-SUMIFS(T_HEADCOUNT!$E:$E,T_HEADCOUNT!$C:$C,"-  Confeiteiro I",T_HEADCOUNT!$D:$D,"9/2026",T_HEADCOUNT!$B:$B,"CLT")</f>
        <v/>
      </c>
      <c r="AH149" s="28">
        <f>SUMIFS(T_REAL!$D:$D,T_REAL!$E:$E,DRE!AH$7,T_REAL!$C:$C,DRE!$A149)+SUMIFS(Aut_Ajustes_Manuais!$G:$G,Aut_Ajustes_Manuais!$I:$I,DRE!AF$4,Aut_Ajustes_Manuais!$F:$F,"  -  Confeiteiro I")</f>
        <v/>
      </c>
      <c r="AI149" s="241" t="n"/>
      <c r="AJ149" s="27">
        <f>-SUMIFS(T_HEADCOUNT!$E:$E,T_HEADCOUNT!$C:$C,"-  Confeiteiro I",T_HEADCOUNT!$D:$D,"10/2026",T_HEADCOUNT!$B:$B,"CLT")</f>
        <v/>
      </c>
      <c r="AK149" s="28">
        <f>SUMIFS(T_REAL!$D:$D,T_REAL!$E:$E,DRE!AK$7,T_REAL!$C:$C,DRE!$A149)+SUMIFS(Aut_Ajustes_Manuais!$G:$G,Aut_Ajustes_Manuais!$I:$I,DRE!AI$4,Aut_Ajustes_Manuais!$F:$F,"  -  Confeiteiro I")</f>
        <v/>
      </c>
      <c r="AL149" s="241" t="n"/>
      <c r="AM149" s="27">
        <f>-SUMIFS(T_HEADCOUNT!$E:$E,T_HEADCOUNT!$C:$C,"-  Confeiteiro I",T_HEADCOUNT!$D:$D,"11/2026",T_HEADCOUNT!$B:$B,"CLT")</f>
        <v/>
      </c>
      <c r="AN149" s="28">
        <f>SUMIFS(T_REAL!$D:$D,T_REAL!$E:$E,DRE!AN$7,T_REAL!$C:$C,DRE!$A149)+SUMIFS(Aut_Ajustes_Manuais!$G:$G,Aut_Ajustes_Manuais!$I:$I,DRE!AL$4,Aut_Ajustes_Manuais!$F:$F,"  -  Confeiteiro I")</f>
        <v/>
      </c>
      <c r="AO149" s="241" t="n"/>
      <c r="AP149" s="27">
        <f>-SUMIFS(T_HEADCOUNT!$E:$E,T_HEADCOUNT!$C:$C,"-  Confeiteiro I",T_HEADCOUNT!$D:$D,"12/2026",T_HEADCOUNT!$B:$B,"CLT")</f>
        <v/>
      </c>
      <c r="AQ149" s="28">
        <f>SUMIFS(T_REAL!$D:$D,T_REAL!$E:$E,DRE!AQ$7,T_REAL!$C:$C,DRE!$A149)+SUMIFS(Aut_Ajustes_Manuais!$G:$G,Aut_Ajustes_Manuais!$I:$I,DRE!AO$4,Aut_Ajustes_Manuais!$F:$F,"  -  Confeiteiro I")</f>
        <v/>
      </c>
      <c r="AR149" s="241">
        <f>SUMIFS($H149:$AO149,$H$5:$AO$5,"&lt;"&amp;MONTH(TODAY()),$H$6:$AO$6,"REAL 25")</f>
        <v/>
      </c>
      <c r="AS149" s="27">
        <f>SUMIFS($I149:$AP149,$I$5:$AP$5,"&lt;"&amp;MONTH(TODAY()),$I$6:$AP$6,"ORÇADO ")</f>
        <v/>
      </c>
      <c r="AT149" s="28">
        <f>SUMIFS($J149:$AQ149,$J$5:$AQ$5,"&lt;"&amp;MONTH(TODAY()),$J$6:$AQ$6,"REAL 26")</f>
        <v/>
      </c>
      <c r="AU149" s="241" t="n"/>
      <c r="AV149" s="27" t="n"/>
      <c r="AW149" s="28" t="n"/>
      <c r="AX149" s="241" t="n"/>
      <c r="AY149" s="27" t="n">
        <v>-6444.84</v>
      </c>
      <c r="AZ149" s="28" t="n"/>
      <c r="BA149" s="241" t="n"/>
      <c r="BB149" s="27" t="n">
        <v>-6535.067760000001</v>
      </c>
      <c r="BC149" s="28" t="n"/>
      <c r="BD149" s="241" t="n"/>
      <c r="BE149" s="27" t="n">
        <v>-6715.523280000001</v>
      </c>
      <c r="BF149" s="28" t="n"/>
      <c r="BG149" s="241" t="n"/>
      <c r="BH149" s="27" t="n">
        <v>-6715.523280000001</v>
      </c>
      <c r="BI149" s="28" t="n"/>
    </row>
    <row r="150" hidden="1" outlineLevel="1" customFormat="1" s="498">
      <c r="A150" s="95" t="inlineStr">
        <is>
          <t xml:space="preserve">  -  Copeiro</t>
        </is>
      </c>
      <c r="B150" s="488" t="n"/>
      <c r="C150" s="24" t="n"/>
      <c r="D150" s="55" t="inlineStr">
        <is>
          <t>Salário Bruto com INSS Segurado dentro do valor</t>
        </is>
      </c>
      <c r="E150" s="87" t="n"/>
      <c r="F150" s="56" t="n"/>
      <c r="G150" s="33" t="n"/>
      <c r="H150" s="241" t="n"/>
      <c r="I150" s="27">
        <f>-SUMIFS(T_HEADCOUNT!$E:$E,T_HEADCOUNT!$C:$C,"-  Copeiro",T_HEADCOUNT!$D:$D,"1/2026",T_HEADCOUNT!$B:$B,"CLT")</f>
        <v/>
      </c>
      <c r="J150" s="28">
        <f>SUMIFS(T_REAL!$D:$D,T_REAL!$E:$E,DRE!J$7,T_REAL!$C:$C,DRE!$A150)+SUMIFS(Aut_Ajustes_Manuais!$G:$G,Aut_Ajustes_Manuais!$I:$I,DRE!H$4,Aut_Ajustes_Manuais!$F:$F,"  -  Copeiro")</f>
        <v/>
      </c>
      <c r="K150" s="241" t="n"/>
      <c r="L150" s="27">
        <f>-SUMIFS(T_HEADCOUNT!$E:$E,T_HEADCOUNT!$C:$C,"-  Copeiro",T_HEADCOUNT!$D:$D,"2/2026",T_HEADCOUNT!$B:$B,"CLT")</f>
        <v/>
      </c>
      <c r="M150" s="28">
        <f>SUMIFS(T_REAL!$D:$D,T_REAL!$E:$E,DRE!M$7,T_REAL!$C:$C,DRE!$A150)+SUMIFS(Aut_Ajustes_Manuais!$G:$G,Aut_Ajustes_Manuais!$I:$I,DRE!K$4,Aut_Ajustes_Manuais!$F:$F,"  -  Copeiro")</f>
        <v/>
      </c>
      <c r="N150" s="241" t="n"/>
      <c r="O150" s="27">
        <f>-SUMIFS(T_HEADCOUNT!$E:$E,T_HEADCOUNT!$C:$C,"-  Copeiro",T_HEADCOUNT!$D:$D,"3/2026",T_HEADCOUNT!$B:$B,"CLT")</f>
        <v/>
      </c>
      <c r="P150" s="28">
        <f>SUMIFS(T_REAL!$D:$D,T_REAL!$E:$E,DRE!P$7,T_REAL!$C:$C,DRE!$A150)+SUMIFS(Aut_Ajustes_Manuais!$G:$G,Aut_Ajustes_Manuais!$I:$I,DRE!N$4,Aut_Ajustes_Manuais!$F:$F,"  -  Copeiro")</f>
        <v/>
      </c>
      <c r="Q150" s="241" t="n"/>
      <c r="R150" s="27">
        <f>-SUMIFS(T_HEADCOUNT!$E:$E,T_HEADCOUNT!$C:$C,"-  Copeiro",T_HEADCOUNT!$D:$D,"4/2026",T_HEADCOUNT!$B:$B,"CLT")</f>
        <v/>
      </c>
      <c r="S150" s="28">
        <f>SUMIFS(T_REAL!$D:$D,T_REAL!$E:$E,DRE!S$7,T_REAL!$C:$C,DRE!$A150)+SUMIFS(Aut_Ajustes_Manuais!$G:$G,Aut_Ajustes_Manuais!$I:$I,DRE!Q$4,Aut_Ajustes_Manuais!$F:$F,"  -  Copeiro")</f>
        <v/>
      </c>
      <c r="T150" s="241" t="n"/>
      <c r="U150" s="27">
        <f>-SUMIFS(T_HEADCOUNT!$E:$E,T_HEADCOUNT!$C:$C,"-  Copeiro",T_HEADCOUNT!$D:$D,"5/2026",T_HEADCOUNT!$B:$B,"CLT")</f>
        <v/>
      </c>
      <c r="V150" s="28">
        <f>SUMIFS(T_REAL!$D:$D,T_REAL!$E:$E,DRE!V$7,T_REAL!$C:$C,DRE!$A150)+SUMIFS(Aut_Ajustes_Manuais!$G:$G,Aut_Ajustes_Manuais!$I:$I,DRE!T$4,Aut_Ajustes_Manuais!$F:$F,"  -  Copeiro")</f>
        <v/>
      </c>
      <c r="W150" s="241" t="n"/>
      <c r="X150" s="27">
        <f>-SUMIFS(T_HEADCOUNT!$E:$E,T_HEADCOUNT!$C:$C,"-  Copeiro",T_HEADCOUNT!$D:$D,"6/2026",T_HEADCOUNT!$B:$B,"CLT")</f>
        <v/>
      </c>
      <c r="Y150" s="28">
        <f>SUMIFS(T_REAL!$D:$D,T_REAL!$E:$E,DRE!Y$7,T_REAL!$C:$C,DRE!$A150)+SUMIFS(Aut_Ajustes_Manuais!$G:$G,Aut_Ajustes_Manuais!$I:$I,DRE!W$4,Aut_Ajustes_Manuais!$F:$F,"  -  Copeiro")</f>
        <v/>
      </c>
      <c r="Z150" s="241" t="n"/>
      <c r="AA150" s="27">
        <f>-SUMIFS(T_HEADCOUNT!$E:$E,T_HEADCOUNT!$C:$C,"-  Copeiro",T_HEADCOUNT!$D:$D,"7/2026",T_HEADCOUNT!$B:$B,"CLT")</f>
        <v/>
      </c>
      <c r="AB150" s="28">
        <f>SUMIFS(T_REAL!$D:$D,T_REAL!$E:$E,DRE!AB$7,T_REAL!$C:$C,DRE!$A150)+SUMIFS(Aut_Ajustes_Manuais!$G:$G,Aut_Ajustes_Manuais!$I:$I,DRE!Z$4,Aut_Ajustes_Manuais!$F:$F,"  -  Copeiro")</f>
        <v/>
      </c>
      <c r="AC150" s="241" t="n"/>
      <c r="AD150" s="27">
        <f>-SUMIFS(T_HEADCOUNT!$E:$E,T_HEADCOUNT!$C:$C,"-  Copeiro",T_HEADCOUNT!$D:$D,"8/2026",T_HEADCOUNT!$B:$B,"CLT")</f>
        <v/>
      </c>
      <c r="AE150" s="28">
        <f>SUMIFS(T_REAL!$D:$D,T_REAL!$E:$E,DRE!AE$7,T_REAL!$C:$C,DRE!$A150)+SUMIFS(Aut_Ajustes_Manuais!$G:$G,Aut_Ajustes_Manuais!$I:$I,DRE!AC$4,Aut_Ajustes_Manuais!$F:$F,"  -  Copeiro")</f>
        <v/>
      </c>
      <c r="AF150" s="241" t="n"/>
      <c r="AG150" s="27">
        <f>-SUMIFS(T_HEADCOUNT!$E:$E,T_HEADCOUNT!$C:$C,"-  Copeiro",T_HEADCOUNT!$D:$D,"9/2026",T_HEADCOUNT!$B:$B,"CLT")</f>
        <v/>
      </c>
      <c r="AH150" s="28">
        <f>SUMIFS(T_REAL!$D:$D,T_REAL!$E:$E,DRE!AH$7,T_REAL!$C:$C,DRE!$A150)+SUMIFS(Aut_Ajustes_Manuais!$G:$G,Aut_Ajustes_Manuais!$I:$I,DRE!AF$4,Aut_Ajustes_Manuais!$F:$F,"  -  Copeiro")</f>
        <v/>
      </c>
      <c r="AI150" s="241" t="n"/>
      <c r="AJ150" s="27">
        <f>-SUMIFS(T_HEADCOUNT!$E:$E,T_HEADCOUNT!$C:$C,"-  Copeiro",T_HEADCOUNT!$D:$D,"10/2026",T_HEADCOUNT!$B:$B,"CLT")</f>
        <v/>
      </c>
      <c r="AK150" s="28">
        <f>SUMIFS(T_REAL!$D:$D,T_REAL!$E:$E,DRE!AK$7,T_REAL!$C:$C,DRE!$A150)+SUMIFS(Aut_Ajustes_Manuais!$G:$G,Aut_Ajustes_Manuais!$I:$I,DRE!AI$4,Aut_Ajustes_Manuais!$F:$F,"  -  Copeiro")</f>
        <v/>
      </c>
      <c r="AL150" s="241" t="n"/>
      <c r="AM150" s="27">
        <f>-SUMIFS(T_HEADCOUNT!$E:$E,T_HEADCOUNT!$C:$C,"-  Copeiro",T_HEADCOUNT!$D:$D,"11/2026",T_HEADCOUNT!$B:$B,"CLT")</f>
        <v/>
      </c>
      <c r="AN150" s="28">
        <f>SUMIFS(T_REAL!$D:$D,T_REAL!$E:$E,DRE!AN$7,T_REAL!$C:$C,DRE!$A150)+SUMIFS(Aut_Ajustes_Manuais!$G:$G,Aut_Ajustes_Manuais!$I:$I,DRE!AL$4,Aut_Ajustes_Manuais!$F:$F,"  -  Copeiro")</f>
        <v/>
      </c>
      <c r="AO150" s="241" t="n"/>
      <c r="AP150" s="27">
        <f>-SUMIFS(T_HEADCOUNT!$E:$E,T_HEADCOUNT!$C:$C,"-  Copeiro",T_HEADCOUNT!$D:$D,"12/2026",T_HEADCOUNT!$B:$B,"CLT")</f>
        <v/>
      </c>
      <c r="AQ150" s="28">
        <f>SUMIFS(T_REAL!$D:$D,T_REAL!$E:$E,DRE!AQ$7,T_REAL!$C:$C,DRE!$A150)+SUMIFS(Aut_Ajustes_Manuais!$G:$G,Aut_Ajustes_Manuais!$I:$I,DRE!AO$4,Aut_Ajustes_Manuais!$F:$F,"  -  Copeiro")</f>
        <v/>
      </c>
      <c r="AR150" s="241">
        <f>SUMIFS($H150:$AO150,$H$5:$AO$5,"&lt;"&amp;MONTH(TODAY()),$H$6:$AO$6,"REAL 25")</f>
        <v/>
      </c>
      <c r="AS150" s="27">
        <f>SUMIFS($I150:$AP150,$I$5:$AP$5,"&lt;"&amp;MONTH(TODAY()),$I$6:$AP$6,"ORÇADO ")</f>
        <v/>
      </c>
      <c r="AT150" s="28">
        <f>SUMIFS($J150:$AQ150,$J$5:$AQ$5,"&lt;"&amp;MONTH(TODAY()),$J$6:$AQ$6,"REAL 26")</f>
        <v/>
      </c>
      <c r="AU150" s="241" t="n"/>
      <c r="AV150" s="27" t="n"/>
      <c r="AW150" s="28" t="n"/>
      <c r="AX150" s="241" t="n"/>
      <c r="AY150" s="27" t="n">
        <v>0</v>
      </c>
      <c r="AZ150" s="28" t="n"/>
      <c r="BA150" s="241" t="n"/>
      <c r="BB150" s="27" t="n">
        <v>0</v>
      </c>
      <c r="BC150" s="28" t="n"/>
      <c r="BD150" s="241" t="n"/>
      <c r="BE150" s="27" t="n">
        <v>0</v>
      </c>
      <c r="BF150" s="28" t="n"/>
      <c r="BG150" s="241" t="n"/>
      <c r="BH150" s="27" t="n">
        <v>0</v>
      </c>
      <c r="BI150" s="28" t="n"/>
    </row>
    <row r="151" hidden="1" outlineLevel="1" customFormat="1" s="498">
      <c r="A151" s="95" t="inlineStr">
        <is>
          <t xml:space="preserve">  -  Pizzaiolo</t>
        </is>
      </c>
      <c r="B151" s="488" t="n"/>
      <c r="C151" s="24" t="n"/>
      <c r="D151" s="55" t="inlineStr">
        <is>
          <t>Salário Bruto com INSS Segurado dentro do valor</t>
        </is>
      </c>
      <c r="E151" s="87" t="n"/>
      <c r="F151" s="56" t="n"/>
      <c r="G151" s="33" t="n"/>
      <c r="H151" s="241" t="n"/>
      <c r="I151" s="27">
        <f>-SUMIFS(T_HEADCOUNT!$E:$E,T_HEADCOUNT!$C:$C,"-  Pizzaiolo",T_HEADCOUNT!$D:$D,"1/2026",T_HEADCOUNT!$B:$B,"CLT")</f>
        <v/>
      </c>
      <c r="J151" s="28">
        <f>SUMIFS(T_REAL!$D:$D,T_REAL!$E:$E,DRE!J$7,T_REAL!$C:$C,DRE!$A151)+SUMIFS(Aut_Ajustes_Manuais!$G:$G,Aut_Ajustes_Manuais!$I:$I,DRE!H$4,Aut_Ajustes_Manuais!$F:$F,"  -  Pizzaiolo")</f>
        <v/>
      </c>
      <c r="K151" s="241" t="n"/>
      <c r="L151" s="27">
        <f>-SUMIFS(T_HEADCOUNT!$E:$E,T_HEADCOUNT!$C:$C,"-  Pizzaiolo",T_HEADCOUNT!$D:$D,"2/2026",T_HEADCOUNT!$B:$B,"CLT")</f>
        <v/>
      </c>
      <c r="M151" s="28">
        <f>SUMIFS(T_REAL!$D:$D,T_REAL!$E:$E,DRE!M$7,T_REAL!$C:$C,DRE!$A151)+SUMIFS(Aut_Ajustes_Manuais!$G:$G,Aut_Ajustes_Manuais!$I:$I,DRE!K$4,Aut_Ajustes_Manuais!$F:$F,"  -  Pizzaiolo")</f>
        <v/>
      </c>
      <c r="N151" s="241" t="n"/>
      <c r="O151" s="27">
        <f>-SUMIFS(T_HEADCOUNT!$E:$E,T_HEADCOUNT!$C:$C,"-  Pizzaiolo",T_HEADCOUNT!$D:$D,"3/2026",T_HEADCOUNT!$B:$B,"CLT")</f>
        <v/>
      </c>
      <c r="P151" s="28">
        <f>SUMIFS(T_REAL!$D:$D,T_REAL!$E:$E,DRE!P$7,T_REAL!$C:$C,DRE!$A151)+SUMIFS(Aut_Ajustes_Manuais!$G:$G,Aut_Ajustes_Manuais!$I:$I,DRE!N$4,Aut_Ajustes_Manuais!$F:$F,"  -  Pizzaiolo")</f>
        <v/>
      </c>
      <c r="Q151" s="241" t="n"/>
      <c r="R151" s="27">
        <f>-SUMIFS(T_HEADCOUNT!$E:$E,T_HEADCOUNT!$C:$C,"-  Pizzaiolo",T_HEADCOUNT!$D:$D,"4/2026",T_HEADCOUNT!$B:$B,"CLT")</f>
        <v/>
      </c>
      <c r="S151" s="28">
        <f>SUMIFS(T_REAL!$D:$D,T_REAL!$E:$E,DRE!S$7,T_REAL!$C:$C,DRE!$A151)+SUMIFS(Aut_Ajustes_Manuais!$G:$G,Aut_Ajustes_Manuais!$I:$I,DRE!Q$4,Aut_Ajustes_Manuais!$F:$F,"  -  Pizzaiolo")</f>
        <v/>
      </c>
      <c r="T151" s="241" t="n"/>
      <c r="U151" s="27">
        <f>-SUMIFS(T_HEADCOUNT!$E:$E,T_HEADCOUNT!$C:$C,"-  Pizzaiolo",T_HEADCOUNT!$D:$D,"5/2026",T_HEADCOUNT!$B:$B,"CLT")</f>
        <v/>
      </c>
      <c r="V151" s="28">
        <f>SUMIFS(T_REAL!$D:$D,T_REAL!$E:$E,DRE!V$7,T_REAL!$C:$C,DRE!$A151)+SUMIFS(Aut_Ajustes_Manuais!$G:$G,Aut_Ajustes_Manuais!$I:$I,DRE!T$4,Aut_Ajustes_Manuais!$F:$F,"  -  Pizzaiolo")</f>
        <v/>
      </c>
      <c r="W151" s="241" t="n"/>
      <c r="X151" s="27">
        <f>-SUMIFS(T_HEADCOUNT!$E:$E,T_HEADCOUNT!$C:$C,"-  Pizzaiolo",T_HEADCOUNT!$D:$D,"6/2026",T_HEADCOUNT!$B:$B,"CLT")</f>
        <v/>
      </c>
      <c r="Y151" s="28">
        <f>SUMIFS(T_REAL!$D:$D,T_REAL!$E:$E,DRE!Y$7,T_REAL!$C:$C,DRE!$A151)+SUMIFS(Aut_Ajustes_Manuais!$G:$G,Aut_Ajustes_Manuais!$I:$I,DRE!W$4,Aut_Ajustes_Manuais!$F:$F,"  -  Pizzaiolo")</f>
        <v/>
      </c>
      <c r="Z151" s="241" t="n"/>
      <c r="AA151" s="27">
        <f>-SUMIFS(T_HEADCOUNT!$E:$E,T_HEADCOUNT!$C:$C,"-  Pizzaiolo",T_HEADCOUNT!$D:$D,"7/2026",T_HEADCOUNT!$B:$B,"CLT")</f>
        <v/>
      </c>
      <c r="AB151" s="28">
        <f>SUMIFS(T_REAL!$D:$D,T_REAL!$E:$E,DRE!AB$7,T_REAL!$C:$C,DRE!$A151)+SUMIFS(Aut_Ajustes_Manuais!$G:$G,Aut_Ajustes_Manuais!$I:$I,DRE!Z$4,Aut_Ajustes_Manuais!$F:$F,"  -  Pizzaiolo")</f>
        <v/>
      </c>
      <c r="AC151" s="241" t="n"/>
      <c r="AD151" s="27">
        <f>-SUMIFS(T_HEADCOUNT!$E:$E,T_HEADCOUNT!$C:$C,"-  Pizzaiolo",T_HEADCOUNT!$D:$D,"8/2026",T_HEADCOUNT!$B:$B,"CLT")</f>
        <v/>
      </c>
      <c r="AE151" s="28">
        <f>SUMIFS(T_REAL!$D:$D,T_REAL!$E:$E,DRE!AE$7,T_REAL!$C:$C,DRE!$A151)+SUMIFS(Aut_Ajustes_Manuais!$G:$G,Aut_Ajustes_Manuais!$I:$I,DRE!AC$4,Aut_Ajustes_Manuais!$F:$F,"  -  Pizzaiolo")</f>
        <v/>
      </c>
      <c r="AF151" s="241" t="n"/>
      <c r="AG151" s="27">
        <f>-SUMIFS(T_HEADCOUNT!$E:$E,T_HEADCOUNT!$C:$C,"-  Pizzaiolo",T_HEADCOUNT!$D:$D,"9/2026",T_HEADCOUNT!$B:$B,"CLT")</f>
        <v/>
      </c>
      <c r="AH151" s="28">
        <f>SUMIFS(T_REAL!$D:$D,T_REAL!$E:$E,DRE!AH$7,T_REAL!$C:$C,DRE!$A151)+SUMIFS(Aut_Ajustes_Manuais!$G:$G,Aut_Ajustes_Manuais!$I:$I,DRE!AF$4,Aut_Ajustes_Manuais!$F:$F,"  -  Pizzaiolo")</f>
        <v/>
      </c>
      <c r="AI151" s="241" t="n"/>
      <c r="AJ151" s="27">
        <f>-SUMIFS(T_HEADCOUNT!$E:$E,T_HEADCOUNT!$C:$C,"-  Pizzaiolo",T_HEADCOUNT!$D:$D,"10/2026",T_HEADCOUNT!$B:$B,"CLT")</f>
        <v/>
      </c>
      <c r="AK151" s="28">
        <f>SUMIFS(T_REAL!$D:$D,T_REAL!$E:$E,DRE!AK$7,T_REAL!$C:$C,DRE!$A151)+SUMIFS(Aut_Ajustes_Manuais!$G:$G,Aut_Ajustes_Manuais!$I:$I,DRE!AI$4,Aut_Ajustes_Manuais!$F:$F,"  -  Pizzaiolo")</f>
        <v/>
      </c>
      <c r="AL151" s="241" t="n"/>
      <c r="AM151" s="27">
        <f>-SUMIFS(T_HEADCOUNT!$E:$E,T_HEADCOUNT!$C:$C,"-  Pizzaiolo",T_HEADCOUNT!$D:$D,"11/2026",T_HEADCOUNT!$B:$B,"CLT")</f>
        <v/>
      </c>
      <c r="AN151" s="28">
        <f>SUMIFS(T_REAL!$D:$D,T_REAL!$E:$E,DRE!AN$7,T_REAL!$C:$C,DRE!$A151)+SUMIFS(Aut_Ajustes_Manuais!$G:$G,Aut_Ajustes_Manuais!$I:$I,DRE!AL$4,Aut_Ajustes_Manuais!$F:$F,"  -  Pizzaiolo")</f>
        <v/>
      </c>
      <c r="AO151" s="241" t="n"/>
      <c r="AP151" s="27">
        <f>-SUMIFS(T_HEADCOUNT!$E:$E,T_HEADCOUNT!$C:$C,"-  Pizzaiolo",T_HEADCOUNT!$D:$D,"12/2026",T_HEADCOUNT!$B:$B,"CLT")</f>
        <v/>
      </c>
      <c r="AQ151" s="28">
        <f>SUMIFS(T_REAL!$D:$D,T_REAL!$E:$E,DRE!AQ$7,T_REAL!$C:$C,DRE!$A151)+SUMIFS(Aut_Ajustes_Manuais!$G:$G,Aut_Ajustes_Manuais!$I:$I,DRE!AO$4,Aut_Ajustes_Manuais!$F:$F,"  -  Pizzaiolo")</f>
        <v/>
      </c>
      <c r="AR151" s="241">
        <f>SUMIFS($H151:$AO151,$H$5:$AO$5,"&lt;"&amp;MONTH(TODAY()),$H$6:$AO$6,"REAL 25")</f>
        <v/>
      </c>
      <c r="AS151" s="27">
        <f>SUMIFS($I151:$AP151,$I$5:$AP$5,"&lt;"&amp;MONTH(TODAY()),$I$6:$AP$6,"ORÇADO ")</f>
        <v/>
      </c>
      <c r="AT151" s="28">
        <f>SUMIFS($J151:$AQ151,$J$5:$AQ$5,"&lt;"&amp;MONTH(TODAY()),$J$6:$AQ$6,"REAL 26")</f>
        <v/>
      </c>
      <c r="AU151" s="241" t="n"/>
      <c r="AV151" s="27" t="n"/>
      <c r="AW151" s="28" t="n"/>
      <c r="AX151" s="241" t="n"/>
      <c r="AY151" s="27" t="n">
        <v>0</v>
      </c>
      <c r="AZ151" s="28" t="n"/>
      <c r="BA151" s="241" t="n"/>
      <c r="BB151" s="27" t="n">
        <v>0</v>
      </c>
      <c r="BC151" s="28" t="n"/>
      <c r="BD151" s="241" t="n"/>
      <c r="BE151" s="27" t="n">
        <v>0</v>
      </c>
      <c r="BF151" s="28" t="n"/>
      <c r="BG151" s="241" t="n"/>
      <c r="BH151" s="27" t="n">
        <v>0</v>
      </c>
      <c r="BI151" s="28" t="n"/>
    </row>
    <row r="152" hidden="1" outlineLevel="1" customFormat="1" s="498">
      <c r="A152" s="95" t="inlineStr">
        <is>
          <t xml:space="preserve">  -  Ajudante de Pizzaiolo</t>
        </is>
      </c>
      <c r="B152" s="488" t="n"/>
      <c r="C152" s="24" t="n"/>
      <c r="D152" s="55" t="inlineStr">
        <is>
          <t>Salário Bruto com INSS Segurado dentro do valor</t>
        </is>
      </c>
      <c r="E152" s="87" t="n"/>
      <c r="F152" s="56" t="n"/>
      <c r="G152" s="33" t="n"/>
      <c r="H152" s="241" t="n"/>
      <c r="I152" s="27">
        <f>-SUMIFS(T_HEADCOUNT!$E:$E,T_HEADCOUNT!$C:$C,"-  Ajudante de Pizzaiolo",T_HEADCOUNT!$D:$D,"1/2026",T_HEADCOUNT!$B:$B,"CLT")</f>
        <v/>
      </c>
      <c r="J152" s="28">
        <f>SUMIFS(T_REAL!$D:$D,T_REAL!$E:$E,DRE!J$7,T_REAL!$C:$C,DRE!$A152)+SUMIFS(Aut_Ajustes_Manuais!$G:$G,Aut_Ajustes_Manuais!$I:$I,DRE!H$4,Aut_Ajustes_Manuais!$F:$F,"  -  Ajudante de Pizzaiolo")</f>
        <v/>
      </c>
      <c r="K152" s="241" t="n"/>
      <c r="L152" s="27">
        <f>-SUMIFS(T_HEADCOUNT!$E:$E,T_HEADCOUNT!$C:$C,"-  Ajudante de Pizzaiolo",T_HEADCOUNT!$D:$D,"2/2026",T_HEADCOUNT!$B:$B,"CLT")</f>
        <v/>
      </c>
      <c r="M152" s="28">
        <f>SUMIFS(T_REAL!$D:$D,T_REAL!$E:$E,DRE!M$7,T_REAL!$C:$C,DRE!$A152)+SUMIFS(Aut_Ajustes_Manuais!$G:$G,Aut_Ajustes_Manuais!$I:$I,DRE!K$4,Aut_Ajustes_Manuais!$F:$F,"  -  Ajudante de Pizzaiolo")</f>
        <v/>
      </c>
      <c r="N152" s="241" t="n"/>
      <c r="O152" s="27">
        <f>-SUMIFS(T_HEADCOUNT!$E:$E,T_HEADCOUNT!$C:$C,"-  Ajudante de Pizzaiolo",T_HEADCOUNT!$D:$D,"3/2026",T_HEADCOUNT!$B:$B,"CLT")</f>
        <v/>
      </c>
      <c r="P152" s="28">
        <f>SUMIFS(T_REAL!$D:$D,T_REAL!$E:$E,DRE!P$7,T_REAL!$C:$C,DRE!$A152)+SUMIFS(Aut_Ajustes_Manuais!$G:$G,Aut_Ajustes_Manuais!$I:$I,DRE!N$4,Aut_Ajustes_Manuais!$F:$F,"  -  Ajudante de Pizzaiolo")</f>
        <v/>
      </c>
      <c r="Q152" s="241" t="n"/>
      <c r="R152" s="27">
        <f>-SUMIFS(T_HEADCOUNT!$E:$E,T_HEADCOUNT!$C:$C,"-  Ajudante de Pizzaiolo",T_HEADCOUNT!$D:$D,"4/2026",T_HEADCOUNT!$B:$B,"CLT")</f>
        <v/>
      </c>
      <c r="S152" s="28">
        <f>SUMIFS(T_REAL!$D:$D,T_REAL!$E:$E,DRE!S$7,T_REAL!$C:$C,DRE!$A152)+SUMIFS(Aut_Ajustes_Manuais!$G:$G,Aut_Ajustes_Manuais!$I:$I,DRE!Q$4,Aut_Ajustes_Manuais!$F:$F,"  -  Ajudante de Pizzaiolo")</f>
        <v/>
      </c>
      <c r="T152" s="241" t="n"/>
      <c r="U152" s="27">
        <f>-SUMIFS(T_HEADCOUNT!$E:$E,T_HEADCOUNT!$C:$C,"-  Ajudante de Pizzaiolo",T_HEADCOUNT!$D:$D,"5/2026",T_HEADCOUNT!$B:$B,"CLT")</f>
        <v/>
      </c>
      <c r="V152" s="28">
        <f>SUMIFS(T_REAL!$D:$D,T_REAL!$E:$E,DRE!V$7,T_REAL!$C:$C,DRE!$A152)+SUMIFS(Aut_Ajustes_Manuais!$G:$G,Aut_Ajustes_Manuais!$I:$I,DRE!T$4,Aut_Ajustes_Manuais!$F:$F,"  -  Ajudante de Pizzaiolo")</f>
        <v/>
      </c>
      <c r="W152" s="241" t="n"/>
      <c r="X152" s="27">
        <f>-SUMIFS(T_HEADCOUNT!$E:$E,T_HEADCOUNT!$C:$C,"-  Ajudante de Pizzaiolo",T_HEADCOUNT!$D:$D,"6/2026",T_HEADCOUNT!$B:$B,"CLT")</f>
        <v/>
      </c>
      <c r="Y152" s="28">
        <f>SUMIFS(T_REAL!$D:$D,T_REAL!$E:$E,DRE!Y$7,T_REAL!$C:$C,DRE!$A152)+SUMIFS(Aut_Ajustes_Manuais!$G:$G,Aut_Ajustes_Manuais!$I:$I,DRE!W$4,Aut_Ajustes_Manuais!$F:$F,"  -  Ajudante de Pizzaiolo")</f>
        <v/>
      </c>
      <c r="Z152" s="241" t="n"/>
      <c r="AA152" s="27">
        <f>-SUMIFS(T_HEADCOUNT!$E:$E,T_HEADCOUNT!$C:$C,"-  Ajudante de Pizzaiolo",T_HEADCOUNT!$D:$D,"7/2026",T_HEADCOUNT!$B:$B,"CLT")</f>
        <v/>
      </c>
      <c r="AB152" s="28">
        <f>SUMIFS(T_REAL!$D:$D,T_REAL!$E:$E,DRE!AB$7,T_REAL!$C:$C,DRE!$A152)+SUMIFS(Aut_Ajustes_Manuais!$G:$G,Aut_Ajustes_Manuais!$I:$I,DRE!Z$4,Aut_Ajustes_Manuais!$F:$F,"  -  Ajudante de Pizzaiolo")</f>
        <v/>
      </c>
      <c r="AC152" s="241" t="n"/>
      <c r="AD152" s="27">
        <f>-SUMIFS(T_HEADCOUNT!$E:$E,T_HEADCOUNT!$C:$C,"-  Ajudante de Pizzaiolo",T_HEADCOUNT!$D:$D,"8/2026",T_HEADCOUNT!$B:$B,"CLT")</f>
        <v/>
      </c>
      <c r="AE152" s="28">
        <f>SUMIFS(T_REAL!$D:$D,T_REAL!$E:$E,DRE!AE$7,T_REAL!$C:$C,DRE!$A152)+SUMIFS(Aut_Ajustes_Manuais!$G:$G,Aut_Ajustes_Manuais!$I:$I,DRE!AC$4,Aut_Ajustes_Manuais!$F:$F,"  -  Ajudante de Pizzaiolo")</f>
        <v/>
      </c>
      <c r="AF152" s="241" t="n"/>
      <c r="AG152" s="27">
        <f>-SUMIFS(T_HEADCOUNT!$E:$E,T_HEADCOUNT!$C:$C,"-  Ajudante de Pizzaiolo",T_HEADCOUNT!$D:$D,"9/2026",T_HEADCOUNT!$B:$B,"CLT")</f>
        <v/>
      </c>
      <c r="AH152" s="28">
        <f>SUMIFS(T_REAL!$D:$D,T_REAL!$E:$E,DRE!AH$7,T_REAL!$C:$C,DRE!$A152)+SUMIFS(Aut_Ajustes_Manuais!$G:$G,Aut_Ajustes_Manuais!$I:$I,DRE!AF$4,Aut_Ajustes_Manuais!$F:$F,"  -  Ajudante de Pizzaiolo")</f>
        <v/>
      </c>
      <c r="AI152" s="241" t="n"/>
      <c r="AJ152" s="27">
        <f>-SUMIFS(T_HEADCOUNT!$E:$E,T_HEADCOUNT!$C:$C,"-  Ajudante de Pizzaiolo",T_HEADCOUNT!$D:$D,"10/2026",T_HEADCOUNT!$B:$B,"CLT")</f>
        <v/>
      </c>
      <c r="AK152" s="28">
        <f>SUMIFS(T_REAL!$D:$D,T_REAL!$E:$E,DRE!AK$7,T_REAL!$C:$C,DRE!$A152)+SUMIFS(Aut_Ajustes_Manuais!$G:$G,Aut_Ajustes_Manuais!$I:$I,DRE!AI$4,Aut_Ajustes_Manuais!$F:$F,"  -  Ajudante de Pizzaiolo")</f>
        <v/>
      </c>
      <c r="AL152" s="241" t="n"/>
      <c r="AM152" s="27">
        <f>-SUMIFS(T_HEADCOUNT!$E:$E,T_HEADCOUNT!$C:$C,"-  Ajudante de Pizzaiolo",T_HEADCOUNT!$D:$D,"11/2026",T_HEADCOUNT!$B:$B,"CLT")</f>
        <v/>
      </c>
      <c r="AN152" s="28">
        <f>SUMIFS(T_REAL!$D:$D,T_REAL!$E:$E,DRE!AN$7,T_REAL!$C:$C,DRE!$A152)+SUMIFS(Aut_Ajustes_Manuais!$G:$G,Aut_Ajustes_Manuais!$I:$I,DRE!AL$4,Aut_Ajustes_Manuais!$F:$F,"  -  Ajudante de Pizzaiolo")</f>
        <v/>
      </c>
      <c r="AO152" s="241" t="n"/>
      <c r="AP152" s="27">
        <f>-SUMIFS(T_HEADCOUNT!$E:$E,T_HEADCOUNT!$C:$C,"-  Ajudante de Pizzaiolo",T_HEADCOUNT!$D:$D,"12/2026",T_HEADCOUNT!$B:$B,"CLT")</f>
        <v/>
      </c>
      <c r="AQ152" s="28">
        <f>SUMIFS(T_REAL!$D:$D,T_REAL!$E:$E,DRE!AQ$7,T_REAL!$C:$C,DRE!$A152)+SUMIFS(Aut_Ajustes_Manuais!$G:$G,Aut_Ajustes_Manuais!$I:$I,DRE!AO$4,Aut_Ajustes_Manuais!$F:$F,"  -  Ajudante de Pizzaiolo")</f>
        <v/>
      </c>
      <c r="AR152" s="241">
        <f>SUMIFS($H152:$AO152,$H$5:$AO$5,"&lt;"&amp;MONTH(TODAY()),$H$6:$AO$6,"REAL 25")</f>
        <v/>
      </c>
      <c r="AS152" s="27">
        <f>SUMIFS($I152:$AP152,$I$5:$AP$5,"&lt;"&amp;MONTH(TODAY()),$I$6:$AP$6,"ORÇADO ")</f>
        <v/>
      </c>
      <c r="AT152" s="28">
        <f>SUMIFS($J152:$AQ152,$J$5:$AQ$5,"&lt;"&amp;MONTH(TODAY()),$J$6:$AQ$6,"REAL 26")</f>
        <v/>
      </c>
      <c r="AU152" s="241" t="n"/>
      <c r="AV152" s="27" t="n"/>
      <c r="AW152" s="28" t="n"/>
      <c r="AX152" s="241" t="n"/>
      <c r="AY152" s="27" t="n">
        <v>0</v>
      </c>
      <c r="AZ152" s="28" t="n"/>
      <c r="BA152" s="241" t="n"/>
      <c r="BB152" s="27" t="n">
        <v>0</v>
      </c>
      <c r="BC152" s="28" t="n"/>
      <c r="BD152" s="241" t="n"/>
      <c r="BE152" s="27" t="n">
        <v>0</v>
      </c>
      <c r="BF152" s="28" t="n"/>
      <c r="BG152" s="241" t="n"/>
      <c r="BH152" s="27" t="n">
        <v>0</v>
      </c>
      <c r="BI152" s="28" t="n"/>
    </row>
    <row r="153" hidden="1" outlineLevel="1" customFormat="1" s="498">
      <c r="A153" s="95" t="inlineStr">
        <is>
          <t xml:space="preserve">  -  Boqueta</t>
        </is>
      </c>
      <c r="B153" s="488" t="n"/>
      <c r="C153" s="24" t="n"/>
      <c r="D153" s="55" t="inlineStr">
        <is>
          <t>Salário Bruto com INSS Segurado dentro do valor</t>
        </is>
      </c>
      <c r="E153" s="87" t="n"/>
      <c r="F153" s="56" t="n"/>
      <c r="G153" s="33" t="n"/>
      <c r="H153" s="241" t="n"/>
      <c r="I153" s="27">
        <f>-SUMIFS(T_HEADCOUNT!$E:$E,T_HEADCOUNT!$C:$C,"-  Boqueta",T_HEADCOUNT!$D:$D,"1/2026",T_HEADCOUNT!$B:$B,"CLT")</f>
        <v/>
      </c>
      <c r="J153" s="28">
        <f>SUMIFS(T_REAL!$D:$D,T_REAL!$E:$E,DRE!J$7,T_REAL!$C:$C,DRE!$A153)+SUMIFS(Aut_Ajustes_Manuais!$G:$G,Aut_Ajustes_Manuais!$I:$I,DRE!H$4,Aut_Ajustes_Manuais!$F:$F,"  -  Boqueta")</f>
        <v/>
      </c>
      <c r="K153" s="241" t="n"/>
      <c r="L153" s="27">
        <f>-SUMIFS(T_HEADCOUNT!$E:$E,T_HEADCOUNT!$C:$C,"-  Boqueta",T_HEADCOUNT!$D:$D,"2/2026",T_HEADCOUNT!$B:$B,"CLT")</f>
        <v/>
      </c>
      <c r="M153" s="28">
        <f>SUMIFS(T_REAL!$D:$D,T_REAL!$E:$E,DRE!M$7,T_REAL!$C:$C,DRE!$A153)+SUMIFS(Aut_Ajustes_Manuais!$G:$G,Aut_Ajustes_Manuais!$I:$I,DRE!K$4,Aut_Ajustes_Manuais!$F:$F,"  -  Boqueta")</f>
        <v/>
      </c>
      <c r="N153" s="241" t="n"/>
      <c r="O153" s="27">
        <f>-SUMIFS(T_HEADCOUNT!$E:$E,T_HEADCOUNT!$C:$C,"-  Boqueta",T_HEADCOUNT!$D:$D,"3/2026",T_HEADCOUNT!$B:$B,"CLT")</f>
        <v/>
      </c>
      <c r="P153" s="28">
        <f>SUMIFS(T_REAL!$D:$D,T_REAL!$E:$E,DRE!P$7,T_REAL!$C:$C,DRE!$A153)+SUMIFS(Aut_Ajustes_Manuais!$G:$G,Aut_Ajustes_Manuais!$I:$I,DRE!N$4,Aut_Ajustes_Manuais!$F:$F,"  -  Boqueta")</f>
        <v/>
      </c>
      <c r="Q153" s="241" t="n"/>
      <c r="R153" s="27">
        <f>-SUMIFS(T_HEADCOUNT!$E:$E,T_HEADCOUNT!$C:$C,"-  Boqueta",T_HEADCOUNT!$D:$D,"4/2026",T_HEADCOUNT!$B:$B,"CLT")</f>
        <v/>
      </c>
      <c r="S153" s="28">
        <f>SUMIFS(T_REAL!$D:$D,T_REAL!$E:$E,DRE!S$7,T_REAL!$C:$C,DRE!$A153)+SUMIFS(Aut_Ajustes_Manuais!$G:$G,Aut_Ajustes_Manuais!$I:$I,DRE!Q$4,Aut_Ajustes_Manuais!$F:$F,"  -  Boqueta")</f>
        <v/>
      </c>
      <c r="T153" s="241" t="n"/>
      <c r="U153" s="27">
        <f>-SUMIFS(T_HEADCOUNT!$E:$E,T_HEADCOUNT!$C:$C,"-  Boqueta",T_HEADCOUNT!$D:$D,"5/2026",T_HEADCOUNT!$B:$B,"CLT")</f>
        <v/>
      </c>
      <c r="V153" s="28">
        <f>SUMIFS(T_REAL!$D:$D,T_REAL!$E:$E,DRE!V$7,T_REAL!$C:$C,DRE!$A153)+SUMIFS(Aut_Ajustes_Manuais!$G:$G,Aut_Ajustes_Manuais!$I:$I,DRE!T$4,Aut_Ajustes_Manuais!$F:$F,"  -  Boqueta")</f>
        <v/>
      </c>
      <c r="W153" s="241" t="n"/>
      <c r="X153" s="27">
        <f>-SUMIFS(T_HEADCOUNT!$E:$E,T_HEADCOUNT!$C:$C,"-  Boqueta",T_HEADCOUNT!$D:$D,"6/2026",T_HEADCOUNT!$B:$B,"CLT")</f>
        <v/>
      </c>
      <c r="Y153" s="28">
        <f>SUMIFS(T_REAL!$D:$D,T_REAL!$E:$E,DRE!Y$7,T_REAL!$C:$C,DRE!$A153)+SUMIFS(Aut_Ajustes_Manuais!$G:$G,Aut_Ajustes_Manuais!$I:$I,DRE!W$4,Aut_Ajustes_Manuais!$F:$F,"  -  Boqueta")</f>
        <v/>
      </c>
      <c r="Z153" s="241" t="n"/>
      <c r="AA153" s="27">
        <f>-SUMIFS(T_HEADCOUNT!$E:$E,T_HEADCOUNT!$C:$C,"-  Boqueta",T_HEADCOUNT!$D:$D,"7/2026",T_HEADCOUNT!$B:$B,"CLT")</f>
        <v/>
      </c>
      <c r="AB153" s="28">
        <f>SUMIFS(T_REAL!$D:$D,T_REAL!$E:$E,DRE!AB$7,T_REAL!$C:$C,DRE!$A153)+SUMIFS(Aut_Ajustes_Manuais!$G:$G,Aut_Ajustes_Manuais!$I:$I,DRE!Z$4,Aut_Ajustes_Manuais!$F:$F,"  -  Boqueta")</f>
        <v/>
      </c>
      <c r="AC153" s="241" t="n"/>
      <c r="AD153" s="27">
        <f>-SUMIFS(T_HEADCOUNT!$E:$E,T_HEADCOUNT!$C:$C,"-  Boqueta",T_HEADCOUNT!$D:$D,"8/2026",T_HEADCOUNT!$B:$B,"CLT")</f>
        <v/>
      </c>
      <c r="AE153" s="28">
        <f>SUMIFS(T_REAL!$D:$D,T_REAL!$E:$E,DRE!AE$7,T_REAL!$C:$C,DRE!$A153)+SUMIFS(Aut_Ajustes_Manuais!$G:$G,Aut_Ajustes_Manuais!$I:$I,DRE!AC$4,Aut_Ajustes_Manuais!$F:$F,"  -  Boqueta")</f>
        <v/>
      </c>
      <c r="AF153" s="241" t="n"/>
      <c r="AG153" s="27">
        <f>-SUMIFS(T_HEADCOUNT!$E:$E,T_HEADCOUNT!$C:$C,"-  Boqueta",T_HEADCOUNT!$D:$D,"9/2026",T_HEADCOUNT!$B:$B,"CLT")</f>
        <v/>
      </c>
      <c r="AH153" s="28">
        <f>SUMIFS(T_REAL!$D:$D,T_REAL!$E:$E,DRE!AH$7,T_REAL!$C:$C,DRE!$A153)+SUMIFS(Aut_Ajustes_Manuais!$G:$G,Aut_Ajustes_Manuais!$I:$I,DRE!AF$4,Aut_Ajustes_Manuais!$F:$F,"  -  Boqueta")</f>
        <v/>
      </c>
      <c r="AI153" s="241" t="n"/>
      <c r="AJ153" s="27">
        <f>-SUMIFS(T_HEADCOUNT!$E:$E,T_HEADCOUNT!$C:$C,"-  Boqueta",T_HEADCOUNT!$D:$D,"10/2026",T_HEADCOUNT!$B:$B,"CLT")</f>
        <v/>
      </c>
      <c r="AK153" s="28">
        <f>SUMIFS(T_REAL!$D:$D,T_REAL!$E:$E,DRE!AK$7,T_REAL!$C:$C,DRE!$A153)+SUMIFS(Aut_Ajustes_Manuais!$G:$G,Aut_Ajustes_Manuais!$I:$I,DRE!AI$4,Aut_Ajustes_Manuais!$F:$F,"  -  Boqueta")</f>
        <v/>
      </c>
      <c r="AL153" s="241" t="n"/>
      <c r="AM153" s="27">
        <f>-SUMIFS(T_HEADCOUNT!$E:$E,T_HEADCOUNT!$C:$C,"-  Boqueta",T_HEADCOUNT!$D:$D,"11/2026",T_HEADCOUNT!$B:$B,"CLT")</f>
        <v/>
      </c>
      <c r="AN153" s="28">
        <f>SUMIFS(T_REAL!$D:$D,T_REAL!$E:$E,DRE!AN$7,T_REAL!$C:$C,DRE!$A153)+SUMIFS(Aut_Ajustes_Manuais!$G:$G,Aut_Ajustes_Manuais!$I:$I,DRE!AL$4,Aut_Ajustes_Manuais!$F:$F,"  -  Boqueta")</f>
        <v/>
      </c>
      <c r="AO153" s="241" t="n"/>
      <c r="AP153" s="27">
        <f>-SUMIFS(T_HEADCOUNT!$E:$E,T_HEADCOUNT!$C:$C,"-  Boqueta",T_HEADCOUNT!$D:$D,"12/2026",T_HEADCOUNT!$B:$B,"CLT")</f>
        <v/>
      </c>
      <c r="AQ153" s="28">
        <f>SUMIFS(T_REAL!$D:$D,T_REAL!$E:$E,DRE!AQ$7,T_REAL!$C:$C,DRE!$A153)+SUMIFS(Aut_Ajustes_Manuais!$G:$G,Aut_Ajustes_Manuais!$I:$I,DRE!AO$4,Aut_Ajustes_Manuais!$F:$F,"  -  Boqueta")</f>
        <v/>
      </c>
      <c r="AR153" s="241">
        <f>SUMIFS($H153:$AO153,$H$5:$AO$5,"&lt;"&amp;MONTH(TODAY()),$H$6:$AO$6,"REAL 25")</f>
        <v/>
      </c>
      <c r="AS153" s="27">
        <f>SUMIFS($I153:$AP153,$I$5:$AP$5,"&lt;"&amp;MONTH(TODAY()),$I$6:$AP$6,"ORÇADO ")</f>
        <v/>
      </c>
      <c r="AT153" s="28">
        <f>SUMIFS($J153:$AQ153,$J$5:$AQ$5,"&lt;"&amp;MONTH(TODAY()),$J$6:$AQ$6,"REAL 26")</f>
        <v/>
      </c>
      <c r="AU153" s="241" t="n"/>
      <c r="AV153" s="27" t="n"/>
      <c r="AW153" s="28" t="n"/>
      <c r="AX153" s="241" t="n"/>
      <c r="AY153" s="27" t="n">
        <v>0</v>
      </c>
      <c r="AZ153" s="28" t="n"/>
      <c r="BA153" s="241" t="n"/>
      <c r="BB153" s="27" t="n">
        <v>0</v>
      </c>
      <c r="BC153" s="28" t="n"/>
      <c r="BD153" s="241" t="n"/>
      <c r="BE153" s="27" t="n">
        <v>0</v>
      </c>
      <c r="BF153" s="28" t="n"/>
      <c r="BG153" s="241" t="n"/>
      <c r="BH153" s="27" t="n">
        <v>0</v>
      </c>
      <c r="BI153" s="28" t="n"/>
    </row>
    <row r="154" hidden="1" outlineLevel="1" customFormat="1" s="498">
      <c r="A154" s="95" t="inlineStr">
        <is>
          <t xml:space="preserve">  -  Churrasqueiro I</t>
        </is>
      </c>
      <c r="B154" s="488" t="n"/>
      <c r="C154" s="24" t="n"/>
      <c r="D154" s="55" t="inlineStr">
        <is>
          <t>Salário Bruto com INSS Segurado dentro do valor</t>
        </is>
      </c>
      <c r="E154" s="87" t="n"/>
      <c r="F154" s="56" t="n"/>
      <c r="G154" s="33" t="n"/>
      <c r="H154" s="241" t="n"/>
      <c r="I154" s="27">
        <f>-SUMIFS(T_HEADCOUNT!$E:$E,T_HEADCOUNT!$C:$C,"-  Churrasqueiro I",T_HEADCOUNT!$D:$D,"1/2026",T_HEADCOUNT!$B:$B,"CLT")</f>
        <v/>
      </c>
      <c r="J154" s="28">
        <f>SUMIFS(T_REAL!$D:$D,T_REAL!$E:$E,DRE!J$7,T_REAL!$C:$C,DRE!$A154)+SUMIFS(Aut_Ajustes_Manuais!$G:$G,Aut_Ajustes_Manuais!$I:$I,DRE!H$4,Aut_Ajustes_Manuais!$F:$F,"  -  Churrasqueiro I")</f>
        <v/>
      </c>
      <c r="K154" s="241" t="n"/>
      <c r="L154" s="27">
        <f>-SUMIFS(T_HEADCOUNT!$E:$E,T_HEADCOUNT!$C:$C,"-  Churrasqueiro I",T_HEADCOUNT!$D:$D,"2/2026",T_HEADCOUNT!$B:$B,"CLT")</f>
        <v/>
      </c>
      <c r="M154" s="28">
        <f>SUMIFS(T_REAL!$D:$D,T_REAL!$E:$E,DRE!M$7,T_REAL!$C:$C,DRE!$A154)+SUMIFS(Aut_Ajustes_Manuais!$G:$G,Aut_Ajustes_Manuais!$I:$I,DRE!K$4,Aut_Ajustes_Manuais!$F:$F,"  -  Churrasqueiro I")</f>
        <v/>
      </c>
      <c r="N154" s="241" t="n"/>
      <c r="O154" s="27">
        <f>-SUMIFS(T_HEADCOUNT!$E:$E,T_HEADCOUNT!$C:$C,"-  Churrasqueiro I",T_HEADCOUNT!$D:$D,"3/2026",T_HEADCOUNT!$B:$B,"CLT")</f>
        <v/>
      </c>
      <c r="P154" s="28">
        <f>SUMIFS(T_REAL!$D:$D,T_REAL!$E:$E,DRE!P$7,T_REAL!$C:$C,DRE!$A154)+SUMIFS(Aut_Ajustes_Manuais!$G:$G,Aut_Ajustes_Manuais!$I:$I,DRE!N$4,Aut_Ajustes_Manuais!$F:$F,"  -  Churrasqueiro I")</f>
        <v/>
      </c>
      <c r="Q154" s="241" t="n"/>
      <c r="R154" s="27">
        <f>-SUMIFS(T_HEADCOUNT!$E:$E,T_HEADCOUNT!$C:$C,"-  Churrasqueiro I",T_HEADCOUNT!$D:$D,"4/2026",T_HEADCOUNT!$B:$B,"CLT")</f>
        <v/>
      </c>
      <c r="S154" s="28">
        <f>SUMIFS(T_REAL!$D:$D,T_REAL!$E:$E,DRE!S$7,T_REAL!$C:$C,DRE!$A154)+SUMIFS(Aut_Ajustes_Manuais!$G:$G,Aut_Ajustes_Manuais!$I:$I,DRE!Q$4,Aut_Ajustes_Manuais!$F:$F,"  -  Churrasqueiro I")</f>
        <v/>
      </c>
      <c r="T154" s="241" t="n"/>
      <c r="U154" s="27">
        <f>-SUMIFS(T_HEADCOUNT!$E:$E,T_HEADCOUNT!$C:$C,"-  Churrasqueiro I",T_HEADCOUNT!$D:$D,"5/2026",T_HEADCOUNT!$B:$B,"CLT")</f>
        <v/>
      </c>
      <c r="V154" s="28">
        <f>SUMIFS(T_REAL!$D:$D,T_REAL!$E:$E,DRE!V$7,T_REAL!$C:$C,DRE!$A154)+SUMIFS(Aut_Ajustes_Manuais!$G:$G,Aut_Ajustes_Manuais!$I:$I,DRE!T$4,Aut_Ajustes_Manuais!$F:$F,"  -  Churrasqueiro I")</f>
        <v/>
      </c>
      <c r="W154" s="241" t="n"/>
      <c r="X154" s="27">
        <f>-SUMIFS(T_HEADCOUNT!$E:$E,T_HEADCOUNT!$C:$C,"-  Churrasqueiro I",T_HEADCOUNT!$D:$D,"6/2026",T_HEADCOUNT!$B:$B,"CLT")</f>
        <v/>
      </c>
      <c r="Y154" s="28">
        <f>SUMIFS(T_REAL!$D:$D,T_REAL!$E:$E,DRE!Y$7,T_REAL!$C:$C,DRE!$A154)+SUMIFS(Aut_Ajustes_Manuais!$G:$G,Aut_Ajustes_Manuais!$I:$I,DRE!W$4,Aut_Ajustes_Manuais!$F:$F,"  -  Churrasqueiro I")</f>
        <v/>
      </c>
      <c r="Z154" s="241" t="n"/>
      <c r="AA154" s="27">
        <f>-SUMIFS(T_HEADCOUNT!$E:$E,T_HEADCOUNT!$C:$C,"-  Churrasqueiro I",T_HEADCOUNT!$D:$D,"7/2026",T_HEADCOUNT!$B:$B,"CLT")</f>
        <v/>
      </c>
      <c r="AB154" s="28">
        <f>SUMIFS(T_REAL!$D:$D,T_REAL!$E:$E,DRE!AB$7,T_REAL!$C:$C,DRE!$A154)+SUMIFS(Aut_Ajustes_Manuais!$G:$G,Aut_Ajustes_Manuais!$I:$I,DRE!Z$4,Aut_Ajustes_Manuais!$F:$F,"  -  Churrasqueiro I")</f>
        <v/>
      </c>
      <c r="AC154" s="241" t="n"/>
      <c r="AD154" s="27">
        <f>-SUMIFS(T_HEADCOUNT!$E:$E,T_HEADCOUNT!$C:$C,"-  Churrasqueiro I",T_HEADCOUNT!$D:$D,"8/2026",T_HEADCOUNT!$B:$B,"CLT")</f>
        <v/>
      </c>
      <c r="AE154" s="28">
        <f>SUMIFS(T_REAL!$D:$D,T_REAL!$E:$E,DRE!AE$7,T_REAL!$C:$C,DRE!$A154)+SUMIFS(Aut_Ajustes_Manuais!$G:$G,Aut_Ajustes_Manuais!$I:$I,DRE!AC$4,Aut_Ajustes_Manuais!$F:$F,"  -  Churrasqueiro I")</f>
        <v/>
      </c>
      <c r="AF154" s="241" t="n"/>
      <c r="AG154" s="27">
        <f>-SUMIFS(T_HEADCOUNT!$E:$E,T_HEADCOUNT!$C:$C,"-  Churrasqueiro I",T_HEADCOUNT!$D:$D,"9/2026",T_HEADCOUNT!$B:$B,"CLT")</f>
        <v/>
      </c>
      <c r="AH154" s="28">
        <f>SUMIFS(T_REAL!$D:$D,T_REAL!$E:$E,DRE!AH$7,T_REAL!$C:$C,DRE!$A154)+SUMIFS(Aut_Ajustes_Manuais!$G:$G,Aut_Ajustes_Manuais!$I:$I,DRE!AF$4,Aut_Ajustes_Manuais!$F:$F,"  -  Churrasqueiro I")</f>
        <v/>
      </c>
      <c r="AI154" s="241" t="n"/>
      <c r="AJ154" s="27">
        <f>-SUMIFS(T_HEADCOUNT!$E:$E,T_HEADCOUNT!$C:$C,"-  Churrasqueiro I",T_HEADCOUNT!$D:$D,"10/2026",T_HEADCOUNT!$B:$B,"CLT")</f>
        <v/>
      </c>
      <c r="AK154" s="28">
        <f>SUMIFS(T_REAL!$D:$D,T_REAL!$E:$E,DRE!AK$7,T_REAL!$C:$C,DRE!$A154)+SUMIFS(Aut_Ajustes_Manuais!$G:$G,Aut_Ajustes_Manuais!$I:$I,DRE!AI$4,Aut_Ajustes_Manuais!$F:$F,"  -  Churrasqueiro I")</f>
        <v/>
      </c>
      <c r="AL154" s="241" t="n"/>
      <c r="AM154" s="27">
        <f>-SUMIFS(T_HEADCOUNT!$E:$E,T_HEADCOUNT!$C:$C,"-  Churrasqueiro I",T_HEADCOUNT!$D:$D,"11/2026",T_HEADCOUNT!$B:$B,"CLT")</f>
        <v/>
      </c>
      <c r="AN154" s="28">
        <f>SUMIFS(T_REAL!$D:$D,T_REAL!$E:$E,DRE!AN$7,T_REAL!$C:$C,DRE!$A154)+SUMIFS(Aut_Ajustes_Manuais!$G:$G,Aut_Ajustes_Manuais!$I:$I,DRE!AL$4,Aut_Ajustes_Manuais!$F:$F,"  -  Churrasqueiro I")</f>
        <v/>
      </c>
      <c r="AO154" s="241" t="n"/>
      <c r="AP154" s="27">
        <f>-SUMIFS(T_HEADCOUNT!$E:$E,T_HEADCOUNT!$C:$C,"-  Churrasqueiro I",T_HEADCOUNT!$D:$D,"12/2026",T_HEADCOUNT!$B:$B,"CLT")</f>
        <v/>
      </c>
      <c r="AQ154" s="28">
        <f>SUMIFS(T_REAL!$D:$D,T_REAL!$E:$E,DRE!AQ$7,T_REAL!$C:$C,DRE!$A154)+SUMIFS(Aut_Ajustes_Manuais!$G:$G,Aut_Ajustes_Manuais!$I:$I,DRE!AO$4,Aut_Ajustes_Manuais!$F:$F,"  -  Churrasqueiro I")</f>
        <v/>
      </c>
      <c r="AR154" s="241">
        <f>SUMIFS($H154:$AO154,$H$5:$AO$5,"&lt;"&amp;MONTH(TODAY()),$H$6:$AO$6,"REAL 25")</f>
        <v/>
      </c>
      <c r="AS154" s="27">
        <f>SUMIFS($I154:$AP154,$I$5:$AP$5,"&lt;"&amp;MONTH(TODAY()),$I$6:$AP$6,"ORÇADO ")</f>
        <v/>
      </c>
      <c r="AT154" s="28">
        <f>SUMIFS($J154:$AQ154,$J$5:$AQ$5,"&lt;"&amp;MONTH(TODAY()),$J$6:$AQ$6,"REAL 26")</f>
        <v/>
      </c>
      <c r="AU154" s="241" t="n"/>
      <c r="AV154" s="27" t="n"/>
      <c r="AW154" s="28" t="n"/>
      <c r="AX154" s="241" t="n"/>
      <c r="AY154" s="27" t="n">
        <v>0</v>
      </c>
      <c r="AZ154" s="28" t="n"/>
      <c r="BA154" s="241" t="n"/>
      <c r="BB154" s="27" t="n">
        <v>0</v>
      </c>
      <c r="BC154" s="28" t="n"/>
      <c r="BD154" s="241" t="n"/>
      <c r="BE154" s="27" t="n">
        <v>0</v>
      </c>
      <c r="BF154" s="28" t="n"/>
      <c r="BG154" s="241" t="n"/>
      <c r="BH154" s="27" t="n">
        <v>0</v>
      </c>
      <c r="BI154" s="28" t="n"/>
    </row>
    <row r="155" hidden="1" outlineLevel="1" customFormat="1" s="498">
      <c r="A155" s="95" t="inlineStr">
        <is>
          <t xml:space="preserve">  -  Churrasqueiro II</t>
        </is>
      </c>
      <c r="B155" s="488" t="n"/>
      <c r="C155" s="24" t="n"/>
      <c r="D155" s="55" t="inlineStr">
        <is>
          <t>Salário Bruto com INSS Segurado dentro do valor</t>
        </is>
      </c>
      <c r="E155" s="87" t="n"/>
      <c r="F155" s="56" t="n"/>
      <c r="G155" s="33" t="n"/>
      <c r="H155" s="241" t="n"/>
      <c r="I155" s="27">
        <f>-SUMIFS(T_HEADCOUNT!$E:$E,T_HEADCOUNT!$C:$C,"-  Churrasqueiro II",T_HEADCOUNT!$D:$D,"1/2026",T_HEADCOUNT!$B:$B,"CLT")</f>
        <v/>
      </c>
      <c r="J155" s="28">
        <f>SUMIFS(T_REAL!$D:$D,T_REAL!$E:$E,DRE!J$7,T_REAL!$C:$C,DRE!$A155)+SUMIFS(Aut_Ajustes_Manuais!$G:$G,Aut_Ajustes_Manuais!$I:$I,DRE!H$4,Aut_Ajustes_Manuais!$F:$F,"  -  Churrasqueiro II")</f>
        <v/>
      </c>
      <c r="K155" s="241" t="n"/>
      <c r="L155" s="27">
        <f>-SUMIFS(T_HEADCOUNT!$E:$E,T_HEADCOUNT!$C:$C,"-  Churrasqueiro II",T_HEADCOUNT!$D:$D,"2/2026",T_HEADCOUNT!$B:$B,"CLT")</f>
        <v/>
      </c>
      <c r="M155" s="28">
        <f>SUMIFS(T_REAL!$D:$D,T_REAL!$E:$E,DRE!M$7,T_REAL!$C:$C,DRE!$A155)+SUMIFS(Aut_Ajustes_Manuais!$G:$G,Aut_Ajustes_Manuais!$I:$I,DRE!K$4,Aut_Ajustes_Manuais!$F:$F,"  -  Churrasqueiro II")</f>
        <v/>
      </c>
      <c r="N155" s="241" t="n"/>
      <c r="O155" s="27">
        <f>-SUMIFS(T_HEADCOUNT!$E:$E,T_HEADCOUNT!$C:$C,"-  Churrasqueiro II",T_HEADCOUNT!$D:$D,"3/2026",T_HEADCOUNT!$B:$B,"CLT")</f>
        <v/>
      </c>
      <c r="P155" s="28">
        <f>SUMIFS(T_REAL!$D:$D,T_REAL!$E:$E,DRE!P$7,T_REAL!$C:$C,DRE!$A155)+SUMIFS(Aut_Ajustes_Manuais!$G:$G,Aut_Ajustes_Manuais!$I:$I,DRE!N$4,Aut_Ajustes_Manuais!$F:$F,"  -  Churrasqueiro II")</f>
        <v/>
      </c>
      <c r="Q155" s="241" t="n"/>
      <c r="R155" s="27">
        <f>-SUMIFS(T_HEADCOUNT!$E:$E,T_HEADCOUNT!$C:$C,"-  Churrasqueiro II",T_HEADCOUNT!$D:$D,"4/2026",T_HEADCOUNT!$B:$B,"CLT")</f>
        <v/>
      </c>
      <c r="S155" s="28">
        <f>SUMIFS(T_REAL!$D:$D,T_REAL!$E:$E,DRE!S$7,T_REAL!$C:$C,DRE!$A155)+SUMIFS(Aut_Ajustes_Manuais!$G:$G,Aut_Ajustes_Manuais!$I:$I,DRE!Q$4,Aut_Ajustes_Manuais!$F:$F,"  -  Churrasqueiro II")</f>
        <v/>
      </c>
      <c r="T155" s="241" t="n"/>
      <c r="U155" s="27">
        <f>-SUMIFS(T_HEADCOUNT!$E:$E,T_HEADCOUNT!$C:$C,"-  Churrasqueiro II",T_HEADCOUNT!$D:$D,"5/2026",T_HEADCOUNT!$B:$B,"CLT")</f>
        <v/>
      </c>
      <c r="V155" s="28">
        <f>SUMIFS(T_REAL!$D:$D,T_REAL!$E:$E,DRE!V$7,T_REAL!$C:$C,DRE!$A155)+SUMIFS(Aut_Ajustes_Manuais!$G:$G,Aut_Ajustes_Manuais!$I:$I,DRE!T$4,Aut_Ajustes_Manuais!$F:$F,"  -  Churrasqueiro II")</f>
        <v/>
      </c>
      <c r="W155" s="241" t="n"/>
      <c r="X155" s="27">
        <f>-SUMIFS(T_HEADCOUNT!$E:$E,T_HEADCOUNT!$C:$C,"-  Churrasqueiro II",T_HEADCOUNT!$D:$D,"6/2026",T_HEADCOUNT!$B:$B,"CLT")</f>
        <v/>
      </c>
      <c r="Y155" s="28">
        <f>SUMIFS(T_REAL!$D:$D,T_REAL!$E:$E,DRE!Y$7,T_REAL!$C:$C,DRE!$A155)+SUMIFS(Aut_Ajustes_Manuais!$G:$G,Aut_Ajustes_Manuais!$I:$I,DRE!W$4,Aut_Ajustes_Manuais!$F:$F,"  -  Churrasqueiro II")</f>
        <v/>
      </c>
      <c r="Z155" s="241" t="n"/>
      <c r="AA155" s="27">
        <f>-SUMIFS(T_HEADCOUNT!$E:$E,T_HEADCOUNT!$C:$C,"-  Churrasqueiro II",T_HEADCOUNT!$D:$D,"7/2026",T_HEADCOUNT!$B:$B,"CLT")</f>
        <v/>
      </c>
      <c r="AB155" s="28">
        <f>SUMIFS(T_REAL!$D:$D,T_REAL!$E:$E,DRE!AB$7,T_REAL!$C:$C,DRE!$A155)+SUMIFS(Aut_Ajustes_Manuais!$G:$G,Aut_Ajustes_Manuais!$I:$I,DRE!Z$4,Aut_Ajustes_Manuais!$F:$F,"  -  Churrasqueiro II")</f>
        <v/>
      </c>
      <c r="AC155" s="241" t="n"/>
      <c r="AD155" s="27">
        <f>-SUMIFS(T_HEADCOUNT!$E:$E,T_HEADCOUNT!$C:$C,"-  Churrasqueiro II",T_HEADCOUNT!$D:$D,"8/2026",T_HEADCOUNT!$B:$B,"CLT")</f>
        <v/>
      </c>
      <c r="AE155" s="28">
        <f>SUMIFS(T_REAL!$D:$D,T_REAL!$E:$E,DRE!AE$7,T_REAL!$C:$C,DRE!$A155)+SUMIFS(Aut_Ajustes_Manuais!$G:$G,Aut_Ajustes_Manuais!$I:$I,DRE!AC$4,Aut_Ajustes_Manuais!$F:$F,"  -  Churrasqueiro II")</f>
        <v/>
      </c>
      <c r="AF155" s="241" t="n"/>
      <c r="AG155" s="27">
        <f>-SUMIFS(T_HEADCOUNT!$E:$E,T_HEADCOUNT!$C:$C,"-  Churrasqueiro II",T_HEADCOUNT!$D:$D,"9/2026",T_HEADCOUNT!$B:$B,"CLT")</f>
        <v/>
      </c>
      <c r="AH155" s="28">
        <f>SUMIFS(T_REAL!$D:$D,T_REAL!$E:$E,DRE!AH$7,T_REAL!$C:$C,DRE!$A155)+SUMIFS(Aut_Ajustes_Manuais!$G:$G,Aut_Ajustes_Manuais!$I:$I,DRE!AF$4,Aut_Ajustes_Manuais!$F:$F,"  -  Churrasqueiro II")</f>
        <v/>
      </c>
      <c r="AI155" s="241" t="n"/>
      <c r="AJ155" s="27">
        <f>-SUMIFS(T_HEADCOUNT!$E:$E,T_HEADCOUNT!$C:$C,"-  Churrasqueiro II",T_HEADCOUNT!$D:$D,"10/2026",T_HEADCOUNT!$B:$B,"CLT")</f>
        <v/>
      </c>
      <c r="AK155" s="28">
        <f>SUMIFS(T_REAL!$D:$D,T_REAL!$E:$E,DRE!AK$7,T_REAL!$C:$C,DRE!$A155)+SUMIFS(Aut_Ajustes_Manuais!$G:$G,Aut_Ajustes_Manuais!$I:$I,DRE!AI$4,Aut_Ajustes_Manuais!$F:$F,"  -  Churrasqueiro II")</f>
        <v/>
      </c>
      <c r="AL155" s="241" t="n"/>
      <c r="AM155" s="27">
        <f>-SUMIFS(T_HEADCOUNT!$E:$E,T_HEADCOUNT!$C:$C,"-  Churrasqueiro II",T_HEADCOUNT!$D:$D,"11/2026",T_HEADCOUNT!$B:$B,"CLT")</f>
        <v/>
      </c>
      <c r="AN155" s="28">
        <f>SUMIFS(T_REAL!$D:$D,T_REAL!$E:$E,DRE!AN$7,T_REAL!$C:$C,DRE!$A155)+SUMIFS(Aut_Ajustes_Manuais!$G:$G,Aut_Ajustes_Manuais!$I:$I,DRE!AL$4,Aut_Ajustes_Manuais!$F:$F,"  -  Churrasqueiro II")</f>
        <v/>
      </c>
      <c r="AO155" s="241" t="n"/>
      <c r="AP155" s="27">
        <f>-SUMIFS(T_HEADCOUNT!$E:$E,T_HEADCOUNT!$C:$C,"-  Churrasqueiro II",T_HEADCOUNT!$D:$D,"12/2026",T_HEADCOUNT!$B:$B,"CLT")</f>
        <v/>
      </c>
      <c r="AQ155" s="28">
        <f>SUMIFS(T_REAL!$D:$D,T_REAL!$E:$E,DRE!AQ$7,T_REAL!$C:$C,DRE!$A155)+SUMIFS(Aut_Ajustes_Manuais!$G:$G,Aut_Ajustes_Manuais!$I:$I,DRE!AO$4,Aut_Ajustes_Manuais!$F:$F,"  -  Churrasqueiro II")</f>
        <v/>
      </c>
      <c r="AR155" s="241">
        <f>SUMIFS($H155:$AO155,$H$5:$AO$5,"&lt;"&amp;MONTH(TODAY()),$H$6:$AO$6,"REAL 25")</f>
        <v/>
      </c>
      <c r="AS155" s="27">
        <f>SUMIFS($I155:$AP155,$I$5:$AP$5,"&lt;"&amp;MONTH(TODAY()),$I$6:$AP$6,"ORÇADO ")</f>
        <v/>
      </c>
      <c r="AT155" s="28">
        <f>SUMIFS($J155:$AQ155,$J$5:$AQ$5,"&lt;"&amp;MONTH(TODAY()),$J$6:$AQ$6,"REAL 26")</f>
        <v/>
      </c>
      <c r="AU155" s="241" t="n"/>
      <c r="AV155" s="27" t="n"/>
      <c r="AW155" s="28" t="n"/>
      <c r="AX155" s="241" t="n"/>
      <c r="AY155" s="27" t="n">
        <v>0</v>
      </c>
      <c r="AZ155" s="28" t="n"/>
      <c r="BA155" s="241" t="n"/>
      <c r="BB155" s="27" t="n">
        <v>0</v>
      </c>
      <c r="BC155" s="28" t="n"/>
      <c r="BD155" s="241" t="n"/>
      <c r="BE155" s="27" t="n">
        <v>0</v>
      </c>
      <c r="BF155" s="28" t="n"/>
      <c r="BG155" s="241" t="n"/>
      <c r="BH155" s="27" t="n">
        <v>0</v>
      </c>
      <c r="BI155" s="28" t="n"/>
    </row>
    <row r="156" hidden="1" outlineLevel="1" customFormat="1" s="498">
      <c r="A156" s="95" t="inlineStr">
        <is>
          <t xml:space="preserve">  -  Churrasqueiro III</t>
        </is>
      </c>
      <c r="B156" s="488" t="n"/>
      <c r="C156" s="24" t="n"/>
      <c r="D156" s="55" t="inlineStr">
        <is>
          <t>Salário Bruto com INSS Segurado dentro do valor</t>
        </is>
      </c>
      <c r="E156" s="87" t="n"/>
      <c r="F156" s="56" t="n"/>
      <c r="G156" s="33" t="n"/>
      <c r="H156" s="241" t="n"/>
      <c r="I156" s="27">
        <f>-SUMIFS(T_HEADCOUNT!$E:$E,T_HEADCOUNT!$C:$C,"-  Churrasqueiro III",T_HEADCOUNT!$D:$D,"1/2026",T_HEADCOUNT!$B:$B,"CLT")</f>
        <v/>
      </c>
      <c r="J156" s="28">
        <f>SUMIFS(T_REAL!$D:$D,T_REAL!$E:$E,DRE!J$7,T_REAL!$C:$C,DRE!$A156)+SUMIFS(Aut_Ajustes_Manuais!$G:$G,Aut_Ajustes_Manuais!$I:$I,DRE!H$4,Aut_Ajustes_Manuais!$F:$F,"  -  Churrasqueiro III")</f>
        <v/>
      </c>
      <c r="K156" s="241" t="n"/>
      <c r="L156" s="27">
        <f>-SUMIFS(T_HEADCOUNT!$E:$E,T_HEADCOUNT!$C:$C,"-  Churrasqueiro III",T_HEADCOUNT!$D:$D,"2/2026",T_HEADCOUNT!$B:$B,"CLT")</f>
        <v/>
      </c>
      <c r="M156" s="28">
        <f>SUMIFS(T_REAL!$D:$D,T_REAL!$E:$E,DRE!M$7,T_REAL!$C:$C,DRE!$A156)+SUMIFS(Aut_Ajustes_Manuais!$G:$G,Aut_Ajustes_Manuais!$I:$I,DRE!K$4,Aut_Ajustes_Manuais!$F:$F,"  -  Churrasqueiro III")</f>
        <v/>
      </c>
      <c r="N156" s="241" t="n"/>
      <c r="O156" s="27">
        <f>-SUMIFS(T_HEADCOUNT!$E:$E,T_HEADCOUNT!$C:$C,"-  Churrasqueiro III",T_HEADCOUNT!$D:$D,"3/2026",T_HEADCOUNT!$B:$B,"CLT")</f>
        <v/>
      </c>
      <c r="P156" s="28">
        <f>SUMIFS(T_REAL!$D:$D,T_REAL!$E:$E,DRE!P$7,T_REAL!$C:$C,DRE!$A156)+SUMIFS(Aut_Ajustes_Manuais!$G:$G,Aut_Ajustes_Manuais!$I:$I,DRE!N$4,Aut_Ajustes_Manuais!$F:$F,"  -  Churrasqueiro III")</f>
        <v/>
      </c>
      <c r="Q156" s="241" t="n"/>
      <c r="R156" s="27">
        <f>-SUMIFS(T_HEADCOUNT!$E:$E,T_HEADCOUNT!$C:$C,"-  Churrasqueiro III",T_HEADCOUNT!$D:$D,"4/2026",T_HEADCOUNT!$B:$B,"CLT")</f>
        <v/>
      </c>
      <c r="S156" s="28">
        <f>SUMIFS(T_REAL!$D:$D,T_REAL!$E:$E,DRE!S$7,T_REAL!$C:$C,DRE!$A156)+SUMIFS(Aut_Ajustes_Manuais!$G:$G,Aut_Ajustes_Manuais!$I:$I,DRE!Q$4,Aut_Ajustes_Manuais!$F:$F,"  -  Churrasqueiro III")</f>
        <v/>
      </c>
      <c r="T156" s="241" t="n"/>
      <c r="U156" s="27">
        <f>-SUMIFS(T_HEADCOUNT!$E:$E,T_HEADCOUNT!$C:$C,"-  Churrasqueiro III",T_HEADCOUNT!$D:$D,"5/2026",T_HEADCOUNT!$B:$B,"CLT")</f>
        <v/>
      </c>
      <c r="V156" s="28">
        <f>SUMIFS(T_REAL!$D:$D,T_REAL!$E:$E,DRE!V$7,T_REAL!$C:$C,DRE!$A156)+SUMIFS(Aut_Ajustes_Manuais!$G:$G,Aut_Ajustes_Manuais!$I:$I,DRE!T$4,Aut_Ajustes_Manuais!$F:$F,"  -  Churrasqueiro III")</f>
        <v/>
      </c>
      <c r="W156" s="241" t="n"/>
      <c r="X156" s="27">
        <f>-SUMIFS(T_HEADCOUNT!$E:$E,T_HEADCOUNT!$C:$C,"-  Churrasqueiro III",T_HEADCOUNT!$D:$D,"6/2026",T_HEADCOUNT!$B:$B,"CLT")</f>
        <v/>
      </c>
      <c r="Y156" s="28">
        <f>SUMIFS(T_REAL!$D:$D,T_REAL!$E:$E,DRE!Y$7,T_REAL!$C:$C,DRE!$A156)+SUMIFS(Aut_Ajustes_Manuais!$G:$G,Aut_Ajustes_Manuais!$I:$I,DRE!W$4,Aut_Ajustes_Manuais!$F:$F,"  -  Churrasqueiro III")</f>
        <v/>
      </c>
      <c r="Z156" s="241" t="n"/>
      <c r="AA156" s="27">
        <f>-SUMIFS(T_HEADCOUNT!$E:$E,T_HEADCOUNT!$C:$C,"-  Churrasqueiro III",T_HEADCOUNT!$D:$D,"7/2026",T_HEADCOUNT!$B:$B,"CLT")</f>
        <v/>
      </c>
      <c r="AB156" s="28">
        <f>SUMIFS(T_REAL!$D:$D,T_REAL!$E:$E,DRE!AB$7,T_REAL!$C:$C,DRE!$A156)+SUMIFS(Aut_Ajustes_Manuais!$G:$G,Aut_Ajustes_Manuais!$I:$I,DRE!Z$4,Aut_Ajustes_Manuais!$F:$F,"  -  Churrasqueiro III")</f>
        <v/>
      </c>
      <c r="AC156" s="241" t="n"/>
      <c r="AD156" s="27">
        <f>-SUMIFS(T_HEADCOUNT!$E:$E,T_HEADCOUNT!$C:$C,"-  Churrasqueiro III",T_HEADCOUNT!$D:$D,"8/2026",T_HEADCOUNT!$B:$B,"CLT")</f>
        <v/>
      </c>
      <c r="AE156" s="28">
        <f>SUMIFS(T_REAL!$D:$D,T_REAL!$E:$E,DRE!AE$7,T_REAL!$C:$C,DRE!$A156)+SUMIFS(Aut_Ajustes_Manuais!$G:$G,Aut_Ajustes_Manuais!$I:$I,DRE!AC$4,Aut_Ajustes_Manuais!$F:$F,"  -  Churrasqueiro III")</f>
        <v/>
      </c>
      <c r="AF156" s="241" t="n"/>
      <c r="AG156" s="27">
        <f>-SUMIFS(T_HEADCOUNT!$E:$E,T_HEADCOUNT!$C:$C,"-  Churrasqueiro III",T_HEADCOUNT!$D:$D,"9/2026",T_HEADCOUNT!$B:$B,"CLT")</f>
        <v/>
      </c>
      <c r="AH156" s="28">
        <f>SUMIFS(T_REAL!$D:$D,T_REAL!$E:$E,DRE!AH$7,T_REAL!$C:$C,DRE!$A156)+SUMIFS(Aut_Ajustes_Manuais!$G:$G,Aut_Ajustes_Manuais!$I:$I,DRE!AF$4,Aut_Ajustes_Manuais!$F:$F,"  -  Churrasqueiro III")</f>
        <v/>
      </c>
      <c r="AI156" s="241" t="n"/>
      <c r="AJ156" s="27">
        <f>-SUMIFS(T_HEADCOUNT!$E:$E,T_HEADCOUNT!$C:$C,"-  Churrasqueiro III",T_HEADCOUNT!$D:$D,"10/2026",T_HEADCOUNT!$B:$B,"CLT")</f>
        <v/>
      </c>
      <c r="AK156" s="28">
        <f>SUMIFS(T_REAL!$D:$D,T_REAL!$E:$E,DRE!AK$7,T_REAL!$C:$C,DRE!$A156)+SUMIFS(Aut_Ajustes_Manuais!$G:$G,Aut_Ajustes_Manuais!$I:$I,DRE!AI$4,Aut_Ajustes_Manuais!$F:$F,"  -  Churrasqueiro III")</f>
        <v/>
      </c>
      <c r="AL156" s="241" t="n"/>
      <c r="AM156" s="27">
        <f>-SUMIFS(T_HEADCOUNT!$E:$E,T_HEADCOUNT!$C:$C,"-  Churrasqueiro III",T_HEADCOUNT!$D:$D,"11/2026",T_HEADCOUNT!$B:$B,"CLT")</f>
        <v/>
      </c>
      <c r="AN156" s="28">
        <f>SUMIFS(T_REAL!$D:$D,T_REAL!$E:$E,DRE!AN$7,T_REAL!$C:$C,DRE!$A156)+SUMIFS(Aut_Ajustes_Manuais!$G:$G,Aut_Ajustes_Manuais!$I:$I,DRE!AL$4,Aut_Ajustes_Manuais!$F:$F,"  -  Churrasqueiro III")</f>
        <v/>
      </c>
      <c r="AO156" s="241" t="n"/>
      <c r="AP156" s="27">
        <f>-SUMIFS(T_HEADCOUNT!$E:$E,T_HEADCOUNT!$C:$C,"-  Churrasqueiro III",T_HEADCOUNT!$D:$D,"12/2026",T_HEADCOUNT!$B:$B,"CLT")</f>
        <v/>
      </c>
      <c r="AQ156" s="28">
        <f>SUMIFS(T_REAL!$D:$D,T_REAL!$E:$E,DRE!AQ$7,T_REAL!$C:$C,DRE!$A156)+SUMIFS(Aut_Ajustes_Manuais!$G:$G,Aut_Ajustes_Manuais!$I:$I,DRE!AO$4,Aut_Ajustes_Manuais!$F:$F,"  -  Churrasqueiro III")</f>
        <v/>
      </c>
      <c r="AR156" s="241">
        <f>SUMIFS($H156:$AO156,$H$5:$AO$5,"&lt;"&amp;MONTH(TODAY()),$H$6:$AO$6,"REAL 25")</f>
        <v/>
      </c>
      <c r="AS156" s="27">
        <f>SUMIFS($I156:$AP156,$I$5:$AP$5,"&lt;"&amp;MONTH(TODAY()),$I$6:$AP$6,"ORÇADO ")</f>
        <v/>
      </c>
      <c r="AT156" s="28">
        <f>SUMIFS($J156:$AQ156,$J$5:$AQ$5,"&lt;"&amp;MONTH(TODAY()),$J$6:$AQ$6,"REAL 26")</f>
        <v/>
      </c>
      <c r="AU156" s="241" t="n"/>
      <c r="AV156" s="27" t="n"/>
      <c r="AW156" s="28" t="n"/>
      <c r="AX156" s="241" t="n"/>
      <c r="AY156" s="27" t="n">
        <v>0</v>
      </c>
      <c r="AZ156" s="28" t="n"/>
      <c r="BA156" s="241" t="n"/>
      <c r="BB156" s="27" t="n">
        <v>0</v>
      </c>
      <c r="BC156" s="28" t="n"/>
      <c r="BD156" s="241" t="n"/>
      <c r="BE156" s="27" t="n">
        <v>0</v>
      </c>
      <c r="BF156" s="28" t="n"/>
      <c r="BG156" s="241" t="n"/>
      <c r="BH156" s="27" t="n">
        <v>0</v>
      </c>
      <c r="BI156" s="28" t="n"/>
    </row>
    <row r="157" hidden="1" outlineLevel="1" customFormat="1" s="498">
      <c r="A157" s="95" t="inlineStr">
        <is>
          <t xml:space="preserve">  -  Ajud Limpeza</t>
        </is>
      </c>
      <c r="B157" s="488" t="n"/>
      <c r="C157" s="24" t="n"/>
      <c r="D157" s="55" t="inlineStr">
        <is>
          <t>Salário Bruto com INSS Segurado dentro do valor</t>
        </is>
      </c>
      <c r="E157" s="87" t="n"/>
      <c r="F157" s="56" t="n"/>
      <c r="G157" s="33" t="n"/>
      <c r="H157" s="241" t="n"/>
      <c r="I157" s="27">
        <f>-SUMIFS(T_HEADCOUNT!$E:$E,T_HEADCOUNT!$C:$C,"-  Ajud Limpeza",T_HEADCOUNT!$D:$D,"1/2026",T_HEADCOUNT!$B:$B,"CLT")</f>
        <v/>
      </c>
      <c r="J157" s="28">
        <f>SUMIFS(T_REAL!$D:$D,T_REAL!$E:$E,DRE!J$7,T_REAL!$C:$C,DRE!$A157)+SUMIFS(Aut_Ajustes_Manuais!$G:$G,Aut_Ajustes_Manuais!$I:$I,DRE!H$4,Aut_Ajustes_Manuais!$F:$F,"  -  Ajud Limpeza")</f>
        <v/>
      </c>
      <c r="K157" s="241" t="n"/>
      <c r="L157" s="27">
        <f>-SUMIFS(T_HEADCOUNT!$E:$E,T_HEADCOUNT!$C:$C,"-  Ajud Limpeza",T_HEADCOUNT!$D:$D,"2/2026",T_HEADCOUNT!$B:$B,"CLT")</f>
        <v/>
      </c>
      <c r="M157" s="28">
        <f>SUMIFS(T_REAL!$D:$D,T_REAL!$E:$E,DRE!M$7,T_REAL!$C:$C,DRE!$A157)+SUMIFS(Aut_Ajustes_Manuais!$G:$G,Aut_Ajustes_Manuais!$I:$I,DRE!K$4,Aut_Ajustes_Manuais!$F:$F,"  -  Ajud Limpeza")</f>
        <v/>
      </c>
      <c r="N157" s="241" t="n"/>
      <c r="O157" s="27">
        <f>-SUMIFS(T_HEADCOUNT!$E:$E,T_HEADCOUNT!$C:$C,"-  Ajud Limpeza",T_HEADCOUNT!$D:$D,"3/2026",T_HEADCOUNT!$B:$B,"CLT")</f>
        <v/>
      </c>
      <c r="P157" s="28">
        <f>SUMIFS(T_REAL!$D:$D,T_REAL!$E:$E,DRE!P$7,T_REAL!$C:$C,DRE!$A157)+SUMIFS(Aut_Ajustes_Manuais!$G:$G,Aut_Ajustes_Manuais!$I:$I,DRE!N$4,Aut_Ajustes_Manuais!$F:$F,"  -  Ajud Limpeza")</f>
        <v/>
      </c>
      <c r="Q157" s="241" t="n"/>
      <c r="R157" s="27">
        <f>-SUMIFS(T_HEADCOUNT!$E:$E,T_HEADCOUNT!$C:$C,"-  Ajud Limpeza",T_HEADCOUNT!$D:$D,"4/2026",T_HEADCOUNT!$B:$B,"CLT")</f>
        <v/>
      </c>
      <c r="S157" s="28">
        <f>SUMIFS(T_REAL!$D:$D,T_REAL!$E:$E,DRE!S$7,T_REAL!$C:$C,DRE!$A157)+SUMIFS(Aut_Ajustes_Manuais!$G:$G,Aut_Ajustes_Manuais!$I:$I,DRE!Q$4,Aut_Ajustes_Manuais!$F:$F,"  -  Ajud Limpeza")</f>
        <v/>
      </c>
      <c r="T157" s="241" t="n"/>
      <c r="U157" s="27">
        <f>-SUMIFS(T_HEADCOUNT!$E:$E,T_HEADCOUNT!$C:$C,"-  Ajud Limpeza",T_HEADCOUNT!$D:$D,"5/2026",T_HEADCOUNT!$B:$B,"CLT")</f>
        <v/>
      </c>
      <c r="V157" s="28">
        <f>SUMIFS(T_REAL!$D:$D,T_REAL!$E:$E,DRE!V$7,T_REAL!$C:$C,DRE!$A157)+SUMIFS(Aut_Ajustes_Manuais!$G:$G,Aut_Ajustes_Manuais!$I:$I,DRE!T$4,Aut_Ajustes_Manuais!$F:$F,"  -  Ajud Limpeza")</f>
        <v/>
      </c>
      <c r="W157" s="241" t="n"/>
      <c r="X157" s="27">
        <f>-SUMIFS(T_HEADCOUNT!$E:$E,T_HEADCOUNT!$C:$C,"-  Ajud Limpeza",T_HEADCOUNT!$D:$D,"6/2026",T_HEADCOUNT!$B:$B,"CLT")</f>
        <v/>
      </c>
      <c r="Y157" s="28">
        <f>SUMIFS(T_REAL!$D:$D,T_REAL!$E:$E,DRE!Y$7,T_REAL!$C:$C,DRE!$A157)+SUMIFS(Aut_Ajustes_Manuais!$G:$G,Aut_Ajustes_Manuais!$I:$I,DRE!W$4,Aut_Ajustes_Manuais!$F:$F,"  -  Ajud Limpeza")</f>
        <v/>
      </c>
      <c r="Z157" s="241" t="n"/>
      <c r="AA157" s="27">
        <f>-SUMIFS(T_HEADCOUNT!$E:$E,T_HEADCOUNT!$C:$C,"-  Ajud Limpeza",T_HEADCOUNT!$D:$D,"7/2026",T_HEADCOUNT!$B:$B,"CLT")</f>
        <v/>
      </c>
      <c r="AB157" s="28">
        <f>SUMIFS(T_REAL!$D:$D,T_REAL!$E:$E,DRE!AB$7,T_REAL!$C:$C,DRE!$A157)+SUMIFS(Aut_Ajustes_Manuais!$G:$G,Aut_Ajustes_Manuais!$I:$I,DRE!Z$4,Aut_Ajustes_Manuais!$F:$F,"  -  Ajud Limpeza")</f>
        <v/>
      </c>
      <c r="AC157" s="241" t="n"/>
      <c r="AD157" s="27">
        <f>-SUMIFS(T_HEADCOUNT!$E:$E,T_HEADCOUNT!$C:$C,"-  Ajud Limpeza",T_HEADCOUNT!$D:$D,"8/2026",T_HEADCOUNT!$B:$B,"CLT")</f>
        <v/>
      </c>
      <c r="AE157" s="28">
        <f>SUMIFS(T_REAL!$D:$D,T_REAL!$E:$E,DRE!AE$7,T_REAL!$C:$C,DRE!$A157)+SUMIFS(Aut_Ajustes_Manuais!$G:$G,Aut_Ajustes_Manuais!$I:$I,DRE!AC$4,Aut_Ajustes_Manuais!$F:$F,"  -  Ajud Limpeza")</f>
        <v/>
      </c>
      <c r="AF157" s="241" t="n"/>
      <c r="AG157" s="27">
        <f>-SUMIFS(T_HEADCOUNT!$E:$E,T_HEADCOUNT!$C:$C,"-  Ajud Limpeza",T_HEADCOUNT!$D:$D,"9/2026",T_HEADCOUNT!$B:$B,"CLT")</f>
        <v/>
      </c>
      <c r="AH157" s="28">
        <f>SUMIFS(T_REAL!$D:$D,T_REAL!$E:$E,DRE!AH$7,T_REAL!$C:$C,DRE!$A157)+SUMIFS(Aut_Ajustes_Manuais!$G:$G,Aut_Ajustes_Manuais!$I:$I,DRE!AF$4,Aut_Ajustes_Manuais!$F:$F,"  -  Ajud Limpeza")</f>
        <v/>
      </c>
      <c r="AI157" s="241" t="n"/>
      <c r="AJ157" s="27">
        <f>-SUMIFS(T_HEADCOUNT!$E:$E,T_HEADCOUNT!$C:$C,"-  Ajud Limpeza",T_HEADCOUNT!$D:$D,"10/2026",T_HEADCOUNT!$B:$B,"CLT")</f>
        <v/>
      </c>
      <c r="AK157" s="28">
        <f>SUMIFS(T_REAL!$D:$D,T_REAL!$E:$E,DRE!AK$7,T_REAL!$C:$C,DRE!$A157)+SUMIFS(Aut_Ajustes_Manuais!$G:$G,Aut_Ajustes_Manuais!$I:$I,DRE!AI$4,Aut_Ajustes_Manuais!$F:$F,"  -  Ajud Limpeza")</f>
        <v/>
      </c>
      <c r="AL157" s="241" t="n"/>
      <c r="AM157" s="27">
        <f>-SUMIFS(T_HEADCOUNT!$E:$E,T_HEADCOUNT!$C:$C,"-  Ajud Limpeza",T_HEADCOUNT!$D:$D,"11/2026",T_HEADCOUNT!$B:$B,"CLT")</f>
        <v/>
      </c>
      <c r="AN157" s="28">
        <f>SUMIFS(T_REAL!$D:$D,T_REAL!$E:$E,DRE!AN$7,T_REAL!$C:$C,DRE!$A157)+SUMIFS(Aut_Ajustes_Manuais!$G:$G,Aut_Ajustes_Manuais!$I:$I,DRE!AL$4,Aut_Ajustes_Manuais!$F:$F,"  -  Ajud Limpeza")</f>
        <v/>
      </c>
      <c r="AO157" s="241" t="n"/>
      <c r="AP157" s="27">
        <f>-SUMIFS(T_HEADCOUNT!$E:$E,T_HEADCOUNT!$C:$C,"-  Ajud Limpeza",T_HEADCOUNT!$D:$D,"12/2026",T_HEADCOUNT!$B:$B,"CLT")</f>
        <v/>
      </c>
      <c r="AQ157" s="28">
        <f>SUMIFS(T_REAL!$D:$D,T_REAL!$E:$E,DRE!AQ$7,T_REAL!$C:$C,DRE!$A157)+SUMIFS(Aut_Ajustes_Manuais!$G:$G,Aut_Ajustes_Manuais!$I:$I,DRE!AO$4,Aut_Ajustes_Manuais!$F:$F,"  -  Ajud Limpeza")</f>
        <v/>
      </c>
      <c r="AR157" s="241">
        <f>SUMIFS($H157:$AO157,$H$5:$AO$5,"&lt;"&amp;MONTH(TODAY()),$H$6:$AO$6,"REAL 25")</f>
        <v/>
      </c>
      <c r="AS157" s="27">
        <f>SUMIFS($I157:$AP157,$I$5:$AP$5,"&lt;"&amp;MONTH(TODAY()),$I$6:$AP$6,"ORÇADO ")</f>
        <v/>
      </c>
      <c r="AT157" s="28">
        <f>SUMIFS($J157:$AQ157,$J$5:$AQ$5,"&lt;"&amp;MONTH(TODAY()),$J$6:$AQ$6,"REAL 26")</f>
        <v/>
      </c>
      <c r="AU157" s="241" t="n"/>
      <c r="AV157" s="27" t="n"/>
      <c r="AW157" s="28" t="n"/>
      <c r="AX157" s="241" t="n"/>
      <c r="AY157" s="27" t="n">
        <v>-11216.4</v>
      </c>
      <c r="AZ157" s="28" t="n"/>
      <c r="BA157" s="241" t="n"/>
      <c r="BB157" s="27" t="n">
        <v>-11373.4296</v>
      </c>
      <c r="BC157" s="28" t="n"/>
      <c r="BD157" s="241" t="n"/>
      <c r="BE157" s="27" t="n">
        <v>-11687.4888</v>
      </c>
      <c r="BF157" s="28" t="n"/>
      <c r="BG157" s="241" t="n"/>
      <c r="BH157" s="27" t="n">
        <v>-11687.4888</v>
      </c>
      <c r="BI157" s="28" t="n"/>
    </row>
    <row r="158" hidden="1" outlineLevel="1" customFormat="1" s="498">
      <c r="A158" s="95" t="inlineStr">
        <is>
          <t xml:space="preserve">  -  Estoquista III</t>
        </is>
      </c>
      <c r="B158" s="488" t="n"/>
      <c r="C158" s="24" t="n"/>
      <c r="D158" s="55" t="inlineStr">
        <is>
          <t>Salário Bruto com INSS Segurado dentro do valor</t>
        </is>
      </c>
      <c r="E158" s="87" t="n"/>
      <c r="F158" s="56" t="n"/>
      <c r="G158" s="33" t="n"/>
      <c r="H158" s="241" t="n"/>
      <c r="I158" s="27">
        <f>-SUMIFS(T_HEADCOUNT!$E:$E,T_HEADCOUNT!$C:$C,"-  Estoquista III",T_HEADCOUNT!$D:$D,"1/2026",T_HEADCOUNT!$B:$B,"CLT")</f>
        <v/>
      </c>
      <c r="J158" s="28">
        <f>SUMIFS(T_REAL!$D:$D,T_REAL!$E:$E,DRE!J$7,T_REAL!$C:$C,DRE!$A158)+SUMIFS(Aut_Ajustes_Manuais!$G:$G,Aut_Ajustes_Manuais!$I:$I,DRE!H$4,Aut_Ajustes_Manuais!$F:$F,"  -  Estoquista III")</f>
        <v/>
      </c>
      <c r="K158" s="241" t="n"/>
      <c r="L158" s="27">
        <f>-SUMIFS(T_HEADCOUNT!$E:$E,T_HEADCOUNT!$C:$C,"-  Estoquista III",T_HEADCOUNT!$D:$D,"2/2026",T_HEADCOUNT!$B:$B,"CLT")</f>
        <v/>
      </c>
      <c r="M158" s="28">
        <f>SUMIFS(T_REAL!$D:$D,T_REAL!$E:$E,DRE!M$7,T_REAL!$C:$C,DRE!$A158)+SUMIFS(Aut_Ajustes_Manuais!$G:$G,Aut_Ajustes_Manuais!$I:$I,DRE!K$4,Aut_Ajustes_Manuais!$F:$F,"  -  Estoquista III")</f>
        <v/>
      </c>
      <c r="N158" s="241" t="n"/>
      <c r="O158" s="27">
        <f>-SUMIFS(T_HEADCOUNT!$E:$E,T_HEADCOUNT!$C:$C,"-  Estoquista III",T_HEADCOUNT!$D:$D,"3/2026",T_HEADCOUNT!$B:$B,"CLT")</f>
        <v/>
      </c>
      <c r="P158" s="28">
        <f>SUMIFS(T_REAL!$D:$D,T_REAL!$E:$E,DRE!P$7,T_REAL!$C:$C,DRE!$A158)+SUMIFS(Aut_Ajustes_Manuais!$G:$G,Aut_Ajustes_Manuais!$I:$I,DRE!N$4,Aut_Ajustes_Manuais!$F:$F,"  -  Estoquista III")</f>
        <v/>
      </c>
      <c r="Q158" s="241" t="n"/>
      <c r="R158" s="27">
        <f>-SUMIFS(T_HEADCOUNT!$E:$E,T_HEADCOUNT!$C:$C,"-  Estoquista III",T_HEADCOUNT!$D:$D,"4/2026",T_HEADCOUNT!$B:$B,"CLT")</f>
        <v/>
      </c>
      <c r="S158" s="28">
        <f>SUMIFS(T_REAL!$D:$D,T_REAL!$E:$E,DRE!S$7,T_REAL!$C:$C,DRE!$A158)+SUMIFS(Aut_Ajustes_Manuais!$G:$G,Aut_Ajustes_Manuais!$I:$I,DRE!Q$4,Aut_Ajustes_Manuais!$F:$F,"  -  Estoquista III")</f>
        <v/>
      </c>
      <c r="T158" s="241" t="n"/>
      <c r="U158" s="27">
        <f>-SUMIFS(T_HEADCOUNT!$E:$E,T_HEADCOUNT!$C:$C,"-  Estoquista III",T_HEADCOUNT!$D:$D,"5/2026",T_HEADCOUNT!$B:$B,"CLT")</f>
        <v/>
      </c>
      <c r="V158" s="28">
        <f>SUMIFS(T_REAL!$D:$D,T_REAL!$E:$E,DRE!V$7,T_REAL!$C:$C,DRE!$A158)+SUMIFS(Aut_Ajustes_Manuais!$G:$G,Aut_Ajustes_Manuais!$I:$I,DRE!T$4,Aut_Ajustes_Manuais!$F:$F,"  -  Estoquista III")</f>
        <v/>
      </c>
      <c r="W158" s="241" t="n"/>
      <c r="X158" s="27">
        <f>-SUMIFS(T_HEADCOUNT!$E:$E,T_HEADCOUNT!$C:$C,"-  Estoquista III",T_HEADCOUNT!$D:$D,"6/2026",T_HEADCOUNT!$B:$B,"CLT")</f>
        <v/>
      </c>
      <c r="Y158" s="28">
        <f>SUMIFS(T_REAL!$D:$D,T_REAL!$E:$E,DRE!Y$7,T_REAL!$C:$C,DRE!$A158)+SUMIFS(Aut_Ajustes_Manuais!$G:$G,Aut_Ajustes_Manuais!$I:$I,DRE!W$4,Aut_Ajustes_Manuais!$F:$F,"  -  Estoquista III")</f>
        <v/>
      </c>
      <c r="Z158" s="241" t="n"/>
      <c r="AA158" s="27">
        <f>-SUMIFS(T_HEADCOUNT!$E:$E,T_HEADCOUNT!$C:$C,"-  Estoquista III",T_HEADCOUNT!$D:$D,"7/2026",T_HEADCOUNT!$B:$B,"CLT")</f>
        <v/>
      </c>
      <c r="AB158" s="28">
        <f>SUMIFS(T_REAL!$D:$D,T_REAL!$E:$E,DRE!AB$7,T_REAL!$C:$C,DRE!$A158)+SUMIFS(Aut_Ajustes_Manuais!$G:$G,Aut_Ajustes_Manuais!$I:$I,DRE!Z$4,Aut_Ajustes_Manuais!$F:$F,"  -  Estoquista III")</f>
        <v/>
      </c>
      <c r="AC158" s="241" t="n"/>
      <c r="AD158" s="27">
        <f>-SUMIFS(T_HEADCOUNT!$E:$E,T_HEADCOUNT!$C:$C,"-  Estoquista III",T_HEADCOUNT!$D:$D,"8/2026",T_HEADCOUNT!$B:$B,"CLT")</f>
        <v/>
      </c>
      <c r="AE158" s="28">
        <f>SUMIFS(T_REAL!$D:$D,T_REAL!$E:$E,DRE!AE$7,T_REAL!$C:$C,DRE!$A158)+SUMIFS(Aut_Ajustes_Manuais!$G:$G,Aut_Ajustes_Manuais!$I:$I,DRE!AC$4,Aut_Ajustes_Manuais!$F:$F,"  -  Estoquista III")</f>
        <v/>
      </c>
      <c r="AF158" s="241" t="n"/>
      <c r="AG158" s="27">
        <f>-SUMIFS(T_HEADCOUNT!$E:$E,T_HEADCOUNT!$C:$C,"-  Estoquista III",T_HEADCOUNT!$D:$D,"9/2026",T_HEADCOUNT!$B:$B,"CLT")</f>
        <v/>
      </c>
      <c r="AH158" s="28">
        <f>SUMIFS(T_REAL!$D:$D,T_REAL!$E:$E,DRE!AH$7,T_REAL!$C:$C,DRE!$A158)+SUMIFS(Aut_Ajustes_Manuais!$G:$G,Aut_Ajustes_Manuais!$I:$I,DRE!AF$4,Aut_Ajustes_Manuais!$F:$F,"  -  Estoquista III")</f>
        <v/>
      </c>
      <c r="AI158" s="241" t="n"/>
      <c r="AJ158" s="27">
        <f>-SUMIFS(T_HEADCOUNT!$E:$E,T_HEADCOUNT!$C:$C,"-  Estoquista III",T_HEADCOUNT!$D:$D,"10/2026",T_HEADCOUNT!$B:$B,"CLT")</f>
        <v/>
      </c>
      <c r="AK158" s="28">
        <f>SUMIFS(T_REAL!$D:$D,T_REAL!$E:$E,DRE!AK$7,T_REAL!$C:$C,DRE!$A158)+SUMIFS(Aut_Ajustes_Manuais!$G:$G,Aut_Ajustes_Manuais!$I:$I,DRE!AI$4,Aut_Ajustes_Manuais!$F:$F,"  -  Estoquista III")</f>
        <v/>
      </c>
      <c r="AL158" s="241" t="n"/>
      <c r="AM158" s="27">
        <f>-SUMIFS(T_HEADCOUNT!$E:$E,T_HEADCOUNT!$C:$C,"-  Estoquista III",T_HEADCOUNT!$D:$D,"11/2026",T_HEADCOUNT!$B:$B,"CLT")</f>
        <v/>
      </c>
      <c r="AN158" s="28">
        <f>SUMIFS(T_REAL!$D:$D,T_REAL!$E:$E,DRE!AN$7,T_REAL!$C:$C,DRE!$A158)+SUMIFS(Aut_Ajustes_Manuais!$G:$G,Aut_Ajustes_Manuais!$I:$I,DRE!AL$4,Aut_Ajustes_Manuais!$F:$F,"  -  Estoquista III")</f>
        <v/>
      </c>
      <c r="AO158" s="241" t="n"/>
      <c r="AP158" s="27">
        <f>-SUMIFS(T_HEADCOUNT!$E:$E,T_HEADCOUNT!$C:$C,"-  Estoquista III",T_HEADCOUNT!$D:$D,"12/2026",T_HEADCOUNT!$B:$B,"CLT")</f>
        <v/>
      </c>
      <c r="AQ158" s="28">
        <f>SUMIFS(T_REAL!$D:$D,T_REAL!$E:$E,DRE!AQ$7,T_REAL!$C:$C,DRE!$A158)+SUMIFS(Aut_Ajustes_Manuais!$G:$G,Aut_Ajustes_Manuais!$I:$I,DRE!AO$4,Aut_Ajustes_Manuais!$F:$F,"  -  Estoquista III")</f>
        <v/>
      </c>
      <c r="AR158" s="241">
        <f>SUMIFS($H158:$AO158,$H$5:$AO$5,"&lt;"&amp;MONTH(TODAY()),$H$6:$AO$6,"REAL 25")</f>
        <v/>
      </c>
      <c r="AS158" s="27">
        <f>SUMIFS($I158:$AP158,$I$5:$AP$5,"&lt;"&amp;MONTH(TODAY()),$I$6:$AP$6,"ORÇADO ")</f>
        <v/>
      </c>
      <c r="AT158" s="28">
        <f>SUMIFS($J158:$AQ158,$J$5:$AQ$5,"&lt;"&amp;MONTH(TODAY()),$J$6:$AQ$6,"REAL 26")</f>
        <v/>
      </c>
      <c r="AU158" s="241" t="n"/>
      <c r="AV158" s="27" t="n"/>
      <c r="AW158" s="28" t="n"/>
      <c r="AX158" s="241" t="n"/>
      <c r="AY158" s="27" t="n">
        <v>0</v>
      </c>
      <c r="AZ158" s="28" t="n"/>
      <c r="BA158" s="241" t="n"/>
      <c r="BB158" s="27" t="n">
        <v>0</v>
      </c>
      <c r="BC158" s="28" t="n"/>
      <c r="BD158" s="241" t="n"/>
      <c r="BE158" s="27" t="n">
        <v>0</v>
      </c>
      <c r="BF158" s="28" t="n"/>
      <c r="BG158" s="241" t="n"/>
      <c r="BH158" s="27" t="n">
        <v>0</v>
      </c>
      <c r="BI158" s="28" t="n"/>
    </row>
    <row r="159" hidden="1" outlineLevel="1" customFormat="1" s="498">
      <c r="A159" s="95" t="inlineStr">
        <is>
          <t xml:space="preserve">  -  Estoquista II</t>
        </is>
      </c>
      <c r="B159" s="488" t="n"/>
      <c r="C159" s="24" t="n"/>
      <c r="D159" s="55" t="inlineStr">
        <is>
          <t>Salário Bruto com INSS Segurado dentro do valor</t>
        </is>
      </c>
      <c r="E159" s="87" t="n"/>
      <c r="F159" s="56" t="n"/>
      <c r="G159" s="33" t="n"/>
      <c r="H159" s="241" t="n"/>
      <c r="I159" s="27">
        <f>-SUMIFS(T_HEADCOUNT!$E:$E,T_HEADCOUNT!$C:$C,"-  Estoquista II",T_HEADCOUNT!$D:$D,"1/2026",T_HEADCOUNT!$B:$B,"CLT")</f>
        <v/>
      </c>
      <c r="J159" s="28">
        <f>SUMIFS(T_REAL!$D:$D,T_REAL!$E:$E,DRE!J$7,T_REAL!$C:$C,DRE!$A159)+SUMIFS(Aut_Ajustes_Manuais!$G:$G,Aut_Ajustes_Manuais!$I:$I,DRE!H$4,Aut_Ajustes_Manuais!$F:$F,"  -  Estoquista II")</f>
        <v/>
      </c>
      <c r="K159" s="241" t="n"/>
      <c r="L159" s="27">
        <f>-SUMIFS(T_HEADCOUNT!$E:$E,T_HEADCOUNT!$C:$C,"-  Estoquista II",T_HEADCOUNT!$D:$D,"2/2026",T_HEADCOUNT!$B:$B,"CLT")</f>
        <v/>
      </c>
      <c r="M159" s="28">
        <f>SUMIFS(T_REAL!$D:$D,T_REAL!$E:$E,DRE!M$7,T_REAL!$C:$C,DRE!$A159)+SUMIFS(Aut_Ajustes_Manuais!$G:$G,Aut_Ajustes_Manuais!$I:$I,DRE!K$4,Aut_Ajustes_Manuais!$F:$F,"  -  Estoquista II")</f>
        <v/>
      </c>
      <c r="N159" s="241" t="n"/>
      <c r="O159" s="27">
        <f>-SUMIFS(T_HEADCOUNT!$E:$E,T_HEADCOUNT!$C:$C,"-  Estoquista II",T_HEADCOUNT!$D:$D,"3/2026",T_HEADCOUNT!$B:$B,"CLT")</f>
        <v/>
      </c>
      <c r="P159" s="28">
        <f>SUMIFS(T_REAL!$D:$D,T_REAL!$E:$E,DRE!P$7,T_REAL!$C:$C,DRE!$A159)+SUMIFS(Aut_Ajustes_Manuais!$G:$G,Aut_Ajustes_Manuais!$I:$I,DRE!N$4,Aut_Ajustes_Manuais!$F:$F,"  -  Estoquista II")</f>
        <v/>
      </c>
      <c r="Q159" s="241" t="n"/>
      <c r="R159" s="27">
        <f>-SUMIFS(T_HEADCOUNT!$E:$E,T_HEADCOUNT!$C:$C,"-  Estoquista II",T_HEADCOUNT!$D:$D,"4/2026",T_HEADCOUNT!$B:$B,"CLT")</f>
        <v/>
      </c>
      <c r="S159" s="28">
        <f>SUMIFS(T_REAL!$D:$D,T_REAL!$E:$E,DRE!S$7,T_REAL!$C:$C,DRE!$A159)+SUMIFS(Aut_Ajustes_Manuais!$G:$G,Aut_Ajustes_Manuais!$I:$I,DRE!Q$4,Aut_Ajustes_Manuais!$F:$F,"  -  Estoquista II")</f>
        <v/>
      </c>
      <c r="T159" s="241" t="n"/>
      <c r="U159" s="27">
        <f>-SUMIFS(T_HEADCOUNT!$E:$E,T_HEADCOUNT!$C:$C,"-  Estoquista II",T_HEADCOUNT!$D:$D,"5/2026",T_HEADCOUNT!$B:$B,"CLT")</f>
        <v/>
      </c>
      <c r="V159" s="28">
        <f>SUMIFS(T_REAL!$D:$D,T_REAL!$E:$E,DRE!V$7,T_REAL!$C:$C,DRE!$A159)+SUMIFS(Aut_Ajustes_Manuais!$G:$G,Aut_Ajustes_Manuais!$I:$I,DRE!T$4,Aut_Ajustes_Manuais!$F:$F,"  -  Estoquista II")</f>
        <v/>
      </c>
      <c r="W159" s="241" t="n"/>
      <c r="X159" s="27">
        <f>-SUMIFS(T_HEADCOUNT!$E:$E,T_HEADCOUNT!$C:$C,"-  Estoquista II",T_HEADCOUNT!$D:$D,"6/2026",T_HEADCOUNT!$B:$B,"CLT")</f>
        <v/>
      </c>
      <c r="Y159" s="28">
        <f>SUMIFS(T_REAL!$D:$D,T_REAL!$E:$E,DRE!Y$7,T_REAL!$C:$C,DRE!$A159)+SUMIFS(Aut_Ajustes_Manuais!$G:$G,Aut_Ajustes_Manuais!$I:$I,DRE!W$4,Aut_Ajustes_Manuais!$F:$F,"  -  Estoquista II")</f>
        <v/>
      </c>
      <c r="Z159" s="241" t="n"/>
      <c r="AA159" s="27">
        <f>-SUMIFS(T_HEADCOUNT!$E:$E,T_HEADCOUNT!$C:$C,"-  Estoquista II",T_HEADCOUNT!$D:$D,"7/2026",T_HEADCOUNT!$B:$B,"CLT")</f>
        <v/>
      </c>
      <c r="AB159" s="28">
        <f>SUMIFS(T_REAL!$D:$D,T_REAL!$E:$E,DRE!AB$7,T_REAL!$C:$C,DRE!$A159)+SUMIFS(Aut_Ajustes_Manuais!$G:$G,Aut_Ajustes_Manuais!$I:$I,DRE!Z$4,Aut_Ajustes_Manuais!$F:$F,"  -  Estoquista II")</f>
        <v/>
      </c>
      <c r="AC159" s="241" t="n"/>
      <c r="AD159" s="27">
        <f>-SUMIFS(T_HEADCOUNT!$E:$E,T_HEADCOUNT!$C:$C,"-  Estoquista II",T_HEADCOUNT!$D:$D,"8/2026",T_HEADCOUNT!$B:$B,"CLT")</f>
        <v/>
      </c>
      <c r="AE159" s="28">
        <f>SUMIFS(T_REAL!$D:$D,T_REAL!$E:$E,DRE!AE$7,T_REAL!$C:$C,DRE!$A159)+SUMIFS(Aut_Ajustes_Manuais!$G:$G,Aut_Ajustes_Manuais!$I:$I,DRE!AC$4,Aut_Ajustes_Manuais!$F:$F,"  -  Estoquista II")</f>
        <v/>
      </c>
      <c r="AF159" s="241" t="n"/>
      <c r="AG159" s="27">
        <f>-SUMIFS(T_HEADCOUNT!$E:$E,T_HEADCOUNT!$C:$C,"-  Estoquista II",T_HEADCOUNT!$D:$D,"9/2026",T_HEADCOUNT!$B:$B,"CLT")</f>
        <v/>
      </c>
      <c r="AH159" s="28">
        <f>SUMIFS(T_REAL!$D:$D,T_REAL!$E:$E,DRE!AH$7,T_REAL!$C:$C,DRE!$A159)+SUMIFS(Aut_Ajustes_Manuais!$G:$G,Aut_Ajustes_Manuais!$I:$I,DRE!AF$4,Aut_Ajustes_Manuais!$F:$F,"  -  Estoquista II")</f>
        <v/>
      </c>
      <c r="AI159" s="241" t="n"/>
      <c r="AJ159" s="27">
        <f>-SUMIFS(T_HEADCOUNT!$E:$E,T_HEADCOUNT!$C:$C,"-  Estoquista II",T_HEADCOUNT!$D:$D,"10/2026",T_HEADCOUNT!$B:$B,"CLT")</f>
        <v/>
      </c>
      <c r="AK159" s="28">
        <f>SUMIFS(T_REAL!$D:$D,T_REAL!$E:$E,DRE!AK$7,T_REAL!$C:$C,DRE!$A159)+SUMIFS(Aut_Ajustes_Manuais!$G:$G,Aut_Ajustes_Manuais!$I:$I,DRE!AI$4,Aut_Ajustes_Manuais!$F:$F,"  -  Estoquista II")</f>
        <v/>
      </c>
      <c r="AL159" s="241" t="n"/>
      <c r="AM159" s="27">
        <f>-SUMIFS(T_HEADCOUNT!$E:$E,T_HEADCOUNT!$C:$C,"-  Estoquista II",T_HEADCOUNT!$D:$D,"11/2026",T_HEADCOUNT!$B:$B,"CLT")</f>
        <v/>
      </c>
      <c r="AN159" s="28">
        <f>SUMIFS(T_REAL!$D:$D,T_REAL!$E:$E,DRE!AN$7,T_REAL!$C:$C,DRE!$A159)+SUMIFS(Aut_Ajustes_Manuais!$G:$G,Aut_Ajustes_Manuais!$I:$I,DRE!AL$4,Aut_Ajustes_Manuais!$F:$F,"  -  Estoquista II")</f>
        <v/>
      </c>
      <c r="AO159" s="241" t="n"/>
      <c r="AP159" s="27">
        <f>-SUMIFS(T_HEADCOUNT!$E:$E,T_HEADCOUNT!$C:$C,"-  Estoquista II",T_HEADCOUNT!$D:$D,"12/2026",T_HEADCOUNT!$B:$B,"CLT")</f>
        <v/>
      </c>
      <c r="AQ159" s="28">
        <f>SUMIFS(T_REAL!$D:$D,T_REAL!$E:$E,DRE!AQ$7,T_REAL!$C:$C,DRE!$A159)+SUMIFS(Aut_Ajustes_Manuais!$G:$G,Aut_Ajustes_Manuais!$I:$I,DRE!AO$4,Aut_Ajustes_Manuais!$F:$F,"  -  Estoquista II")</f>
        <v/>
      </c>
      <c r="AR159" s="241">
        <f>SUMIFS($H159:$AO159,$H$5:$AO$5,"&lt;"&amp;MONTH(TODAY()),$H$6:$AO$6,"REAL 25")</f>
        <v/>
      </c>
      <c r="AS159" s="27">
        <f>SUMIFS($I159:$AP159,$I$5:$AP$5,"&lt;"&amp;MONTH(TODAY()),$I$6:$AP$6,"ORÇADO ")</f>
        <v/>
      </c>
      <c r="AT159" s="28">
        <f>SUMIFS($J159:$AQ159,$J$5:$AQ$5,"&lt;"&amp;MONTH(TODAY()),$J$6:$AQ$6,"REAL 26")</f>
        <v/>
      </c>
      <c r="AU159" s="241" t="n"/>
      <c r="AV159" s="27" t="n"/>
      <c r="AW159" s="28" t="n"/>
      <c r="AX159" s="241" t="n"/>
      <c r="AY159" s="27" t="n">
        <v>-5819.549999999999</v>
      </c>
      <c r="AZ159" s="28" t="n"/>
      <c r="BA159" s="241" t="n"/>
      <c r="BB159" s="27" t="n">
        <v>-5901.0237</v>
      </c>
      <c r="BC159" s="28" t="n"/>
      <c r="BD159" s="241" t="n"/>
      <c r="BE159" s="27" t="n">
        <v>-6063.9711</v>
      </c>
      <c r="BF159" s="28" t="n"/>
      <c r="BG159" s="241" t="n"/>
      <c r="BH159" s="27" t="n">
        <v>-6063.9711</v>
      </c>
      <c r="BI159" s="28" t="n"/>
    </row>
    <row r="160" hidden="1" outlineLevel="1" customFormat="1" s="498">
      <c r="A160" s="95" t="inlineStr">
        <is>
          <t xml:space="preserve">  -  Estoquista I</t>
        </is>
      </c>
      <c r="B160" s="488" t="n"/>
      <c r="C160" s="24" t="n"/>
      <c r="D160" s="55" t="inlineStr">
        <is>
          <t>Salário Bruto com INSS Segurado dentro do valor</t>
        </is>
      </c>
      <c r="E160" s="87" t="n"/>
      <c r="F160" s="56" t="n"/>
      <c r="G160" s="33" t="n"/>
      <c r="H160" s="241" t="n"/>
      <c r="I160" s="27">
        <f>-SUMIFS(T_HEADCOUNT!$E:$E,T_HEADCOUNT!$C:$C,"-  Estoquista I",T_HEADCOUNT!$D:$D,"1/2026",T_HEADCOUNT!$B:$B,"CLT")</f>
        <v/>
      </c>
      <c r="J160" s="28">
        <f>SUMIFS(T_REAL!$D:$D,T_REAL!$E:$E,DRE!J$7,T_REAL!$C:$C,DRE!$A160)+SUMIFS(Aut_Ajustes_Manuais!$G:$G,Aut_Ajustes_Manuais!$I:$I,DRE!H$4,Aut_Ajustes_Manuais!$F:$F,"  -  Estoquista I")</f>
        <v/>
      </c>
      <c r="K160" s="241" t="n"/>
      <c r="L160" s="27">
        <f>-SUMIFS(T_HEADCOUNT!$E:$E,T_HEADCOUNT!$C:$C,"-  Estoquista I",T_HEADCOUNT!$D:$D,"2/2026",T_HEADCOUNT!$B:$B,"CLT")</f>
        <v/>
      </c>
      <c r="M160" s="28">
        <f>SUMIFS(T_REAL!$D:$D,T_REAL!$E:$E,DRE!M$7,T_REAL!$C:$C,DRE!$A160)+SUMIFS(Aut_Ajustes_Manuais!$G:$G,Aut_Ajustes_Manuais!$I:$I,DRE!K$4,Aut_Ajustes_Manuais!$F:$F,"  -  Estoquista I")</f>
        <v/>
      </c>
      <c r="N160" s="241" t="n"/>
      <c r="O160" s="27">
        <f>-SUMIFS(T_HEADCOUNT!$E:$E,T_HEADCOUNT!$C:$C,"-  Estoquista I",T_HEADCOUNT!$D:$D,"3/2026",T_HEADCOUNT!$B:$B,"CLT")</f>
        <v/>
      </c>
      <c r="P160" s="28">
        <f>SUMIFS(T_REAL!$D:$D,T_REAL!$E:$E,DRE!P$7,T_REAL!$C:$C,DRE!$A160)+SUMIFS(Aut_Ajustes_Manuais!$G:$G,Aut_Ajustes_Manuais!$I:$I,DRE!N$4,Aut_Ajustes_Manuais!$F:$F,"  -  Estoquista I")</f>
        <v/>
      </c>
      <c r="Q160" s="241" t="n"/>
      <c r="R160" s="27">
        <f>-SUMIFS(T_HEADCOUNT!$E:$E,T_HEADCOUNT!$C:$C,"-  Estoquista I",T_HEADCOUNT!$D:$D,"4/2026",T_HEADCOUNT!$B:$B,"CLT")</f>
        <v/>
      </c>
      <c r="S160" s="28">
        <f>SUMIFS(T_REAL!$D:$D,T_REAL!$E:$E,DRE!S$7,T_REAL!$C:$C,DRE!$A160)+SUMIFS(Aut_Ajustes_Manuais!$G:$G,Aut_Ajustes_Manuais!$I:$I,DRE!Q$4,Aut_Ajustes_Manuais!$F:$F,"  -  Estoquista I")</f>
        <v/>
      </c>
      <c r="T160" s="241" t="n"/>
      <c r="U160" s="27">
        <f>-SUMIFS(T_HEADCOUNT!$E:$E,T_HEADCOUNT!$C:$C,"-  Estoquista I",T_HEADCOUNT!$D:$D,"5/2026",T_HEADCOUNT!$B:$B,"CLT")</f>
        <v/>
      </c>
      <c r="V160" s="28">
        <f>SUMIFS(T_REAL!$D:$D,T_REAL!$E:$E,DRE!V$7,T_REAL!$C:$C,DRE!$A160)+SUMIFS(Aut_Ajustes_Manuais!$G:$G,Aut_Ajustes_Manuais!$I:$I,DRE!T$4,Aut_Ajustes_Manuais!$F:$F,"  -  Estoquista I")</f>
        <v/>
      </c>
      <c r="W160" s="241" t="n"/>
      <c r="X160" s="27">
        <f>-SUMIFS(T_HEADCOUNT!$E:$E,T_HEADCOUNT!$C:$C,"-  Estoquista I",T_HEADCOUNT!$D:$D,"6/2026",T_HEADCOUNT!$B:$B,"CLT")</f>
        <v/>
      </c>
      <c r="Y160" s="28">
        <f>SUMIFS(T_REAL!$D:$D,T_REAL!$E:$E,DRE!Y$7,T_REAL!$C:$C,DRE!$A160)+SUMIFS(Aut_Ajustes_Manuais!$G:$G,Aut_Ajustes_Manuais!$I:$I,DRE!W$4,Aut_Ajustes_Manuais!$F:$F,"  -  Estoquista I")</f>
        <v/>
      </c>
      <c r="Z160" s="241" t="n"/>
      <c r="AA160" s="27">
        <f>-SUMIFS(T_HEADCOUNT!$E:$E,T_HEADCOUNT!$C:$C,"-  Estoquista I",T_HEADCOUNT!$D:$D,"7/2026",T_HEADCOUNT!$B:$B,"CLT")</f>
        <v/>
      </c>
      <c r="AB160" s="28">
        <f>SUMIFS(T_REAL!$D:$D,T_REAL!$E:$E,DRE!AB$7,T_REAL!$C:$C,DRE!$A160)+SUMIFS(Aut_Ajustes_Manuais!$G:$G,Aut_Ajustes_Manuais!$I:$I,DRE!Z$4,Aut_Ajustes_Manuais!$F:$F,"  -  Estoquista I")</f>
        <v/>
      </c>
      <c r="AC160" s="241" t="n"/>
      <c r="AD160" s="27">
        <f>-SUMIFS(T_HEADCOUNT!$E:$E,T_HEADCOUNT!$C:$C,"-  Estoquista I",T_HEADCOUNT!$D:$D,"8/2026",T_HEADCOUNT!$B:$B,"CLT")</f>
        <v/>
      </c>
      <c r="AE160" s="28">
        <f>SUMIFS(T_REAL!$D:$D,T_REAL!$E:$E,DRE!AE$7,T_REAL!$C:$C,DRE!$A160)+SUMIFS(Aut_Ajustes_Manuais!$G:$G,Aut_Ajustes_Manuais!$I:$I,DRE!AC$4,Aut_Ajustes_Manuais!$F:$F,"  -  Estoquista I")</f>
        <v/>
      </c>
      <c r="AF160" s="241" t="n"/>
      <c r="AG160" s="27">
        <f>-SUMIFS(T_HEADCOUNT!$E:$E,T_HEADCOUNT!$C:$C,"-  Estoquista I",T_HEADCOUNT!$D:$D,"9/2026",T_HEADCOUNT!$B:$B,"CLT")</f>
        <v/>
      </c>
      <c r="AH160" s="28">
        <f>SUMIFS(T_REAL!$D:$D,T_REAL!$E:$E,DRE!AH$7,T_REAL!$C:$C,DRE!$A160)+SUMIFS(Aut_Ajustes_Manuais!$G:$G,Aut_Ajustes_Manuais!$I:$I,DRE!AF$4,Aut_Ajustes_Manuais!$F:$F,"  -  Estoquista I")</f>
        <v/>
      </c>
      <c r="AI160" s="241" t="n"/>
      <c r="AJ160" s="27">
        <f>-SUMIFS(T_HEADCOUNT!$E:$E,T_HEADCOUNT!$C:$C,"-  Estoquista I",T_HEADCOUNT!$D:$D,"10/2026",T_HEADCOUNT!$B:$B,"CLT")</f>
        <v/>
      </c>
      <c r="AK160" s="28">
        <f>SUMIFS(T_REAL!$D:$D,T_REAL!$E:$E,DRE!AK$7,T_REAL!$C:$C,DRE!$A160)+SUMIFS(Aut_Ajustes_Manuais!$G:$G,Aut_Ajustes_Manuais!$I:$I,DRE!AI$4,Aut_Ajustes_Manuais!$F:$F,"  -  Estoquista I")</f>
        <v/>
      </c>
      <c r="AL160" s="241" t="n"/>
      <c r="AM160" s="27">
        <f>-SUMIFS(T_HEADCOUNT!$E:$E,T_HEADCOUNT!$C:$C,"-  Estoquista I",T_HEADCOUNT!$D:$D,"11/2026",T_HEADCOUNT!$B:$B,"CLT")</f>
        <v/>
      </c>
      <c r="AN160" s="28">
        <f>SUMIFS(T_REAL!$D:$D,T_REAL!$E:$E,DRE!AN$7,T_REAL!$C:$C,DRE!$A160)+SUMIFS(Aut_Ajustes_Manuais!$G:$G,Aut_Ajustes_Manuais!$I:$I,DRE!AL$4,Aut_Ajustes_Manuais!$F:$F,"  -  Estoquista I")</f>
        <v/>
      </c>
      <c r="AO160" s="241" t="n"/>
      <c r="AP160" s="27">
        <f>-SUMIFS(T_HEADCOUNT!$E:$E,T_HEADCOUNT!$C:$C,"-  Estoquista I",T_HEADCOUNT!$D:$D,"12/2026",T_HEADCOUNT!$B:$B,"CLT")</f>
        <v/>
      </c>
      <c r="AQ160" s="28">
        <f>SUMIFS(T_REAL!$D:$D,T_REAL!$E:$E,DRE!AQ$7,T_REAL!$C:$C,DRE!$A160)+SUMIFS(Aut_Ajustes_Manuais!$G:$G,Aut_Ajustes_Manuais!$I:$I,DRE!AO$4,Aut_Ajustes_Manuais!$F:$F,"  -  Estoquista I")</f>
        <v/>
      </c>
      <c r="AR160" s="241">
        <f>SUMIFS($H160:$AO160,$H$5:$AO$5,"&lt;"&amp;MONTH(TODAY()),$H$6:$AO$6,"REAL 25")</f>
        <v/>
      </c>
      <c r="AS160" s="27">
        <f>SUMIFS($I160:$AP160,$I$5:$AP$5,"&lt;"&amp;MONTH(TODAY()),$I$6:$AP$6,"ORÇADO ")</f>
        <v/>
      </c>
      <c r="AT160" s="28">
        <f>SUMIFS($J160:$AQ160,$J$5:$AQ$5,"&lt;"&amp;MONTH(TODAY()),$J$6:$AQ$6,"REAL 26")</f>
        <v/>
      </c>
      <c r="AU160" s="241" t="n"/>
      <c r="AV160" s="27" t="n"/>
      <c r="AW160" s="28" t="n"/>
      <c r="AX160" s="241" t="n"/>
      <c r="AY160" s="27" t="n">
        <v>0</v>
      </c>
      <c r="AZ160" s="28" t="n"/>
      <c r="BA160" s="241" t="n"/>
      <c r="BB160" s="27" t="n">
        <v>0</v>
      </c>
      <c r="BC160" s="28" t="n"/>
      <c r="BD160" s="241" t="n"/>
      <c r="BE160" s="27" t="n">
        <v>0</v>
      </c>
      <c r="BF160" s="28" t="n"/>
      <c r="BG160" s="241" t="n"/>
      <c r="BH160" s="27" t="n">
        <v>0</v>
      </c>
      <c r="BI160" s="28" t="n"/>
    </row>
    <row r="161" hidden="1" outlineLevel="1" customFormat="1" s="498">
      <c r="A161" s="95" t="inlineStr">
        <is>
          <t xml:space="preserve">  -  Chefe de Manutenção</t>
        </is>
      </c>
      <c r="B161" s="488" t="n"/>
      <c r="C161" s="24" t="n"/>
      <c r="D161" s="55" t="inlineStr">
        <is>
          <t>Salário Bruto com INSS Segurado dentro do valor</t>
        </is>
      </c>
      <c r="E161" s="87" t="n"/>
      <c r="F161" s="56" t="n"/>
      <c r="G161" s="33" t="n"/>
      <c r="H161" s="241" t="n"/>
      <c r="I161" s="27">
        <f>-SUMIFS(T_HEADCOUNT!$E:$E,T_HEADCOUNT!$C:$C,"-  Chefe de Manutenção",T_HEADCOUNT!$D:$D,"1/2026",T_HEADCOUNT!$B:$B,"CLT")</f>
        <v/>
      </c>
      <c r="J161" s="28">
        <f>SUMIFS(T_REAL!$D:$D,T_REAL!$E:$E,DRE!J$7,T_REAL!$C:$C,DRE!$A161)+SUMIFS(Aut_Ajustes_Manuais!$G:$G,Aut_Ajustes_Manuais!$I:$I,DRE!H$4,Aut_Ajustes_Manuais!$F:$F,"  -  Chefe de Manutenção")</f>
        <v/>
      </c>
      <c r="K161" s="241" t="n"/>
      <c r="L161" s="27">
        <f>-SUMIFS(T_HEADCOUNT!$E:$E,T_HEADCOUNT!$C:$C,"-  Chefe de Manutenção",T_HEADCOUNT!$D:$D,"2/2026",T_HEADCOUNT!$B:$B,"CLT")</f>
        <v/>
      </c>
      <c r="M161" s="28">
        <f>SUMIFS(T_REAL!$D:$D,T_REAL!$E:$E,DRE!M$7,T_REAL!$C:$C,DRE!$A161)+SUMIFS(Aut_Ajustes_Manuais!$G:$G,Aut_Ajustes_Manuais!$I:$I,DRE!K$4,Aut_Ajustes_Manuais!$F:$F,"  -  Chefe de Manutenção")</f>
        <v/>
      </c>
      <c r="N161" s="241" t="n"/>
      <c r="O161" s="27">
        <f>-SUMIFS(T_HEADCOUNT!$E:$E,T_HEADCOUNT!$C:$C,"-  Chefe de Manutenção",T_HEADCOUNT!$D:$D,"3/2026",T_HEADCOUNT!$B:$B,"CLT")</f>
        <v/>
      </c>
      <c r="P161" s="28">
        <f>SUMIFS(T_REAL!$D:$D,T_REAL!$E:$E,DRE!P$7,T_REAL!$C:$C,DRE!$A161)+SUMIFS(Aut_Ajustes_Manuais!$G:$G,Aut_Ajustes_Manuais!$I:$I,DRE!N$4,Aut_Ajustes_Manuais!$F:$F,"  -  Chefe de Manutenção")</f>
        <v/>
      </c>
      <c r="Q161" s="241" t="n"/>
      <c r="R161" s="27">
        <f>-SUMIFS(T_HEADCOUNT!$E:$E,T_HEADCOUNT!$C:$C,"-  Chefe de Manutenção",T_HEADCOUNT!$D:$D,"4/2026",T_HEADCOUNT!$B:$B,"CLT")</f>
        <v/>
      </c>
      <c r="S161" s="28">
        <f>SUMIFS(T_REAL!$D:$D,T_REAL!$E:$E,DRE!S$7,T_REAL!$C:$C,DRE!$A161)+SUMIFS(Aut_Ajustes_Manuais!$G:$G,Aut_Ajustes_Manuais!$I:$I,DRE!Q$4,Aut_Ajustes_Manuais!$F:$F,"  -  Chefe de Manutenção")</f>
        <v/>
      </c>
      <c r="T161" s="241" t="n"/>
      <c r="U161" s="27">
        <f>-SUMIFS(T_HEADCOUNT!$E:$E,T_HEADCOUNT!$C:$C,"-  Chefe de Manutenção",T_HEADCOUNT!$D:$D,"5/2026",T_HEADCOUNT!$B:$B,"CLT")</f>
        <v/>
      </c>
      <c r="V161" s="28">
        <f>SUMIFS(T_REAL!$D:$D,T_REAL!$E:$E,DRE!V$7,T_REAL!$C:$C,DRE!$A161)+SUMIFS(Aut_Ajustes_Manuais!$G:$G,Aut_Ajustes_Manuais!$I:$I,DRE!T$4,Aut_Ajustes_Manuais!$F:$F,"  -  Chefe de Manutenção")</f>
        <v/>
      </c>
      <c r="W161" s="241" t="n"/>
      <c r="X161" s="27">
        <f>-SUMIFS(T_HEADCOUNT!$E:$E,T_HEADCOUNT!$C:$C,"-  Chefe de Manutenção",T_HEADCOUNT!$D:$D,"6/2026",T_HEADCOUNT!$B:$B,"CLT")</f>
        <v/>
      </c>
      <c r="Y161" s="28">
        <f>SUMIFS(T_REAL!$D:$D,T_REAL!$E:$E,DRE!Y$7,T_REAL!$C:$C,DRE!$A161)+SUMIFS(Aut_Ajustes_Manuais!$G:$G,Aut_Ajustes_Manuais!$I:$I,DRE!W$4,Aut_Ajustes_Manuais!$F:$F,"  -  Chefe de Manutenção")</f>
        <v/>
      </c>
      <c r="Z161" s="241" t="n"/>
      <c r="AA161" s="27">
        <f>-SUMIFS(T_HEADCOUNT!$E:$E,T_HEADCOUNT!$C:$C,"-  Chefe de Manutenção",T_HEADCOUNT!$D:$D,"7/2026",T_HEADCOUNT!$B:$B,"CLT")</f>
        <v/>
      </c>
      <c r="AB161" s="28">
        <f>SUMIFS(T_REAL!$D:$D,T_REAL!$E:$E,DRE!AB$7,T_REAL!$C:$C,DRE!$A161)+SUMIFS(Aut_Ajustes_Manuais!$G:$G,Aut_Ajustes_Manuais!$I:$I,DRE!Z$4,Aut_Ajustes_Manuais!$F:$F,"  -  Chefe de Manutenção")</f>
        <v/>
      </c>
      <c r="AC161" s="241" t="n"/>
      <c r="AD161" s="27">
        <f>-SUMIFS(T_HEADCOUNT!$E:$E,T_HEADCOUNT!$C:$C,"-  Chefe de Manutenção",T_HEADCOUNT!$D:$D,"8/2026",T_HEADCOUNT!$B:$B,"CLT")</f>
        <v/>
      </c>
      <c r="AE161" s="28">
        <f>SUMIFS(T_REAL!$D:$D,T_REAL!$E:$E,DRE!AE$7,T_REAL!$C:$C,DRE!$A161)+SUMIFS(Aut_Ajustes_Manuais!$G:$G,Aut_Ajustes_Manuais!$I:$I,DRE!AC$4,Aut_Ajustes_Manuais!$F:$F,"  -  Chefe de Manutenção")</f>
        <v/>
      </c>
      <c r="AF161" s="241" t="n"/>
      <c r="AG161" s="27">
        <f>-SUMIFS(T_HEADCOUNT!$E:$E,T_HEADCOUNT!$C:$C,"-  Chefe de Manutenção",T_HEADCOUNT!$D:$D,"9/2026",T_HEADCOUNT!$B:$B,"CLT")</f>
        <v/>
      </c>
      <c r="AH161" s="28">
        <f>SUMIFS(T_REAL!$D:$D,T_REAL!$E:$E,DRE!AH$7,T_REAL!$C:$C,DRE!$A161)+SUMIFS(Aut_Ajustes_Manuais!$G:$G,Aut_Ajustes_Manuais!$I:$I,DRE!AF$4,Aut_Ajustes_Manuais!$F:$F,"  -  Chefe de Manutenção")</f>
        <v/>
      </c>
      <c r="AI161" s="241" t="n"/>
      <c r="AJ161" s="27">
        <f>-SUMIFS(T_HEADCOUNT!$E:$E,T_HEADCOUNT!$C:$C,"-  Chefe de Manutenção",T_HEADCOUNT!$D:$D,"10/2026",T_HEADCOUNT!$B:$B,"CLT")</f>
        <v/>
      </c>
      <c r="AK161" s="28">
        <f>SUMIFS(T_REAL!$D:$D,T_REAL!$E:$E,DRE!AK$7,T_REAL!$C:$C,DRE!$A161)+SUMIFS(Aut_Ajustes_Manuais!$G:$G,Aut_Ajustes_Manuais!$I:$I,DRE!AI$4,Aut_Ajustes_Manuais!$F:$F,"  -  Chefe de Manutenção")</f>
        <v/>
      </c>
      <c r="AL161" s="241" t="n"/>
      <c r="AM161" s="27">
        <f>-SUMIFS(T_HEADCOUNT!$E:$E,T_HEADCOUNT!$C:$C,"-  Chefe de Manutenção",T_HEADCOUNT!$D:$D,"11/2026",T_HEADCOUNT!$B:$B,"CLT")</f>
        <v/>
      </c>
      <c r="AN161" s="28">
        <f>SUMIFS(T_REAL!$D:$D,T_REAL!$E:$E,DRE!AN$7,T_REAL!$C:$C,DRE!$A161)+SUMIFS(Aut_Ajustes_Manuais!$G:$G,Aut_Ajustes_Manuais!$I:$I,DRE!AL$4,Aut_Ajustes_Manuais!$F:$F,"  -  Chefe de Manutenção")</f>
        <v/>
      </c>
      <c r="AO161" s="241" t="n"/>
      <c r="AP161" s="27">
        <f>-SUMIFS(T_HEADCOUNT!$E:$E,T_HEADCOUNT!$C:$C,"-  Chefe de Manutenção",T_HEADCOUNT!$D:$D,"12/2026",T_HEADCOUNT!$B:$B,"CLT")</f>
        <v/>
      </c>
      <c r="AQ161" s="28">
        <f>SUMIFS(T_REAL!$D:$D,T_REAL!$E:$E,DRE!AQ$7,T_REAL!$C:$C,DRE!$A161)+SUMIFS(Aut_Ajustes_Manuais!$G:$G,Aut_Ajustes_Manuais!$I:$I,DRE!AO$4,Aut_Ajustes_Manuais!$F:$F,"  -  Chefe de Manutenção")</f>
        <v/>
      </c>
      <c r="AR161" s="241">
        <f>SUMIFS($H161:$AO161,$H$5:$AO$5,"&lt;"&amp;MONTH(TODAY()),$H$6:$AO$6,"REAL 25")</f>
        <v/>
      </c>
      <c r="AS161" s="27">
        <f>SUMIFS($I161:$AP161,$I$5:$AP$5,"&lt;"&amp;MONTH(TODAY()),$I$6:$AP$6,"ORÇADO ")</f>
        <v/>
      </c>
      <c r="AT161" s="28">
        <f>SUMIFS($J161:$AQ161,$J$5:$AQ$5,"&lt;"&amp;MONTH(TODAY()),$J$6:$AQ$6,"REAL 26")</f>
        <v/>
      </c>
      <c r="AU161" s="241" t="n"/>
      <c r="AV161" s="27" t="n"/>
      <c r="AW161" s="28" t="n"/>
      <c r="AX161" s="241" t="n"/>
      <c r="AY161" s="27" t="n">
        <v>0</v>
      </c>
      <c r="AZ161" s="28" t="n"/>
      <c r="BA161" s="241" t="n"/>
      <c r="BB161" s="27" t="n">
        <v>0</v>
      </c>
      <c r="BC161" s="28" t="n"/>
      <c r="BD161" s="241" t="n"/>
      <c r="BE161" s="27" t="n">
        <v>0</v>
      </c>
      <c r="BF161" s="28" t="n"/>
      <c r="BG161" s="241" t="n"/>
      <c r="BH161" s="27" t="n">
        <v>0</v>
      </c>
      <c r="BI161" s="28" t="n"/>
    </row>
    <row r="162" hidden="1" outlineLevel="1" customFormat="1" s="498">
      <c r="A162" s="95" t="inlineStr">
        <is>
          <t xml:space="preserve">  -  Aux. Manutenção III</t>
        </is>
      </c>
      <c r="B162" s="488" t="n"/>
      <c r="C162" s="24" t="n"/>
      <c r="D162" s="55" t="inlineStr">
        <is>
          <t>Salário Bruto com INSS Segurado dentro do valor</t>
        </is>
      </c>
      <c r="E162" s="87" t="n"/>
      <c r="F162" s="56" t="n"/>
      <c r="G162" s="33" t="n"/>
      <c r="H162" s="241" t="n"/>
      <c r="I162" s="27">
        <f>-SUMIFS(T_HEADCOUNT!$E:$E,T_HEADCOUNT!$C:$C,"-  Aux. Manutenção III",T_HEADCOUNT!$D:$D,"1/2026",T_HEADCOUNT!$B:$B,"CLT")</f>
        <v/>
      </c>
      <c r="J162" s="28">
        <f>SUMIFS(T_REAL!$D:$D,T_REAL!$E:$E,DRE!J$7,T_REAL!$C:$C,DRE!$A162)+SUMIFS(Aut_Ajustes_Manuais!$G:$G,Aut_Ajustes_Manuais!$I:$I,DRE!H$4,Aut_Ajustes_Manuais!$F:$F,"  -  Aux. Manutenção III")</f>
        <v/>
      </c>
      <c r="K162" s="241" t="n"/>
      <c r="L162" s="27">
        <f>-SUMIFS(T_HEADCOUNT!$E:$E,T_HEADCOUNT!$C:$C,"-  Aux. Manutenção III",T_HEADCOUNT!$D:$D,"2/2026",T_HEADCOUNT!$B:$B,"CLT")</f>
        <v/>
      </c>
      <c r="M162" s="28">
        <f>SUMIFS(T_REAL!$D:$D,T_REAL!$E:$E,DRE!M$7,T_REAL!$C:$C,DRE!$A162)+SUMIFS(Aut_Ajustes_Manuais!$G:$G,Aut_Ajustes_Manuais!$I:$I,DRE!K$4,Aut_Ajustes_Manuais!$F:$F,"  -  Aux. Manutenção III")</f>
        <v/>
      </c>
      <c r="N162" s="241" t="n"/>
      <c r="O162" s="27">
        <f>-SUMIFS(T_HEADCOUNT!$E:$E,T_HEADCOUNT!$C:$C,"-  Aux. Manutenção III",T_HEADCOUNT!$D:$D,"3/2026",T_HEADCOUNT!$B:$B,"CLT")</f>
        <v/>
      </c>
      <c r="P162" s="28">
        <f>SUMIFS(T_REAL!$D:$D,T_REAL!$E:$E,DRE!P$7,T_REAL!$C:$C,DRE!$A162)+SUMIFS(Aut_Ajustes_Manuais!$G:$G,Aut_Ajustes_Manuais!$I:$I,DRE!N$4,Aut_Ajustes_Manuais!$F:$F,"  -  Aux. Manutenção III")</f>
        <v/>
      </c>
      <c r="Q162" s="241" t="n"/>
      <c r="R162" s="27">
        <f>-SUMIFS(T_HEADCOUNT!$E:$E,T_HEADCOUNT!$C:$C,"-  Aux. Manutenção III",T_HEADCOUNT!$D:$D,"4/2026",T_HEADCOUNT!$B:$B,"CLT")</f>
        <v/>
      </c>
      <c r="S162" s="28">
        <f>SUMIFS(T_REAL!$D:$D,T_REAL!$E:$E,DRE!S$7,T_REAL!$C:$C,DRE!$A162)+SUMIFS(Aut_Ajustes_Manuais!$G:$G,Aut_Ajustes_Manuais!$I:$I,DRE!Q$4,Aut_Ajustes_Manuais!$F:$F,"  -  Aux. Manutenção III")</f>
        <v/>
      </c>
      <c r="T162" s="241" t="n"/>
      <c r="U162" s="27">
        <f>-SUMIFS(T_HEADCOUNT!$E:$E,T_HEADCOUNT!$C:$C,"-  Aux. Manutenção III",T_HEADCOUNT!$D:$D,"5/2026",T_HEADCOUNT!$B:$B,"CLT")</f>
        <v/>
      </c>
      <c r="V162" s="28">
        <f>SUMIFS(T_REAL!$D:$D,T_REAL!$E:$E,DRE!V$7,T_REAL!$C:$C,DRE!$A162)+SUMIFS(Aut_Ajustes_Manuais!$G:$G,Aut_Ajustes_Manuais!$I:$I,DRE!T$4,Aut_Ajustes_Manuais!$F:$F,"  -  Aux. Manutenção III")</f>
        <v/>
      </c>
      <c r="W162" s="241" t="n"/>
      <c r="X162" s="27">
        <f>-SUMIFS(T_HEADCOUNT!$E:$E,T_HEADCOUNT!$C:$C,"-  Aux. Manutenção III",T_HEADCOUNT!$D:$D,"6/2026",T_HEADCOUNT!$B:$B,"CLT")</f>
        <v/>
      </c>
      <c r="Y162" s="28">
        <f>SUMIFS(T_REAL!$D:$D,T_REAL!$E:$E,DRE!Y$7,T_REAL!$C:$C,DRE!$A162)+SUMIFS(Aut_Ajustes_Manuais!$G:$G,Aut_Ajustes_Manuais!$I:$I,DRE!W$4,Aut_Ajustes_Manuais!$F:$F,"  -  Aux. Manutenção III")</f>
        <v/>
      </c>
      <c r="Z162" s="241" t="n"/>
      <c r="AA162" s="27">
        <f>-SUMIFS(T_HEADCOUNT!$E:$E,T_HEADCOUNT!$C:$C,"-  Aux. Manutenção III",T_HEADCOUNT!$D:$D,"7/2026",T_HEADCOUNT!$B:$B,"CLT")</f>
        <v/>
      </c>
      <c r="AB162" s="28">
        <f>SUMIFS(T_REAL!$D:$D,T_REAL!$E:$E,DRE!AB$7,T_REAL!$C:$C,DRE!$A162)+SUMIFS(Aut_Ajustes_Manuais!$G:$G,Aut_Ajustes_Manuais!$I:$I,DRE!Z$4,Aut_Ajustes_Manuais!$F:$F,"  -  Aux. Manutenção III")</f>
        <v/>
      </c>
      <c r="AC162" s="241" t="n"/>
      <c r="AD162" s="27">
        <f>-SUMIFS(T_HEADCOUNT!$E:$E,T_HEADCOUNT!$C:$C,"-  Aux. Manutenção III",T_HEADCOUNT!$D:$D,"8/2026",T_HEADCOUNT!$B:$B,"CLT")</f>
        <v/>
      </c>
      <c r="AE162" s="28">
        <f>SUMIFS(T_REAL!$D:$D,T_REAL!$E:$E,DRE!AE$7,T_REAL!$C:$C,DRE!$A162)+SUMIFS(Aut_Ajustes_Manuais!$G:$G,Aut_Ajustes_Manuais!$I:$I,DRE!AC$4,Aut_Ajustes_Manuais!$F:$F,"  -  Aux. Manutenção III")</f>
        <v/>
      </c>
      <c r="AF162" s="241" t="n"/>
      <c r="AG162" s="27">
        <f>-SUMIFS(T_HEADCOUNT!$E:$E,T_HEADCOUNT!$C:$C,"-  Aux. Manutenção III",T_HEADCOUNT!$D:$D,"9/2026",T_HEADCOUNT!$B:$B,"CLT")</f>
        <v/>
      </c>
      <c r="AH162" s="28">
        <f>SUMIFS(T_REAL!$D:$D,T_REAL!$E:$E,DRE!AH$7,T_REAL!$C:$C,DRE!$A162)+SUMIFS(Aut_Ajustes_Manuais!$G:$G,Aut_Ajustes_Manuais!$I:$I,DRE!AF$4,Aut_Ajustes_Manuais!$F:$F,"  -  Aux. Manutenção III")</f>
        <v/>
      </c>
      <c r="AI162" s="241" t="n"/>
      <c r="AJ162" s="27">
        <f>-SUMIFS(T_HEADCOUNT!$E:$E,T_HEADCOUNT!$C:$C,"-  Aux. Manutenção III",T_HEADCOUNT!$D:$D,"10/2026",T_HEADCOUNT!$B:$B,"CLT")</f>
        <v/>
      </c>
      <c r="AK162" s="28">
        <f>SUMIFS(T_REAL!$D:$D,T_REAL!$E:$E,DRE!AK$7,T_REAL!$C:$C,DRE!$A162)+SUMIFS(Aut_Ajustes_Manuais!$G:$G,Aut_Ajustes_Manuais!$I:$I,DRE!AI$4,Aut_Ajustes_Manuais!$F:$F,"  -  Aux. Manutenção III")</f>
        <v/>
      </c>
      <c r="AL162" s="241" t="n"/>
      <c r="AM162" s="27">
        <f>-SUMIFS(T_HEADCOUNT!$E:$E,T_HEADCOUNT!$C:$C,"-  Aux. Manutenção III",T_HEADCOUNT!$D:$D,"11/2026",T_HEADCOUNT!$B:$B,"CLT")</f>
        <v/>
      </c>
      <c r="AN162" s="28">
        <f>SUMIFS(T_REAL!$D:$D,T_REAL!$E:$E,DRE!AN$7,T_REAL!$C:$C,DRE!$A162)+SUMIFS(Aut_Ajustes_Manuais!$G:$G,Aut_Ajustes_Manuais!$I:$I,DRE!AL$4,Aut_Ajustes_Manuais!$F:$F,"  -  Aux. Manutenção III")</f>
        <v/>
      </c>
      <c r="AO162" s="241" t="n"/>
      <c r="AP162" s="27">
        <f>-SUMIFS(T_HEADCOUNT!$E:$E,T_HEADCOUNT!$C:$C,"-  Aux. Manutenção III",T_HEADCOUNT!$D:$D,"12/2026",T_HEADCOUNT!$B:$B,"CLT")</f>
        <v/>
      </c>
      <c r="AQ162" s="28">
        <f>SUMIFS(T_REAL!$D:$D,T_REAL!$E:$E,DRE!AQ$7,T_REAL!$C:$C,DRE!$A162)+SUMIFS(Aut_Ajustes_Manuais!$G:$G,Aut_Ajustes_Manuais!$I:$I,DRE!AO$4,Aut_Ajustes_Manuais!$F:$F,"  -  Aux. Manutenção III")</f>
        <v/>
      </c>
      <c r="AR162" s="241">
        <f>SUMIFS($H162:$AO162,$H$5:$AO$5,"&lt;"&amp;MONTH(TODAY()),$H$6:$AO$6,"REAL 25")</f>
        <v/>
      </c>
      <c r="AS162" s="27">
        <f>SUMIFS($I162:$AP162,$I$5:$AP$5,"&lt;"&amp;MONTH(TODAY()),$I$6:$AP$6,"ORÇADO ")</f>
        <v/>
      </c>
      <c r="AT162" s="28">
        <f>SUMIFS($J162:$AQ162,$J$5:$AQ$5,"&lt;"&amp;MONTH(TODAY()),$J$6:$AQ$6,"REAL 26")</f>
        <v/>
      </c>
      <c r="AU162" s="241" t="n"/>
      <c r="AV162" s="27" t="n"/>
      <c r="AW162" s="28" t="n"/>
      <c r="AX162" s="241" t="n"/>
      <c r="AY162" s="27" t="n">
        <v>0</v>
      </c>
      <c r="AZ162" s="28" t="n"/>
      <c r="BA162" s="241" t="n"/>
      <c r="BB162" s="27" t="n">
        <v>0</v>
      </c>
      <c r="BC162" s="28" t="n"/>
      <c r="BD162" s="241" t="n"/>
      <c r="BE162" s="27" t="n">
        <v>0</v>
      </c>
      <c r="BF162" s="28" t="n"/>
      <c r="BG162" s="241" t="n"/>
      <c r="BH162" s="27" t="n">
        <v>0</v>
      </c>
      <c r="BI162" s="28" t="n"/>
    </row>
    <row r="163" hidden="1" outlineLevel="1" customFormat="1" s="498">
      <c r="A163" s="95" t="inlineStr">
        <is>
          <t xml:space="preserve">  -  Aux. Manutenção II</t>
        </is>
      </c>
      <c r="B163" s="488" t="n"/>
      <c r="C163" s="24" t="n"/>
      <c r="D163" s="55" t="inlineStr">
        <is>
          <t>Salário Bruto com INSS Segurado dentro do valor</t>
        </is>
      </c>
      <c r="E163" s="87" t="n"/>
      <c r="F163" s="56" t="n"/>
      <c r="G163" s="33" t="n"/>
      <c r="H163" s="241" t="n"/>
      <c r="I163" s="27">
        <f>-SUMIFS(T_HEADCOUNT!$E:$E,T_HEADCOUNT!$C:$C,"-  Aux. Manutenção II",T_HEADCOUNT!$D:$D,"1/2026",T_HEADCOUNT!$B:$B,"CLT")</f>
        <v/>
      </c>
      <c r="J163" s="28">
        <f>SUMIFS(T_REAL!$D:$D,T_REAL!$E:$E,DRE!J$7,T_REAL!$C:$C,DRE!$A163)+SUMIFS(Aut_Ajustes_Manuais!$G:$G,Aut_Ajustes_Manuais!$I:$I,DRE!H$4,Aut_Ajustes_Manuais!$F:$F,"  -  Aux. Manutenção II")</f>
        <v/>
      </c>
      <c r="K163" s="241" t="n"/>
      <c r="L163" s="27">
        <f>-SUMIFS(T_HEADCOUNT!$E:$E,T_HEADCOUNT!$C:$C,"-  Aux. Manutenção II",T_HEADCOUNT!$D:$D,"2/2026",T_HEADCOUNT!$B:$B,"CLT")</f>
        <v/>
      </c>
      <c r="M163" s="28">
        <f>SUMIFS(T_REAL!$D:$D,T_REAL!$E:$E,DRE!M$7,T_REAL!$C:$C,DRE!$A163)+SUMIFS(Aut_Ajustes_Manuais!$G:$G,Aut_Ajustes_Manuais!$I:$I,DRE!K$4,Aut_Ajustes_Manuais!$F:$F,"  -  Aux. Manutenção II")</f>
        <v/>
      </c>
      <c r="N163" s="241" t="n"/>
      <c r="O163" s="27">
        <f>-SUMIFS(T_HEADCOUNT!$E:$E,T_HEADCOUNT!$C:$C,"-  Aux. Manutenção II",T_HEADCOUNT!$D:$D,"3/2026",T_HEADCOUNT!$B:$B,"CLT")</f>
        <v/>
      </c>
      <c r="P163" s="28">
        <f>SUMIFS(T_REAL!$D:$D,T_REAL!$E:$E,DRE!P$7,T_REAL!$C:$C,DRE!$A163)+SUMIFS(Aut_Ajustes_Manuais!$G:$G,Aut_Ajustes_Manuais!$I:$I,DRE!N$4,Aut_Ajustes_Manuais!$F:$F,"  -  Aux. Manutenção II")</f>
        <v/>
      </c>
      <c r="Q163" s="241" t="n"/>
      <c r="R163" s="27">
        <f>-SUMIFS(T_HEADCOUNT!$E:$E,T_HEADCOUNT!$C:$C,"-  Aux. Manutenção II",T_HEADCOUNT!$D:$D,"4/2026",T_HEADCOUNT!$B:$B,"CLT")</f>
        <v/>
      </c>
      <c r="S163" s="28">
        <f>SUMIFS(T_REAL!$D:$D,T_REAL!$E:$E,DRE!S$7,T_REAL!$C:$C,DRE!$A163)+SUMIFS(Aut_Ajustes_Manuais!$G:$G,Aut_Ajustes_Manuais!$I:$I,DRE!Q$4,Aut_Ajustes_Manuais!$F:$F,"  -  Aux. Manutenção II")</f>
        <v/>
      </c>
      <c r="T163" s="241" t="n"/>
      <c r="U163" s="27">
        <f>-SUMIFS(T_HEADCOUNT!$E:$E,T_HEADCOUNT!$C:$C,"-  Aux. Manutenção II",T_HEADCOUNT!$D:$D,"5/2026",T_HEADCOUNT!$B:$B,"CLT")</f>
        <v/>
      </c>
      <c r="V163" s="28">
        <f>SUMIFS(T_REAL!$D:$D,T_REAL!$E:$E,DRE!V$7,T_REAL!$C:$C,DRE!$A163)+SUMIFS(Aut_Ajustes_Manuais!$G:$G,Aut_Ajustes_Manuais!$I:$I,DRE!T$4,Aut_Ajustes_Manuais!$F:$F,"  -  Aux. Manutenção II")</f>
        <v/>
      </c>
      <c r="W163" s="241" t="n"/>
      <c r="X163" s="27">
        <f>-SUMIFS(T_HEADCOUNT!$E:$E,T_HEADCOUNT!$C:$C,"-  Aux. Manutenção II",T_HEADCOUNT!$D:$D,"6/2026",T_HEADCOUNT!$B:$B,"CLT")</f>
        <v/>
      </c>
      <c r="Y163" s="28">
        <f>SUMIFS(T_REAL!$D:$D,T_REAL!$E:$E,DRE!Y$7,T_REAL!$C:$C,DRE!$A163)+SUMIFS(Aut_Ajustes_Manuais!$G:$G,Aut_Ajustes_Manuais!$I:$I,DRE!W$4,Aut_Ajustes_Manuais!$F:$F,"  -  Aux. Manutenção II")</f>
        <v/>
      </c>
      <c r="Z163" s="241" t="n"/>
      <c r="AA163" s="27">
        <f>-SUMIFS(T_HEADCOUNT!$E:$E,T_HEADCOUNT!$C:$C,"-  Aux. Manutenção II",T_HEADCOUNT!$D:$D,"7/2026",T_HEADCOUNT!$B:$B,"CLT")</f>
        <v/>
      </c>
      <c r="AB163" s="28">
        <f>SUMIFS(T_REAL!$D:$D,T_REAL!$E:$E,DRE!AB$7,T_REAL!$C:$C,DRE!$A163)+SUMIFS(Aut_Ajustes_Manuais!$G:$G,Aut_Ajustes_Manuais!$I:$I,DRE!Z$4,Aut_Ajustes_Manuais!$F:$F,"  -  Aux. Manutenção II")</f>
        <v/>
      </c>
      <c r="AC163" s="241" t="n"/>
      <c r="AD163" s="27">
        <f>-SUMIFS(T_HEADCOUNT!$E:$E,T_HEADCOUNT!$C:$C,"-  Aux. Manutenção II",T_HEADCOUNT!$D:$D,"8/2026",T_HEADCOUNT!$B:$B,"CLT")</f>
        <v/>
      </c>
      <c r="AE163" s="28">
        <f>SUMIFS(T_REAL!$D:$D,T_REAL!$E:$E,DRE!AE$7,T_REAL!$C:$C,DRE!$A163)+SUMIFS(Aut_Ajustes_Manuais!$G:$G,Aut_Ajustes_Manuais!$I:$I,DRE!AC$4,Aut_Ajustes_Manuais!$F:$F,"  -  Aux. Manutenção II")</f>
        <v/>
      </c>
      <c r="AF163" s="241" t="n"/>
      <c r="AG163" s="27">
        <f>-SUMIFS(T_HEADCOUNT!$E:$E,T_HEADCOUNT!$C:$C,"-  Aux. Manutenção II",T_HEADCOUNT!$D:$D,"9/2026",T_HEADCOUNT!$B:$B,"CLT")</f>
        <v/>
      </c>
      <c r="AH163" s="28">
        <f>SUMIFS(T_REAL!$D:$D,T_REAL!$E:$E,DRE!AH$7,T_REAL!$C:$C,DRE!$A163)+SUMIFS(Aut_Ajustes_Manuais!$G:$G,Aut_Ajustes_Manuais!$I:$I,DRE!AF$4,Aut_Ajustes_Manuais!$F:$F,"  -  Aux. Manutenção II")</f>
        <v/>
      </c>
      <c r="AI163" s="241" t="n"/>
      <c r="AJ163" s="27">
        <f>-SUMIFS(T_HEADCOUNT!$E:$E,T_HEADCOUNT!$C:$C,"-  Aux. Manutenção II",T_HEADCOUNT!$D:$D,"10/2026",T_HEADCOUNT!$B:$B,"CLT")</f>
        <v/>
      </c>
      <c r="AK163" s="28">
        <f>SUMIFS(T_REAL!$D:$D,T_REAL!$E:$E,DRE!AK$7,T_REAL!$C:$C,DRE!$A163)+SUMIFS(Aut_Ajustes_Manuais!$G:$G,Aut_Ajustes_Manuais!$I:$I,DRE!AI$4,Aut_Ajustes_Manuais!$F:$F,"  -  Aux. Manutenção II")</f>
        <v/>
      </c>
      <c r="AL163" s="241" t="n"/>
      <c r="AM163" s="27">
        <f>-SUMIFS(T_HEADCOUNT!$E:$E,T_HEADCOUNT!$C:$C,"-  Aux. Manutenção II",T_HEADCOUNT!$D:$D,"11/2026",T_HEADCOUNT!$B:$B,"CLT")</f>
        <v/>
      </c>
      <c r="AN163" s="28">
        <f>SUMIFS(T_REAL!$D:$D,T_REAL!$E:$E,DRE!AN$7,T_REAL!$C:$C,DRE!$A163)+SUMIFS(Aut_Ajustes_Manuais!$G:$G,Aut_Ajustes_Manuais!$I:$I,DRE!AL$4,Aut_Ajustes_Manuais!$F:$F,"  -  Aux. Manutenção II")</f>
        <v/>
      </c>
      <c r="AO163" s="241" t="n"/>
      <c r="AP163" s="27">
        <f>-SUMIFS(T_HEADCOUNT!$E:$E,T_HEADCOUNT!$C:$C,"-  Aux. Manutenção II",T_HEADCOUNT!$D:$D,"12/2026",T_HEADCOUNT!$B:$B,"CLT")</f>
        <v/>
      </c>
      <c r="AQ163" s="28">
        <f>SUMIFS(T_REAL!$D:$D,T_REAL!$E:$E,DRE!AQ$7,T_REAL!$C:$C,DRE!$A163)+SUMIFS(Aut_Ajustes_Manuais!$G:$G,Aut_Ajustes_Manuais!$I:$I,DRE!AO$4,Aut_Ajustes_Manuais!$F:$F,"  -  Aux. Manutenção II")</f>
        <v/>
      </c>
      <c r="AR163" s="241">
        <f>SUMIFS($H163:$AO163,$H$5:$AO$5,"&lt;"&amp;MONTH(TODAY()),$H$6:$AO$6,"REAL 25")</f>
        <v/>
      </c>
      <c r="AS163" s="27">
        <f>SUMIFS($I163:$AP163,$I$5:$AP$5,"&lt;"&amp;MONTH(TODAY()),$I$6:$AP$6,"ORÇADO ")</f>
        <v/>
      </c>
      <c r="AT163" s="28">
        <f>SUMIFS($J163:$AQ163,$J$5:$AQ$5,"&lt;"&amp;MONTH(TODAY()),$J$6:$AQ$6,"REAL 26")</f>
        <v/>
      </c>
      <c r="AU163" s="241" t="n"/>
      <c r="AV163" s="27" t="n"/>
      <c r="AW163" s="28" t="n"/>
      <c r="AX163" s="241" t="n"/>
      <c r="AY163" s="27" t="n">
        <v>0</v>
      </c>
      <c r="AZ163" s="28" t="n"/>
      <c r="BA163" s="241" t="n"/>
      <c r="BB163" s="27" t="n">
        <v>0</v>
      </c>
      <c r="BC163" s="28" t="n"/>
      <c r="BD163" s="241" t="n"/>
      <c r="BE163" s="27" t="n">
        <v>0</v>
      </c>
      <c r="BF163" s="28" t="n"/>
      <c r="BG163" s="241" t="n"/>
      <c r="BH163" s="27" t="n">
        <v>0</v>
      </c>
      <c r="BI163" s="28" t="n"/>
    </row>
    <row r="164" hidden="1" outlineLevel="1" customFormat="1" s="498">
      <c r="A164" s="95" t="inlineStr">
        <is>
          <t xml:space="preserve">  -  Aux. Manutenção I</t>
        </is>
      </c>
      <c r="B164" s="488" t="n"/>
      <c r="C164" s="24" t="n"/>
      <c r="D164" s="55" t="inlineStr">
        <is>
          <t>Salário Bruto com INSS Segurado dentro do valor</t>
        </is>
      </c>
      <c r="E164" s="87" t="n"/>
      <c r="F164" s="56" t="n"/>
      <c r="G164" s="33" t="n"/>
      <c r="H164" s="241" t="n"/>
      <c r="I164" s="27">
        <f>-SUMIFS(T_HEADCOUNT!$E:$E,T_HEADCOUNT!$C:$C,"-  Aux. Manutenção I",T_HEADCOUNT!$D:$D,"1/2026",T_HEADCOUNT!$B:$B,"CLT")</f>
        <v/>
      </c>
      <c r="J164" s="28">
        <f>SUMIFS(T_REAL!$D:$D,T_REAL!$E:$E,DRE!J$7,T_REAL!$C:$C,DRE!$A164)+SUMIFS(Aut_Ajustes_Manuais!$G:$G,Aut_Ajustes_Manuais!$I:$I,DRE!H$4,Aut_Ajustes_Manuais!$F:$F,"  -  Aux. Manutenção I")</f>
        <v/>
      </c>
      <c r="K164" s="241" t="n"/>
      <c r="L164" s="27">
        <f>-SUMIFS(T_HEADCOUNT!$E:$E,T_HEADCOUNT!$C:$C,"-  Aux. Manutenção I",T_HEADCOUNT!$D:$D,"2/2026",T_HEADCOUNT!$B:$B,"CLT")</f>
        <v/>
      </c>
      <c r="M164" s="28">
        <f>SUMIFS(T_REAL!$D:$D,T_REAL!$E:$E,DRE!M$7,T_REAL!$C:$C,DRE!$A164)+SUMIFS(Aut_Ajustes_Manuais!$G:$G,Aut_Ajustes_Manuais!$I:$I,DRE!K$4,Aut_Ajustes_Manuais!$F:$F,"  -  Aux. Manutenção I")</f>
        <v/>
      </c>
      <c r="N164" s="241" t="n"/>
      <c r="O164" s="27">
        <f>-SUMIFS(T_HEADCOUNT!$E:$E,T_HEADCOUNT!$C:$C,"-  Aux. Manutenção I",T_HEADCOUNT!$D:$D,"3/2026",T_HEADCOUNT!$B:$B,"CLT")</f>
        <v/>
      </c>
      <c r="P164" s="28">
        <f>SUMIFS(T_REAL!$D:$D,T_REAL!$E:$E,DRE!P$7,T_REAL!$C:$C,DRE!$A164)+SUMIFS(Aut_Ajustes_Manuais!$G:$G,Aut_Ajustes_Manuais!$I:$I,DRE!N$4,Aut_Ajustes_Manuais!$F:$F,"  -  Aux. Manutenção I")</f>
        <v/>
      </c>
      <c r="Q164" s="241" t="n"/>
      <c r="R164" s="27">
        <f>-SUMIFS(T_HEADCOUNT!$E:$E,T_HEADCOUNT!$C:$C,"-  Aux. Manutenção I",T_HEADCOUNT!$D:$D,"4/2026",T_HEADCOUNT!$B:$B,"CLT")</f>
        <v/>
      </c>
      <c r="S164" s="28">
        <f>SUMIFS(T_REAL!$D:$D,T_REAL!$E:$E,DRE!S$7,T_REAL!$C:$C,DRE!$A164)+SUMIFS(Aut_Ajustes_Manuais!$G:$G,Aut_Ajustes_Manuais!$I:$I,DRE!Q$4,Aut_Ajustes_Manuais!$F:$F,"  -  Aux. Manutenção I")</f>
        <v/>
      </c>
      <c r="T164" s="241" t="n"/>
      <c r="U164" s="27">
        <f>-SUMIFS(T_HEADCOUNT!$E:$E,T_HEADCOUNT!$C:$C,"-  Aux. Manutenção I",T_HEADCOUNT!$D:$D,"5/2026",T_HEADCOUNT!$B:$B,"CLT")</f>
        <v/>
      </c>
      <c r="V164" s="28">
        <f>SUMIFS(T_REAL!$D:$D,T_REAL!$E:$E,DRE!V$7,T_REAL!$C:$C,DRE!$A164)+SUMIFS(Aut_Ajustes_Manuais!$G:$G,Aut_Ajustes_Manuais!$I:$I,DRE!T$4,Aut_Ajustes_Manuais!$F:$F,"  -  Aux. Manutenção I")</f>
        <v/>
      </c>
      <c r="W164" s="241" t="n"/>
      <c r="X164" s="27">
        <f>-SUMIFS(T_HEADCOUNT!$E:$E,T_HEADCOUNT!$C:$C,"-  Aux. Manutenção I",T_HEADCOUNT!$D:$D,"6/2026",T_HEADCOUNT!$B:$B,"CLT")</f>
        <v/>
      </c>
      <c r="Y164" s="28">
        <f>SUMIFS(T_REAL!$D:$D,T_REAL!$E:$E,DRE!Y$7,T_REAL!$C:$C,DRE!$A164)+SUMIFS(Aut_Ajustes_Manuais!$G:$G,Aut_Ajustes_Manuais!$I:$I,DRE!W$4,Aut_Ajustes_Manuais!$F:$F,"  -  Aux. Manutenção I")</f>
        <v/>
      </c>
      <c r="Z164" s="241" t="n"/>
      <c r="AA164" s="27">
        <f>-SUMIFS(T_HEADCOUNT!$E:$E,T_HEADCOUNT!$C:$C,"-  Aux. Manutenção I",T_HEADCOUNT!$D:$D,"7/2026",T_HEADCOUNT!$B:$B,"CLT")</f>
        <v/>
      </c>
      <c r="AB164" s="28">
        <f>SUMIFS(T_REAL!$D:$D,T_REAL!$E:$E,DRE!AB$7,T_REAL!$C:$C,DRE!$A164)+SUMIFS(Aut_Ajustes_Manuais!$G:$G,Aut_Ajustes_Manuais!$I:$I,DRE!Z$4,Aut_Ajustes_Manuais!$F:$F,"  -  Aux. Manutenção I")</f>
        <v/>
      </c>
      <c r="AC164" s="241" t="n"/>
      <c r="AD164" s="27">
        <f>-SUMIFS(T_HEADCOUNT!$E:$E,T_HEADCOUNT!$C:$C,"-  Aux. Manutenção I",T_HEADCOUNT!$D:$D,"8/2026",T_HEADCOUNT!$B:$B,"CLT")</f>
        <v/>
      </c>
      <c r="AE164" s="28">
        <f>SUMIFS(T_REAL!$D:$D,T_REAL!$E:$E,DRE!AE$7,T_REAL!$C:$C,DRE!$A164)+SUMIFS(Aut_Ajustes_Manuais!$G:$G,Aut_Ajustes_Manuais!$I:$I,DRE!AC$4,Aut_Ajustes_Manuais!$F:$F,"  -  Aux. Manutenção I")</f>
        <v/>
      </c>
      <c r="AF164" s="241" t="n"/>
      <c r="AG164" s="27">
        <f>-SUMIFS(T_HEADCOUNT!$E:$E,T_HEADCOUNT!$C:$C,"-  Aux. Manutenção I",T_HEADCOUNT!$D:$D,"9/2026",T_HEADCOUNT!$B:$B,"CLT")</f>
        <v/>
      </c>
      <c r="AH164" s="28">
        <f>SUMIFS(T_REAL!$D:$D,T_REAL!$E:$E,DRE!AH$7,T_REAL!$C:$C,DRE!$A164)+SUMIFS(Aut_Ajustes_Manuais!$G:$G,Aut_Ajustes_Manuais!$I:$I,DRE!AF$4,Aut_Ajustes_Manuais!$F:$F,"  -  Aux. Manutenção I")</f>
        <v/>
      </c>
      <c r="AI164" s="241" t="n"/>
      <c r="AJ164" s="27">
        <f>-SUMIFS(T_HEADCOUNT!$E:$E,T_HEADCOUNT!$C:$C,"-  Aux. Manutenção I",T_HEADCOUNT!$D:$D,"10/2026",T_HEADCOUNT!$B:$B,"CLT")</f>
        <v/>
      </c>
      <c r="AK164" s="28">
        <f>SUMIFS(T_REAL!$D:$D,T_REAL!$E:$E,DRE!AK$7,T_REAL!$C:$C,DRE!$A164)+SUMIFS(Aut_Ajustes_Manuais!$G:$G,Aut_Ajustes_Manuais!$I:$I,DRE!AI$4,Aut_Ajustes_Manuais!$F:$F,"  -  Aux. Manutenção I")</f>
        <v/>
      </c>
      <c r="AL164" s="241" t="n"/>
      <c r="AM164" s="27">
        <f>-SUMIFS(T_HEADCOUNT!$E:$E,T_HEADCOUNT!$C:$C,"-  Aux. Manutenção I",T_HEADCOUNT!$D:$D,"11/2026",T_HEADCOUNT!$B:$B,"CLT")</f>
        <v/>
      </c>
      <c r="AN164" s="28">
        <f>SUMIFS(T_REAL!$D:$D,T_REAL!$E:$E,DRE!AN$7,T_REAL!$C:$C,DRE!$A164)+SUMIFS(Aut_Ajustes_Manuais!$G:$G,Aut_Ajustes_Manuais!$I:$I,DRE!AL$4,Aut_Ajustes_Manuais!$F:$F,"  -  Aux. Manutenção I")</f>
        <v/>
      </c>
      <c r="AO164" s="241" t="n"/>
      <c r="AP164" s="27">
        <f>-SUMIFS(T_HEADCOUNT!$E:$E,T_HEADCOUNT!$C:$C,"-  Aux. Manutenção I",T_HEADCOUNT!$D:$D,"12/2026",T_HEADCOUNT!$B:$B,"CLT")</f>
        <v/>
      </c>
      <c r="AQ164" s="28">
        <f>SUMIFS(T_REAL!$D:$D,T_REAL!$E:$E,DRE!AQ$7,T_REAL!$C:$C,DRE!$A164)+SUMIFS(Aut_Ajustes_Manuais!$G:$G,Aut_Ajustes_Manuais!$I:$I,DRE!AO$4,Aut_Ajustes_Manuais!$F:$F,"  -  Aux. Manutenção I")</f>
        <v/>
      </c>
      <c r="AR164" s="241">
        <f>SUMIFS($H164:$AO164,$H$5:$AO$5,"&lt;"&amp;MONTH(TODAY()),$H$6:$AO$6,"REAL 25")</f>
        <v/>
      </c>
      <c r="AS164" s="27">
        <f>SUMIFS($I164:$AP164,$I$5:$AP$5,"&lt;"&amp;MONTH(TODAY()),$I$6:$AP$6,"ORÇADO ")</f>
        <v/>
      </c>
      <c r="AT164" s="28">
        <f>SUMIFS($J164:$AQ164,$J$5:$AQ$5,"&lt;"&amp;MONTH(TODAY()),$J$6:$AQ$6,"REAL 26")</f>
        <v/>
      </c>
      <c r="AU164" s="241" t="n"/>
      <c r="AV164" s="27" t="n"/>
      <c r="AW164" s="28" t="n"/>
      <c r="AX164" s="241" t="n"/>
      <c r="AY164" s="27" t="n">
        <v>0</v>
      </c>
      <c r="AZ164" s="28" t="n"/>
      <c r="BA164" s="241" t="n"/>
      <c r="BB164" s="27" t="n">
        <v>0</v>
      </c>
      <c r="BC164" s="28" t="n"/>
      <c r="BD164" s="241" t="n"/>
      <c r="BE164" s="27" t="n">
        <v>0</v>
      </c>
      <c r="BF164" s="28" t="n"/>
      <c r="BG164" s="241" t="n"/>
      <c r="BH164" s="27" t="n">
        <v>0</v>
      </c>
      <c r="BI164" s="28" t="n"/>
    </row>
    <row r="165" hidden="1" outlineLevel="1" customFormat="1" s="498">
      <c r="A165" s="95" t="inlineStr">
        <is>
          <t xml:space="preserve">  -  Chefe da Portaria</t>
        </is>
      </c>
      <c r="B165" s="488" t="n"/>
      <c r="C165" s="24" t="n"/>
      <c r="D165" s="55" t="inlineStr">
        <is>
          <t>Salário Bruto com INSS Segurado dentro do valor</t>
        </is>
      </c>
      <c r="E165" s="87" t="n"/>
      <c r="F165" s="56" t="n"/>
      <c r="G165" s="33" t="n"/>
      <c r="H165" s="241" t="n"/>
      <c r="I165" s="27">
        <f>-SUMIFS(T_HEADCOUNT!$E:$E,T_HEADCOUNT!$C:$C,"-  Chefe da Portaria",T_HEADCOUNT!$D:$D,"1/2026",T_HEADCOUNT!$B:$B,"CLT")</f>
        <v/>
      </c>
      <c r="J165" s="28">
        <f>SUMIFS(T_REAL!$D:$D,T_REAL!$E:$E,DRE!J$7,T_REAL!$C:$C,DRE!$A165)+SUMIFS(Aut_Ajustes_Manuais!$G:$G,Aut_Ajustes_Manuais!$I:$I,DRE!H$4,Aut_Ajustes_Manuais!$F:$F,"  -  Chefe da Portaria")</f>
        <v/>
      </c>
      <c r="K165" s="241" t="n"/>
      <c r="L165" s="27">
        <f>-SUMIFS(T_HEADCOUNT!$E:$E,T_HEADCOUNT!$C:$C,"-  Chefe da Portaria",T_HEADCOUNT!$D:$D,"2/2026",T_HEADCOUNT!$B:$B,"CLT")</f>
        <v/>
      </c>
      <c r="M165" s="28">
        <f>SUMIFS(T_REAL!$D:$D,T_REAL!$E:$E,DRE!M$7,T_REAL!$C:$C,DRE!$A165)+SUMIFS(Aut_Ajustes_Manuais!$G:$G,Aut_Ajustes_Manuais!$I:$I,DRE!K$4,Aut_Ajustes_Manuais!$F:$F,"  -  Chefe da Portaria")</f>
        <v/>
      </c>
      <c r="N165" s="241" t="n"/>
      <c r="O165" s="27">
        <f>-SUMIFS(T_HEADCOUNT!$E:$E,T_HEADCOUNT!$C:$C,"-  Chefe da Portaria",T_HEADCOUNT!$D:$D,"3/2026",T_HEADCOUNT!$B:$B,"CLT")</f>
        <v/>
      </c>
      <c r="P165" s="28">
        <f>SUMIFS(T_REAL!$D:$D,T_REAL!$E:$E,DRE!P$7,T_REAL!$C:$C,DRE!$A165)+SUMIFS(Aut_Ajustes_Manuais!$G:$G,Aut_Ajustes_Manuais!$I:$I,DRE!N$4,Aut_Ajustes_Manuais!$F:$F,"  -  Chefe da Portaria")</f>
        <v/>
      </c>
      <c r="Q165" s="241" t="n"/>
      <c r="R165" s="27">
        <f>-SUMIFS(T_HEADCOUNT!$E:$E,T_HEADCOUNT!$C:$C,"-  Chefe da Portaria",T_HEADCOUNT!$D:$D,"4/2026",T_HEADCOUNT!$B:$B,"CLT")</f>
        <v/>
      </c>
      <c r="S165" s="28">
        <f>SUMIFS(T_REAL!$D:$D,T_REAL!$E:$E,DRE!S$7,T_REAL!$C:$C,DRE!$A165)+SUMIFS(Aut_Ajustes_Manuais!$G:$G,Aut_Ajustes_Manuais!$I:$I,DRE!Q$4,Aut_Ajustes_Manuais!$F:$F,"  -  Chefe da Portaria")</f>
        <v/>
      </c>
      <c r="T165" s="241" t="n"/>
      <c r="U165" s="27">
        <f>-SUMIFS(T_HEADCOUNT!$E:$E,T_HEADCOUNT!$C:$C,"-  Chefe da Portaria",T_HEADCOUNT!$D:$D,"5/2026",T_HEADCOUNT!$B:$B,"CLT")</f>
        <v/>
      </c>
      <c r="V165" s="28">
        <f>SUMIFS(T_REAL!$D:$D,T_REAL!$E:$E,DRE!V$7,T_REAL!$C:$C,DRE!$A165)+SUMIFS(Aut_Ajustes_Manuais!$G:$G,Aut_Ajustes_Manuais!$I:$I,DRE!T$4,Aut_Ajustes_Manuais!$F:$F,"  -  Chefe da Portaria")</f>
        <v/>
      </c>
      <c r="W165" s="241" t="n"/>
      <c r="X165" s="27">
        <f>-SUMIFS(T_HEADCOUNT!$E:$E,T_HEADCOUNT!$C:$C,"-  Chefe da Portaria",T_HEADCOUNT!$D:$D,"6/2026",T_HEADCOUNT!$B:$B,"CLT")</f>
        <v/>
      </c>
      <c r="Y165" s="28">
        <f>SUMIFS(T_REAL!$D:$D,T_REAL!$E:$E,DRE!Y$7,T_REAL!$C:$C,DRE!$A165)+SUMIFS(Aut_Ajustes_Manuais!$G:$G,Aut_Ajustes_Manuais!$I:$I,DRE!W$4,Aut_Ajustes_Manuais!$F:$F,"  -  Chefe da Portaria")</f>
        <v/>
      </c>
      <c r="Z165" s="241" t="n"/>
      <c r="AA165" s="27">
        <f>-SUMIFS(T_HEADCOUNT!$E:$E,T_HEADCOUNT!$C:$C,"-  Chefe da Portaria",T_HEADCOUNT!$D:$D,"7/2026",T_HEADCOUNT!$B:$B,"CLT")</f>
        <v/>
      </c>
      <c r="AB165" s="28">
        <f>SUMIFS(T_REAL!$D:$D,T_REAL!$E:$E,DRE!AB$7,T_REAL!$C:$C,DRE!$A165)+SUMIFS(Aut_Ajustes_Manuais!$G:$G,Aut_Ajustes_Manuais!$I:$I,DRE!Z$4,Aut_Ajustes_Manuais!$F:$F,"  -  Chefe da Portaria")</f>
        <v/>
      </c>
      <c r="AC165" s="241" t="n"/>
      <c r="AD165" s="27">
        <f>-SUMIFS(T_HEADCOUNT!$E:$E,T_HEADCOUNT!$C:$C,"-  Chefe da Portaria",T_HEADCOUNT!$D:$D,"8/2026",T_HEADCOUNT!$B:$B,"CLT")</f>
        <v/>
      </c>
      <c r="AE165" s="28">
        <f>SUMIFS(T_REAL!$D:$D,T_REAL!$E:$E,DRE!AE$7,T_REAL!$C:$C,DRE!$A165)+SUMIFS(Aut_Ajustes_Manuais!$G:$G,Aut_Ajustes_Manuais!$I:$I,DRE!AC$4,Aut_Ajustes_Manuais!$F:$F,"  -  Chefe da Portaria")</f>
        <v/>
      </c>
      <c r="AF165" s="241" t="n"/>
      <c r="AG165" s="27">
        <f>-SUMIFS(T_HEADCOUNT!$E:$E,T_HEADCOUNT!$C:$C,"-  Chefe da Portaria",T_HEADCOUNT!$D:$D,"9/2026",T_HEADCOUNT!$B:$B,"CLT")</f>
        <v/>
      </c>
      <c r="AH165" s="28">
        <f>SUMIFS(T_REAL!$D:$D,T_REAL!$E:$E,DRE!AH$7,T_REAL!$C:$C,DRE!$A165)+SUMIFS(Aut_Ajustes_Manuais!$G:$G,Aut_Ajustes_Manuais!$I:$I,DRE!AF$4,Aut_Ajustes_Manuais!$F:$F,"  -  Chefe da Portaria")</f>
        <v/>
      </c>
      <c r="AI165" s="241" t="n"/>
      <c r="AJ165" s="27">
        <f>-SUMIFS(T_HEADCOUNT!$E:$E,T_HEADCOUNT!$C:$C,"-  Chefe da Portaria",T_HEADCOUNT!$D:$D,"10/2026",T_HEADCOUNT!$B:$B,"CLT")</f>
        <v/>
      </c>
      <c r="AK165" s="28">
        <f>SUMIFS(T_REAL!$D:$D,T_REAL!$E:$E,DRE!AK$7,T_REAL!$C:$C,DRE!$A165)+SUMIFS(Aut_Ajustes_Manuais!$G:$G,Aut_Ajustes_Manuais!$I:$I,DRE!AI$4,Aut_Ajustes_Manuais!$F:$F,"  -  Chefe da Portaria")</f>
        <v/>
      </c>
      <c r="AL165" s="241" t="n"/>
      <c r="AM165" s="27">
        <f>-SUMIFS(T_HEADCOUNT!$E:$E,T_HEADCOUNT!$C:$C,"-  Chefe da Portaria",T_HEADCOUNT!$D:$D,"11/2026",T_HEADCOUNT!$B:$B,"CLT")</f>
        <v/>
      </c>
      <c r="AN165" s="28">
        <f>SUMIFS(T_REAL!$D:$D,T_REAL!$E:$E,DRE!AN$7,T_REAL!$C:$C,DRE!$A165)+SUMIFS(Aut_Ajustes_Manuais!$G:$G,Aut_Ajustes_Manuais!$I:$I,DRE!AL$4,Aut_Ajustes_Manuais!$F:$F,"  -  Chefe da Portaria")</f>
        <v/>
      </c>
      <c r="AO165" s="241" t="n"/>
      <c r="AP165" s="27">
        <f>-SUMIFS(T_HEADCOUNT!$E:$E,T_HEADCOUNT!$C:$C,"-  Chefe da Portaria",T_HEADCOUNT!$D:$D,"12/2026",T_HEADCOUNT!$B:$B,"CLT")</f>
        <v/>
      </c>
      <c r="AQ165" s="28">
        <f>SUMIFS(T_REAL!$D:$D,T_REAL!$E:$E,DRE!AQ$7,T_REAL!$C:$C,DRE!$A165)+SUMIFS(Aut_Ajustes_Manuais!$G:$G,Aut_Ajustes_Manuais!$I:$I,DRE!AO$4,Aut_Ajustes_Manuais!$F:$F,"  -  Chefe da Portaria")</f>
        <v/>
      </c>
      <c r="AR165" s="241">
        <f>SUMIFS($H165:$AO165,$H$5:$AO$5,"&lt;"&amp;MONTH(TODAY()),$H$6:$AO$6,"REAL 25")</f>
        <v/>
      </c>
      <c r="AS165" s="27">
        <f>SUMIFS($I165:$AP165,$I$5:$AP$5,"&lt;"&amp;MONTH(TODAY()),$I$6:$AP$6,"ORÇADO ")</f>
        <v/>
      </c>
      <c r="AT165" s="28">
        <f>SUMIFS($J165:$AQ165,$J$5:$AQ$5,"&lt;"&amp;MONTH(TODAY()),$J$6:$AQ$6,"REAL 26")</f>
        <v/>
      </c>
      <c r="AU165" s="241" t="n"/>
      <c r="AV165" s="27" t="n"/>
      <c r="AW165" s="28" t="n"/>
      <c r="AX165" s="241" t="n"/>
      <c r="AY165" s="27" t="n">
        <v>0</v>
      </c>
      <c r="AZ165" s="28" t="n"/>
      <c r="BA165" s="241" t="n"/>
      <c r="BB165" s="27" t="n">
        <v>0</v>
      </c>
      <c r="BC165" s="28" t="n"/>
      <c r="BD165" s="241" t="n"/>
      <c r="BE165" s="27" t="n">
        <v>0</v>
      </c>
      <c r="BF165" s="28" t="n"/>
      <c r="BG165" s="241" t="n"/>
      <c r="BH165" s="27" t="n">
        <v>0</v>
      </c>
      <c r="BI165" s="28" t="n"/>
    </row>
    <row r="166" hidden="1" outlineLevel="1" customFormat="1" s="498">
      <c r="A166" s="95" t="inlineStr">
        <is>
          <t xml:space="preserve">  -  Porteiro III</t>
        </is>
      </c>
      <c r="B166" s="488" t="n"/>
      <c r="C166" s="24" t="n"/>
      <c r="D166" s="55" t="inlineStr">
        <is>
          <t>Salário Bruto com INSS Segurado dentro do valor</t>
        </is>
      </c>
      <c r="E166" s="87" t="n"/>
      <c r="F166" s="56" t="n"/>
      <c r="G166" s="33" t="n"/>
      <c r="H166" s="241" t="n"/>
      <c r="I166" s="27">
        <f>-SUMIFS(T_HEADCOUNT!$E:$E,T_HEADCOUNT!$C:$C,"-  Porteiro III",T_HEADCOUNT!$D:$D,"1/2026",T_HEADCOUNT!$B:$B,"CLT")</f>
        <v/>
      </c>
      <c r="J166" s="28">
        <f>SUMIFS(T_REAL!$D:$D,T_REAL!$E:$E,DRE!J$7,T_REAL!$C:$C,DRE!$A166)+SUMIFS(Aut_Ajustes_Manuais!$G:$G,Aut_Ajustes_Manuais!$I:$I,DRE!H$4,Aut_Ajustes_Manuais!$F:$F,"  -  Porteiro III")</f>
        <v/>
      </c>
      <c r="K166" s="241" t="n"/>
      <c r="L166" s="27">
        <f>-SUMIFS(T_HEADCOUNT!$E:$E,T_HEADCOUNT!$C:$C,"-  Porteiro III",T_HEADCOUNT!$D:$D,"2/2026",T_HEADCOUNT!$B:$B,"CLT")</f>
        <v/>
      </c>
      <c r="M166" s="28">
        <f>SUMIFS(T_REAL!$D:$D,T_REAL!$E:$E,DRE!M$7,T_REAL!$C:$C,DRE!$A166)+SUMIFS(Aut_Ajustes_Manuais!$G:$G,Aut_Ajustes_Manuais!$I:$I,DRE!K$4,Aut_Ajustes_Manuais!$F:$F,"  -  Porteiro III")</f>
        <v/>
      </c>
      <c r="N166" s="241" t="n"/>
      <c r="O166" s="27">
        <f>-SUMIFS(T_HEADCOUNT!$E:$E,T_HEADCOUNT!$C:$C,"-  Porteiro III",T_HEADCOUNT!$D:$D,"3/2026",T_HEADCOUNT!$B:$B,"CLT")</f>
        <v/>
      </c>
      <c r="P166" s="28">
        <f>SUMIFS(T_REAL!$D:$D,T_REAL!$E:$E,DRE!P$7,T_REAL!$C:$C,DRE!$A166)+SUMIFS(Aut_Ajustes_Manuais!$G:$G,Aut_Ajustes_Manuais!$I:$I,DRE!N$4,Aut_Ajustes_Manuais!$F:$F,"  -  Porteiro III")</f>
        <v/>
      </c>
      <c r="Q166" s="241" t="n"/>
      <c r="R166" s="27">
        <f>-SUMIFS(T_HEADCOUNT!$E:$E,T_HEADCOUNT!$C:$C,"-  Porteiro III",T_HEADCOUNT!$D:$D,"4/2026",T_HEADCOUNT!$B:$B,"CLT")</f>
        <v/>
      </c>
      <c r="S166" s="28">
        <f>SUMIFS(T_REAL!$D:$D,T_REAL!$E:$E,DRE!S$7,T_REAL!$C:$C,DRE!$A166)+SUMIFS(Aut_Ajustes_Manuais!$G:$G,Aut_Ajustes_Manuais!$I:$I,DRE!Q$4,Aut_Ajustes_Manuais!$F:$F,"  -  Porteiro III")</f>
        <v/>
      </c>
      <c r="T166" s="241" t="n"/>
      <c r="U166" s="27">
        <f>-SUMIFS(T_HEADCOUNT!$E:$E,T_HEADCOUNT!$C:$C,"-  Porteiro III",T_HEADCOUNT!$D:$D,"5/2026",T_HEADCOUNT!$B:$B,"CLT")</f>
        <v/>
      </c>
      <c r="V166" s="28">
        <f>SUMIFS(T_REAL!$D:$D,T_REAL!$E:$E,DRE!V$7,T_REAL!$C:$C,DRE!$A166)+SUMIFS(Aut_Ajustes_Manuais!$G:$G,Aut_Ajustes_Manuais!$I:$I,DRE!T$4,Aut_Ajustes_Manuais!$F:$F,"  -  Porteiro III")</f>
        <v/>
      </c>
      <c r="W166" s="241" t="n"/>
      <c r="X166" s="27">
        <f>-SUMIFS(T_HEADCOUNT!$E:$E,T_HEADCOUNT!$C:$C,"-  Porteiro III",T_HEADCOUNT!$D:$D,"6/2026",T_HEADCOUNT!$B:$B,"CLT")</f>
        <v/>
      </c>
      <c r="Y166" s="28">
        <f>SUMIFS(T_REAL!$D:$D,T_REAL!$E:$E,DRE!Y$7,T_REAL!$C:$C,DRE!$A166)+SUMIFS(Aut_Ajustes_Manuais!$G:$G,Aut_Ajustes_Manuais!$I:$I,DRE!W$4,Aut_Ajustes_Manuais!$F:$F,"  -  Porteiro III")</f>
        <v/>
      </c>
      <c r="Z166" s="241" t="n"/>
      <c r="AA166" s="27">
        <f>-SUMIFS(T_HEADCOUNT!$E:$E,T_HEADCOUNT!$C:$C,"-  Porteiro III",T_HEADCOUNT!$D:$D,"7/2026",T_HEADCOUNT!$B:$B,"CLT")</f>
        <v/>
      </c>
      <c r="AB166" s="28">
        <f>SUMIFS(T_REAL!$D:$D,T_REAL!$E:$E,DRE!AB$7,T_REAL!$C:$C,DRE!$A166)+SUMIFS(Aut_Ajustes_Manuais!$G:$G,Aut_Ajustes_Manuais!$I:$I,DRE!Z$4,Aut_Ajustes_Manuais!$F:$F,"  -  Porteiro III")</f>
        <v/>
      </c>
      <c r="AC166" s="241" t="n"/>
      <c r="AD166" s="27">
        <f>-SUMIFS(T_HEADCOUNT!$E:$E,T_HEADCOUNT!$C:$C,"-  Porteiro III",T_HEADCOUNT!$D:$D,"8/2026",T_HEADCOUNT!$B:$B,"CLT")</f>
        <v/>
      </c>
      <c r="AE166" s="28">
        <f>SUMIFS(T_REAL!$D:$D,T_REAL!$E:$E,DRE!AE$7,T_REAL!$C:$C,DRE!$A166)+SUMIFS(Aut_Ajustes_Manuais!$G:$G,Aut_Ajustes_Manuais!$I:$I,DRE!AC$4,Aut_Ajustes_Manuais!$F:$F,"  -  Porteiro III")</f>
        <v/>
      </c>
      <c r="AF166" s="241" t="n"/>
      <c r="AG166" s="27">
        <f>-SUMIFS(T_HEADCOUNT!$E:$E,T_HEADCOUNT!$C:$C,"-  Porteiro III",T_HEADCOUNT!$D:$D,"9/2026",T_HEADCOUNT!$B:$B,"CLT")</f>
        <v/>
      </c>
      <c r="AH166" s="28">
        <f>SUMIFS(T_REAL!$D:$D,T_REAL!$E:$E,DRE!AH$7,T_REAL!$C:$C,DRE!$A166)+SUMIFS(Aut_Ajustes_Manuais!$G:$G,Aut_Ajustes_Manuais!$I:$I,DRE!AF$4,Aut_Ajustes_Manuais!$F:$F,"  -  Porteiro III")</f>
        <v/>
      </c>
      <c r="AI166" s="241" t="n"/>
      <c r="AJ166" s="27">
        <f>-SUMIFS(T_HEADCOUNT!$E:$E,T_HEADCOUNT!$C:$C,"-  Porteiro III",T_HEADCOUNT!$D:$D,"10/2026",T_HEADCOUNT!$B:$B,"CLT")</f>
        <v/>
      </c>
      <c r="AK166" s="28">
        <f>SUMIFS(T_REAL!$D:$D,T_REAL!$E:$E,DRE!AK$7,T_REAL!$C:$C,DRE!$A166)+SUMIFS(Aut_Ajustes_Manuais!$G:$G,Aut_Ajustes_Manuais!$I:$I,DRE!AI$4,Aut_Ajustes_Manuais!$F:$F,"  -  Porteiro III")</f>
        <v/>
      </c>
      <c r="AL166" s="241" t="n"/>
      <c r="AM166" s="27">
        <f>-SUMIFS(T_HEADCOUNT!$E:$E,T_HEADCOUNT!$C:$C,"-  Porteiro III",T_HEADCOUNT!$D:$D,"11/2026",T_HEADCOUNT!$B:$B,"CLT")</f>
        <v/>
      </c>
      <c r="AN166" s="28">
        <f>SUMIFS(T_REAL!$D:$D,T_REAL!$E:$E,DRE!AN$7,T_REAL!$C:$C,DRE!$A166)+SUMIFS(Aut_Ajustes_Manuais!$G:$G,Aut_Ajustes_Manuais!$I:$I,DRE!AL$4,Aut_Ajustes_Manuais!$F:$F,"  -  Porteiro III")</f>
        <v/>
      </c>
      <c r="AO166" s="241" t="n"/>
      <c r="AP166" s="27">
        <f>-SUMIFS(T_HEADCOUNT!$E:$E,T_HEADCOUNT!$C:$C,"-  Porteiro III",T_HEADCOUNT!$D:$D,"12/2026",T_HEADCOUNT!$B:$B,"CLT")</f>
        <v/>
      </c>
      <c r="AQ166" s="28">
        <f>SUMIFS(T_REAL!$D:$D,T_REAL!$E:$E,DRE!AQ$7,T_REAL!$C:$C,DRE!$A166)+SUMIFS(Aut_Ajustes_Manuais!$G:$G,Aut_Ajustes_Manuais!$I:$I,DRE!AO$4,Aut_Ajustes_Manuais!$F:$F,"  -  Porteiro III")</f>
        <v/>
      </c>
      <c r="AR166" s="241">
        <f>SUMIFS($H166:$AO166,$H$5:$AO$5,"&lt;"&amp;MONTH(TODAY()),$H$6:$AO$6,"REAL 25")</f>
        <v/>
      </c>
      <c r="AS166" s="27">
        <f>SUMIFS($I166:$AP166,$I$5:$AP$5,"&lt;"&amp;MONTH(TODAY()),$I$6:$AP$6,"ORÇADO ")</f>
        <v/>
      </c>
      <c r="AT166" s="28">
        <f>SUMIFS($J166:$AQ166,$J$5:$AQ$5,"&lt;"&amp;MONTH(TODAY()),$J$6:$AQ$6,"REAL 26")</f>
        <v/>
      </c>
      <c r="AU166" s="241" t="n"/>
      <c r="AV166" s="27" t="n"/>
      <c r="AW166" s="28" t="n"/>
      <c r="AX166" s="241" t="n"/>
      <c r="AY166" s="27" t="n">
        <v>0</v>
      </c>
      <c r="AZ166" s="28" t="n"/>
      <c r="BA166" s="241" t="n"/>
      <c r="BB166" s="27" t="n">
        <v>0</v>
      </c>
      <c r="BC166" s="28" t="n"/>
      <c r="BD166" s="241" t="n"/>
      <c r="BE166" s="27" t="n">
        <v>0</v>
      </c>
      <c r="BF166" s="28" t="n"/>
      <c r="BG166" s="241" t="n"/>
      <c r="BH166" s="27" t="n">
        <v>0</v>
      </c>
      <c r="BI166" s="28" t="n"/>
    </row>
    <row r="167" hidden="1" outlineLevel="1" customFormat="1" s="498">
      <c r="A167" s="95" t="inlineStr">
        <is>
          <t xml:space="preserve">  -  Porteiro II</t>
        </is>
      </c>
      <c r="B167" s="488" t="n"/>
      <c r="C167" s="24" t="n"/>
      <c r="D167" s="55" t="inlineStr">
        <is>
          <t>Salário Bruto com INSS Segurado dentro do valor</t>
        </is>
      </c>
      <c r="E167" s="87" t="n"/>
      <c r="F167" s="56" t="n"/>
      <c r="G167" s="33" t="n"/>
      <c r="H167" s="241" t="n"/>
      <c r="I167" s="27">
        <f>-SUMIFS(T_HEADCOUNT!$E:$E,T_HEADCOUNT!$C:$C,"-  Porteiro II",T_HEADCOUNT!$D:$D,"1/2026",T_HEADCOUNT!$B:$B,"CLT")</f>
        <v/>
      </c>
      <c r="J167" s="28">
        <f>SUMIFS(T_REAL!$D:$D,T_REAL!$E:$E,DRE!J$7,T_REAL!$C:$C,DRE!$A167)+SUMIFS(Aut_Ajustes_Manuais!$G:$G,Aut_Ajustes_Manuais!$I:$I,DRE!H$4,Aut_Ajustes_Manuais!$F:$F,"  -  Porteiro II")</f>
        <v/>
      </c>
      <c r="K167" s="241" t="n"/>
      <c r="L167" s="27">
        <f>-SUMIFS(T_HEADCOUNT!$E:$E,T_HEADCOUNT!$C:$C,"-  Porteiro II",T_HEADCOUNT!$D:$D,"2/2026",T_HEADCOUNT!$B:$B,"CLT")</f>
        <v/>
      </c>
      <c r="M167" s="28">
        <f>SUMIFS(T_REAL!$D:$D,T_REAL!$E:$E,DRE!M$7,T_REAL!$C:$C,DRE!$A167)+SUMIFS(Aut_Ajustes_Manuais!$G:$G,Aut_Ajustes_Manuais!$I:$I,DRE!K$4,Aut_Ajustes_Manuais!$F:$F,"  -  Porteiro II")</f>
        <v/>
      </c>
      <c r="N167" s="241" t="n"/>
      <c r="O167" s="27">
        <f>-SUMIFS(T_HEADCOUNT!$E:$E,T_HEADCOUNT!$C:$C,"-  Porteiro II",T_HEADCOUNT!$D:$D,"3/2026",T_HEADCOUNT!$B:$B,"CLT")</f>
        <v/>
      </c>
      <c r="P167" s="28">
        <f>SUMIFS(T_REAL!$D:$D,T_REAL!$E:$E,DRE!P$7,T_REAL!$C:$C,DRE!$A167)+SUMIFS(Aut_Ajustes_Manuais!$G:$G,Aut_Ajustes_Manuais!$I:$I,DRE!N$4,Aut_Ajustes_Manuais!$F:$F,"  -  Porteiro II")</f>
        <v/>
      </c>
      <c r="Q167" s="241" t="n"/>
      <c r="R167" s="27">
        <f>-SUMIFS(T_HEADCOUNT!$E:$E,T_HEADCOUNT!$C:$C,"-  Porteiro II",T_HEADCOUNT!$D:$D,"4/2026",T_HEADCOUNT!$B:$B,"CLT")</f>
        <v/>
      </c>
      <c r="S167" s="28">
        <f>SUMIFS(T_REAL!$D:$D,T_REAL!$E:$E,DRE!S$7,T_REAL!$C:$C,DRE!$A167)+SUMIFS(Aut_Ajustes_Manuais!$G:$G,Aut_Ajustes_Manuais!$I:$I,DRE!Q$4,Aut_Ajustes_Manuais!$F:$F,"  -  Porteiro II")</f>
        <v/>
      </c>
      <c r="T167" s="241" t="n"/>
      <c r="U167" s="27">
        <f>-SUMIFS(T_HEADCOUNT!$E:$E,T_HEADCOUNT!$C:$C,"-  Porteiro II",T_HEADCOUNT!$D:$D,"5/2026",T_HEADCOUNT!$B:$B,"CLT")</f>
        <v/>
      </c>
      <c r="V167" s="28">
        <f>SUMIFS(T_REAL!$D:$D,T_REAL!$E:$E,DRE!V$7,T_REAL!$C:$C,DRE!$A167)+SUMIFS(Aut_Ajustes_Manuais!$G:$G,Aut_Ajustes_Manuais!$I:$I,DRE!T$4,Aut_Ajustes_Manuais!$F:$F,"  -  Porteiro II")</f>
        <v/>
      </c>
      <c r="W167" s="241" t="n"/>
      <c r="X167" s="27">
        <f>-SUMIFS(T_HEADCOUNT!$E:$E,T_HEADCOUNT!$C:$C,"-  Porteiro II",T_HEADCOUNT!$D:$D,"6/2026",T_HEADCOUNT!$B:$B,"CLT")</f>
        <v/>
      </c>
      <c r="Y167" s="28">
        <f>SUMIFS(T_REAL!$D:$D,T_REAL!$E:$E,DRE!Y$7,T_REAL!$C:$C,DRE!$A167)+SUMIFS(Aut_Ajustes_Manuais!$G:$G,Aut_Ajustes_Manuais!$I:$I,DRE!W$4,Aut_Ajustes_Manuais!$F:$F,"  -  Porteiro II")</f>
        <v/>
      </c>
      <c r="Z167" s="241" t="n"/>
      <c r="AA167" s="27">
        <f>-SUMIFS(T_HEADCOUNT!$E:$E,T_HEADCOUNT!$C:$C,"-  Porteiro II",T_HEADCOUNT!$D:$D,"7/2026",T_HEADCOUNT!$B:$B,"CLT")</f>
        <v/>
      </c>
      <c r="AB167" s="28">
        <f>SUMIFS(T_REAL!$D:$D,T_REAL!$E:$E,DRE!AB$7,T_REAL!$C:$C,DRE!$A167)+SUMIFS(Aut_Ajustes_Manuais!$G:$G,Aut_Ajustes_Manuais!$I:$I,DRE!Z$4,Aut_Ajustes_Manuais!$F:$F,"  -  Porteiro II")</f>
        <v/>
      </c>
      <c r="AC167" s="241" t="n"/>
      <c r="AD167" s="27">
        <f>-SUMIFS(T_HEADCOUNT!$E:$E,T_HEADCOUNT!$C:$C,"-  Porteiro II",T_HEADCOUNT!$D:$D,"8/2026",T_HEADCOUNT!$B:$B,"CLT")</f>
        <v/>
      </c>
      <c r="AE167" s="28">
        <f>SUMIFS(T_REAL!$D:$D,T_REAL!$E:$E,DRE!AE$7,T_REAL!$C:$C,DRE!$A167)+SUMIFS(Aut_Ajustes_Manuais!$G:$G,Aut_Ajustes_Manuais!$I:$I,DRE!AC$4,Aut_Ajustes_Manuais!$F:$F,"  -  Porteiro II")</f>
        <v/>
      </c>
      <c r="AF167" s="241" t="n"/>
      <c r="AG167" s="27">
        <f>-SUMIFS(T_HEADCOUNT!$E:$E,T_HEADCOUNT!$C:$C,"-  Porteiro II",T_HEADCOUNT!$D:$D,"9/2026",T_HEADCOUNT!$B:$B,"CLT")</f>
        <v/>
      </c>
      <c r="AH167" s="28">
        <f>SUMIFS(T_REAL!$D:$D,T_REAL!$E:$E,DRE!AH$7,T_REAL!$C:$C,DRE!$A167)+SUMIFS(Aut_Ajustes_Manuais!$G:$G,Aut_Ajustes_Manuais!$I:$I,DRE!AF$4,Aut_Ajustes_Manuais!$F:$F,"  -  Porteiro II")</f>
        <v/>
      </c>
      <c r="AI167" s="241" t="n"/>
      <c r="AJ167" s="27">
        <f>-SUMIFS(T_HEADCOUNT!$E:$E,T_HEADCOUNT!$C:$C,"-  Porteiro II",T_HEADCOUNT!$D:$D,"10/2026",T_HEADCOUNT!$B:$B,"CLT")</f>
        <v/>
      </c>
      <c r="AK167" s="28">
        <f>SUMIFS(T_REAL!$D:$D,T_REAL!$E:$E,DRE!AK$7,T_REAL!$C:$C,DRE!$A167)+SUMIFS(Aut_Ajustes_Manuais!$G:$G,Aut_Ajustes_Manuais!$I:$I,DRE!AI$4,Aut_Ajustes_Manuais!$F:$F,"  -  Porteiro II")</f>
        <v/>
      </c>
      <c r="AL167" s="241" t="n"/>
      <c r="AM167" s="27">
        <f>-SUMIFS(T_HEADCOUNT!$E:$E,T_HEADCOUNT!$C:$C,"-  Porteiro II",T_HEADCOUNT!$D:$D,"11/2026",T_HEADCOUNT!$B:$B,"CLT")</f>
        <v/>
      </c>
      <c r="AN167" s="28">
        <f>SUMIFS(T_REAL!$D:$D,T_REAL!$E:$E,DRE!AN$7,T_REAL!$C:$C,DRE!$A167)+SUMIFS(Aut_Ajustes_Manuais!$G:$G,Aut_Ajustes_Manuais!$I:$I,DRE!AL$4,Aut_Ajustes_Manuais!$F:$F,"  -  Porteiro II")</f>
        <v/>
      </c>
      <c r="AO167" s="241" t="n"/>
      <c r="AP167" s="27">
        <f>-SUMIFS(T_HEADCOUNT!$E:$E,T_HEADCOUNT!$C:$C,"-  Porteiro II",T_HEADCOUNT!$D:$D,"12/2026",T_HEADCOUNT!$B:$B,"CLT")</f>
        <v/>
      </c>
      <c r="AQ167" s="28">
        <f>SUMIFS(T_REAL!$D:$D,T_REAL!$E:$E,DRE!AQ$7,T_REAL!$C:$C,DRE!$A167)+SUMIFS(Aut_Ajustes_Manuais!$G:$G,Aut_Ajustes_Manuais!$I:$I,DRE!AO$4,Aut_Ajustes_Manuais!$F:$F,"  -  Porteiro II")</f>
        <v/>
      </c>
      <c r="AR167" s="241">
        <f>SUMIFS($H167:$AO167,$H$5:$AO$5,"&lt;"&amp;MONTH(TODAY()),$H$6:$AO$6,"REAL 25")</f>
        <v/>
      </c>
      <c r="AS167" s="27">
        <f>SUMIFS($I167:$AP167,$I$5:$AP$5,"&lt;"&amp;MONTH(TODAY()),$I$6:$AP$6,"ORÇADO ")</f>
        <v/>
      </c>
      <c r="AT167" s="28">
        <f>SUMIFS($J167:$AQ167,$J$5:$AQ$5,"&lt;"&amp;MONTH(TODAY()),$J$6:$AQ$6,"REAL 26")</f>
        <v/>
      </c>
      <c r="AU167" s="241" t="n"/>
      <c r="AV167" s="27" t="n"/>
      <c r="AW167" s="28" t="n"/>
      <c r="AX167" s="241" t="n"/>
      <c r="AY167" s="27" t="n">
        <v>0</v>
      </c>
      <c r="AZ167" s="28" t="n"/>
      <c r="BA167" s="241" t="n"/>
      <c r="BB167" s="27" t="n">
        <v>0</v>
      </c>
      <c r="BC167" s="28" t="n"/>
      <c r="BD167" s="241" t="n"/>
      <c r="BE167" s="27" t="n">
        <v>0</v>
      </c>
      <c r="BF167" s="28" t="n"/>
      <c r="BG167" s="241" t="n"/>
      <c r="BH167" s="27" t="n">
        <v>0</v>
      </c>
      <c r="BI167" s="28" t="n"/>
    </row>
    <row r="168" hidden="1" outlineLevel="1" customFormat="1" s="498">
      <c r="A168" s="95" t="inlineStr">
        <is>
          <t xml:space="preserve">  -  Porteiro I</t>
        </is>
      </c>
      <c r="B168" s="488" t="n"/>
      <c r="C168" s="24" t="n"/>
      <c r="D168" s="55" t="inlineStr">
        <is>
          <t>Salário Bruto com INSS Segurado dentro do valor</t>
        </is>
      </c>
      <c r="E168" s="87" t="n"/>
      <c r="F168" s="56" t="n"/>
      <c r="G168" s="33" t="n"/>
      <c r="H168" s="241" t="n"/>
      <c r="I168" s="27">
        <f>-SUMIFS(T_HEADCOUNT!$E:$E,T_HEADCOUNT!$C:$C,"-  Porteiro I",T_HEADCOUNT!$D:$D,"1/2026",T_HEADCOUNT!$B:$B,"CLT")</f>
        <v/>
      </c>
      <c r="J168" s="28">
        <f>SUMIFS(T_REAL!$D:$D,T_REAL!$E:$E,DRE!J$7,T_REAL!$C:$C,DRE!$A168)+SUMIFS(Aut_Ajustes_Manuais!$G:$G,Aut_Ajustes_Manuais!$I:$I,DRE!H$4,Aut_Ajustes_Manuais!$F:$F,"  -  Porteiro I")</f>
        <v/>
      </c>
      <c r="K168" s="241" t="n"/>
      <c r="L168" s="27">
        <f>-SUMIFS(T_HEADCOUNT!$E:$E,T_HEADCOUNT!$C:$C,"-  Porteiro I",T_HEADCOUNT!$D:$D,"2/2026",T_HEADCOUNT!$B:$B,"CLT")</f>
        <v/>
      </c>
      <c r="M168" s="28">
        <f>SUMIFS(T_REAL!$D:$D,T_REAL!$E:$E,DRE!M$7,T_REAL!$C:$C,DRE!$A168)+SUMIFS(Aut_Ajustes_Manuais!$G:$G,Aut_Ajustes_Manuais!$I:$I,DRE!K$4,Aut_Ajustes_Manuais!$F:$F,"  -  Porteiro I")</f>
        <v/>
      </c>
      <c r="N168" s="241" t="n"/>
      <c r="O168" s="27">
        <f>-SUMIFS(T_HEADCOUNT!$E:$E,T_HEADCOUNT!$C:$C,"-  Porteiro I",T_HEADCOUNT!$D:$D,"3/2026",T_HEADCOUNT!$B:$B,"CLT")</f>
        <v/>
      </c>
      <c r="P168" s="28">
        <f>SUMIFS(T_REAL!$D:$D,T_REAL!$E:$E,DRE!P$7,T_REAL!$C:$C,DRE!$A168)+SUMIFS(Aut_Ajustes_Manuais!$G:$G,Aut_Ajustes_Manuais!$I:$I,DRE!N$4,Aut_Ajustes_Manuais!$F:$F,"  -  Porteiro I")</f>
        <v/>
      </c>
      <c r="Q168" s="241" t="n"/>
      <c r="R168" s="27">
        <f>-SUMIFS(T_HEADCOUNT!$E:$E,T_HEADCOUNT!$C:$C,"-  Porteiro I",T_HEADCOUNT!$D:$D,"4/2026",T_HEADCOUNT!$B:$B,"CLT")</f>
        <v/>
      </c>
      <c r="S168" s="28">
        <f>SUMIFS(T_REAL!$D:$D,T_REAL!$E:$E,DRE!S$7,T_REAL!$C:$C,DRE!$A168)+SUMIFS(Aut_Ajustes_Manuais!$G:$G,Aut_Ajustes_Manuais!$I:$I,DRE!Q$4,Aut_Ajustes_Manuais!$F:$F,"  -  Porteiro I")</f>
        <v/>
      </c>
      <c r="T168" s="241" t="n"/>
      <c r="U168" s="27">
        <f>-SUMIFS(T_HEADCOUNT!$E:$E,T_HEADCOUNT!$C:$C,"-  Porteiro I",T_HEADCOUNT!$D:$D,"5/2026",T_HEADCOUNT!$B:$B,"CLT")</f>
        <v/>
      </c>
      <c r="V168" s="28">
        <f>SUMIFS(T_REAL!$D:$D,T_REAL!$E:$E,DRE!V$7,T_REAL!$C:$C,DRE!$A168)+SUMIFS(Aut_Ajustes_Manuais!$G:$G,Aut_Ajustes_Manuais!$I:$I,DRE!T$4,Aut_Ajustes_Manuais!$F:$F,"  -  Porteiro I")</f>
        <v/>
      </c>
      <c r="W168" s="241" t="n"/>
      <c r="X168" s="27">
        <f>-SUMIFS(T_HEADCOUNT!$E:$E,T_HEADCOUNT!$C:$C,"-  Porteiro I",T_HEADCOUNT!$D:$D,"6/2026",T_HEADCOUNT!$B:$B,"CLT")</f>
        <v/>
      </c>
      <c r="Y168" s="28">
        <f>SUMIFS(T_REAL!$D:$D,T_REAL!$E:$E,DRE!Y$7,T_REAL!$C:$C,DRE!$A168)+SUMIFS(Aut_Ajustes_Manuais!$G:$G,Aut_Ajustes_Manuais!$I:$I,DRE!W$4,Aut_Ajustes_Manuais!$F:$F,"  -  Porteiro I")</f>
        <v/>
      </c>
      <c r="Z168" s="241" t="n"/>
      <c r="AA168" s="27">
        <f>-SUMIFS(T_HEADCOUNT!$E:$E,T_HEADCOUNT!$C:$C,"-  Porteiro I",T_HEADCOUNT!$D:$D,"7/2026",T_HEADCOUNT!$B:$B,"CLT")</f>
        <v/>
      </c>
      <c r="AB168" s="28">
        <f>SUMIFS(T_REAL!$D:$D,T_REAL!$E:$E,DRE!AB$7,T_REAL!$C:$C,DRE!$A168)+SUMIFS(Aut_Ajustes_Manuais!$G:$G,Aut_Ajustes_Manuais!$I:$I,DRE!Z$4,Aut_Ajustes_Manuais!$F:$F,"  -  Porteiro I")</f>
        <v/>
      </c>
      <c r="AC168" s="241" t="n"/>
      <c r="AD168" s="27">
        <f>-SUMIFS(T_HEADCOUNT!$E:$E,T_HEADCOUNT!$C:$C,"-  Porteiro I",T_HEADCOUNT!$D:$D,"8/2026",T_HEADCOUNT!$B:$B,"CLT")</f>
        <v/>
      </c>
      <c r="AE168" s="28">
        <f>SUMIFS(T_REAL!$D:$D,T_REAL!$E:$E,DRE!AE$7,T_REAL!$C:$C,DRE!$A168)+SUMIFS(Aut_Ajustes_Manuais!$G:$G,Aut_Ajustes_Manuais!$I:$I,DRE!AC$4,Aut_Ajustes_Manuais!$F:$F,"  -  Porteiro I")</f>
        <v/>
      </c>
      <c r="AF168" s="241" t="n"/>
      <c r="AG168" s="27">
        <f>-SUMIFS(T_HEADCOUNT!$E:$E,T_HEADCOUNT!$C:$C,"-  Porteiro I",T_HEADCOUNT!$D:$D,"9/2026",T_HEADCOUNT!$B:$B,"CLT")</f>
        <v/>
      </c>
      <c r="AH168" s="28">
        <f>SUMIFS(T_REAL!$D:$D,T_REAL!$E:$E,DRE!AH$7,T_REAL!$C:$C,DRE!$A168)+SUMIFS(Aut_Ajustes_Manuais!$G:$G,Aut_Ajustes_Manuais!$I:$I,DRE!AF$4,Aut_Ajustes_Manuais!$F:$F,"  -  Porteiro I")</f>
        <v/>
      </c>
      <c r="AI168" s="241" t="n"/>
      <c r="AJ168" s="27">
        <f>-SUMIFS(T_HEADCOUNT!$E:$E,T_HEADCOUNT!$C:$C,"-  Porteiro I",T_HEADCOUNT!$D:$D,"10/2026",T_HEADCOUNT!$B:$B,"CLT")</f>
        <v/>
      </c>
      <c r="AK168" s="28">
        <f>SUMIFS(T_REAL!$D:$D,T_REAL!$E:$E,DRE!AK$7,T_REAL!$C:$C,DRE!$A168)+SUMIFS(Aut_Ajustes_Manuais!$G:$G,Aut_Ajustes_Manuais!$I:$I,DRE!AI$4,Aut_Ajustes_Manuais!$F:$F,"  -  Porteiro I")</f>
        <v/>
      </c>
      <c r="AL168" s="241" t="n"/>
      <c r="AM168" s="27">
        <f>-SUMIFS(T_HEADCOUNT!$E:$E,T_HEADCOUNT!$C:$C,"-  Porteiro I",T_HEADCOUNT!$D:$D,"11/2026",T_HEADCOUNT!$B:$B,"CLT")</f>
        <v/>
      </c>
      <c r="AN168" s="28">
        <f>SUMIFS(T_REAL!$D:$D,T_REAL!$E:$E,DRE!AN$7,T_REAL!$C:$C,DRE!$A168)+SUMIFS(Aut_Ajustes_Manuais!$G:$G,Aut_Ajustes_Manuais!$I:$I,DRE!AL$4,Aut_Ajustes_Manuais!$F:$F,"  -  Porteiro I")</f>
        <v/>
      </c>
      <c r="AO168" s="241" t="n"/>
      <c r="AP168" s="27">
        <f>-SUMIFS(T_HEADCOUNT!$E:$E,T_HEADCOUNT!$C:$C,"-  Porteiro I",T_HEADCOUNT!$D:$D,"12/2026",T_HEADCOUNT!$B:$B,"CLT")</f>
        <v/>
      </c>
      <c r="AQ168" s="28">
        <f>SUMIFS(T_REAL!$D:$D,T_REAL!$E:$E,DRE!AQ$7,T_REAL!$C:$C,DRE!$A168)+SUMIFS(Aut_Ajustes_Manuais!$G:$G,Aut_Ajustes_Manuais!$I:$I,DRE!AO$4,Aut_Ajustes_Manuais!$F:$F,"  -  Porteiro I")</f>
        <v/>
      </c>
      <c r="AR168" s="241">
        <f>SUMIFS($H168:$AO168,$H$5:$AO$5,"&lt;"&amp;MONTH(TODAY()),$H$6:$AO$6,"REAL 25")</f>
        <v/>
      </c>
      <c r="AS168" s="27">
        <f>SUMIFS($I168:$AP168,$I$5:$AP$5,"&lt;"&amp;MONTH(TODAY()),$I$6:$AP$6,"ORÇADO ")</f>
        <v/>
      </c>
      <c r="AT168" s="28">
        <f>SUMIFS($J168:$AQ168,$J$5:$AQ$5,"&lt;"&amp;MONTH(TODAY()),$J$6:$AQ$6,"REAL 26")</f>
        <v/>
      </c>
      <c r="AU168" s="241" t="n"/>
      <c r="AV168" s="27" t="n"/>
      <c r="AW168" s="28" t="n"/>
      <c r="AX168" s="241" t="n"/>
      <c r="AY168" s="27" t="n">
        <v>0</v>
      </c>
      <c r="AZ168" s="28" t="n"/>
      <c r="BA168" s="241" t="n"/>
      <c r="BB168" s="27" t="n">
        <v>0</v>
      </c>
      <c r="BC168" s="28" t="n"/>
      <c r="BD168" s="241" t="n"/>
      <c r="BE168" s="27" t="n">
        <v>0</v>
      </c>
      <c r="BF168" s="28" t="n"/>
      <c r="BG168" s="241" t="n"/>
      <c r="BH168" s="27" t="n">
        <v>0</v>
      </c>
      <c r="BI168" s="28" t="n"/>
    </row>
    <row r="169" hidden="1" outlineLevel="1" customFormat="1" s="498">
      <c r="A169" s="95" t="inlineStr">
        <is>
          <t xml:space="preserve">  -  Hostess III</t>
        </is>
      </c>
      <c r="B169" s="488" t="n"/>
      <c r="C169" s="24" t="n"/>
      <c r="D169" s="55" t="inlineStr">
        <is>
          <t>Salário Bruto com INSS Segurado dentro do valor</t>
        </is>
      </c>
      <c r="E169" s="87" t="n"/>
      <c r="F169" s="56" t="n"/>
      <c r="G169" s="33" t="n"/>
      <c r="H169" s="241" t="n"/>
      <c r="I169" s="27">
        <f>-SUMIFS(T_HEADCOUNT!$E:$E,T_HEADCOUNT!$C:$C,"-  Hostess III",T_HEADCOUNT!$D:$D,"1/2026",T_HEADCOUNT!$B:$B,"CLT")</f>
        <v/>
      </c>
      <c r="J169" s="28">
        <f>SUMIFS(T_REAL!$D:$D,T_REAL!$E:$E,DRE!J$7,T_REAL!$C:$C,DRE!$A169)+SUMIFS(Aut_Ajustes_Manuais!$G:$G,Aut_Ajustes_Manuais!$I:$I,DRE!H$4,Aut_Ajustes_Manuais!$F:$F,"  -  Hostess III")</f>
        <v/>
      </c>
      <c r="K169" s="241" t="n"/>
      <c r="L169" s="27">
        <f>-SUMIFS(T_HEADCOUNT!$E:$E,T_HEADCOUNT!$C:$C,"-  Hostess III",T_HEADCOUNT!$D:$D,"2/2026",T_HEADCOUNT!$B:$B,"CLT")</f>
        <v/>
      </c>
      <c r="M169" s="28">
        <f>SUMIFS(T_REAL!$D:$D,T_REAL!$E:$E,DRE!M$7,T_REAL!$C:$C,DRE!$A169)+SUMIFS(Aut_Ajustes_Manuais!$G:$G,Aut_Ajustes_Manuais!$I:$I,DRE!K$4,Aut_Ajustes_Manuais!$F:$F,"  -  Hostess III")</f>
        <v/>
      </c>
      <c r="N169" s="241" t="n"/>
      <c r="O169" s="27">
        <f>-SUMIFS(T_HEADCOUNT!$E:$E,T_HEADCOUNT!$C:$C,"-  Hostess III",T_HEADCOUNT!$D:$D,"3/2026",T_HEADCOUNT!$B:$B,"CLT")</f>
        <v/>
      </c>
      <c r="P169" s="28">
        <f>SUMIFS(T_REAL!$D:$D,T_REAL!$E:$E,DRE!P$7,T_REAL!$C:$C,DRE!$A169)+SUMIFS(Aut_Ajustes_Manuais!$G:$G,Aut_Ajustes_Manuais!$I:$I,DRE!N$4,Aut_Ajustes_Manuais!$F:$F,"  -  Hostess III")</f>
        <v/>
      </c>
      <c r="Q169" s="241" t="n"/>
      <c r="R169" s="27">
        <f>-SUMIFS(T_HEADCOUNT!$E:$E,T_HEADCOUNT!$C:$C,"-  Hostess III",T_HEADCOUNT!$D:$D,"4/2026",T_HEADCOUNT!$B:$B,"CLT")</f>
        <v/>
      </c>
      <c r="S169" s="28">
        <f>SUMIFS(T_REAL!$D:$D,T_REAL!$E:$E,DRE!S$7,T_REAL!$C:$C,DRE!$A169)+SUMIFS(Aut_Ajustes_Manuais!$G:$G,Aut_Ajustes_Manuais!$I:$I,DRE!Q$4,Aut_Ajustes_Manuais!$F:$F,"  -  Hostess III")</f>
        <v/>
      </c>
      <c r="T169" s="241" t="n"/>
      <c r="U169" s="27">
        <f>-SUMIFS(T_HEADCOUNT!$E:$E,T_HEADCOUNT!$C:$C,"-  Hostess III",T_HEADCOUNT!$D:$D,"5/2026",T_HEADCOUNT!$B:$B,"CLT")</f>
        <v/>
      </c>
      <c r="V169" s="28">
        <f>SUMIFS(T_REAL!$D:$D,T_REAL!$E:$E,DRE!V$7,T_REAL!$C:$C,DRE!$A169)+SUMIFS(Aut_Ajustes_Manuais!$G:$G,Aut_Ajustes_Manuais!$I:$I,DRE!T$4,Aut_Ajustes_Manuais!$F:$F,"  -  Hostess III")</f>
        <v/>
      </c>
      <c r="W169" s="241" t="n"/>
      <c r="X169" s="27">
        <f>-SUMIFS(T_HEADCOUNT!$E:$E,T_HEADCOUNT!$C:$C,"-  Hostess III",T_HEADCOUNT!$D:$D,"6/2026",T_HEADCOUNT!$B:$B,"CLT")</f>
        <v/>
      </c>
      <c r="Y169" s="28">
        <f>SUMIFS(T_REAL!$D:$D,T_REAL!$E:$E,DRE!Y$7,T_REAL!$C:$C,DRE!$A169)+SUMIFS(Aut_Ajustes_Manuais!$G:$G,Aut_Ajustes_Manuais!$I:$I,DRE!W$4,Aut_Ajustes_Manuais!$F:$F,"  -  Hostess III")</f>
        <v/>
      </c>
      <c r="Z169" s="241" t="n"/>
      <c r="AA169" s="27">
        <f>-SUMIFS(T_HEADCOUNT!$E:$E,T_HEADCOUNT!$C:$C,"-  Hostess III",T_HEADCOUNT!$D:$D,"7/2026",T_HEADCOUNT!$B:$B,"CLT")</f>
        <v/>
      </c>
      <c r="AB169" s="28">
        <f>SUMIFS(T_REAL!$D:$D,T_REAL!$E:$E,DRE!AB$7,T_REAL!$C:$C,DRE!$A169)+SUMIFS(Aut_Ajustes_Manuais!$G:$G,Aut_Ajustes_Manuais!$I:$I,DRE!Z$4,Aut_Ajustes_Manuais!$F:$F,"  -  Hostess III")</f>
        <v/>
      </c>
      <c r="AC169" s="241" t="n"/>
      <c r="AD169" s="27">
        <f>-SUMIFS(T_HEADCOUNT!$E:$E,T_HEADCOUNT!$C:$C,"-  Hostess III",T_HEADCOUNT!$D:$D,"8/2026",T_HEADCOUNT!$B:$B,"CLT")</f>
        <v/>
      </c>
      <c r="AE169" s="28">
        <f>SUMIFS(T_REAL!$D:$D,T_REAL!$E:$E,DRE!AE$7,T_REAL!$C:$C,DRE!$A169)+SUMIFS(Aut_Ajustes_Manuais!$G:$G,Aut_Ajustes_Manuais!$I:$I,DRE!AC$4,Aut_Ajustes_Manuais!$F:$F,"  -  Hostess III")</f>
        <v/>
      </c>
      <c r="AF169" s="241" t="n"/>
      <c r="AG169" s="27">
        <f>-SUMIFS(T_HEADCOUNT!$E:$E,T_HEADCOUNT!$C:$C,"-  Hostess III",T_HEADCOUNT!$D:$D,"9/2026",T_HEADCOUNT!$B:$B,"CLT")</f>
        <v/>
      </c>
      <c r="AH169" s="28">
        <f>SUMIFS(T_REAL!$D:$D,T_REAL!$E:$E,DRE!AH$7,T_REAL!$C:$C,DRE!$A169)+SUMIFS(Aut_Ajustes_Manuais!$G:$G,Aut_Ajustes_Manuais!$I:$I,DRE!AF$4,Aut_Ajustes_Manuais!$F:$F,"  -  Hostess III")</f>
        <v/>
      </c>
      <c r="AI169" s="241" t="n"/>
      <c r="AJ169" s="27">
        <f>-SUMIFS(T_HEADCOUNT!$E:$E,T_HEADCOUNT!$C:$C,"-  Hostess III",T_HEADCOUNT!$D:$D,"10/2026",T_HEADCOUNT!$B:$B,"CLT")</f>
        <v/>
      </c>
      <c r="AK169" s="28">
        <f>SUMIFS(T_REAL!$D:$D,T_REAL!$E:$E,DRE!AK$7,T_REAL!$C:$C,DRE!$A169)+SUMIFS(Aut_Ajustes_Manuais!$G:$G,Aut_Ajustes_Manuais!$I:$I,DRE!AI$4,Aut_Ajustes_Manuais!$F:$F,"  -  Hostess III")</f>
        <v/>
      </c>
      <c r="AL169" s="241" t="n"/>
      <c r="AM169" s="27">
        <f>-SUMIFS(T_HEADCOUNT!$E:$E,T_HEADCOUNT!$C:$C,"-  Hostess III",T_HEADCOUNT!$D:$D,"11/2026",T_HEADCOUNT!$B:$B,"CLT")</f>
        <v/>
      </c>
      <c r="AN169" s="28">
        <f>SUMIFS(T_REAL!$D:$D,T_REAL!$E:$E,DRE!AN$7,T_REAL!$C:$C,DRE!$A169)+SUMIFS(Aut_Ajustes_Manuais!$G:$G,Aut_Ajustes_Manuais!$I:$I,DRE!AL$4,Aut_Ajustes_Manuais!$F:$F,"  -  Hostess III")</f>
        <v/>
      </c>
      <c r="AO169" s="241" t="n"/>
      <c r="AP169" s="27">
        <f>-SUMIFS(T_HEADCOUNT!$E:$E,T_HEADCOUNT!$C:$C,"-  Hostess III",T_HEADCOUNT!$D:$D,"12/2026",T_HEADCOUNT!$B:$B,"CLT")</f>
        <v/>
      </c>
      <c r="AQ169" s="28">
        <f>SUMIFS(T_REAL!$D:$D,T_REAL!$E:$E,DRE!AQ$7,T_REAL!$C:$C,DRE!$A169)+SUMIFS(Aut_Ajustes_Manuais!$G:$G,Aut_Ajustes_Manuais!$I:$I,DRE!AO$4,Aut_Ajustes_Manuais!$F:$F,"  -  Hostess III")</f>
        <v/>
      </c>
      <c r="AR169" s="241">
        <f>SUMIFS($H169:$AO169,$H$5:$AO$5,"&lt;"&amp;MONTH(TODAY()),$H$6:$AO$6,"REAL 25")</f>
        <v/>
      </c>
      <c r="AS169" s="27">
        <f>SUMIFS($I169:$AP169,$I$5:$AP$5,"&lt;"&amp;MONTH(TODAY()),$I$6:$AP$6,"ORÇADO ")</f>
        <v/>
      </c>
      <c r="AT169" s="28">
        <f>SUMIFS($J169:$AQ169,$J$5:$AQ$5,"&lt;"&amp;MONTH(TODAY()),$J$6:$AQ$6,"REAL 26")</f>
        <v/>
      </c>
      <c r="AU169" s="241" t="n"/>
      <c r="AV169" s="27" t="n"/>
      <c r="AW169" s="28" t="n"/>
      <c r="AX169" s="241" t="n"/>
      <c r="AY169" s="27" t="n">
        <v>0</v>
      </c>
      <c r="AZ169" s="28" t="n"/>
      <c r="BA169" s="241" t="n"/>
      <c r="BB169" s="27" t="n">
        <v>0</v>
      </c>
      <c r="BC169" s="28" t="n"/>
      <c r="BD169" s="241" t="n"/>
      <c r="BE169" s="27" t="n">
        <v>0</v>
      </c>
      <c r="BF169" s="28" t="n"/>
      <c r="BG169" s="241" t="n"/>
      <c r="BH169" s="27" t="n">
        <v>0</v>
      </c>
      <c r="BI169" s="28" t="n"/>
    </row>
    <row r="170" hidden="1" outlineLevel="1" customFormat="1" s="498">
      <c r="A170" s="95" t="inlineStr">
        <is>
          <t xml:space="preserve">  -  Hostess II</t>
        </is>
      </c>
      <c r="B170" s="488" t="n"/>
      <c r="C170" s="24" t="n"/>
      <c r="D170" s="55" t="inlineStr">
        <is>
          <t>Salário Bruto com INSS Segurado dentro do valor</t>
        </is>
      </c>
      <c r="E170" s="87" t="n"/>
      <c r="F170" s="56" t="n"/>
      <c r="G170" s="33" t="n"/>
      <c r="H170" s="241" t="n"/>
      <c r="I170" s="27">
        <f>-SUMIFS(T_HEADCOUNT!$E:$E,T_HEADCOUNT!$C:$C,"-  Hostess II",T_HEADCOUNT!$D:$D,"1/2026",T_HEADCOUNT!$B:$B,"CLT")</f>
        <v/>
      </c>
      <c r="J170" s="28">
        <f>SUMIFS(T_REAL!$D:$D,T_REAL!$E:$E,DRE!J$7,T_REAL!$C:$C,DRE!$A170)+SUMIFS(Aut_Ajustes_Manuais!$G:$G,Aut_Ajustes_Manuais!$I:$I,DRE!H$4,Aut_Ajustes_Manuais!$F:$F,"  -  Hostess II")</f>
        <v/>
      </c>
      <c r="K170" s="241" t="n"/>
      <c r="L170" s="27">
        <f>-SUMIFS(T_HEADCOUNT!$E:$E,T_HEADCOUNT!$C:$C,"-  Hostess II",T_HEADCOUNT!$D:$D,"2/2026",T_HEADCOUNT!$B:$B,"CLT")</f>
        <v/>
      </c>
      <c r="M170" s="28">
        <f>SUMIFS(T_REAL!$D:$D,T_REAL!$E:$E,DRE!M$7,T_REAL!$C:$C,DRE!$A170)+SUMIFS(Aut_Ajustes_Manuais!$G:$G,Aut_Ajustes_Manuais!$I:$I,DRE!K$4,Aut_Ajustes_Manuais!$F:$F,"  -  Hostess II")</f>
        <v/>
      </c>
      <c r="N170" s="241" t="n"/>
      <c r="O170" s="27">
        <f>-SUMIFS(T_HEADCOUNT!$E:$E,T_HEADCOUNT!$C:$C,"-  Hostess II",T_HEADCOUNT!$D:$D,"3/2026",T_HEADCOUNT!$B:$B,"CLT")</f>
        <v/>
      </c>
      <c r="P170" s="28">
        <f>SUMIFS(T_REAL!$D:$D,T_REAL!$E:$E,DRE!P$7,T_REAL!$C:$C,DRE!$A170)+SUMIFS(Aut_Ajustes_Manuais!$G:$G,Aut_Ajustes_Manuais!$I:$I,DRE!N$4,Aut_Ajustes_Manuais!$F:$F,"  -  Hostess II")</f>
        <v/>
      </c>
      <c r="Q170" s="241" t="n"/>
      <c r="R170" s="27">
        <f>-SUMIFS(T_HEADCOUNT!$E:$E,T_HEADCOUNT!$C:$C,"-  Hostess II",T_HEADCOUNT!$D:$D,"4/2026",T_HEADCOUNT!$B:$B,"CLT")</f>
        <v/>
      </c>
      <c r="S170" s="28">
        <f>SUMIFS(T_REAL!$D:$D,T_REAL!$E:$E,DRE!S$7,T_REAL!$C:$C,DRE!$A170)+SUMIFS(Aut_Ajustes_Manuais!$G:$G,Aut_Ajustes_Manuais!$I:$I,DRE!Q$4,Aut_Ajustes_Manuais!$F:$F,"  -  Hostess II")</f>
        <v/>
      </c>
      <c r="T170" s="241" t="n"/>
      <c r="U170" s="27">
        <f>-SUMIFS(T_HEADCOUNT!$E:$E,T_HEADCOUNT!$C:$C,"-  Hostess II",T_HEADCOUNT!$D:$D,"5/2026",T_HEADCOUNT!$B:$B,"CLT")</f>
        <v/>
      </c>
      <c r="V170" s="28">
        <f>SUMIFS(T_REAL!$D:$D,T_REAL!$E:$E,DRE!V$7,T_REAL!$C:$C,DRE!$A170)+SUMIFS(Aut_Ajustes_Manuais!$G:$G,Aut_Ajustes_Manuais!$I:$I,DRE!T$4,Aut_Ajustes_Manuais!$F:$F,"  -  Hostess II")</f>
        <v/>
      </c>
      <c r="W170" s="241" t="n"/>
      <c r="X170" s="27">
        <f>-SUMIFS(T_HEADCOUNT!$E:$E,T_HEADCOUNT!$C:$C,"-  Hostess II",T_HEADCOUNT!$D:$D,"6/2026",T_HEADCOUNT!$B:$B,"CLT")</f>
        <v/>
      </c>
      <c r="Y170" s="28">
        <f>SUMIFS(T_REAL!$D:$D,T_REAL!$E:$E,DRE!Y$7,T_REAL!$C:$C,DRE!$A170)+SUMIFS(Aut_Ajustes_Manuais!$G:$G,Aut_Ajustes_Manuais!$I:$I,DRE!W$4,Aut_Ajustes_Manuais!$F:$F,"  -  Hostess II")</f>
        <v/>
      </c>
      <c r="Z170" s="241" t="n"/>
      <c r="AA170" s="27">
        <f>-SUMIFS(T_HEADCOUNT!$E:$E,T_HEADCOUNT!$C:$C,"-  Hostess II",T_HEADCOUNT!$D:$D,"7/2026",T_HEADCOUNT!$B:$B,"CLT")</f>
        <v/>
      </c>
      <c r="AB170" s="28">
        <f>SUMIFS(T_REAL!$D:$D,T_REAL!$E:$E,DRE!AB$7,T_REAL!$C:$C,DRE!$A170)+SUMIFS(Aut_Ajustes_Manuais!$G:$G,Aut_Ajustes_Manuais!$I:$I,DRE!Z$4,Aut_Ajustes_Manuais!$F:$F,"  -  Hostess II")</f>
        <v/>
      </c>
      <c r="AC170" s="241" t="n"/>
      <c r="AD170" s="27">
        <f>-SUMIFS(T_HEADCOUNT!$E:$E,T_HEADCOUNT!$C:$C,"-  Hostess II",T_HEADCOUNT!$D:$D,"8/2026",T_HEADCOUNT!$B:$B,"CLT")</f>
        <v/>
      </c>
      <c r="AE170" s="28">
        <f>SUMIFS(T_REAL!$D:$D,T_REAL!$E:$E,DRE!AE$7,T_REAL!$C:$C,DRE!$A170)+SUMIFS(Aut_Ajustes_Manuais!$G:$G,Aut_Ajustes_Manuais!$I:$I,DRE!AC$4,Aut_Ajustes_Manuais!$F:$F,"  -  Hostess II")</f>
        <v/>
      </c>
      <c r="AF170" s="241" t="n"/>
      <c r="AG170" s="27">
        <f>-SUMIFS(T_HEADCOUNT!$E:$E,T_HEADCOUNT!$C:$C,"-  Hostess II",T_HEADCOUNT!$D:$D,"9/2026",T_HEADCOUNT!$B:$B,"CLT")</f>
        <v/>
      </c>
      <c r="AH170" s="28">
        <f>SUMIFS(T_REAL!$D:$D,T_REAL!$E:$E,DRE!AH$7,T_REAL!$C:$C,DRE!$A170)+SUMIFS(Aut_Ajustes_Manuais!$G:$G,Aut_Ajustes_Manuais!$I:$I,DRE!AF$4,Aut_Ajustes_Manuais!$F:$F,"  -  Hostess II")</f>
        <v/>
      </c>
      <c r="AI170" s="241" t="n"/>
      <c r="AJ170" s="27">
        <f>-SUMIFS(T_HEADCOUNT!$E:$E,T_HEADCOUNT!$C:$C,"-  Hostess II",T_HEADCOUNT!$D:$D,"10/2026",T_HEADCOUNT!$B:$B,"CLT")</f>
        <v/>
      </c>
      <c r="AK170" s="28">
        <f>SUMIFS(T_REAL!$D:$D,T_REAL!$E:$E,DRE!AK$7,T_REAL!$C:$C,DRE!$A170)+SUMIFS(Aut_Ajustes_Manuais!$G:$G,Aut_Ajustes_Manuais!$I:$I,DRE!AI$4,Aut_Ajustes_Manuais!$F:$F,"  -  Hostess II")</f>
        <v/>
      </c>
      <c r="AL170" s="241" t="n"/>
      <c r="AM170" s="27">
        <f>-SUMIFS(T_HEADCOUNT!$E:$E,T_HEADCOUNT!$C:$C,"-  Hostess II",T_HEADCOUNT!$D:$D,"11/2026",T_HEADCOUNT!$B:$B,"CLT")</f>
        <v/>
      </c>
      <c r="AN170" s="28">
        <f>SUMIFS(T_REAL!$D:$D,T_REAL!$E:$E,DRE!AN$7,T_REAL!$C:$C,DRE!$A170)+SUMIFS(Aut_Ajustes_Manuais!$G:$G,Aut_Ajustes_Manuais!$I:$I,DRE!AL$4,Aut_Ajustes_Manuais!$F:$F,"  -  Hostess II")</f>
        <v/>
      </c>
      <c r="AO170" s="241" t="n"/>
      <c r="AP170" s="27">
        <f>-SUMIFS(T_HEADCOUNT!$E:$E,T_HEADCOUNT!$C:$C,"-  Hostess II",T_HEADCOUNT!$D:$D,"12/2026",T_HEADCOUNT!$B:$B,"CLT")</f>
        <v/>
      </c>
      <c r="AQ170" s="28">
        <f>SUMIFS(T_REAL!$D:$D,T_REAL!$E:$E,DRE!AQ$7,T_REAL!$C:$C,DRE!$A170)+SUMIFS(Aut_Ajustes_Manuais!$G:$G,Aut_Ajustes_Manuais!$I:$I,DRE!AO$4,Aut_Ajustes_Manuais!$F:$F,"  -  Hostess II")</f>
        <v/>
      </c>
      <c r="AR170" s="241">
        <f>SUMIFS($H170:$AO170,$H$5:$AO$5,"&lt;"&amp;MONTH(TODAY()),$H$6:$AO$6,"REAL 25")</f>
        <v/>
      </c>
      <c r="AS170" s="27">
        <f>SUMIFS($I170:$AP170,$I$5:$AP$5,"&lt;"&amp;MONTH(TODAY()),$I$6:$AP$6,"ORÇADO ")</f>
        <v/>
      </c>
      <c r="AT170" s="28">
        <f>SUMIFS($J170:$AQ170,$J$5:$AQ$5,"&lt;"&amp;MONTH(TODAY()),$J$6:$AQ$6,"REAL 26")</f>
        <v/>
      </c>
      <c r="AU170" s="241" t="n"/>
      <c r="AV170" s="27" t="n"/>
      <c r="AW170" s="28" t="n"/>
      <c r="AX170" s="241" t="n"/>
      <c r="AY170" s="27" t="n">
        <v>0</v>
      </c>
      <c r="AZ170" s="28" t="n"/>
      <c r="BA170" s="241" t="n"/>
      <c r="BB170" s="27" t="n">
        <v>0</v>
      </c>
      <c r="BC170" s="28" t="n"/>
      <c r="BD170" s="241" t="n"/>
      <c r="BE170" s="27" t="n">
        <v>0</v>
      </c>
      <c r="BF170" s="28" t="n"/>
      <c r="BG170" s="241" t="n"/>
      <c r="BH170" s="27" t="n">
        <v>0</v>
      </c>
      <c r="BI170" s="28" t="n"/>
    </row>
    <row r="171" hidden="1" outlineLevel="1" customFormat="1" s="498">
      <c r="A171" s="95" t="inlineStr">
        <is>
          <t xml:space="preserve">  -  Hostess I</t>
        </is>
      </c>
      <c r="B171" s="488" t="n"/>
      <c r="C171" s="24" t="n"/>
      <c r="D171" s="55" t="inlineStr">
        <is>
          <t>Salário Bruto com INSS Segurado dentro do valor</t>
        </is>
      </c>
      <c r="E171" s="87" t="n"/>
      <c r="F171" s="56" t="n"/>
      <c r="G171" s="33" t="n"/>
      <c r="H171" s="241" t="n"/>
      <c r="I171" s="27">
        <f>-SUMIFS(T_HEADCOUNT!$E:$E,T_HEADCOUNT!$C:$C,"-  Hostess I",T_HEADCOUNT!$D:$D,"1/2026",T_HEADCOUNT!$B:$B,"CLT")</f>
        <v/>
      </c>
      <c r="J171" s="28">
        <f>SUMIFS(T_REAL!$D:$D,T_REAL!$E:$E,DRE!J$7,T_REAL!$C:$C,DRE!$A171)+SUMIFS(Aut_Ajustes_Manuais!$G:$G,Aut_Ajustes_Manuais!$I:$I,DRE!H$4,Aut_Ajustes_Manuais!$F:$F,"  -  Hostess I")</f>
        <v/>
      </c>
      <c r="K171" s="241" t="n"/>
      <c r="L171" s="27">
        <f>-SUMIFS(T_HEADCOUNT!$E:$E,T_HEADCOUNT!$C:$C,"-  Hostess I",T_HEADCOUNT!$D:$D,"2/2026",T_HEADCOUNT!$B:$B,"CLT")</f>
        <v/>
      </c>
      <c r="M171" s="28">
        <f>SUMIFS(T_REAL!$D:$D,T_REAL!$E:$E,DRE!M$7,T_REAL!$C:$C,DRE!$A171)+SUMIFS(Aut_Ajustes_Manuais!$G:$G,Aut_Ajustes_Manuais!$I:$I,DRE!K$4,Aut_Ajustes_Manuais!$F:$F,"  -  Hostess I")</f>
        <v/>
      </c>
      <c r="N171" s="241" t="n"/>
      <c r="O171" s="27">
        <f>-SUMIFS(T_HEADCOUNT!$E:$E,T_HEADCOUNT!$C:$C,"-  Hostess I",T_HEADCOUNT!$D:$D,"3/2026",T_HEADCOUNT!$B:$B,"CLT")</f>
        <v/>
      </c>
      <c r="P171" s="28">
        <f>SUMIFS(T_REAL!$D:$D,T_REAL!$E:$E,DRE!P$7,T_REAL!$C:$C,DRE!$A171)+SUMIFS(Aut_Ajustes_Manuais!$G:$G,Aut_Ajustes_Manuais!$I:$I,DRE!N$4,Aut_Ajustes_Manuais!$F:$F,"  -  Hostess I")</f>
        <v/>
      </c>
      <c r="Q171" s="241" t="n"/>
      <c r="R171" s="27">
        <f>-SUMIFS(T_HEADCOUNT!$E:$E,T_HEADCOUNT!$C:$C,"-  Hostess I",T_HEADCOUNT!$D:$D,"4/2026",T_HEADCOUNT!$B:$B,"CLT")</f>
        <v/>
      </c>
      <c r="S171" s="28">
        <f>SUMIFS(T_REAL!$D:$D,T_REAL!$E:$E,DRE!S$7,T_REAL!$C:$C,DRE!$A171)+SUMIFS(Aut_Ajustes_Manuais!$G:$G,Aut_Ajustes_Manuais!$I:$I,DRE!Q$4,Aut_Ajustes_Manuais!$F:$F,"  -  Hostess I")</f>
        <v/>
      </c>
      <c r="T171" s="241" t="n"/>
      <c r="U171" s="27">
        <f>-SUMIFS(T_HEADCOUNT!$E:$E,T_HEADCOUNT!$C:$C,"-  Hostess I",T_HEADCOUNT!$D:$D,"5/2026",T_HEADCOUNT!$B:$B,"CLT")</f>
        <v/>
      </c>
      <c r="V171" s="28">
        <f>SUMIFS(T_REAL!$D:$D,T_REAL!$E:$E,DRE!V$7,T_REAL!$C:$C,DRE!$A171)+SUMIFS(Aut_Ajustes_Manuais!$G:$G,Aut_Ajustes_Manuais!$I:$I,DRE!T$4,Aut_Ajustes_Manuais!$F:$F,"  -  Hostess I")</f>
        <v/>
      </c>
      <c r="W171" s="241" t="n"/>
      <c r="X171" s="27">
        <f>-SUMIFS(T_HEADCOUNT!$E:$E,T_HEADCOUNT!$C:$C,"-  Hostess I",T_HEADCOUNT!$D:$D,"6/2026",T_HEADCOUNT!$B:$B,"CLT")</f>
        <v/>
      </c>
      <c r="Y171" s="28">
        <f>SUMIFS(T_REAL!$D:$D,T_REAL!$E:$E,DRE!Y$7,T_REAL!$C:$C,DRE!$A171)+SUMIFS(Aut_Ajustes_Manuais!$G:$G,Aut_Ajustes_Manuais!$I:$I,DRE!W$4,Aut_Ajustes_Manuais!$F:$F,"  -  Hostess I")</f>
        <v/>
      </c>
      <c r="Z171" s="241" t="n"/>
      <c r="AA171" s="27">
        <f>-SUMIFS(T_HEADCOUNT!$E:$E,T_HEADCOUNT!$C:$C,"-  Hostess I",T_HEADCOUNT!$D:$D,"7/2026",T_HEADCOUNT!$B:$B,"CLT")</f>
        <v/>
      </c>
      <c r="AB171" s="28">
        <f>SUMIFS(T_REAL!$D:$D,T_REAL!$E:$E,DRE!AB$7,T_REAL!$C:$C,DRE!$A171)+SUMIFS(Aut_Ajustes_Manuais!$G:$G,Aut_Ajustes_Manuais!$I:$I,DRE!Z$4,Aut_Ajustes_Manuais!$F:$F,"  -  Hostess I")</f>
        <v/>
      </c>
      <c r="AC171" s="241" t="n"/>
      <c r="AD171" s="27">
        <f>-SUMIFS(T_HEADCOUNT!$E:$E,T_HEADCOUNT!$C:$C,"-  Hostess I",T_HEADCOUNT!$D:$D,"8/2026",T_HEADCOUNT!$B:$B,"CLT")</f>
        <v/>
      </c>
      <c r="AE171" s="28">
        <f>SUMIFS(T_REAL!$D:$D,T_REAL!$E:$E,DRE!AE$7,T_REAL!$C:$C,DRE!$A171)+SUMIFS(Aut_Ajustes_Manuais!$G:$G,Aut_Ajustes_Manuais!$I:$I,DRE!AC$4,Aut_Ajustes_Manuais!$F:$F,"  -  Hostess I")</f>
        <v/>
      </c>
      <c r="AF171" s="241" t="n"/>
      <c r="AG171" s="27">
        <f>-SUMIFS(T_HEADCOUNT!$E:$E,T_HEADCOUNT!$C:$C,"-  Hostess I",T_HEADCOUNT!$D:$D,"9/2026",T_HEADCOUNT!$B:$B,"CLT")</f>
        <v/>
      </c>
      <c r="AH171" s="28">
        <f>SUMIFS(T_REAL!$D:$D,T_REAL!$E:$E,DRE!AH$7,T_REAL!$C:$C,DRE!$A171)+SUMIFS(Aut_Ajustes_Manuais!$G:$G,Aut_Ajustes_Manuais!$I:$I,DRE!AF$4,Aut_Ajustes_Manuais!$F:$F,"  -  Hostess I")</f>
        <v/>
      </c>
      <c r="AI171" s="241" t="n"/>
      <c r="AJ171" s="27">
        <f>-SUMIFS(T_HEADCOUNT!$E:$E,T_HEADCOUNT!$C:$C,"-  Hostess I",T_HEADCOUNT!$D:$D,"10/2026",T_HEADCOUNT!$B:$B,"CLT")</f>
        <v/>
      </c>
      <c r="AK171" s="28">
        <f>SUMIFS(T_REAL!$D:$D,T_REAL!$E:$E,DRE!AK$7,T_REAL!$C:$C,DRE!$A171)+SUMIFS(Aut_Ajustes_Manuais!$G:$G,Aut_Ajustes_Manuais!$I:$I,DRE!AI$4,Aut_Ajustes_Manuais!$F:$F,"  -  Hostess I")</f>
        <v/>
      </c>
      <c r="AL171" s="241" t="n"/>
      <c r="AM171" s="27">
        <f>-SUMIFS(T_HEADCOUNT!$E:$E,T_HEADCOUNT!$C:$C,"-  Hostess I",T_HEADCOUNT!$D:$D,"11/2026",T_HEADCOUNT!$B:$B,"CLT")</f>
        <v/>
      </c>
      <c r="AN171" s="28">
        <f>SUMIFS(T_REAL!$D:$D,T_REAL!$E:$E,DRE!AN$7,T_REAL!$C:$C,DRE!$A171)+SUMIFS(Aut_Ajustes_Manuais!$G:$G,Aut_Ajustes_Manuais!$I:$I,DRE!AL$4,Aut_Ajustes_Manuais!$F:$F,"  -  Hostess I")</f>
        <v/>
      </c>
      <c r="AO171" s="241" t="n"/>
      <c r="AP171" s="27">
        <f>-SUMIFS(T_HEADCOUNT!$E:$E,T_HEADCOUNT!$C:$C,"-  Hostess I",T_HEADCOUNT!$D:$D,"12/2026",T_HEADCOUNT!$B:$B,"CLT")</f>
        <v/>
      </c>
      <c r="AQ171" s="28">
        <f>SUMIFS(T_REAL!$D:$D,T_REAL!$E:$E,DRE!AQ$7,T_REAL!$C:$C,DRE!$A171)+SUMIFS(Aut_Ajustes_Manuais!$G:$G,Aut_Ajustes_Manuais!$I:$I,DRE!AO$4,Aut_Ajustes_Manuais!$F:$F,"  -  Hostess I")</f>
        <v/>
      </c>
      <c r="AR171" s="241">
        <f>SUMIFS($H171:$AO171,$H$5:$AO$5,"&lt;"&amp;MONTH(TODAY()),$H$6:$AO$6,"REAL 25")</f>
        <v/>
      </c>
      <c r="AS171" s="27">
        <f>SUMIFS($I171:$AP171,$I$5:$AP$5,"&lt;"&amp;MONTH(TODAY()),$I$6:$AP$6,"ORÇADO ")</f>
        <v/>
      </c>
      <c r="AT171" s="28">
        <f>SUMIFS($J171:$AQ171,$J$5:$AQ$5,"&lt;"&amp;MONTH(TODAY()),$J$6:$AQ$6,"REAL 26")</f>
        <v/>
      </c>
      <c r="AU171" s="241" t="n"/>
      <c r="AV171" s="27" t="n"/>
      <c r="AW171" s="28" t="n"/>
      <c r="AX171" s="241" t="n"/>
      <c r="AY171" s="27" t="n">
        <v>0</v>
      </c>
      <c r="AZ171" s="28" t="n"/>
      <c r="BA171" s="241" t="n"/>
      <c r="BB171" s="27" t="n">
        <v>0</v>
      </c>
      <c r="BC171" s="28" t="n"/>
      <c r="BD171" s="241" t="n"/>
      <c r="BE171" s="27" t="n">
        <v>0</v>
      </c>
      <c r="BF171" s="28" t="n"/>
      <c r="BG171" s="241" t="n"/>
      <c r="BH171" s="27" t="n">
        <v>0</v>
      </c>
      <c r="BI171" s="28" t="n"/>
    </row>
    <row r="172" hidden="1" outlineLevel="1" customFormat="1" s="498">
      <c r="A172" s="95" t="inlineStr">
        <is>
          <t xml:space="preserve">  -  Chefe de Bilheteria</t>
        </is>
      </c>
      <c r="B172" s="488" t="n"/>
      <c r="C172" s="24" t="n"/>
      <c r="D172" s="55" t="inlineStr">
        <is>
          <t>Salário Bruto com INSS Segurado dentro do valor</t>
        </is>
      </c>
      <c r="E172" s="87" t="n"/>
      <c r="F172" s="56" t="n"/>
      <c r="G172" s="33" t="n"/>
      <c r="H172" s="241" t="n"/>
      <c r="I172" s="27">
        <f>-SUMIFS(T_HEADCOUNT!$E:$E,T_HEADCOUNT!$C:$C,"-  Chefe de Bilheteria",T_HEADCOUNT!$D:$D,"1/2026",T_HEADCOUNT!$B:$B,"CLT")</f>
        <v/>
      </c>
      <c r="J172" s="28">
        <f>SUMIFS(T_REAL!$D:$D,T_REAL!$E:$E,DRE!J$7,T_REAL!$C:$C,DRE!$A172)+SUMIFS(Aut_Ajustes_Manuais!$G:$G,Aut_Ajustes_Manuais!$I:$I,DRE!H$4,Aut_Ajustes_Manuais!$F:$F,"  -  Chefe de Bilheteria")</f>
        <v/>
      </c>
      <c r="K172" s="241" t="n"/>
      <c r="L172" s="27">
        <f>-SUMIFS(T_HEADCOUNT!$E:$E,T_HEADCOUNT!$C:$C,"-  Chefe de Bilheteria",T_HEADCOUNT!$D:$D,"2/2026",T_HEADCOUNT!$B:$B,"CLT")</f>
        <v/>
      </c>
      <c r="M172" s="28">
        <f>SUMIFS(T_REAL!$D:$D,T_REAL!$E:$E,DRE!M$7,T_REAL!$C:$C,DRE!$A172)+SUMIFS(Aut_Ajustes_Manuais!$G:$G,Aut_Ajustes_Manuais!$I:$I,DRE!K$4,Aut_Ajustes_Manuais!$F:$F,"  -  Chefe de Bilheteria")</f>
        <v/>
      </c>
      <c r="N172" s="241" t="n"/>
      <c r="O172" s="27">
        <f>-SUMIFS(T_HEADCOUNT!$E:$E,T_HEADCOUNT!$C:$C,"-  Chefe de Bilheteria",T_HEADCOUNT!$D:$D,"3/2026",T_HEADCOUNT!$B:$B,"CLT")</f>
        <v/>
      </c>
      <c r="P172" s="28">
        <f>SUMIFS(T_REAL!$D:$D,T_REAL!$E:$E,DRE!P$7,T_REAL!$C:$C,DRE!$A172)+SUMIFS(Aut_Ajustes_Manuais!$G:$G,Aut_Ajustes_Manuais!$I:$I,DRE!N$4,Aut_Ajustes_Manuais!$F:$F,"  -  Chefe de Bilheteria")</f>
        <v/>
      </c>
      <c r="Q172" s="241" t="n"/>
      <c r="R172" s="27">
        <f>-SUMIFS(T_HEADCOUNT!$E:$E,T_HEADCOUNT!$C:$C,"-  Chefe de Bilheteria",T_HEADCOUNT!$D:$D,"4/2026",T_HEADCOUNT!$B:$B,"CLT")</f>
        <v/>
      </c>
      <c r="S172" s="28">
        <f>SUMIFS(T_REAL!$D:$D,T_REAL!$E:$E,DRE!S$7,T_REAL!$C:$C,DRE!$A172)+SUMIFS(Aut_Ajustes_Manuais!$G:$G,Aut_Ajustes_Manuais!$I:$I,DRE!Q$4,Aut_Ajustes_Manuais!$F:$F,"  -  Chefe de Bilheteria")</f>
        <v/>
      </c>
      <c r="T172" s="241" t="n"/>
      <c r="U172" s="27">
        <f>-SUMIFS(T_HEADCOUNT!$E:$E,T_HEADCOUNT!$C:$C,"-  Chefe de Bilheteria",T_HEADCOUNT!$D:$D,"5/2026",T_HEADCOUNT!$B:$B,"CLT")</f>
        <v/>
      </c>
      <c r="V172" s="28">
        <f>SUMIFS(T_REAL!$D:$D,T_REAL!$E:$E,DRE!V$7,T_REAL!$C:$C,DRE!$A172)+SUMIFS(Aut_Ajustes_Manuais!$G:$G,Aut_Ajustes_Manuais!$I:$I,DRE!T$4,Aut_Ajustes_Manuais!$F:$F,"  -  Chefe de Bilheteria")</f>
        <v/>
      </c>
      <c r="W172" s="241" t="n"/>
      <c r="X172" s="27">
        <f>-SUMIFS(T_HEADCOUNT!$E:$E,T_HEADCOUNT!$C:$C,"-  Chefe de Bilheteria",T_HEADCOUNT!$D:$D,"6/2026",T_HEADCOUNT!$B:$B,"CLT")</f>
        <v/>
      </c>
      <c r="Y172" s="28">
        <f>SUMIFS(T_REAL!$D:$D,T_REAL!$E:$E,DRE!Y$7,T_REAL!$C:$C,DRE!$A172)+SUMIFS(Aut_Ajustes_Manuais!$G:$G,Aut_Ajustes_Manuais!$I:$I,DRE!W$4,Aut_Ajustes_Manuais!$F:$F,"  -  Chefe de Bilheteria")</f>
        <v/>
      </c>
      <c r="Z172" s="241" t="n"/>
      <c r="AA172" s="27">
        <f>-SUMIFS(T_HEADCOUNT!$E:$E,T_HEADCOUNT!$C:$C,"-  Chefe de Bilheteria",T_HEADCOUNT!$D:$D,"7/2026",T_HEADCOUNT!$B:$B,"CLT")</f>
        <v/>
      </c>
      <c r="AB172" s="28">
        <f>SUMIFS(T_REAL!$D:$D,T_REAL!$E:$E,DRE!AB$7,T_REAL!$C:$C,DRE!$A172)+SUMIFS(Aut_Ajustes_Manuais!$G:$G,Aut_Ajustes_Manuais!$I:$I,DRE!Z$4,Aut_Ajustes_Manuais!$F:$F,"  -  Chefe de Bilheteria")</f>
        <v/>
      </c>
      <c r="AC172" s="241" t="n"/>
      <c r="AD172" s="27">
        <f>-SUMIFS(T_HEADCOUNT!$E:$E,T_HEADCOUNT!$C:$C,"-  Chefe de Bilheteria",T_HEADCOUNT!$D:$D,"8/2026",T_HEADCOUNT!$B:$B,"CLT")</f>
        <v/>
      </c>
      <c r="AE172" s="28">
        <f>SUMIFS(T_REAL!$D:$D,T_REAL!$E:$E,DRE!AE$7,T_REAL!$C:$C,DRE!$A172)+SUMIFS(Aut_Ajustes_Manuais!$G:$G,Aut_Ajustes_Manuais!$I:$I,DRE!AC$4,Aut_Ajustes_Manuais!$F:$F,"  -  Chefe de Bilheteria")</f>
        <v/>
      </c>
      <c r="AF172" s="241" t="n"/>
      <c r="AG172" s="27">
        <f>-SUMIFS(T_HEADCOUNT!$E:$E,T_HEADCOUNT!$C:$C,"-  Chefe de Bilheteria",T_HEADCOUNT!$D:$D,"9/2026",T_HEADCOUNT!$B:$B,"CLT")</f>
        <v/>
      </c>
      <c r="AH172" s="28">
        <f>SUMIFS(T_REAL!$D:$D,T_REAL!$E:$E,DRE!AH$7,T_REAL!$C:$C,DRE!$A172)+SUMIFS(Aut_Ajustes_Manuais!$G:$G,Aut_Ajustes_Manuais!$I:$I,DRE!AF$4,Aut_Ajustes_Manuais!$F:$F,"  -  Chefe de Bilheteria")</f>
        <v/>
      </c>
      <c r="AI172" s="241" t="n"/>
      <c r="AJ172" s="27">
        <f>-SUMIFS(T_HEADCOUNT!$E:$E,T_HEADCOUNT!$C:$C,"-  Chefe de Bilheteria",T_HEADCOUNT!$D:$D,"10/2026",T_HEADCOUNT!$B:$B,"CLT")</f>
        <v/>
      </c>
      <c r="AK172" s="28">
        <f>SUMIFS(T_REAL!$D:$D,T_REAL!$E:$E,DRE!AK$7,T_REAL!$C:$C,DRE!$A172)+SUMIFS(Aut_Ajustes_Manuais!$G:$G,Aut_Ajustes_Manuais!$I:$I,DRE!AI$4,Aut_Ajustes_Manuais!$F:$F,"  -  Chefe de Bilheteria")</f>
        <v/>
      </c>
      <c r="AL172" s="241" t="n"/>
      <c r="AM172" s="27">
        <f>-SUMIFS(T_HEADCOUNT!$E:$E,T_HEADCOUNT!$C:$C,"-  Chefe de Bilheteria",T_HEADCOUNT!$D:$D,"11/2026",T_HEADCOUNT!$B:$B,"CLT")</f>
        <v/>
      </c>
      <c r="AN172" s="28">
        <f>SUMIFS(T_REAL!$D:$D,T_REAL!$E:$E,DRE!AN$7,T_REAL!$C:$C,DRE!$A172)+SUMIFS(Aut_Ajustes_Manuais!$G:$G,Aut_Ajustes_Manuais!$I:$I,DRE!AL$4,Aut_Ajustes_Manuais!$F:$F,"  -  Chefe de Bilheteria")</f>
        <v/>
      </c>
      <c r="AO172" s="241" t="n"/>
      <c r="AP172" s="27">
        <f>-SUMIFS(T_HEADCOUNT!$E:$E,T_HEADCOUNT!$C:$C,"-  Chefe de Bilheteria",T_HEADCOUNT!$D:$D,"12/2026",T_HEADCOUNT!$B:$B,"CLT")</f>
        <v/>
      </c>
      <c r="AQ172" s="28">
        <f>SUMIFS(T_REAL!$D:$D,T_REAL!$E:$E,DRE!AQ$7,T_REAL!$C:$C,DRE!$A172)+SUMIFS(Aut_Ajustes_Manuais!$G:$G,Aut_Ajustes_Manuais!$I:$I,DRE!AO$4,Aut_Ajustes_Manuais!$F:$F,"  -  Chefe de Bilheteria")</f>
        <v/>
      </c>
      <c r="AR172" s="241">
        <f>SUMIFS($H172:$AO172,$H$5:$AO$5,"&lt;"&amp;MONTH(TODAY()),$H$6:$AO$6,"REAL 25")</f>
        <v/>
      </c>
      <c r="AS172" s="27">
        <f>SUMIFS($I172:$AP172,$I$5:$AP$5,"&lt;"&amp;MONTH(TODAY()),$I$6:$AP$6,"ORÇADO ")</f>
        <v/>
      </c>
      <c r="AT172" s="28">
        <f>SUMIFS($J172:$AQ172,$J$5:$AQ$5,"&lt;"&amp;MONTH(TODAY()),$J$6:$AQ$6,"REAL 26")</f>
        <v/>
      </c>
      <c r="AU172" s="241" t="n"/>
      <c r="AV172" s="27" t="n"/>
      <c r="AW172" s="28" t="n"/>
      <c r="AX172" s="241" t="n"/>
      <c r="AY172" s="27" t="n">
        <v>0</v>
      </c>
      <c r="AZ172" s="28" t="n"/>
      <c r="BA172" s="241" t="n"/>
      <c r="BB172" s="27" t="n">
        <v>0</v>
      </c>
      <c r="BC172" s="28" t="n"/>
      <c r="BD172" s="241" t="n"/>
      <c r="BE172" s="27" t="n">
        <v>0</v>
      </c>
      <c r="BF172" s="28" t="n"/>
      <c r="BG172" s="241" t="n"/>
      <c r="BH172" s="27" t="n">
        <v>0</v>
      </c>
      <c r="BI172" s="28" t="n"/>
    </row>
    <row r="173" hidden="1" outlineLevel="1" customFormat="1" s="498">
      <c r="A173" s="95" t="inlineStr">
        <is>
          <t xml:space="preserve">  -  Bilheteiro III</t>
        </is>
      </c>
      <c r="B173" s="488" t="n"/>
      <c r="C173" s="24" t="n"/>
      <c r="D173" s="55" t="inlineStr">
        <is>
          <t>Salário Bruto com INSS Segurado dentro do valor</t>
        </is>
      </c>
      <c r="E173" s="87" t="n"/>
      <c r="F173" s="56" t="n"/>
      <c r="G173" s="33" t="n"/>
      <c r="H173" s="241" t="n"/>
      <c r="I173" s="27">
        <f>-SUMIFS(T_HEADCOUNT!$E:$E,T_HEADCOUNT!$C:$C,"-  Bilheteiro III",T_HEADCOUNT!$D:$D,"1/2026",T_HEADCOUNT!$B:$B,"CLT")</f>
        <v/>
      </c>
      <c r="J173" s="28">
        <f>SUMIFS(T_REAL!$D:$D,T_REAL!$E:$E,DRE!J$7,T_REAL!$C:$C,DRE!$A173)+SUMIFS(Aut_Ajustes_Manuais!$G:$G,Aut_Ajustes_Manuais!$I:$I,DRE!H$4,Aut_Ajustes_Manuais!$F:$F,"  -  Bilheteiro III")</f>
        <v/>
      </c>
      <c r="K173" s="241" t="n"/>
      <c r="L173" s="27">
        <f>-SUMIFS(T_HEADCOUNT!$E:$E,T_HEADCOUNT!$C:$C,"-  Bilheteiro III",T_HEADCOUNT!$D:$D,"2/2026",T_HEADCOUNT!$B:$B,"CLT")</f>
        <v/>
      </c>
      <c r="M173" s="28">
        <f>SUMIFS(T_REAL!$D:$D,T_REAL!$E:$E,DRE!M$7,T_REAL!$C:$C,DRE!$A173)+SUMIFS(Aut_Ajustes_Manuais!$G:$G,Aut_Ajustes_Manuais!$I:$I,DRE!K$4,Aut_Ajustes_Manuais!$F:$F,"  -  Bilheteiro III")</f>
        <v/>
      </c>
      <c r="N173" s="241" t="n"/>
      <c r="O173" s="27">
        <f>-SUMIFS(T_HEADCOUNT!$E:$E,T_HEADCOUNT!$C:$C,"-  Bilheteiro III",T_HEADCOUNT!$D:$D,"3/2026",T_HEADCOUNT!$B:$B,"CLT")</f>
        <v/>
      </c>
      <c r="P173" s="28">
        <f>SUMIFS(T_REAL!$D:$D,T_REAL!$E:$E,DRE!P$7,T_REAL!$C:$C,DRE!$A173)+SUMIFS(Aut_Ajustes_Manuais!$G:$G,Aut_Ajustes_Manuais!$I:$I,DRE!N$4,Aut_Ajustes_Manuais!$F:$F,"  -  Bilheteiro III")</f>
        <v/>
      </c>
      <c r="Q173" s="241" t="n"/>
      <c r="R173" s="27">
        <f>-SUMIFS(T_HEADCOUNT!$E:$E,T_HEADCOUNT!$C:$C,"-  Bilheteiro III",T_HEADCOUNT!$D:$D,"4/2026",T_HEADCOUNT!$B:$B,"CLT")</f>
        <v/>
      </c>
      <c r="S173" s="28">
        <f>SUMIFS(T_REAL!$D:$D,T_REAL!$E:$E,DRE!S$7,T_REAL!$C:$C,DRE!$A173)+SUMIFS(Aut_Ajustes_Manuais!$G:$G,Aut_Ajustes_Manuais!$I:$I,DRE!Q$4,Aut_Ajustes_Manuais!$F:$F,"  -  Bilheteiro III")</f>
        <v/>
      </c>
      <c r="T173" s="241" t="n"/>
      <c r="U173" s="27">
        <f>-SUMIFS(T_HEADCOUNT!$E:$E,T_HEADCOUNT!$C:$C,"-  Bilheteiro III",T_HEADCOUNT!$D:$D,"5/2026",T_HEADCOUNT!$B:$B,"CLT")</f>
        <v/>
      </c>
      <c r="V173" s="28">
        <f>SUMIFS(T_REAL!$D:$D,T_REAL!$E:$E,DRE!V$7,T_REAL!$C:$C,DRE!$A173)+SUMIFS(Aut_Ajustes_Manuais!$G:$G,Aut_Ajustes_Manuais!$I:$I,DRE!T$4,Aut_Ajustes_Manuais!$F:$F,"  -  Bilheteiro III")</f>
        <v/>
      </c>
      <c r="W173" s="241" t="n"/>
      <c r="X173" s="27">
        <f>-SUMIFS(T_HEADCOUNT!$E:$E,T_HEADCOUNT!$C:$C,"-  Bilheteiro III",T_HEADCOUNT!$D:$D,"6/2026",T_HEADCOUNT!$B:$B,"CLT")</f>
        <v/>
      </c>
      <c r="Y173" s="28">
        <f>SUMIFS(T_REAL!$D:$D,T_REAL!$E:$E,DRE!Y$7,T_REAL!$C:$C,DRE!$A173)+SUMIFS(Aut_Ajustes_Manuais!$G:$G,Aut_Ajustes_Manuais!$I:$I,DRE!W$4,Aut_Ajustes_Manuais!$F:$F,"  -  Bilheteiro III")</f>
        <v/>
      </c>
      <c r="Z173" s="241" t="n"/>
      <c r="AA173" s="27">
        <f>-SUMIFS(T_HEADCOUNT!$E:$E,T_HEADCOUNT!$C:$C,"-  Bilheteiro III",T_HEADCOUNT!$D:$D,"7/2026",T_HEADCOUNT!$B:$B,"CLT")</f>
        <v/>
      </c>
      <c r="AB173" s="28">
        <f>SUMIFS(T_REAL!$D:$D,T_REAL!$E:$E,DRE!AB$7,T_REAL!$C:$C,DRE!$A173)+SUMIFS(Aut_Ajustes_Manuais!$G:$G,Aut_Ajustes_Manuais!$I:$I,DRE!Z$4,Aut_Ajustes_Manuais!$F:$F,"  -  Bilheteiro III")</f>
        <v/>
      </c>
      <c r="AC173" s="241" t="n"/>
      <c r="AD173" s="27">
        <f>-SUMIFS(T_HEADCOUNT!$E:$E,T_HEADCOUNT!$C:$C,"-  Bilheteiro III",T_HEADCOUNT!$D:$D,"8/2026",T_HEADCOUNT!$B:$B,"CLT")</f>
        <v/>
      </c>
      <c r="AE173" s="28">
        <f>SUMIFS(T_REAL!$D:$D,T_REAL!$E:$E,DRE!AE$7,T_REAL!$C:$C,DRE!$A173)+SUMIFS(Aut_Ajustes_Manuais!$G:$G,Aut_Ajustes_Manuais!$I:$I,DRE!AC$4,Aut_Ajustes_Manuais!$F:$F,"  -  Bilheteiro III")</f>
        <v/>
      </c>
      <c r="AF173" s="241" t="n"/>
      <c r="AG173" s="27">
        <f>-SUMIFS(T_HEADCOUNT!$E:$E,T_HEADCOUNT!$C:$C,"-  Bilheteiro III",T_HEADCOUNT!$D:$D,"9/2026",T_HEADCOUNT!$B:$B,"CLT")</f>
        <v/>
      </c>
      <c r="AH173" s="28">
        <f>SUMIFS(T_REAL!$D:$D,T_REAL!$E:$E,DRE!AH$7,T_REAL!$C:$C,DRE!$A173)+SUMIFS(Aut_Ajustes_Manuais!$G:$G,Aut_Ajustes_Manuais!$I:$I,DRE!AF$4,Aut_Ajustes_Manuais!$F:$F,"  -  Bilheteiro III")</f>
        <v/>
      </c>
      <c r="AI173" s="241" t="n"/>
      <c r="AJ173" s="27">
        <f>-SUMIFS(T_HEADCOUNT!$E:$E,T_HEADCOUNT!$C:$C,"-  Bilheteiro III",T_HEADCOUNT!$D:$D,"10/2026",T_HEADCOUNT!$B:$B,"CLT")</f>
        <v/>
      </c>
      <c r="AK173" s="28">
        <f>SUMIFS(T_REAL!$D:$D,T_REAL!$E:$E,DRE!AK$7,T_REAL!$C:$C,DRE!$A173)+SUMIFS(Aut_Ajustes_Manuais!$G:$G,Aut_Ajustes_Manuais!$I:$I,DRE!AI$4,Aut_Ajustes_Manuais!$F:$F,"  -  Bilheteiro III")</f>
        <v/>
      </c>
      <c r="AL173" s="241" t="n"/>
      <c r="AM173" s="27">
        <f>-SUMIFS(T_HEADCOUNT!$E:$E,T_HEADCOUNT!$C:$C,"-  Bilheteiro III",T_HEADCOUNT!$D:$D,"11/2026",T_HEADCOUNT!$B:$B,"CLT")</f>
        <v/>
      </c>
      <c r="AN173" s="28">
        <f>SUMIFS(T_REAL!$D:$D,T_REAL!$E:$E,DRE!AN$7,T_REAL!$C:$C,DRE!$A173)+SUMIFS(Aut_Ajustes_Manuais!$G:$G,Aut_Ajustes_Manuais!$I:$I,DRE!AL$4,Aut_Ajustes_Manuais!$F:$F,"  -  Bilheteiro III")</f>
        <v/>
      </c>
      <c r="AO173" s="241" t="n"/>
      <c r="AP173" s="27">
        <f>-SUMIFS(T_HEADCOUNT!$E:$E,T_HEADCOUNT!$C:$C,"-  Bilheteiro III",T_HEADCOUNT!$D:$D,"12/2026",T_HEADCOUNT!$B:$B,"CLT")</f>
        <v/>
      </c>
      <c r="AQ173" s="28">
        <f>SUMIFS(T_REAL!$D:$D,T_REAL!$E:$E,DRE!AQ$7,T_REAL!$C:$C,DRE!$A173)+SUMIFS(Aut_Ajustes_Manuais!$G:$G,Aut_Ajustes_Manuais!$I:$I,DRE!AO$4,Aut_Ajustes_Manuais!$F:$F,"  -  Bilheteiro III")</f>
        <v/>
      </c>
      <c r="AR173" s="241">
        <f>SUMIFS($H173:$AO173,$H$5:$AO$5,"&lt;"&amp;MONTH(TODAY()),$H$6:$AO$6,"REAL 25")</f>
        <v/>
      </c>
      <c r="AS173" s="27">
        <f>SUMIFS($I173:$AP173,$I$5:$AP$5,"&lt;"&amp;MONTH(TODAY()),$I$6:$AP$6,"ORÇADO ")</f>
        <v/>
      </c>
      <c r="AT173" s="28">
        <f>SUMIFS($J173:$AQ173,$J$5:$AQ$5,"&lt;"&amp;MONTH(TODAY()),$J$6:$AQ$6,"REAL 26")</f>
        <v/>
      </c>
      <c r="AU173" s="241" t="n"/>
      <c r="AV173" s="27" t="n"/>
      <c r="AW173" s="28" t="n"/>
      <c r="AX173" s="241" t="n"/>
      <c r="AY173" s="27" t="n">
        <v>0</v>
      </c>
      <c r="AZ173" s="28" t="n"/>
      <c r="BA173" s="241" t="n"/>
      <c r="BB173" s="27" t="n">
        <v>0</v>
      </c>
      <c r="BC173" s="28" t="n"/>
      <c r="BD173" s="241" t="n"/>
      <c r="BE173" s="27" t="n">
        <v>0</v>
      </c>
      <c r="BF173" s="28" t="n"/>
      <c r="BG173" s="241" t="n"/>
      <c r="BH173" s="27" t="n">
        <v>0</v>
      </c>
      <c r="BI173" s="28" t="n"/>
    </row>
    <row r="174" hidden="1" outlineLevel="1" customFormat="1" s="498">
      <c r="A174" s="95" t="inlineStr">
        <is>
          <t xml:space="preserve">  -  Bilheteiro II</t>
        </is>
      </c>
      <c r="B174" s="488" t="n"/>
      <c r="C174" s="24" t="n"/>
      <c r="D174" s="55" t="inlineStr">
        <is>
          <t>Salário Bruto com INSS Segurado dentro do valor</t>
        </is>
      </c>
      <c r="E174" s="87" t="n"/>
      <c r="F174" s="56" t="n"/>
      <c r="G174" s="33" t="n"/>
      <c r="H174" s="241" t="n"/>
      <c r="I174" s="27">
        <f>-SUMIFS(T_HEADCOUNT!$E:$E,T_HEADCOUNT!$C:$C,"-  Bilheteiro II",T_HEADCOUNT!$D:$D,"1/2026",T_HEADCOUNT!$B:$B,"CLT")</f>
        <v/>
      </c>
      <c r="J174" s="28">
        <f>SUMIFS(T_REAL!$D:$D,T_REAL!$E:$E,DRE!J$7,T_REAL!$C:$C,DRE!$A174)+SUMIFS(Aut_Ajustes_Manuais!$G:$G,Aut_Ajustes_Manuais!$I:$I,DRE!H$4,Aut_Ajustes_Manuais!$F:$F,"  -  Bilheteiro II")</f>
        <v/>
      </c>
      <c r="K174" s="241" t="n"/>
      <c r="L174" s="27">
        <f>-SUMIFS(T_HEADCOUNT!$E:$E,T_HEADCOUNT!$C:$C,"-  Bilheteiro II",T_HEADCOUNT!$D:$D,"2/2026",T_HEADCOUNT!$B:$B,"CLT")</f>
        <v/>
      </c>
      <c r="M174" s="28">
        <f>SUMIFS(T_REAL!$D:$D,T_REAL!$E:$E,DRE!M$7,T_REAL!$C:$C,DRE!$A174)+SUMIFS(Aut_Ajustes_Manuais!$G:$G,Aut_Ajustes_Manuais!$I:$I,DRE!K$4,Aut_Ajustes_Manuais!$F:$F,"  -  Bilheteiro II")</f>
        <v/>
      </c>
      <c r="N174" s="241" t="n"/>
      <c r="O174" s="27">
        <f>-SUMIFS(T_HEADCOUNT!$E:$E,T_HEADCOUNT!$C:$C,"-  Bilheteiro II",T_HEADCOUNT!$D:$D,"3/2026",T_HEADCOUNT!$B:$B,"CLT")</f>
        <v/>
      </c>
      <c r="P174" s="28">
        <f>SUMIFS(T_REAL!$D:$D,T_REAL!$E:$E,DRE!P$7,T_REAL!$C:$C,DRE!$A174)+SUMIFS(Aut_Ajustes_Manuais!$G:$G,Aut_Ajustes_Manuais!$I:$I,DRE!N$4,Aut_Ajustes_Manuais!$F:$F,"  -  Bilheteiro II")</f>
        <v/>
      </c>
      <c r="Q174" s="241" t="n"/>
      <c r="R174" s="27">
        <f>-SUMIFS(T_HEADCOUNT!$E:$E,T_HEADCOUNT!$C:$C,"-  Bilheteiro II",T_HEADCOUNT!$D:$D,"4/2026",T_HEADCOUNT!$B:$B,"CLT")</f>
        <v/>
      </c>
      <c r="S174" s="28">
        <f>SUMIFS(T_REAL!$D:$D,T_REAL!$E:$E,DRE!S$7,T_REAL!$C:$C,DRE!$A174)+SUMIFS(Aut_Ajustes_Manuais!$G:$G,Aut_Ajustes_Manuais!$I:$I,DRE!Q$4,Aut_Ajustes_Manuais!$F:$F,"  -  Bilheteiro II")</f>
        <v/>
      </c>
      <c r="T174" s="241" t="n"/>
      <c r="U174" s="27">
        <f>-SUMIFS(T_HEADCOUNT!$E:$E,T_HEADCOUNT!$C:$C,"-  Bilheteiro II",T_HEADCOUNT!$D:$D,"5/2026",T_HEADCOUNT!$B:$B,"CLT")</f>
        <v/>
      </c>
      <c r="V174" s="28">
        <f>SUMIFS(T_REAL!$D:$D,T_REAL!$E:$E,DRE!V$7,T_REAL!$C:$C,DRE!$A174)+SUMIFS(Aut_Ajustes_Manuais!$G:$G,Aut_Ajustes_Manuais!$I:$I,DRE!T$4,Aut_Ajustes_Manuais!$F:$F,"  -  Bilheteiro II")</f>
        <v/>
      </c>
      <c r="W174" s="241" t="n"/>
      <c r="X174" s="27">
        <f>-SUMIFS(T_HEADCOUNT!$E:$E,T_HEADCOUNT!$C:$C,"-  Bilheteiro II",T_HEADCOUNT!$D:$D,"6/2026",T_HEADCOUNT!$B:$B,"CLT")</f>
        <v/>
      </c>
      <c r="Y174" s="28">
        <f>SUMIFS(T_REAL!$D:$D,T_REAL!$E:$E,DRE!Y$7,T_REAL!$C:$C,DRE!$A174)+SUMIFS(Aut_Ajustes_Manuais!$G:$G,Aut_Ajustes_Manuais!$I:$I,DRE!W$4,Aut_Ajustes_Manuais!$F:$F,"  -  Bilheteiro II")</f>
        <v/>
      </c>
      <c r="Z174" s="241" t="n"/>
      <c r="AA174" s="27">
        <f>-SUMIFS(T_HEADCOUNT!$E:$E,T_HEADCOUNT!$C:$C,"-  Bilheteiro II",T_HEADCOUNT!$D:$D,"7/2026",T_HEADCOUNT!$B:$B,"CLT")</f>
        <v/>
      </c>
      <c r="AB174" s="28">
        <f>SUMIFS(T_REAL!$D:$D,T_REAL!$E:$E,DRE!AB$7,T_REAL!$C:$C,DRE!$A174)+SUMIFS(Aut_Ajustes_Manuais!$G:$G,Aut_Ajustes_Manuais!$I:$I,DRE!Z$4,Aut_Ajustes_Manuais!$F:$F,"  -  Bilheteiro II")</f>
        <v/>
      </c>
      <c r="AC174" s="241" t="n"/>
      <c r="AD174" s="27">
        <f>-SUMIFS(T_HEADCOUNT!$E:$E,T_HEADCOUNT!$C:$C,"-  Bilheteiro II",T_HEADCOUNT!$D:$D,"8/2026",T_HEADCOUNT!$B:$B,"CLT")</f>
        <v/>
      </c>
      <c r="AE174" s="28">
        <f>SUMIFS(T_REAL!$D:$D,T_REAL!$E:$E,DRE!AE$7,T_REAL!$C:$C,DRE!$A174)+SUMIFS(Aut_Ajustes_Manuais!$G:$G,Aut_Ajustes_Manuais!$I:$I,DRE!AC$4,Aut_Ajustes_Manuais!$F:$F,"  -  Bilheteiro II")</f>
        <v/>
      </c>
      <c r="AF174" s="241" t="n"/>
      <c r="AG174" s="27">
        <f>-SUMIFS(T_HEADCOUNT!$E:$E,T_HEADCOUNT!$C:$C,"-  Bilheteiro II",T_HEADCOUNT!$D:$D,"9/2026",T_HEADCOUNT!$B:$B,"CLT")</f>
        <v/>
      </c>
      <c r="AH174" s="28">
        <f>SUMIFS(T_REAL!$D:$D,T_REAL!$E:$E,DRE!AH$7,T_REAL!$C:$C,DRE!$A174)+SUMIFS(Aut_Ajustes_Manuais!$G:$G,Aut_Ajustes_Manuais!$I:$I,DRE!AF$4,Aut_Ajustes_Manuais!$F:$F,"  -  Bilheteiro II")</f>
        <v/>
      </c>
      <c r="AI174" s="241" t="n"/>
      <c r="AJ174" s="27">
        <f>-SUMIFS(T_HEADCOUNT!$E:$E,T_HEADCOUNT!$C:$C,"-  Bilheteiro II",T_HEADCOUNT!$D:$D,"10/2026",T_HEADCOUNT!$B:$B,"CLT")</f>
        <v/>
      </c>
      <c r="AK174" s="28">
        <f>SUMIFS(T_REAL!$D:$D,T_REAL!$E:$E,DRE!AK$7,T_REAL!$C:$C,DRE!$A174)+SUMIFS(Aut_Ajustes_Manuais!$G:$G,Aut_Ajustes_Manuais!$I:$I,DRE!AI$4,Aut_Ajustes_Manuais!$F:$F,"  -  Bilheteiro II")</f>
        <v/>
      </c>
      <c r="AL174" s="241" t="n"/>
      <c r="AM174" s="27">
        <f>-SUMIFS(T_HEADCOUNT!$E:$E,T_HEADCOUNT!$C:$C,"-  Bilheteiro II",T_HEADCOUNT!$D:$D,"11/2026",T_HEADCOUNT!$B:$B,"CLT")</f>
        <v/>
      </c>
      <c r="AN174" s="28">
        <f>SUMIFS(T_REAL!$D:$D,T_REAL!$E:$E,DRE!AN$7,T_REAL!$C:$C,DRE!$A174)+SUMIFS(Aut_Ajustes_Manuais!$G:$G,Aut_Ajustes_Manuais!$I:$I,DRE!AL$4,Aut_Ajustes_Manuais!$F:$F,"  -  Bilheteiro II")</f>
        <v/>
      </c>
      <c r="AO174" s="241" t="n"/>
      <c r="AP174" s="27">
        <f>-SUMIFS(T_HEADCOUNT!$E:$E,T_HEADCOUNT!$C:$C,"-  Bilheteiro II",T_HEADCOUNT!$D:$D,"12/2026",T_HEADCOUNT!$B:$B,"CLT")</f>
        <v/>
      </c>
      <c r="AQ174" s="28">
        <f>SUMIFS(T_REAL!$D:$D,T_REAL!$E:$E,DRE!AQ$7,T_REAL!$C:$C,DRE!$A174)+SUMIFS(Aut_Ajustes_Manuais!$G:$G,Aut_Ajustes_Manuais!$I:$I,DRE!AO$4,Aut_Ajustes_Manuais!$F:$F,"  -  Bilheteiro II")</f>
        <v/>
      </c>
      <c r="AR174" s="241">
        <f>SUMIFS($H174:$AO174,$H$5:$AO$5,"&lt;"&amp;MONTH(TODAY()),$H$6:$AO$6,"REAL 25")</f>
        <v/>
      </c>
      <c r="AS174" s="27">
        <f>SUMIFS($I174:$AP174,$I$5:$AP$5,"&lt;"&amp;MONTH(TODAY()),$I$6:$AP$6,"ORÇADO ")</f>
        <v/>
      </c>
      <c r="AT174" s="28">
        <f>SUMIFS($J174:$AQ174,$J$5:$AQ$5,"&lt;"&amp;MONTH(TODAY()),$J$6:$AQ$6,"REAL 26")</f>
        <v/>
      </c>
      <c r="AU174" s="241" t="n"/>
      <c r="AV174" s="27" t="n"/>
      <c r="AW174" s="28" t="n"/>
      <c r="AX174" s="241" t="n"/>
      <c r="AY174" s="27" t="n">
        <v>0</v>
      </c>
      <c r="AZ174" s="28" t="n"/>
      <c r="BA174" s="241" t="n"/>
      <c r="BB174" s="27" t="n">
        <v>0</v>
      </c>
      <c r="BC174" s="28" t="n"/>
      <c r="BD174" s="241" t="n"/>
      <c r="BE174" s="27" t="n">
        <v>0</v>
      </c>
      <c r="BF174" s="28" t="n"/>
      <c r="BG174" s="241" t="n"/>
      <c r="BH174" s="27" t="n">
        <v>0</v>
      </c>
      <c r="BI174" s="28" t="n"/>
    </row>
    <row r="175" hidden="1" outlineLevel="1" customFormat="1" s="498">
      <c r="A175" s="95" t="inlineStr">
        <is>
          <t xml:space="preserve">  -  Bilheteiro I</t>
        </is>
      </c>
      <c r="B175" s="488" t="n"/>
      <c r="C175" s="24" t="n"/>
      <c r="D175" s="55" t="inlineStr">
        <is>
          <t>Salário Bruto com INSS Segurado dentro do valor</t>
        </is>
      </c>
      <c r="E175" s="87" t="n"/>
      <c r="F175" s="56" t="n"/>
      <c r="G175" s="33" t="n"/>
      <c r="H175" s="241" t="n"/>
      <c r="I175" s="27">
        <f>-SUMIFS(T_HEADCOUNT!$E:$E,T_HEADCOUNT!$C:$C,"-  Bilheteiro I",T_HEADCOUNT!$D:$D,"1/2026",T_HEADCOUNT!$B:$B,"CLT")</f>
        <v/>
      </c>
      <c r="J175" s="28">
        <f>SUMIFS(T_REAL!$D:$D,T_REAL!$E:$E,DRE!J$7,T_REAL!$C:$C,DRE!$A175)+SUMIFS(Aut_Ajustes_Manuais!$G:$G,Aut_Ajustes_Manuais!$I:$I,DRE!H$4,Aut_Ajustes_Manuais!$F:$F,"  -  Bilheteiro I")</f>
        <v/>
      </c>
      <c r="K175" s="241" t="n"/>
      <c r="L175" s="27">
        <f>-SUMIFS(T_HEADCOUNT!$E:$E,T_HEADCOUNT!$C:$C,"-  Bilheteiro I",T_HEADCOUNT!$D:$D,"2/2026",T_HEADCOUNT!$B:$B,"CLT")</f>
        <v/>
      </c>
      <c r="M175" s="28">
        <f>SUMIFS(T_REAL!$D:$D,T_REAL!$E:$E,DRE!M$7,T_REAL!$C:$C,DRE!$A175)+SUMIFS(Aut_Ajustes_Manuais!$G:$G,Aut_Ajustes_Manuais!$I:$I,DRE!K$4,Aut_Ajustes_Manuais!$F:$F,"  -  Bilheteiro I")</f>
        <v/>
      </c>
      <c r="N175" s="241" t="n"/>
      <c r="O175" s="27">
        <f>-SUMIFS(T_HEADCOUNT!$E:$E,T_HEADCOUNT!$C:$C,"-  Bilheteiro I",T_HEADCOUNT!$D:$D,"3/2026",T_HEADCOUNT!$B:$B,"CLT")</f>
        <v/>
      </c>
      <c r="P175" s="28">
        <f>SUMIFS(T_REAL!$D:$D,T_REAL!$E:$E,DRE!P$7,T_REAL!$C:$C,DRE!$A175)+SUMIFS(Aut_Ajustes_Manuais!$G:$G,Aut_Ajustes_Manuais!$I:$I,DRE!N$4,Aut_Ajustes_Manuais!$F:$F,"  -  Bilheteiro I")</f>
        <v/>
      </c>
      <c r="Q175" s="241" t="n"/>
      <c r="R175" s="27">
        <f>-SUMIFS(T_HEADCOUNT!$E:$E,T_HEADCOUNT!$C:$C,"-  Bilheteiro I",T_HEADCOUNT!$D:$D,"4/2026",T_HEADCOUNT!$B:$B,"CLT")</f>
        <v/>
      </c>
      <c r="S175" s="28">
        <f>SUMIFS(T_REAL!$D:$D,T_REAL!$E:$E,DRE!S$7,T_REAL!$C:$C,DRE!$A175)+SUMIFS(Aut_Ajustes_Manuais!$G:$G,Aut_Ajustes_Manuais!$I:$I,DRE!Q$4,Aut_Ajustes_Manuais!$F:$F,"  -  Bilheteiro I")</f>
        <v/>
      </c>
      <c r="T175" s="241" t="n"/>
      <c r="U175" s="27">
        <f>-SUMIFS(T_HEADCOUNT!$E:$E,T_HEADCOUNT!$C:$C,"-  Bilheteiro I",T_HEADCOUNT!$D:$D,"5/2026",T_HEADCOUNT!$B:$B,"CLT")</f>
        <v/>
      </c>
      <c r="V175" s="28">
        <f>SUMIFS(T_REAL!$D:$D,T_REAL!$E:$E,DRE!V$7,T_REAL!$C:$C,DRE!$A175)+SUMIFS(Aut_Ajustes_Manuais!$G:$G,Aut_Ajustes_Manuais!$I:$I,DRE!T$4,Aut_Ajustes_Manuais!$F:$F,"  -  Bilheteiro I")</f>
        <v/>
      </c>
      <c r="W175" s="241" t="n"/>
      <c r="X175" s="27">
        <f>-SUMIFS(T_HEADCOUNT!$E:$E,T_HEADCOUNT!$C:$C,"-  Bilheteiro I",T_HEADCOUNT!$D:$D,"6/2026",T_HEADCOUNT!$B:$B,"CLT")</f>
        <v/>
      </c>
      <c r="Y175" s="28">
        <f>SUMIFS(T_REAL!$D:$D,T_REAL!$E:$E,DRE!Y$7,T_REAL!$C:$C,DRE!$A175)+SUMIFS(Aut_Ajustes_Manuais!$G:$G,Aut_Ajustes_Manuais!$I:$I,DRE!W$4,Aut_Ajustes_Manuais!$F:$F,"  -  Bilheteiro I")</f>
        <v/>
      </c>
      <c r="Z175" s="241" t="n"/>
      <c r="AA175" s="27">
        <f>-SUMIFS(T_HEADCOUNT!$E:$E,T_HEADCOUNT!$C:$C,"-  Bilheteiro I",T_HEADCOUNT!$D:$D,"7/2026",T_HEADCOUNT!$B:$B,"CLT")</f>
        <v/>
      </c>
      <c r="AB175" s="28">
        <f>SUMIFS(T_REAL!$D:$D,T_REAL!$E:$E,DRE!AB$7,T_REAL!$C:$C,DRE!$A175)+SUMIFS(Aut_Ajustes_Manuais!$G:$G,Aut_Ajustes_Manuais!$I:$I,DRE!Z$4,Aut_Ajustes_Manuais!$F:$F,"  -  Bilheteiro I")</f>
        <v/>
      </c>
      <c r="AC175" s="241" t="n"/>
      <c r="AD175" s="27">
        <f>-SUMIFS(T_HEADCOUNT!$E:$E,T_HEADCOUNT!$C:$C,"-  Bilheteiro I",T_HEADCOUNT!$D:$D,"8/2026",T_HEADCOUNT!$B:$B,"CLT")</f>
        <v/>
      </c>
      <c r="AE175" s="28">
        <f>SUMIFS(T_REAL!$D:$D,T_REAL!$E:$E,DRE!AE$7,T_REAL!$C:$C,DRE!$A175)+SUMIFS(Aut_Ajustes_Manuais!$G:$G,Aut_Ajustes_Manuais!$I:$I,DRE!AC$4,Aut_Ajustes_Manuais!$F:$F,"  -  Bilheteiro I")</f>
        <v/>
      </c>
      <c r="AF175" s="241" t="n"/>
      <c r="AG175" s="27">
        <f>-SUMIFS(T_HEADCOUNT!$E:$E,T_HEADCOUNT!$C:$C,"-  Bilheteiro I",T_HEADCOUNT!$D:$D,"9/2026",T_HEADCOUNT!$B:$B,"CLT")</f>
        <v/>
      </c>
      <c r="AH175" s="28">
        <f>SUMIFS(T_REAL!$D:$D,T_REAL!$E:$E,DRE!AH$7,T_REAL!$C:$C,DRE!$A175)+SUMIFS(Aut_Ajustes_Manuais!$G:$G,Aut_Ajustes_Manuais!$I:$I,DRE!AF$4,Aut_Ajustes_Manuais!$F:$F,"  -  Bilheteiro I")</f>
        <v/>
      </c>
      <c r="AI175" s="241" t="n"/>
      <c r="AJ175" s="27">
        <f>-SUMIFS(T_HEADCOUNT!$E:$E,T_HEADCOUNT!$C:$C,"-  Bilheteiro I",T_HEADCOUNT!$D:$D,"10/2026",T_HEADCOUNT!$B:$B,"CLT")</f>
        <v/>
      </c>
      <c r="AK175" s="28">
        <f>SUMIFS(T_REAL!$D:$D,T_REAL!$E:$E,DRE!AK$7,T_REAL!$C:$C,DRE!$A175)+SUMIFS(Aut_Ajustes_Manuais!$G:$G,Aut_Ajustes_Manuais!$I:$I,DRE!AI$4,Aut_Ajustes_Manuais!$F:$F,"  -  Bilheteiro I")</f>
        <v/>
      </c>
      <c r="AL175" s="241" t="n"/>
      <c r="AM175" s="27">
        <f>-SUMIFS(T_HEADCOUNT!$E:$E,T_HEADCOUNT!$C:$C,"-  Bilheteiro I",T_HEADCOUNT!$D:$D,"11/2026",T_HEADCOUNT!$B:$B,"CLT")</f>
        <v/>
      </c>
      <c r="AN175" s="28">
        <f>SUMIFS(T_REAL!$D:$D,T_REAL!$E:$E,DRE!AN$7,T_REAL!$C:$C,DRE!$A175)+SUMIFS(Aut_Ajustes_Manuais!$G:$G,Aut_Ajustes_Manuais!$I:$I,DRE!AL$4,Aut_Ajustes_Manuais!$F:$F,"  -  Bilheteiro I")</f>
        <v/>
      </c>
      <c r="AO175" s="241" t="n"/>
      <c r="AP175" s="27">
        <f>-SUMIFS(T_HEADCOUNT!$E:$E,T_HEADCOUNT!$C:$C,"-  Bilheteiro I",T_HEADCOUNT!$D:$D,"12/2026",T_HEADCOUNT!$B:$B,"CLT")</f>
        <v/>
      </c>
      <c r="AQ175" s="28">
        <f>SUMIFS(T_REAL!$D:$D,T_REAL!$E:$E,DRE!AQ$7,T_REAL!$C:$C,DRE!$A175)+SUMIFS(Aut_Ajustes_Manuais!$G:$G,Aut_Ajustes_Manuais!$I:$I,DRE!AO$4,Aut_Ajustes_Manuais!$F:$F,"  -  Bilheteiro I")</f>
        <v/>
      </c>
      <c r="AR175" s="241">
        <f>SUMIFS($H175:$AO175,$H$5:$AO$5,"&lt;"&amp;MONTH(TODAY()),$H$6:$AO$6,"REAL 25")</f>
        <v/>
      </c>
      <c r="AS175" s="27">
        <f>SUMIFS($I175:$AP175,$I$5:$AP$5,"&lt;"&amp;MONTH(TODAY()),$I$6:$AP$6,"ORÇADO ")</f>
        <v/>
      </c>
      <c r="AT175" s="28">
        <f>SUMIFS($J175:$AQ175,$J$5:$AQ$5,"&lt;"&amp;MONTH(TODAY()),$J$6:$AQ$6,"REAL 26")</f>
        <v/>
      </c>
      <c r="AU175" s="241" t="n"/>
      <c r="AV175" s="27" t="n"/>
      <c r="AW175" s="28" t="n"/>
      <c r="AX175" s="241" t="n"/>
      <c r="AY175" s="27" t="n">
        <v>0</v>
      </c>
      <c r="AZ175" s="28" t="n"/>
      <c r="BA175" s="241" t="n"/>
      <c r="BB175" s="27" t="n">
        <v>0</v>
      </c>
      <c r="BC175" s="28" t="n"/>
      <c r="BD175" s="241" t="n"/>
      <c r="BE175" s="27" t="n">
        <v>0</v>
      </c>
      <c r="BF175" s="28" t="n"/>
      <c r="BG175" s="241" t="n"/>
      <c r="BH175" s="27" t="n">
        <v>0</v>
      </c>
      <c r="BI175" s="28" t="n"/>
    </row>
    <row r="176" hidden="1" outlineLevel="1" customFormat="1" s="498">
      <c r="A176" s="95" t="inlineStr">
        <is>
          <t xml:space="preserve">  -  Caixa</t>
        </is>
      </c>
      <c r="B176" s="488" t="n"/>
      <c r="C176" s="24" t="n"/>
      <c r="D176" s="55" t="inlineStr">
        <is>
          <t>Salário Bruto com INSS Segurado dentro do valor</t>
        </is>
      </c>
      <c r="E176" s="87" t="n"/>
      <c r="F176" s="56" t="n"/>
      <c r="G176" s="33" t="n"/>
      <c r="H176" s="241" t="n"/>
      <c r="I176" s="27">
        <f>-SUMIFS(T_HEADCOUNT!$E:$E,T_HEADCOUNT!$C:$C,"-  Caixa",T_HEADCOUNT!$D:$D,"1/2026",T_HEADCOUNT!$B:$B,"CLT")</f>
        <v/>
      </c>
      <c r="J176" s="28">
        <f>SUMIFS(T_REAL!$D:$D,T_REAL!$E:$E,DRE!J$7,T_REAL!$C:$C,DRE!$A176)+SUMIFS(Aut_Ajustes_Manuais!$G:$G,Aut_Ajustes_Manuais!$I:$I,DRE!H$4,Aut_Ajustes_Manuais!$F:$F,"  -  Caixa")</f>
        <v/>
      </c>
      <c r="K176" s="241" t="n"/>
      <c r="L176" s="27">
        <f>-SUMIFS(T_HEADCOUNT!$E:$E,T_HEADCOUNT!$C:$C,"-  Caixa",T_HEADCOUNT!$D:$D,"2/2026",T_HEADCOUNT!$B:$B,"CLT")</f>
        <v/>
      </c>
      <c r="M176" s="28">
        <f>SUMIFS(T_REAL!$D:$D,T_REAL!$E:$E,DRE!M$7,T_REAL!$C:$C,DRE!$A176)+SUMIFS(Aut_Ajustes_Manuais!$G:$G,Aut_Ajustes_Manuais!$I:$I,DRE!K$4,Aut_Ajustes_Manuais!$F:$F,"  -  Caixa")</f>
        <v/>
      </c>
      <c r="N176" s="241" t="n"/>
      <c r="O176" s="27">
        <f>-SUMIFS(T_HEADCOUNT!$E:$E,T_HEADCOUNT!$C:$C,"-  Caixa",T_HEADCOUNT!$D:$D,"3/2026",T_HEADCOUNT!$B:$B,"CLT")</f>
        <v/>
      </c>
      <c r="P176" s="28">
        <f>SUMIFS(T_REAL!$D:$D,T_REAL!$E:$E,DRE!P$7,T_REAL!$C:$C,DRE!$A176)+SUMIFS(Aut_Ajustes_Manuais!$G:$G,Aut_Ajustes_Manuais!$I:$I,DRE!N$4,Aut_Ajustes_Manuais!$F:$F,"  -  Caixa")</f>
        <v/>
      </c>
      <c r="Q176" s="241" t="n"/>
      <c r="R176" s="27">
        <f>-SUMIFS(T_HEADCOUNT!$E:$E,T_HEADCOUNT!$C:$C,"-  Caixa",T_HEADCOUNT!$D:$D,"4/2026",T_HEADCOUNT!$B:$B,"CLT")</f>
        <v/>
      </c>
      <c r="S176" s="28">
        <f>SUMIFS(T_REAL!$D:$D,T_REAL!$E:$E,DRE!S$7,T_REAL!$C:$C,DRE!$A176)+SUMIFS(Aut_Ajustes_Manuais!$G:$G,Aut_Ajustes_Manuais!$I:$I,DRE!Q$4,Aut_Ajustes_Manuais!$F:$F,"  -  Caixa")</f>
        <v/>
      </c>
      <c r="T176" s="241" t="n"/>
      <c r="U176" s="27">
        <f>-SUMIFS(T_HEADCOUNT!$E:$E,T_HEADCOUNT!$C:$C,"-  Caixa",T_HEADCOUNT!$D:$D,"5/2026",T_HEADCOUNT!$B:$B,"CLT")</f>
        <v/>
      </c>
      <c r="V176" s="28">
        <f>SUMIFS(T_REAL!$D:$D,T_REAL!$E:$E,DRE!V$7,T_REAL!$C:$C,DRE!$A176)+SUMIFS(Aut_Ajustes_Manuais!$G:$G,Aut_Ajustes_Manuais!$I:$I,DRE!T$4,Aut_Ajustes_Manuais!$F:$F,"  -  Caixa")</f>
        <v/>
      </c>
      <c r="W176" s="241" t="n"/>
      <c r="X176" s="27">
        <f>-SUMIFS(T_HEADCOUNT!$E:$E,T_HEADCOUNT!$C:$C,"-  Caixa",T_HEADCOUNT!$D:$D,"6/2026",T_HEADCOUNT!$B:$B,"CLT")</f>
        <v/>
      </c>
      <c r="Y176" s="28">
        <f>SUMIFS(T_REAL!$D:$D,T_REAL!$E:$E,DRE!Y$7,T_REAL!$C:$C,DRE!$A176)+SUMIFS(Aut_Ajustes_Manuais!$G:$G,Aut_Ajustes_Manuais!$I:$I,DRE!W$4,Aut_Ajustes_Manuais!$F:$F,"  -  Caixa")</f>
        <v/>
      </c>
      <c r="Z176" s="241" t="n"/>
      <c r="AA176" s="27">
        <f>-SUMIFS(T_HEADCOUNT!$E:$E,T_HEADCOUNT!$C:$C,"-  Caixa",T_HEADCOUNT!$D:$D,"7/2026",T_HEADCOUNT!$B:$B,"CLT")</f>
        <v/>
      </c>
      <c r="AB176" s="28">
        <f>SUMIFS(T_REAL!$D:$D,T_REAL!$E:$E,DRE!AB$7,T_REAL!$C:$C,DRE!$A176)+SUMIFS(Aut_Ajustes_Manuais!$G:$G,Aut_Ajustes_Manuais!$I:$I,DRE!Z$4,Aut_Ajustes_Manuais!$F:$F,"  -  Caixa")</f>
        <v/>
      </c>
      <c r="AC176" s="241" t="n"/>
      <c r="AD176" s="27">
        <f>-SUMIFS(T_HEADCOUNT!$E:$E,T_HEADCOUNT!$C:$C,"-  Caixa",T_HEADCOUNT!$D:$D,"8/2026",T_HEADCOUNT!$B:$B,"CLT")</f>
        <v/>
      </c>
      <c r="AE176" s="28">
        <f>SUMIFS(T_REAL!$D:$D,T_REAL!$E:$E,DRE!AE$7,T_REAL!$C:$C,DRE!$A176)+SUMIFS(Aut_Ajustes_Manuais!$G:$G,Aut_Ajustes_Manuais!$I:$I,DRE!AC$4,Aut_Ajustes_Manuais!$F:$F,"  -  Caixa")</f>
        <v/>
      </c>
      <c r="AF176" s="241" t="n"/>
      <c r="AG176" s="27">
        <f>-SUMIFS(T_HEADCOUNT!$E:$E,T_HEADCOUNT!$C:$C,"-  Caixa",T_HEADCOUNT!$D:$D,"9/2026",T_HEADCOUNT!$B:$B,"CLT")</f>
        <v/>
      </c>
      <c r="AH176" s="28">
        <f>SUMIFS(T_REAL!$D:$D,T_REAL!$E:$E,DRE!AH$7,T_REAL!$C:$C,DRE!$A176)+SUMIFS(Aut_Ajustes_Manuais!$G:$G,Aut_Ajustes_Manuais!$I:$I,DRE!AF$4,Aut_Ajustes_Manuais!$F:$F,"  -  Caixa")</f>
        <v/>
      </c>
      <c r="AI176" s="241" t="n"/>
      <c r="AJ176" s="27">
        <f>-SUMIFS(T_HEADCOUNT!$E:$E,T_HEADCOUNT!$C:$C,"-  Caixa",T_HEADCOUNT!$D:$D,"10/2026",T_HEADCOUNT!$B:$B,"CLT")</f>
        <v/>
      </c>
      <c r="AK176" s="28">
        <f>SUMIFS(T_REAL!$D:$D,T_REAL!$E:$E,DRE!AK$7,T_REAL!$C:$C,DRE!$A176)+SUMIFS(Aut_Ajustes_Manuais!$G:$G,Aut_Ajustes_Manuais!$I:$I,DRE!AI$4,Aut_Ajustes_Manuais!$F:$F,"  -  Caixa")</f>
        <v/>
      </c>
      <c r="AL176" s="241" t="n"/>
      <c r="AM176" s="27">
        <f>-SUMIFS(T_HEADCOUNT!$E:$E,T_HEADCOUNT!$C:$C,"-  Caixa",T_HEADCOUNT!$D:$D,"11/2026",T_HEADCOUNT!$B:$B,"CLT")</f>
        <v/>
      </c>
      <c r="AN176" s="28">
        <f>SUMIFS(T_REAL!$D:$D,T_REAL!$E:$E,DRE!AN$7,T_REAL!$C:$C,DRE!$A176)+SUMIFS(Aut_Ajustes_Manuais!$G:$G,Aut_Ajustes_Manuais!$I:$I,DRE!AL$4,Aut_Ajustes_Manuais!$F:$F,"  -  Caixa")</f>
        <v/>
      </c>
      <c r="AO176" s="241" t="n"/>
      <c r="AP176" s="27">
        <f>-SUMIFS(T_HEADCOUNT!$E:$E,T_HEADCOUNT!$C:$C,"-  Caixa",T_HEADCOUNT!$D:$D,"12/2026",T_HEADCOUNT!$B:$B,"CLT")</f>
        <v/>
      </c>
      <c r="AQ176" s="28">
        <f>SUMIFS(T_REAL!$D:$D,T_REAL!$E:$E,DRE!AQ$7,T_REAL!$C:$C,DRE!$A176)+SUMIFS(Aut_Ajustes_Manuais!$G:$G,Aut_Ajustes_Manuais!$I:$I,DRE!AO$4,Aut_Ajustes_Manuais!$F:$F,"  -  Caixa")</f>
        <v/>
      </c>
      <c r="AR176" s="241">
        <f>SUMIFS($H176:$AO176,$H$5:$AO$5,"&lt;"&amp;MONTH(TODAY()),$H$6:$AO$6,"REAL 25")</f>
        <v/>
      </c>
      <c r="AS176" s="27">
        <f>SUMIFS($I176:$AP176,$I$5:$AP$5,"&lt;"&amp;MONTH(TODAY()),$I$6:$AP$6,"ORÇADO ")</f>
        <v/>
      </c>
      <c r="AT176" s="28">
        <f>SUMIFS($J176:$AQ176,$J$5:$AQ$5,"&lt;"&amp;MONTH(TODAY()),$J$6:$AQ$6,"REAL 26")</f>
        <v/>
      </c>
      <c r="AU176" s="241" t="n"/>
      <c r="AV176" s="27" t="n"/>
      <c r="AW176" s="28" t="n"/>
      <c r="AX176" s="241" t="n"/>
      <c r="AY176" s="27" t="n">
        <v>0</v>
      </c>
      <c r="AZ176" s="28" t="n"/>
      <c r="BA176" s="241" t="n"/>
      <c r="BB176" s="27" t="n">
        <v>0</v>
      </c>
      <c r="BC176" s="28" t="n"/>
      <c r="BD176" s="241" t="n"/>
      <c r="BE176" s="27" t="n">
        <v>0</v>
      </c>
      <c r="BF176" s="28" t="n"/>
      <c r="BG176" s="241" t="n"/>
      <c r="BH176" s="27" t="n">
        <v>0</v>
      </c>
      <c r="BI176" s="28" t="n"/>
    </row>
    <row r="177" hidden="1" outlineLevel="1" customFormat="1" s="498">
      <c r="A177" s="95" t="inlineStr">
        <is>
          <t xml:space="preserve">  -  Operador de Delivery</t>
        </is>
      </c>
      <c r="B177" s="488" t="n"/>
      <c r="C177" s="24" t="n"/>
      <c r="D177" s="55" t="inlineStr">
        <is>
          <t>Salário Bruto com INSS Segurado dentro do valor</t>
        </is>
      </c>
      <c r="E177" s="87" t="n"/>
      <c r="F177" s="56" t="n"/>
      <c r="G177" s="33" t="n"/>
      <c r="H177" s="241" t="n"/>
      <c r="I177" s="27">
        <f>-SUMIFS(T_HEADCOUNT!$E:$E,T_HEADCOUNT!$C:$C,"-  Operador de Delivery",T_HEADCOUNT!$D:$D,"1/2026",T_HEADCOUNT!$B:$B,"CLT")</f>
        <v/>
      </c>
      <c r="J177" s="28">
        <f>SUMIFS(T_REAL!$D:$D,T_REAL!$E:$E,DRE!J$7,T_REAL!$C:$C,DRE!$A177)+SUMIFS(Aut_Ajustes_Manuais!$G:$G,Aut_Ajustes_Manuais!$I:$I,DRE!H$4,Aut_Ajustes_Manuais!$F:$F,"  -  Operador de Delivery")</f>
        <v/>
      </c>
      <c r="K177" s="241" t="n"/>
      <c r="L177" s="27">
        <f>-SUMIFS(T_HEADCOUNT!$E:$E,T_HEADCOUNT!$C:$C,"-  Operador de Delivery",T_HEADCOUNT!$D:$D,"2/2026",T_HEADCOUNT!$B:$B,"CLT")</f>
        <v/>
      </c>
      <c r="M177" s="28">
        <f>SUMIFS(T_REAL!$D:$D,T_REAL!$E:$E,DRE!M$7,T_REAL!$C:$C,DRE!$A177)+SUMIFS(Aut_Ajustes_Manuais!$G:$G,Aut_Ajustes_Manuais!$I:$I,DRE!K$4,Aut_Ajustes_Manuais!$F:$F,"  -  Operador de Delivery")</f>
        <v/>
      </c>
      <c r="N177" s="241" t="n"/>
      <c r="O177" s="27">
        <f>-SUMIFS(T_HEADCOUNT!$E:$E,T_HEADCOUNT!$C:$C,"-  Operador de Delivery",T_HEADCOUNT!$D:$D,"3/2026",T_HEADCOUNT!$B:$B,"CLT")</f>
        <v/>
      </c>
      <c r="P177" s="28">
        <f>SUMIFS(T_REAL!$D:$D,T_REAL!$E:$E,DRE!P$7,T_REAL!$C:$C,DRE!$A177)+SUMIFS(Aut_Ajustes_Manuais!$G:$G,Aut_Ajustes_Manuais!$I:$I,DRE!N$4,Aut_Ajustes_Manuais!$F:$F,"  -  Operador de Delivery")</f>
        <v/>
      </c>
      <c r="Q177" s="241" t="n"/>
      <c r="R177" s="27">
        <f>-SUMIFS(T_HEADCOUNT!$E:$E,T_HEADCOUNT!$C:$C,"-  Operador de Delivery",T_HEADCOUNT!$D:$D,"4/2026",T_HEADCOUNT!$B:$B,"CLT")</f>
        <v/>
      </c>
      <c r="S177" s="28">
        <f>SUMIFS(T_REAL!$D:$D,T_REAL!$E:$E,DRE!S$7,T_REAL!$C:$C,DRE!$A177)+SUMIFS(Aut_Ajustes_Manuais!$G:$G,Aut_Ajustes_Manuais!$I:$I,DRE!Q$4,Aut_Ajustes_Manuais!$F:$F,"  -  Operador de Delivery")</f>
        <v/>
      </c>
      <c r="T177" s="241" t="n"/>
      <c r="U177" s="27">
        <f>-SUMIFS(T_HEADCOUNT!$E:$E,T_HEADCOUNT!$C:$C,"-  Operador de Delivery",T_HEADCOUNT!$D:$D,"5/2026",T_HEADCOUNT!$B:$B,"CLT")</f>
        <v/>
      </c>
      <c r="V177" s="28">
        <f>SUMIFS(T_REAL!$D:$D,T_REAL!$E:$E,DRE!V$7,T_REAL!$C:$C,DRE!$A177)+SUMIFS(Aut_Ajustes_Manuais!$G:$G,Aut_Ajustes_Manuais!$I:$I,DRE!T$4,Aut_Ajustes_Manuais!$F:$F,"  -  Operador de Delivery")</f>
        <v/>
      </c>
      <c r="W177" s="241" t="n"/>
      <c r="X177" s="27">
        <f>-SUMIFS(T_HEADCOUNT!$E:$E,T_HEADCOUNT!$C:$C,"-  Operador de Delivery",T_HEADCOUNT!$D:$D,"6/2026",T_HEADCOUNT!$B:$B,"CLT")</f>
        <v/>
      </c>
      <c r="Y177" s="28">
        <f>SUMIFS(T_REAL!$D:$D,T_REAL!$E:$E,DRE!Y$7,T_REAL!$C:$C,DRE!$A177)+SUMIFS(Aut_Ajustes_Manuais!$G:$G,Aut_Ajustes_Manuais!$I:$I,DRE!W$4,Aut_Ajustes_Manuais!$F:$F,"  -  Operador de Delivery")</f>
        <v/>
      </c>
      <c r="Z177" s="241" t="n"/>
      <c r="AA177" s="27">
        <f>-SUMIFS(T_HEADCOUNT!$E:$E,T_HEADCOUNT!$C:$C,"-  Operador de Delivery",T_HEADCOUNT!$D:$D,"7/2026",T_HEADCOUNT!$B:$B,"CLT")</f>
        <v/>
      </c>
      <c r="AB177" s="28">
        <f>SUMIFS(T_REAL!$D:$D,T_REAL!$E:$E,DRE!AB$7,T_REAL!$C:$C,DRE!$A177)+SUMIFS(Aut_Ajustes_Manuais!$G:$G,Aut_Ajustes_Manuais!$I:$I,DRE!Z$4,Aut_Ajustes_Manuais!$F:$F,"  -  Operador de Delivery")</f>
        <v/>
      </c>
      <c r="AC177" s="241" t="n"/>
      <c r="AD177" s="27">
        <f>-SUMIFS(T_HEADCOUNT!$E:$E,T_HEADCOUNT!$C:$C,"-  Operador de Delivery",T_HEADCOUNT!$D:$D,"8/2026",T_HEADCOUNT!$B:$B,"CLT")</f>
        <v/>
      </c>
      <c r="AE177" s="28">
        <f>SUMIFS(T_REAL!$D:$D,T_REAL!$E:$E,DRE!AE$7,T_REAL!$C:$C,DRE!$A177)+SUMIFS(Aut_Ajustes_Manuais!$G:$G,Aut_Ajustes_Manuais!$I:$I,DRE!AC$4,Aut_Ajustes_Manuais!$F:$F,"  -  Operador de Delivery")</f>
        <v/>
      </c>
      <c r="AF177" s="241" t="n"/>
      <c r="AG177" s="27">
        <f>-SUMIFS(T_HEADCOUNT!$E:$E,T_HEADCOUNT!$C:$C,"-  Operador de Delivery",T_HEADCOUNT!$D:$D,"9/2026",T_HEADCOUNT!$B:$B,"CLT")</f>
        <v/>
      </c>
      <c r="AH177" s="28">
        <f>SUMIFS(T_REAL!$D:$D,T_REAL!$E:$E,DRE!AH$7,T_REAL!$C:$C,DRE!$A177)+SUMIFS(Aut_Ajustes_Manuais!$G:$G,Aut_Ajustes_Manuais!$I:$I,DRE!AF$4,Aut_Ajustes_Manuais!$F:$F,"  -  Operador de Delivery")</f>
        <v/>
      </c>
      <c r="AI177" s="241" t="n"/>
      <c r="AJ177" s="27">
        <f>-SUMIFS(T_HEADCOUNT!$E:$E,T_HEADCOUNT!$C:$C,"-  Operador de Delivery",T_HEADCOUNT!$D:$D,"10/2026",T_HEADCOUNT!$B:$B,"CLT")</f>
        <v/>
      </c>
      <c r="AK177" s="28">
        <f>SUMIFS(T_REAL!$D:$D,T_REAL!$E:$E,DRE!AK$7,T_REAL!$C:$C,DRE!$A177)+SUMIFS(Aut_Ajustes_Manuais!$G:$G,Aut_Ajustes_Manuais!$I:$I,DRE!AI$4,Aut_Ajustes_Manuais!$F:$F,"  -  Operador de Delivery")</f>
        <v/>
      </c>
      <c r="AL177" s="241" t="n"/>
      <c r="AM177" s="27">
        <f>-SUMIFS(T_HEADCOUNT!$E:$E,T_HEADCOUNT!$C:$C,"-  Operador de Delivery",T_HEADCOUNT!$D:$D,"11/2026",T_HEADCOUNT!$B:$B,"CLT")</f>
        <v/>
      </c>
      <c r="AN177" s="28">
        <f>SUMIFS(T_REAL!$D:$D,T_REAL!$E:$E,DRE!AN$7,T_REAL!$C:$C,DRE!$A177)+SUMIFS(Aut_Ajustes_Manuais!$G:$G,Aut_Ajustes_Manuais!$I:$I,DRE!AL$4,Aut_Ajustes_Manuais!$F:$F,"  -  Operador de Delivery")</f>
        <v/>
      </c>
      <c r="AO177" s="241" t="n"/>
      <c r="AP177" s="27">
        <f>-SUMIFS(T_HEADCOUNT!$E:$E,T_HEADCOUNT!$C:$C,"-  Operador de Delivery",T_HEADCOUNT!$D:$D,"12/2026",T_HEADCOUNT!$B:$B,"CLT")</f>
        <v/>
      </c>
      <c r="AQ177" s="28">
        <f>SUMIFS(T_REAL!$D:$D,T_REAL!$E:$E,DRE!AQ$7,T_REAL!$C:$C,DRE!$A177)+SUMIFS(Aut_Ajustes_Manuais!$G:$G,Aut_Ajustes_Manuais!$I:$I,DRE!AO$4,Aut_Ajustes_Manuais!$F:$F,"  -  Operador de Delivery")</f>
        <v/>
      </c>
      <c r="AR177" s="241">
        <f>SUMIFS($H177:$AO177,$H$5:$AO$5,"&lt;"&amp;MONTH(TODAY()),$H$6:$AO$6,"REAL 25")</f>
        <v/>
      </c>
      <c r="AS177" s="27">
        <f>SUMIFS($I177:$AP177,$I$5:$AP$5,"&lt;"&amp;MONTH(TODAY()),$I$6:$AP$6,"ORÇADO ")</f>
        <v/>
      </c>
      <c r="AT177" s="28">
        <f>SUMIFS($J177:$AQ177,$J$5:$AQ$5,"&lt;"&amp;MONTH(TODAY()),$J$6:$AQ$6,"REAL 26")</f>
        <v/>
      </c>
      <c r="AU177" s="241" t="n"/>
      <c r="AV177" s="27" t="n"/>
      <c r="AW177" s="28" t="n"/>
      <c r="AX177" s="241" t="n"/>
      <c r="AY177" s="27" t="n">
        <v>0</v>
      </c>
      <c r="AZ177" s="28" t="n"/>
      <c r="BA177" s="241" t="n"/>
      <c r="BB177" s="27" t="n">
        <v>0</v>
      </c>
      <c r="BC177" s="28" t="n"/>
      <c r="BD177" s="241" t="n"/>
      <c r="BE177" s="27" t="n">
        <v>0</v>
      </c>
      <c r="BF177" s="28" t="n"/>
      <c r="BG177" s="241" t="n"/>
      <c r="BH177" s="27" t="n">
        <v>0</v>
      </c>
      <c r="BI177" s="28" t="n"/>
    </row>
    <row r="178" hidden="1" outlineLevel="1" customFormat="1" s="498">
      <c r="A178" s="95" t="n"/>
      <c r="B178" s="488" t="n"/>
      <c r="C178" s="24" t="n"/>
      <c r="D178" s="55" t="inlineStr">
        <is>
          <t>Salário Bruto com INSS Segurado dentro do valor</t>
        </is>
      </c>
      <c r="E178" s="87" t="n"/>
      <c r="F178" s="56" t="n"/>
      <c r="G178" s="33" t="n"/>
      <c r="H178" s="241" t="n"/>
      <c r="I178" s="27" t="n"/>
      <c r="J178" s="28" t="n"/>
      <c r="K178" s="241" t="n"/>
      <c r="L178" s="27" t="n"/>
      <c r="M178" s="28" t="n"/>
      <c r="N178" s="241" t="n"/>
      <c r="O178" s="27" t="n"/>
      <c r="P178" s="28" t="n"/>
      <c r="Q178" s="241" t="n"/>
      <c r="R178" s="27" t="n"/>
      <c r="S178" s="28" t="n"/>
      <c r="T178" s="241" t="n"/>
      <c r="U178" s="27" t="n"/>
      <c r="V178" s="28" t="n"/>
      <c r="W178" s="241" t="n"/>
      <c r="X178" s="27" t="n"/>
      <c r="Y178" s="28" t="n"/>
      <c r="Z178" s="241" t="n"/>
      <c r="AA178" s="27" t="n"/>
      <c r="AB178" s="28" t="n"/>
      <c r="AC178" s="241" t="n"/>
      <c r="AD178" s="27" t="n"/>
      <c r="AE178" s="28" t="n"/>
      <c r="AF178" s="241" t="n"/>
      <c r="AG178" s="27" t="n"/>
      <c r="AH178" s="28" t="n"/>
      <c r="AI178" s="241" t="n"/>
      <c r="AJ178" s="27" t="n"/>
      <c r="AK178" s="28" t="n"/>
      <c r="AL178" s="241" t="n"/>
      <c r="AM178" s="27" t="n"/>
      <c r="AN178" s="28" t="n"/>
      <c r="AO178" s="241" t="n"/>
      <c r="AP178" s="27" t="n"/>
      <c r="AQ178" s="28" t="n"/>
      <c r="AR178" s="241">
        <f>SUMIFS($H178:$AO178,$H$5:$AO$5,"&lt;"&amp;MONTH(TODAY()),$H$6:$AO$6,"REAL 25")</f>
        <v/>
      </c>
      <c r="AS178" s="27">
        <f>SUMIFS($I178:$AP178,$I$5:$AP$5,"&lt;"&amp;MONTH(TODAY()),$I$6:$AP$6,"ORÇADO ")</f>
        <v/>
      </c>
      <c r="AT178" s="28">
        <f>SUMIFS($J178:$AQ178,$J$5:$AQ$5,"&lt;"&amp;MONTH(TODAY()),$J$6:$AQ$6,"REAL 26")</f>
        <v/>
      </c>
      <c r="AU178" s="241" t="n"/>
      <c r="AV178" s="27" t="n"/>
      <c r="AW178" s="28" t="n"/>
      <c r="AX178" s="241" t="n"/>
      <c r="AY178" s="27" t="n">
        <v>0</v>
      </c>
      <c r="AZ178" s="28" t="n"/>
      <c r="BA178" s="241" t="n"/>
      <c r="BB178" s="27" t="n">
        <v>0</v>
      </c>
      <c r="BC178" s="28" t="n"/>
      <c r="BD178" s="241" t="n"/>
      <c r="BE178" s="27" t="n">
        <v>0</v>
      </c>
      <c r="BF178" s="28" t="n"/>
      <c r="BG178" s="241" t="n"/>
      <c r="BH178" s="27" t="n">
        <v>0</v>
      </c>
      <c r="BI178" s="28" t="n"/>
    </row>
    <row r="179" collapsed="1">
      <c r="A179" s="73" t="inlineStr">
        <is>
          <t>E-Staff</t>
        </is>
      </c>
      <c r="C179" s="40" t="inlineStr">
        <is>
          <t>Premissas</t>
        </is>
      </c>
      <c r="D179" s="40" t="inlineStr">
        <is>
          <t>Valores</t>
        </is>
      </c>
      <c r="E179" s="40" t="inlineStr">
        <is>
          <t>Acréscimo</t>
        </is>
      </c>
      <c r="F179" s="41" t="n"/>
      <c r="G179" s="6" t="n"/>
      <c r="H179" s="252" t="n"/>
      <c r="I179" s="74">
        <f>SUM(I180)</f>
        <v/>
      </c>
      <c r="J179" s="76">
        <f>SUM(J180)+SUMIFS(Aut_Ajustes_Manuais!$G:$G,Aut_Ajustes_Manuais!$I:$I,DRE!H$4,Aut_Ajustes_Manuais!$F:$F,"E-Staff")</f>
        <v/>
      </c>
      <c r="K179" s="252" t="n"/>
      <c r="L179" s="74">
        <f>SUM(L180)</f>
        <v/>
      </c>
      <c r="M179" s="76">
        <f>SUM(M180)+SUMIFS(Aut_Ajustes_Manuais!$G:$G,Aut_Ajustes_Manuais!$I:$I,DRE!K$4,Aut_Ajustes_Manuais!$F:$F,"E-Staff")</f>
        <v/>
      </c>
      <c r="N179" s="252" t="n"/>
      <c r="O179" s="74">
        <f>SUM(O180)</f>
        <v/>
      </c>
      <c r="P179" s="76">
        <f>SUM(P180)+SUMIFS(Aut_Ajustes_Manuais!$G:$G,Aut_Ajustes_Manuais!$I:$I,DRE!N$4,Aut_Ajustes_Manuais!$F:$F,"E-Staff")</f>
        <v/>
      </c>
      <c r="Q179" s="252" t="n"/>
      <c r="R179" s="74">
        <f>SUM(R180)</f>
        <v/>
      </c>
      <c r="S179" s="76">
        <f>SUM(S180)+SUMIFS(Aut_Ajustes_Manuais!$G:$G,Aut_Ajustes_Manuais!$I:$I,DRE!Q$4,Aut_Ajustes_Manuais!$F:$F,"E-Staff")</f>
        <v/>
      </c>
      <c r="T179" s="252" t="n"/>
      <c r="U179" s="74">
        <f>SUM(U180)</f>
        <v/>
      </c>
      <c r="V179" s="76">
        <f>SUM(V180)+SUMIFS(Aut_Ajustes_Manuais!$G:$G,Aut_Ajustes_Manuais!$I:$I,DRE!T$4,Aut_Ajustes_Manuais!$F:$F,"E-Staff")</f>
        <v/>
      </c>
      <c r="W179" s="252" t="n"/>
      <c r="X179" s="74">
        <f>SUM(X180)</f>
        <v/>
      </c>
      <c r="Y179" s="76">
        <f>SUM(Y180)+SUMIFS(Aut_Ajustes_Manuais!$G:$G,Aut_Ajustes_Manuais!$I:$I,DRE!W$4,Aut_Ajustes_Manuais!$F:$F,"E-Staff")</f>
        <v/>
      </c>
      <c r="Z179" s="252" t="n"/>
      <c r="AA179" s="74">
        <f>SUM(AA180)</f>
        <v/>
      </c>
      <c r="AB179" s="76">
        <f>SUM(AB180)+SUMIFS(Aut_Ajustes_Manuais!$G:$G,Aut_Ajustes_Manuais!$I:$I,DRE!Z$4,Aut_Ajustes_Manuais!$F:$F,"E-Staff")</f>
        <v/>
      </c>
      <c r="AC179" s="252" t="n"/>
      <c r="AD179" s="74">
        <f>SUM(AD180)</f>
        <v/>
      </c>
      <c r="AE179" s="76">
        <f>SUM(AE180)+SUMIFS(Aut_Ajustes_Manuais!$G:$G,Aut_Ajustes_Manuais!$I:$I,DRE!AC$4,Aut_Ajustes_Manuais!$F:$F,"E-Staff")</f>
        <v/>
      </c>
      <c r="AF179" s="252" t="n"/>
      <c r="AG179" s="74">
        <f>SUM(AG180)</f>
        <v/>
      </c>
      <c r="AH179" s="76">
        <f>SUM(AH180)+SUMIFS(Aut_Ajustes_Manuais!$G:$G,Aut_Ajustes_Manuais!$I:$I,DRE!AF$4,Aut_Ajustes_Manuais!$F:$F,"E-Staff")</f>
        <v/>
      </c>
      <c r="AI179" s="252" t="n"/>
      <c r="AJ179" s="74">
        <f>SUM(AJ180)</f>
        <v/>
      </c>
      <c r="AK179" s="76">
        <f>SUM(AK180)+SUMIFS(Aut_Ajustes_Manuais!$G:$G,Aut_Ajustes_Manuais!$I:$I,DRE!AI$4,Aut_Ajustes_Manuais!$F:$F,"E-Staff")</f>
        <v/>
      </c>
      <c r="AL179" s="252" t="n"/>
      <c r="AM179" s="74">
        <f>SUM(AM180)</f>
        <v/>
      </c>
      <c r="AN179" s="76">
        <f>SUM(AN180)+SUMIFS(Aut_Ajustes_Manuais!$G:$G,Aut_Ajustes_Manuais!$I:$I,DRE!AL$4,Aut_Ajustes_Manuais!$F:$F,"E-Staff")</f>
        <v/>
      </c>
      <c r="AO179" s="252" t="n"/>
      <c r="AP179" s="74">
        <f>SUM(AP180)</f>
        <v/>
      </c>
      <c r="AQ179" s="76">
        <f>SUM(AQ180)+SUMIFS(Aut_Ajustes_Manuais!$G:$G,Aut_Ajustes_Manuais!$I:$I,DRE!AO$4,Aut_Ajustes_Manuais!$F:$F,"E-Staff")</f>
        <v/>
      </c>
      <c r="AR179" s="252">
        <f>SUMIFS($H179:$AO179,$H$5:$AO$5,"&lt;"&amp;MONTH(TODAY()),$H$6:$AO$6,"REAL 25")</f>
        <v/>
      </c>
      <c r="AS179" s="74">
        <f>SUMIFS($I179:$AP179,$I$5:$AP$5,"&lt;"&amp;MONTH(TODAY()),$I$6:$AP$6,"ORÇADO ")</f>
        <v/>
      </c>
      <c r="AT179" s="76">
        <f>SUMIFS($J179:$AQ179,$J$5:$AQ$5,"&lt;"&amp;MONTH(TODAY()),$J$6:$AQ$6,"REAL 26")</f>
        <v/>
      </c>
      <c r="AU179" s="252">
        <f>SUM(AU180)</f>
        <v/>
      </c>
      <c r="AV179" s="74">
        <f>SUM(AV180)</f>
        <v/>
      </c>
      <c r="AW179" s="76">
        <f>SUM(AW180)</f>
        <v/>
      </c>
      <c r="AX179" s="252">
        <f>SUM(AX180)</f>
        <v/>
      </c>
      <c r="AY179" s="74">
        <f>SUM(AY180)</f>
        <v/>
      </c>
      <c r="AZ179" s="76">
        <f>SUM(AZ180)</f>
        <v/>
      </c>
      <c r="BA179" s="252">
        <f>SUM(BA180)</f>
        <v/>
      </c>
      <c r="BB179" s="74">
        <f>SUM(BB180)</f>
        <v/>
      </c>
      <c r="BC179" s="76">
        <f>SUM(BC180)</f>
        <v/>
      </c>
      <c r="BD179" s="252">
        <f>SUM(BD180)</f>
        <v/>
      </c>
      <c r="BE179" s="74">
        <f>SUM(BE180)</f>
        <v/>
      </c>
      <c r="BF179" s="76">
        <f>SUM(BF180)</f>
        <v/>
      </c>
      <c r="BG179" s="252">
        <f>SUM(BG180)</f>
        <v/>
      </c>
      <c r="BH179" s="74">
        <f>SUM(BH180)</f>
        <v/>
      </c>
      <c r="BI179" s="76">
        <f>SUM(BI180)</f>
        <v/>
      </c>
    </row>
    <row r="180" hidden="1" outlineLevel="1" customFormat="1" s="498">
      <c r="A180" s="22" t="inlineStr">
        <is>
          <t>Mão de Obra Extra</t>
        </is>
      </c>
      <c r="B180" s="488" t="n"/>
      <c r="C180" s="24" t="n"/>
      <c r="D180" s="55" t="n"/>
      <c r="E180" s="96" t="n"/>
      <c r="F180" s="41" t="n"/>
      <c r="G180" s="33" t="n"/>
      <c r="H180" s="241" t="n"/>
      <c r="I180" s="27">
        <f>-SUMIFS(T_ORCAMENTOS!$E:$E,T_ORCAMENTOS!$C:$C,"Mão de Obra Extra",T_ORCAMENTOS!$H:$H,"1/2026")</f>
        <v/>
      </c>
      <c r="J180" s="28">
        <f>SUMIFS(Aut_BlueMe_Sem_Pedido!$J:$J,Aut_BlueMe_Sem_Pedido!$Q:$Q,DRE!H$4,Aut_BlueMe_Sem_Pedido!$H:$H,DRE!$A180)+SUMIFS(Aut_Ajustes_Manuais!$G:$G,Aut_Ajustes_Manuais!$I:$I,DRE!H$4,Aut_Ajustes_Manuais!$F:$F,"Mão de Obra Extra")</f>
        <v/>
      </c>
      <c r="K180" s="241" t="n"/>
      <c r="L180" s="27">
        <f>-SUMIFS(T_ORCAMENTOS!$E:$E,T_ORCAMENTOS!$C:$C,"Mão de Obra Extra",T_ORCAMENTOS!$H:$H,"2/2026")</f>
        <v/>
      </c>
      <c r="M180" s="28">
        <f>SUMIFS(Aut_BlueMe_Sem_Pedido!$J:$J,Aut_BlueMe_Sem_Pedido!$Q:$Q,DRE!K$4,Aut_BlueMe_Sem_Pedido!$H:$H,DRE!$A180)+SUMIFS(Aut_Ajustes_Manuais!$G:$G,Aut_Ajustes_Manuais!$I:$I,DRE!K$4,Aut_Ajustes_Manuais!$F:$F,"Mão de Obra Extra")</f>
        <v/>
      </c>
      <c r="N180" s="241" t="n"/>
      <c r="O180" s="27">
        <f>-SUMIFS(T_ORCAMENTOS!$E:$E,T_ORCAMENTOS!$C:$C,"Mão de Obra Extra",T_ORCAMENTOS!$H:$H,"3/2026")</f>
        <v/>
      </c>
      <c r="P180" s="28">
        <f>SUMIFS(Aut_BlueMe_Sem_Pedido!$J:$J,Aut_BlueMe_Sem_Pedido!$Q:$Q,DRE!N$4,Aut_BlueMe_Sem_Pedido!$H:$H,DRE!$A180)+SUMIFS(Aut_Ajustes_Manuais!$G:$G,Aut_Ajustes_Manuais!$I:$I,DRE!N$4,Aut_Ajustes_Manuais!$F:$F,"Mão de Obra Extra")</f>
        <v/>
      </c>
      <c r="Q180" s="241" t="n"/>
      <c r="R180" s="27">
        <f>-SUMIFS(T_ORCAMENTOS!$E:$E,T_ORCAMENTOS!$C:$C,"Mão de Obra Extra",T_ORCAMENTOS!$H:$H,"4/2026")</f>
        <v/>
      </c>
      <c r="S180" s="28">
        <f>SUMIFS(Aut_BlueMe_Sem_Pedido!$J:$J,Aut_BlueMe_Sem_Pedido!$Q:$Q,DRE!Q$4,Aut_BlueMe_Sem_Pedido!$H:$H,DRE!$A180)+SUMIFS(Aut_Ajustes_Manuais!$G:$G,Aut_Ajustes_Manuais!$I:$I,DRE!Q$4,Aut_Ajustes_Manuais!$F:$F,"Mão de Obra Extra")</f>
        <v/>
      </c>
      <c r="T180" s="241" t="n"/>
      <c r="U180" s="27">
        <f>-SUMIFS(T_ORCAMENTOS!$E:$E,T_ORCAMENTOS!$C:$C,"Mão de Obra Extra",T_ORCAMENTOS!$H:$H,"5/2026")</f>
        <v/>
      </c>
      <c r="V180" s="28">
        <f>SUMIFS(Aut_BlueMe_Sem_Pedido!$J:$J,Aut_BlueMe_Sem_Pedido!$Q:$Q,DRE!T$4,Aut_BlueMe_Sem_Pedido!$H:$H,DRE!$A180)+SUMIFS(Aut_Ajustes_Manuais!$G:$G,Aut_Ajustes_Manuais!$I:$I,DRE!T$4,Aut_Ajustes_Manuais!$F:$F,"Mão de Obra Extra")</f>
        <v/>
      </c>
      <c r="W180" s="241" t="n"/>
      <c r="X180" s="27">
        <f>-SUMIFS(T_ORCAMENTOS!$E:$E,T_ORCAMENTOS!$C:$C,"Mão de Obra Extra",T_ORCAMENTOS!$H:$H,"6/2026")</f>
        <v/>
      </c>
      <c r="Y180" s="28">
        <f>SUMIFS(Aut_BlueMe_Sem_Pedido!$J:$J,Aut_BlueMe_Sem_Pedido!$Q:$Q,DRE!W$4,Aut_BlueMe_Sem_Pedido!$H:$H,DRE!$A180)+SUMIFS(Aut_Ajustes_Manuais!$G:$G,Aut_Ajustes_Manuais!$I:$I,DRE!W$4,Aut_Ajustes_Manuais!$F:$F,"Mão de Obra Extra")</f>
        <v/>
      </c>
      <c r="Z180" s="241" t="n"/>
      <c r="AA180" s="27">
        <f>-SUMIFS(T_ORCAMENTOS!$E:$E,T_ORCAMENTOS!$C:$C,"Mão de Obra Extra",T_ORCAMENTOS!$H:$H,"7/2026")</f>
        <v/>
      </c>
      <c r="AB180" s="28">
        <f>SUMIFS(Aut_BlueMe_Sem_Pedido!$J:$J,Aut_BlueMe_Sem_Pedido!$Q:$Q,DRE!Z$4,Aut_BlueMe_Sem_Pedido!$H:$H,DRE!$A180)+SUMIFS(Aut_Ajustes_Manuais!$G:$G,Aut_Ajustes_Manuais!$I:$I,DRE!Z$4,Aut_Ajustes_Manuais!$F:$F,"Mão de Obra Extra")</f>
        <v/>
      </c>
      <c r="AC180" s="241" t="n"/>
      <c r="AD180" s="27">
        <f>-SUMIFS(T_ORCAMENTOS!$E:$E,T_ORCAMENTOS!$C:$C,"Mão de Obra Extra",T_ORCAMENTOS!$H:$H,"8/2026")</f>
        <v/>
      </c>
      <c r="AE180" s="28">
        <f>SUMIFS(Aut_BlueMe_Sem_Pedido!$J:$J,Aut_BlueMe_Sem_Pedido!$Q:$Q,DRE!AC$4,Aut_BlueMe_Sem_Pedido!$H:$H,DRE!$A180)+SUMIFS(Aut_Ajustes_Manuais!$G:$G,Aut_Ajustes_Manuais!$I:$I,DRE!AC$4,Aut_Ajustes_Manuais!$F:$F,"Mão de Obra Extra")</f>
        <v/>
      </c>
      <c r="AF180" s="241" t="n"/>
      <c r="AG180" s="27">
        <f>-SUMIFS(T_ORCAMENTOS!$E:$E,T_ORCAMENTOS!$C:$C,"Mão de Obra Extra",T_ORCAMENTOS!$H:$H,"9/2026")</f>
        <v/>
      </c>
      <c r="AH180" s="28">
        <f>SUMIFS(Aut_BlueMe_Sem_Pedido!$J:$J,Aut_BlueMe_Sem_Pedido!$Q:$Q,DRE!AF$4,Aut_BlueMe_Sem_Pedido!$H:$H,DRE!$A180)+SUMIFS(Aut_Ajustes_Manuais!$G:$G,Aut_Ajustes_Manuais!$I:$I,DRE!AF$4,Aut_Ajustes_Manuais!$F:$F,"Mão de Obra Extra")</f>
        <v/>
      </c>
      <c r="AI180" s="241" t="n"/>
      <c r="AJ180" s="27">
        <f>-SUMIFS(T_ORCAMENTOS!$E:$E,T_ORCAMENTOS!$C:$C,"Mão de Obra Extra",T_ORCAMENTOS!$H:$H,"10/2026")</f>
        <v/>
      </c>
      <c r="AK180" s="28">
        <f>SUMIFS(Aut_BlueMe_Sem_Pedido!$J:$J,Aut_BlueMe_Sem_Pedido!$Q:$Q,DRE!AI$4,Aut_BlueMe_Sem_Pedido!$H:$H,DRE!$A180)+SUMIFS(Aut_Ajustes_Manuais!$G:$G,Aut_Ajustes_Manuais!$I:$I,DRE!AI$4,Aut_Ajustes_Manuais!$F:$F,"Mão de Obra Extra")</f>
        <v/>
      </c>
      <c r="AL180" s="241" t="n"/>
      <c r="AM180" s="27">
        <f>-SUMIFS(T_ORCAMENTOS!$E:$E,T_ORCAMENTOS!$C:$C,"Mão de Obra Extra",T_ORCAMENTOS!$H:$H,"11/2026")</f>
        <v/>
      </c>
      <c r="AN180" s="28">
        <f>SUMIFS(Aut_BlueMe_Sem_Pedido!$J:$J,Aut_BlueMe_Sem_Pedido!$Q:$Q,DRE!AL$4,Aut_BlueMe_Sem_Pedido!$H:$H,DRE!$A180)+SUMIFS(Aut_Ajustes_Manuais!$G:$G,Aut_Ajustes_Manuais!$I:$I,DRE!AL$4,Aut_Ajustes_Manuais!$F:$F,"Mão de Obra Extra")</f>
        <v/>
      </c>
      <c r="AO180" s="241" t="n"/>
      <c r="AP180" s="27">
        <f>-SUMIFS(T_ORCAMENTOS!$E:$E,T_ORCAMENTOS!$C:$C,"Mão de Obra Extra",T_ORCAMENTOS!$H:$H,"12/2026")</f>
        <v/>
      </c>
      <c r="AQ180" s="28">
        <f>SUMIFS(Aut_BlueMe_Sem_Pedido!$J:$J,Aut_BlueMe_Sem_Pedido!$Q:$Q,DRE!AO$4,Aut_BlueMe_Sem_Pedido!$H:$H,DRE!$A180)+SUMIFS(Aut_Ajustes_Manuais!$G:$G,Aut_Ajustes_Manuais!$I:$I,DRE!AO$4,Aut_Ajustes_Manuais!$F:$F,"Mão de Obra Extra")</f>
        <v/>
      </c>
      <c r="AR180" s="241">
        <f>SUMIFS($H180:$AO180,$H$5:$AO$5,"&lt;"&amp;MONTH(TODAY()),$H$6:$AO$6,"REAL 25")</f>
        <v/>
      </c>
      <c r="AS180" s="27">
        <f>SUMIFS($I180:$AP180,$I$5:$AP$5,"&lt;"&amp;MONTH(TODAY()),$I$6:$AP$6,"ORÇADO ")</f>
        <v/>
      </c>
      <c r="AT180" s="28">
        <f>SUMIFS($J180:$AQ180,$J$5:$AQ$5,"&lt;"&amp;MONTH(TODAY()),$J$6:$AQ$6,"REAL 26")</f>
        <v/>
      </c>
      <c r="AU180" s="241">
        <f>SUM(H180,K180,N180,Q180,T180,W180,Z180,AC180,AF180,AI180,AL180,AO180)</f>
        <v/>
      </c>
      <c r="AV180" s="27">
        <f>SUM(I180,L180,O180,R180,U180,X180,AA180,AD180,AG180,AJ180,AM180,AP180)</f>
        <v/>
      </c>
      <c r="AW180" s="28">
        <f>SUM(J180,M180,P180,S180,V180,Y180,AB180,AE180,AH180,AK180,AN180,AQ180)</f>
        <v/>
      </c>
      <c r="AX180" s="241">
        <f>SUM(H180,K180,N180)</f>
        <v/>
      </c>
      <c r="AY180" s="27">
        <f>SUM(I180,L180,O180)</f>
        <v/>
      </c>
      <c r="AZ180" s="28">
        <f>SUM(J180,M180,P180)</f>
        <v/>
      </c>
      <c r="BA180" s="241">
        <f>SUM(Q180,T180,W180)</f>
        <v/>
      </c>
      <c r="BB180" s="27">
        <f>SUM(R180,U180,X180)</f>
        <v/>
      </c>
      <c r="BC180" s="28">
        <f>SUM(S180,V180,Y180)</f>
        <v/>
      </c>
      <c r="BD180" s="241">
        <f>SUM(Z180,AC180,AF180)</f>
        <v/>
      </c>
      <c r="BE180" s="27">
        <f>SUM(AA180,AD180,AG180)</f>
        <v/>
      </c>
      <c r="BF180" s="28">
        <f>SUM(AB180,AE180,AH180)</f>
        <v/>
      </c>
      <c r="BG180" s="241">
        <f>SUM(AI180,AL180,AO180)</f>
        <v/>
      </c>
      <c r="BH180" s="27">
        <f>SUM(AJ180,AM180,AP180)</f>
        <v/>
      </c>
      <c r="BI180" s="28">
        <f>SUM(AK180,AN180,AQ180)</f>
        <v/>
      </c>
    </row>
    <row r="181" hidden="1" outlineLevel="1" customFormat="1" s="498">
      <c r="A181" s="22" t="inlineStr">
        <is>
          <t xml:space="preserve">  -  Gorjeta (Retenção Estaff) (+)</t>
        </is>
      </c>
      <c r="B181" s="488" t="n"/>
      <c r="C181" s="24" t="n"/>
      <c r="D181" s="55" t="n"/>
      <c r="E181" s="96" t="n"/>
      <c r="F181" s="41" t="n"/>
      <c r="G181" s="33" t="n"/>
      <c r="H181" s="241" t="n"/>
      <c r="I181" s="27">
        <f>SUMIFS(T_ORCAMENTOS!$E:$E,T_ORCAMENTOS!$C:$C,"  -  Gorjeta (Retenção Estaff) (+)",T_ORCAMENTOS!$H:$H,"1/2026")</f>
        <v/>
      </c>
      <c r="J181" s="28">
        <f>-J180*30%+SUMIFS(Aut_Ajustes_Manuais!$G:$G,Aut_Ajustes_Manuais!$I:$I,DRE!H$4,Aut_Ajustes_Manuais!$F:$F,"  -  Gorjeta (Retenção Estaff) (+)")</f>
        <v/>
      </c>
      <c r="K181" s="241" t="n"/>
      <c r="L181" s="27">
        <f>SUMIFS(T_ORCAMENTOS!$E:$E,T_ORCAMENTOS!$C:$C,"  -  Gorjeta (Retenção Estaff) (+)",T_ORCAMENTOS!$H:$H,"2/2026")</f>
        <v/>
      </c>
      <c r="M181" s="28">
        <f>-M180*30%+SUMIFS(Aut_Ajustes_Manuais!$G:$G,Aut_Ajustes_Manuais!$I:$I,DRE!K$4,Aut_Ajustes_Manuais!$F:$F,"  -  Gorjeta (Retenção Estaff) (+)")</f>
        <v/>
      </c>
      <c r="N181" s="241" t="n"/>
      <c r="O181" s="27">
        <f>SUMIFS(T_ORCAMENTOS!$E:$E,T_ORCAMENTOS!$C:$C,"  -  Gorjeta (Retenção Estaff) (+)",T_ORCAMENTOS!$H:$H,"3/2026")</f>
        <v/>
      </c>
      <c r="P181" s="28">
        <f>-P180*30%+SUMIFS(Aut_Ajustes_Manuais!$G:$G,Aut_Ajustes_Manuais!$I:$I,DRE!N$4,Aut_Ajustes_Manuais!$F:$F,"  -  Gorjeta (Retenção Estaff) (+)")</f>
        <v/>
      </c>
      <c r="Q181" s="241" t="n"/>
      <c r="R181" s="27">
        <f>SUMIFS(T_ORCAMENTOS!$E:$E,T_ORCAMENTOS!$C:$C,"  -  Gorjeta (Retenção Estaff) (+)",T_ORCAMENTOS!$H:$H,"4/2026")</f>
        <v/>
      </c>
      <c r="S181" s="28">
        <f>-S180*30%+SUMIFS(Aut_Ajustes_Manuais!$G:$G,Aut_Ajustes_Manuais!$I:$I,DRE!Q$4,Aut_Ajustes_Manuais!$F:$F,"  -  Gorjeta (Retenção Estaff) (+)")</f>
        <v/>
      </c>
      <c r="T181" s="241" t="n"/>
      <c r="U181" s="27">
        <f>SUMIFS(T_ORCAMENTOS!$E:$E,T_ORCAMENTOS!$C:$C,"  -  Gorjeta (Retenção Estaff) (+)",T_ORCAMENTOS!$H:$H,"5/2026")</f>
        <v/>
      </c>
      <c r="V181" s="28">
        <f>-V180*30%+SUMIFS(Aut_Ajustes_Manuais!$G:$G,Aut_Ajustes_Manuais!$I:$I,DRE!T$4,Aut_Ajustes_Manuais!$F:$F,"  -  Gorjeta (Retenção Estaff) (+)")</f>
        <v/>
      </c>
      <c r="W181" s="241" t="n"/>
      <c r="X181" s="27">
        <f>SUMIFS(T_ORCAMENTOS!$E:$E,T_ORCAMENTOS!$C:$C,"  -  Gorjeta (Retenção Estaff) (+)",T_ORCAMENTOS!$H:$H,"6/2026")</f>
        <v/>
      </c>
      <c r="Y181" s="28">
        <f>-Y180*30%+SUMIFS(Aut_Ajustes_Manuais!$G:$G,Aut_Ajustes_Manuais!$I:$I,DRE!W$4,Aut_Ajustes_Manuais!$F:$F,"  -  Gorjeta (Retenção Estaff) (+)")</f>
        <v/>
      </c>
      <c r="Z181" s="241" t="n"/>
      <c r="AA181" s="27">
        <f>SUMIFS(T_ORCAMENTOS!$E:$E,T_ORCAMENTOS!$C:$C,"  -  Gorjeta (Retenção Estaff) (+)",T_ORCAMENTOS!$H:$H,"7/2026")</f>
        <v/>
      </c>
      <c r="AB181" s="28">
        <f>-AB180*30%+SUMIFS(Aut_Ajustes_Manuais!$G:$G,Aut_Ajustes_Manuais!$I:$I,DRE!Z$4,Aut_Ajustes_Manuais!$F:$F,"  -  Gorjeta (Retenção Estaff) (+)")</f>
        <v/>
      </c>
      <c r="AC181" s="241" t="n"/>
      <c r="AD181" s="27">
        <f>SUMIFS(T_ORCAMENTOS!$E:$E,T_ORCAMENTOS!$C:$C,"  -  Gorjeta (Retenção Estaff) (+)",T_ORCAMENTOS!$H:$H,"8/2026")</f>
        <v/>
      </c>
      <c r="AE181" s="28">
        <f>-AE180*30%+SUMIFS(Aut_Ajustes_Manuais!$G:$G,Aut_Ajustes_Manuais!$I:$I,DRE!AC$4,Aut_Ajustes_Manuais!$F:$F,"  -  Gorjeta (Retenção Estaff) (+)")</f>
        <v/>
      </c>
      <c r="AF181" s="241" t="n"/>
      <c r="AG181" s="27">
        <f>SUMIFS(T_ORCAMENTOS!$E:$E,T_ORCAMENTOS!$C:$C,"  -  Gorjeta (Retenção Estaff) (+)",T_ORCAMENTOS!$H:$H,"9/2026")</f>
        <v/>
      </c>
      <c r="AH181" s="28">
        <f>-AH180*30%+SUMIFS(Aut_Ajustes_Manuais!$G:$G,Aut_Ajustes_Manuais!$I:$I,DRE!AF$4,Aut_Ajustes_Manuais!$F:$F,"  -  Gorjeta (Retenção Estaff) (+)")</f>
        <v/>
      </c>
      <c r="AI181" s="241" t="n"/>
      <c r="AJ181" s="27">
        <f>SUMIFS(T_ORCAMENTOS!$E:$E,T_ORCAMENTOS!$C:$C,"  -  Gorjeta (Retenção Estaff) (+)",T_ORCAMENTOS!$H:$H,"10/2026")</f>
        <v/>
      </c>
      <c r="AK181" s="28">
        <f>-AK180*30%+SUMIFS(Aut_Ajustes_Manuais!$G:$G,Aut_Ajustes_Manuais!$I:$I,DRE!AI$4,Aut_Ajustes_Manuais!$F:$F,"  -  Gorjeta (Retenção Estaff) (+)")</f>
        <v/>
      </c>
      <c r="AL181" s="241" t="n"/>
      <c r="AM181" s="27">
        <f>SUMIFS(T_ORCAMENTOS!$E:$E,T_ORCAMENTOS!$C:$C,"  -  Gorjeta (Retenção Estaff) (+)",T_ORCAMENTOS!$H:$H,"11/2026")</f>
        <v/>
      </c>
      <c r="AN181" s="28">
        <f>-AN180*30%+SUMIFS(Aut_Ajustes_Manuais!$G:$G,Aut_Ajustes_Manuais!$I:$I,DRE!AL$4,Aut_Ajustes_Manuais!$F:$F,"  -  Gorjeta (Retenção Estaff) (+)")</f>
        <v/>
      </c>
      <c r="AO181" s="241" t="n"/>
      <c r="AP181" s="27">
        <f>SUMIFS(T_ORCAMENTOS!$E:$E,T_ORCAMENTOS!$C:$C,"  -  Gorjeta (Retenção Estaff) (+)",T_ORCAMENTOS!$H:$H,"12/2026")</f>
        <v/>
      </c>
      <c r="AQ181" s="28">
        <f>-AQ180*30%+SUMIFS(Aut_Ajustes_Manuais!$G:$G,Aut_Ajustes_Manuais!$I:$I,DRE!AO$4,Aut_Ajustes_Manuais!$F:$F,"  -  Gorjeta (Retenção Estaff) (+)")</f>
        <v/>
      </c>
      <c r="AR181" s="241">
        <f>SUMIFS($H181:$AO181,$H$5:$AO$5,"&lt;"&amp;MONTH(TODAY()),$H$6:$AO$6,"REAL 25")</f>
        <v/>
      </c>
      <c r="AS181" s="27">
        <f>SUMIFS($I181:$AP181,$I$5:$AP$5,"&lt;"&amp;MONTH(TODAY()),$I$6:$AP$6,"ORÇADO ")</f>
        <v/>
      </c>
      <c r="AT181" s="28">
        <f>SUMIFS($J181:$AQ181,$J$5:$AQ$5,"&lt;"&amp;MONTH(TODAY()),$J$6:$AQ$6,"REAL 26")</f>
        <v/>
      </c>
      <c r="AU181" s="241">
        <f>SUM(H181,K181,N181,Q181,T181,W181,Z181,AC181,AF181,AI181,AL181,AO181)</f>
        <v/>
      </c>
      <c r="AV181" s="27">
        <f>SUM(I181,L181,O181,R181,U181,X181,AA181,AD181,AG181,AJ181,AM181,AP181)</f>
        <v/>
      </c>
      <c r="AW181" s="28">
        <f>SUM(J181,M181,P181,S181,V181,Y181,AB181,AE181,AH181,AK181,AN181,AQ181)</f>
        <v/>
      </c>
      <c r="AX181" s="241">
        <f>SUM(H181,K181,N181)</f>
        <v/>
      </c>
      <c r="AY181" s="27">
        <f>SUM(I181,L181,O181)</f>
        <v/>
      </c>
      <c r="AZ181" s="28">
        <f>SUM(J181,M181,P181)</f>
        <v/>
      </c>
      <c r="BA181" s="241">
        <f>SUM(Q181,T181,W181)</f>
        <v/>
      </c>
      <c r="BB181" s="27">
        <f>SUM(R181,U181,X181)</f>
        <v/>
      </c>
      <c r="BC181" s="28">
        <f>SUM(S181,V181,Y181)</f>
        <v/>
      </c>
      <c r="BD181" s="241">
        <f>SUM(Z181,AC181,AF181)</f>
        <v/>
      </c>
      <c r="BE181" s="27">
        <f>SUM(AA181,AD181,AG181)</f>
        <v/>
      </c>
      <c r="BF181" s="28">
        <f>SUM(AB181,AE181,AH181)</f>
        <v/>
      </c>
      <c r="BG181" s="241">
        <f>SUM(AI181,AL181,AO181)</f>
        <v/>
      </c>
      <c r="BH181" s="27">
        <f>SUM(AJ181,AM181,AP181)</f>
        <v/>
      </c>
      <c r="BI181" s="28">
        <f>SUM(AK181,AN181,AQ181)</f>
        <v/>
      </c>
    </row>
    <row r="182" collapsed="1">
      <c r="A182" s="73" t="inlineStr">
        <is>
          <t>Encargos e Provisões</t>
        </is>
      </c>
      <c r="C182" s="40" t="inlineStr">
        <is>
          <t>Premissas</t>
        </is>
      </c>
      <c r="D182" s="40" t="inlineStr">
        <is>
          <t>Valores</t>
        </is>
      </c>
      <c r="E182" s="40" t="inlineStr">
        <is>
          <t>Acréscimo</t>
        </is>
      </c>
      <c r="F182" s="41" t="n"/>
      <c r="G182" s="47" t="n"/>
      <c r="H182" s="258" t="n"/>
      <c r="I182" s="75">
        <f>SUM(I183:I198)</f>
        <v/>
      </c>
      <c r="J182" s="76">
        <f>SUM(J183:J198)+SUMIFS(Aut_Ajustes_Manuais!$G:$G,Aut_Ajustes_Manuais!$I:$I,DRE!H$4,Aut_Ajustes_Manuais!$F:$F,"Encargos e Provisões")</f>
        <v/>
      </c>
      <c r="K182" s="258" t="n"/>
      <c r="L182" s="75">
        <f>SUM(L183:L198)</f>
        <v/>
      </c>
      <c r="M182" s="76">
        <f>SUM(M183:M198)+SUMIFS(Aut_Ajustes_Manuais!$G:$G,Aut_Ajustes_Manuais!$I:$I,DRE!K$4,Aut_Ajustes_Manuais!$F:$F,"Encargos e Provisões")</f>
        <v/>
      </c>
      <c r="N182" s="258" t="n"/>
      <c r="O182" s="75">
        <f>SUM(O183:O198)</f>
        <v/>
      </c>
      <c r="P182" s="76">
        <f>SUM(P183:P198)+SUMIFS(Aut_Ajustes_Manuais!$G:$G,Aut_Ajustes_Manuais!$I:$I,DRE!N$4,Aut_Ajustes_Manuais!$F:$F,"Encargos e Provisões")</f>
        <v/>
      </c>
      <c r="Q182" s="258" t="n"/>
      <c r="R182" s="75">
        <f>SUM(R183:R198)</f>
        <v/>
      </c>
      <c r="S182" s="76">
        <f>SUM(S183:S198)+SUMIFS(Aut_Ajustes_Manuais!$G:$G,Aut_Ajustes_Manuais!$I:$I,DRE!Q$4,Aut_Ajustes_Manuais!$F:$F,"Encargos e Provisões")</f>
        <v/>
      </c>
      <c r="T182" s="258" t="n"/>
      <c r="U182" s="75">
        <f>SUM(U183:U198)</f>
        <v/>
      </c>
      <c r="V182" s="76">
        <f>SUM(V183:V198)+SUMIFS(Aut_Ajustes_Manuais!$G:$G,Aut_Ajustes_Manuais!$I:$I,DRE!T$4,Aut_Ajustes_Manuais!$F:$F,"Encargos e Provisões")</f>
        <v/>
      </c>
      <c r="W182" s="258" t="n"/>
      <c r="X182" s="75">
        <f>SUM(X183:X198)</f>
        <v/>
      </c>
      <c r="Y182" s="76">
        <f>SUM(Y183:Y198)+SUMIFS(Aut_Ajustes_Manuais!$G:$G,Aut_Ajustes_Manuais!$I:$I,DRE!W$4,Aut_Ajustes_Manuais!$F:$F,"Encargos e Provisões")</f>
        <v/>
      </c>
      <c r="Z182" s="258" t="n"/>
      <c r="AA182" s="75">
        <f>SUM(AA183:AA198)</f>
        <v/>
      </c>
      <c r="AB182" s="76">
        <f>SUM(AB183:AB198)+SUMIFS(Aut_Ajustes_Manuais!$G:$G,Aut_Ajustes_Manuais!$I:$I,DRE!Z$4,Aut_Ajustes_Manuais!$F:$F,"Encargos e Provisões")</f>
        <v/>
      </c>
      <c r="AC182" s="258" t="n"/>
      <c r="AD182" s="75">
        <f>SUM(AD183:AD198)</f>
        <v/>
      </c>
      <c r="AE182" s="76">
        <f>SUM(AE183:AE198)+SUMIFS(Aut_Ajustes_Manuais!$G:$G,Aut_Ajustes_Manuais!$I:$I,DRE!AC$4,Aut_Ajustes_Manuais!$F:$F,"Encargos e Provisões")</f>
        <v/>
      </c>
      <c r="AF182" s="258" t="n"/>
      <c r="AG182" s="75">
        <f>SUM(AG183:AG198)</f>
        <v/>
      </c>
      <c r="AH182" s="76">
        <f>SUM(AH183:AH198)+SUMIFS(Aut_Ajustes_Manuais!$G:$G,Aut_Ajustes_Manuais!$I:$I,DRE!AF$4,Aut_Ajustes_Manuais!$F:$F,"Encargos e Provisões")</f>
        <v/>
      </c>
      <c r="AI182" s="258" t="n"/>
      <c r="AJ182" s="75">
        <f>SUM(AJ183:AJ198)</f>
        <v/>
      </c>
      <c r="AK182" s="76">
        <f>SUM(AK183:AK198)+SUMIFS(Aut_Ajustes_Manuais!$G:$G,Aut_Ajustes_Manuais!$I:$I,DRE!AI$4,Aut_Ajustes_Manuais!$F:$F,"Encargos e Provisões")</f>
        <v/>
      </c>
      <c r="AL182" s="258" t="n"/>
      <c r="AM182" s="75">
        <f>SUM(AM183:AM198)</f>
        <v/>
      </c>
      <c r="AN182" s="76">
        <f>SUM(AN183:AN198)+SUMIFS(Aut_Ajustes_Manuais!$G:$G,Aut_Ajustes_Manuais!$I:$I,DRE!AL$4,Aut_Ajustes_Manuais!$F:$F,"Encargos e Provisões")</f>
        <v/>
      </c>
      <c r="AO182" s="258" t="n"/>
      <c r="AP182" s="75">
        <f>SUM(AP183:AP198)</f>
        <v/>
      </c>
      <c r="AQ182" s="76">
        <f>SUM(AQ183:AQ198)+SUMIFS(Aut_Ajustes_Manuais!$G:$G,Aut_Ajustes_Manuais!$I:$I,DRE!AO$4,Aut_Ajustes_Manuais!$F:$F,"Encargos e Provisões")</f>
        <v/>
      </c>
      <c r="AR182" s="258">
        <f>SUMIFS($H182:$AO182,$H$5:$AO$5,"&lt;"&amp;MONTH(TODAY()),$H$6:$AO$6,"REAL 25")</f>
        <v/>
      </c>
      <c r="AS182" s="75">
        <f>SUMIFS($I182:$AP182,$I$5:$AP$5,"&lt;"&amp;MONTH(TODAY()),$I$6:$AP$6,"ORÇADO ")</f>
        <v/>
      </c>
      <c r="AT182" s="76">
        <f>SUMIFS($J182:$AQ182,$J$5:$AQ$5,"&lt;"&amp;MONTH(TODAY()),$J$6:$AQ$6,"REAL 26")</f>
        <v/>
      </c>
      <c r="AU182" s="258">
        <f>SUM(AU183:AU198)</f>
        <v/>
      </c>
      <c r="AV182" s="75">
        <f>SUM(AV183:AV198)</f>
        <v/>
      </c>
      <c r="AW182" s="76">
        <f>SUM(AW183:AW198)</f>
        <v/>
      </c>
      <c r="AX182" s="258">
        <f>SUM(AX183:AX198)</f>
        <v/>
      </c>
      <c r="AY182" s="75">
        <f>SUM(AY183:AY198)</f>
        <v/>
      </c>
      <c r="AZ182" s="76">
        <f>SUM(AZ183:AZ198)</f>
        <v/>
      </c>
      <c r="BA182" s="258">
        <f>SUM(BA183:BA198)</f>
        <v/>
      </c>
      <c r="BB182" s="75">
        <f>SUM(BB183:BB198)</f>
        <v/>
      </c>
      <c r="BC182" s="76">
        <f>SUM(BC183:BC198)</f>
        <v/>
      </c>
      <c r="BD182" s="258">
        <f>SUM(BD183:BD198)</f>
        <v/>
      </c>
      <c r="BE182" s="75">
        <f>SUM(BE183:BE198)</f>
        <v/>
      </c>
      <c r="BF182" s="76">
        <f>SUM(BF183:BF198)</f>
        <v/>
      </c>
      <c r="BG182" s="258">
        <f>SUM(BG183:BG198)</f>
        <v/>
      </c>
      <c r="BH182" s="75">
        <f>SUM(BH183:BH198)</f>
        <v/>
      </c>
      <c r="BI182" s="76">
        <f>SUM(BI183:BI198)</f>
        <v/>
      </c>
    </row>
    <row r="183" hidden="1" outlineLevel="1" ht="14.7" customFormat="1" customHeight="1" s="498">
      <c r="A183" s="22" t="inlineStr">
        <is>
          <t xml:space="preserve">  -  FGTS</t>
        </is>
      </c>
      <c r="B183" s="488" t="n"/>
      <c r="C183" s="484" t="inlineStr">
        <is>
          <t>Definir com o DP a base de cálculo para todos os impostos sobre Folha.</t>
        </is>
      </c>
      <c r="D183" s="97" t="inlineStr">
        <is>
          <t>Incidencias: salário e gorjeta e adicional noturno</t>
        </is>
      </c>
      <c r="E183" s="98" t="n">
        <v>0.08</v>
      </c>
      <c r="F183" s="41" t="n"/>
      <c r="G183" s="33" t="n"/>
      <c r="H183" s="241" t="n"/>
      <c r="I183" s="27">
        <f>-SUMIFS(T_ORCAMENTOS!$E:$E,T_ORCAMENTOS!$C:$C,"  -  FGTS",T_ORCAMENTOS!$H:$H,"1/2026")</f>
        <v/>
      </c>
      <c r="J183" s="28">
        <f>SUMIFS(Aut_BlueMe_Sem_Pedido!$J:$J,Aut_BlueMe_Sem_Pedido!$Q:$Q,DRE!H$4,Aut_BlueMe_Sem_Pedido!$H:$H,DRE!$A183)+SUMIFS(Aut_Ajustes_Manuais!$G:$G,Aut_Ajustes_Manuais!$I:$I,DRE!H$4,Aut_Ajustes_Manuais!$F:$F,"  -  FGTS")</f>
        <v/>
      </c>
      <c r="K183" s="241" t="n"/>
      <c r="L183" s="27">
        <f>-SUMIFS(T_ORCAMENTOS!$E:$E,T_ORCAMENTOS!$C:$C,"  -  FGTS",T_ORCAMENTOS!$H:$H,"2/2026")</f>
        <v/>
      </c>
      <c r="M183" s="28">
        <f>SUMIFS(Aut_BlueMe_Sem_Pedido!$J:$J,Aut_BlueMe_Sem_Pedido!$Q:$Q,DRE!K$4,Aut_BlueMe_Sem_Pedido!$H:$H,DRE!$A183)+SUMIFS(Aut_Ajustes_Manuais!$G:$G,Aut_Ajustes_Manuais!$I:$I,DRE!K$4,Aut_Ajustes_Manuais!$F:$F,"  -  FGTS")</f>
        <v/>
      </c>
      <c r="N183" s="241" t="n"/>
      <c r="O183" s="27">
        <f>-SUMIFS(T_ORCAMENTOS!$E:$E,T_ORCAMENTOS!$C:$C,"  -  FGTS",T_ORCAMENTOS!$H:$H,"3/2026")</f>
        <v/>
      </c>
      <c r="P183" s="28">
        <f>SUMIFS(Aut_BlueMe_Sem_Pedido!$J:$J,Aut_BlueMe_Sem_Pedido!$Q:$Q,DRE!N$4,Aut_BlueMe_Sem_Pedido!$H:$H,DRE!$A183)+SUMIFS(Aut_Ajustes_Manuais!$G:$G,Aut_Ajustes_Manuais!$I:$I,DRE!N$4,Aut_Ajustes_Manuais!$F:$F,"  -  FGTS")</f>
        <v/>
      </c>
      <c r="Q183" s="241" t="n"/>
      <c r="R183" s="27">
        <f>-SUMIFS(T_ORCAMENTOS!$E:$E,T_ORCAMENTOS!$C:$C,"  -  FGTS",T_ORCAMENTOS!$H:$H,"4/2026")</f>
        <v/>
      </c>
      <c r="S183" s="28">
        <f>SUMIFS(Aut_BlueMe_Sem_Pedido!$J:$J,Aut_BlueMe_Sem_Pedido!$Q:$Q,DRE!Q$4,Aut_BlueMe_Sem_Pedido!$H:$H,DRE!$A183)+SUMIFS(Aut_Ajustes_Manuais!$G:$G,Aut_Ajustes_Manuais!$I:$I,DRE!Q$4,Aut_Ajustes_Manuais!$F:$F,"  -  FGTS")</f>
        <v/>
      </c>
      <c r="T183" s="241" t="n"/>
      <c r="U183" s="27">
        <f>-SUMIFS(T_ORCAMENTOS!$E:$E,T_ORCAMENTOS!$C:$C,"  -  FGTS",T_ORCAMENTOS!$H:$H,"5/2026")</f>
        <v/>
      </c>
      <c r="V183" s="28">
        <f>SUMIFS(Aut_BlueMe_Sem_Pedido!$J:$J,Aut_BlueMe_Sem_Pedido!$Q:$Q,DRE!T$4,Aut_BlueMe_Sem_Pedido!$H:$H,DRE!$A183)+SUMIFS(Aut_Ajustes_Manuais!$G:$G,Aut_Ajustes_Manuais!$I:$I,DRE!T$4,Aut_Ajustes_Manuais!$F:$F,"  -  FGTS")</f>
        <v/>
      </c>
      <c r="W183" s="241" t="n"/>
      <c r="X183" s="27">
        <f>-SUMIFS(T_ORCAMENTOS!$E:$E,T_ORCAMENTOS!$C:$C,"  -  FGTS",T_ORCAMENTOS!$H:$H,"6/2026")</f>
        <v/>
      </c>
      <c r="Y183" s="28">
        <f>SUMIFS(Aut_BlueMe_Sem_Pedido!$J:$J,Aut_BlueMe_Sem_Pedido!$Q:$Q,DRE!W$4,Aut_BlueMe_Sem_Pedido!$H:$H,DRE!$A183)+SUMIFS(Aut_Ajustes_Manuais!$G:$G,Aut_Ajustes_Manuais!$I:$I,DRE!W$4,Aut_Ajustes_Manuais!$F:$F,"  -  FGTS")</f>
        <v/>
      </c>
      <c r="Z183" s="241" t="n"/>
      <c r="AA183" s="27">
        <f>-SUMIFS(T_ORCAMENTOS!$E:$E,T_ORCAMENTOS!$C:$C,"  -  FGTS",T_ORCAMENTOS!$H:$H,"7/2026")</f>
        <v/>
      </c>
      <c r="AB183" s="28">
        <f>SUMIFS(Aut_BlueMe_Sem_Pedido!$J:$J,Aut_BlueMe_Sem_Pedido!$Q:$Q,DRE!Z$4,Aut_BlueMe_Sem_Pedido!$H:$H,DRE!$A183)+SUMIFS(Aut_Ajustes_Manuais!$G:$G,Aut_Ajustes_Manuais!$I:$I,DRE!Z$4,Aut_Ajustes_Manuais!$F:$F,"  -  FGTS")</f>
        <v/>
      </c>
      <c r="AC183" s="241" t="n"/>
      <c r="AD183" s="27">
        <f>-SUMIFS(T_ORCAMENTOS!$E:$E,T_ORCAMENTOS!$C:$C,"  -  FGTS",T_ORCAMENTOS!$H:$H,"8/2026")</f>
        <v/>
      </c>
      <c r="AE183" s="28">
        <f>SUMIFS(Aut_BlueMe_Sem_Pedido!$J:$J,Aut_BlueMe_Sem_Pedido!$Q:$Q,DRE!AC$4,Aut_BlueMe_Sem_Pedido!$H:$H,DRE!$A183)+SUMIFS(Aut_Ajustes_Manuais!$G:$G,Aut_Ajustes_Manuais!$I:$I,DRE!AC$4,Aut_Ajustes_Manuais!$F:$F,"  -  FGTS")</f>
        <v/>
      </c>
      <c r="AF183" s="241" t="n"/>
      <c r="AG183" s="27">
        <f>-SUMIFS(T_ORCAMENTOS!$E:$E,T_ORCAMENTOS!$C:$C,"  -  FGTS",T_ORCAMENTOS!$H:$H,"9/2026")</f>
        <v/>
      </c>
      <c r="AH183" s="28">
        <f>SUMIFS(Aut_BlueMe_Sem_Pedido!$J:$J,Aut_BlueMe_Sem_Pedido!$Q:$Q,DRE!AF$4,Aut_BlueMe_Sem_Pedido!$H:$H,DRE!$A183)+SUMIFS(Aut_Ajustes_Manuais!$G:$G,Aut_Ajustes_Manuais!$I:$I,DRE!AF$4,Aut_Ajustes_Manuais!$F:$F,"  -  FGTS")</f>
        <v/>
      </c>
      <c r="AI183" s="241" t="n"/>
      <c r="AJ183" s="27">
        <f>-SUMIFS(T_ORCAMENTOS!$E:$E,T_ORCAMENTOS!$C:$C,"  -  FGTS",T_ORCAMENTOS!$H:$H,"10/2026")</f>
        <v/>
      </c>
      <c r="AK183" s="28">
        <f>SUMIFS(Aut_BlueMe_Sem_Pedido!$J:$J,Aut_BlueMe_Sem_Pedido!$Q:$Q,DRE!AI$4,Aut_BlueMe_Sem_Pedido!$H:$H,DRE!$A183)+SUMIFS(Aut_Ajustes_Manuais!$G:$G,Aut_Ajustes_Manuais!$I:$I,DRE!AI$4,Aut_Ajustes_Manuais!$F:$F,"  -  FGTS")</f>
        <v/>
      </c>
      <c r="AL183" s="241" t="n"/>
      <c r="AM183" s="27">
        <f>-SUMIFS(T_ORCAMENTOS!$E:$E,T_ORCAMENTOS!$C:$C,"  -  FGTS",T_ORCAMENTOS!$H:$H,"11/2026")</f>
        <v/>
      </c>
      <c r="AN183" s="28">
        <f>SUMIFS(Aut_BlueMe_Sem_Pedido!$J:$J,Aut_BlueMe_Sem_Pedido!$Q:$Q,DRE!AL$4,Aut_BlueMe_Sem_Pedido!$H:$H,DRE!$A183)+SUMIFS(Aut_Ajustes_Manuais!$G:$G,Aut_Ajustes_Manuais!$I:$I,DRE!AL$4,Aut_Ajustes_Manuais!$F:$F,"  -  FGTS")</f>
        <v/>
      </c>
      <c r="AO183" s="241" t="n"/>
      <c r="AP183" s="27">
        <f>-SUMIFS(T_ORCAMENTOS!$E:$E,T_ORCAMENTOS!$C:$C,"  -  FGTS",T_ORCAMENTOS!$H:$H,"12/2026")</f>
        <v/>
      </c>
      <c r="AQ183" s="28">
        <f>SUMIFS(Aut_BlueMe_Sem_Pedido!$J:$J,Aut_BlueMe_Sem_Pedido!$Q:$Q,DRE!AO$4,Aut_BlueMe_Sem_Pedido!$H:$H,DRE!$A183)+SUMIFS(Aut_Ajustes_Manuais!$G:$G,Aut_Ajustes_Manuais!$I:$I,DRE!AO$4,Aut_Ajustes_Manuais!$F:$F,"  -  FGTS")</f>
        <v/>
      </c>
      <c r="AR183" s="241">
        <f>SUMIFS($H183:$AO183,$H$5:$AO$5,"&lt;"&amp;MONTH(TODAY()),$H$6:$AO$6,"REAL 25")</f>
        <v/>
      </c>
      <c r="AS183" s="27">
        <f>SUMIFS($I183:$AP183,$I$5:$AP$5,"&lt;"&amp;MONTH(TODAY()),$I$6:$AP$6,"ORÇADO ")</f>
        <v/>
      </c>
      <c r="AT183" s="28">
        <f>SUMIFS($J183:$AQ183,$J$5:$AQ$5,"&lt;"&amp;MONTH(TODAY()),$J$6:$AQ$6,"REAL 26")</f>
        <v/>
      </c>
      <c r="AU183" s="241">
        <f>SUM(H183,K183,N183,Q183,T183,W183,Z183,AC183,AF183,AI183,AL183,AO183)</f>
        <v/>
      </c>
      <c r="AV183" s="27">
        <f>SUM(I183,L183,O183,R183,U183,X183,AA183,AD183,AG183,AJ183,AM183,AP183)</f>
        <v/>
      </c>
      <c r="AW183" s="28">
        <f>SUM(J183,M183,P183,S183,V183,Y183,AB183,AE183,AH183,AK183,AN183,AQ183)</f>
        <v/>
      </c>
      <c r="AX183" s="241">
        <f>SUM(H183,K183,N183)</f>
        <v/>
      </c>
      <c r="AY183" s="27">
        <f>SUM(I183,L183,O183)</f>
        <v/>
      </c>
      <c r="AZ183" s="28">
        <f>SUM(J183,M183,P183)</f>
        <v/>
      </c>
      <c r="BA183" s="241">
        <f>SUM(Q183,T183,W183)</f>
        <v/>
      </c>
      <c r="BB183" s="27">
        <f>SUM(R183,U183,X183)</f>
        <v/>
      </c>
      <c r="BC183" s="28">
        <f>SUM(S183,V183,Y183)</f>
        <v/>
      </c>
      <c r="BD183" s="241">
        <f>SUM(Z183,AC183,AF183)</f>
        <v/>
      </c>
      <c r="BE183" s="27">
        <f>SUM(AA183,AD183,AG183)</f>
        <v/>
      </c>
      <c r="BF183" s="28">
        <f>SUM(AB183,AE183,AH183)</f>
        <v/>
      </c>
      <c r="BG183" s="241">
        <f>SUM(AI183,AL183,AO183)</f>
        <v/>
      </c>
      <c r="BH183" s="27">
        <f>SUM(AJ183,AM183,AP183)</f>
        <v/>
      </c>
      <c r="BI183" s="28">
        <f>SUM(AK183,AN183,AQ183)</f>
        <v/>
      </c>
    </row>
    <row r="184" hidden="1" outlineLevel="1" customFormat="1" s="498">
      <c r="A184" s="22" t="inlineStr">
        <is>
          <t xml:space="preserve">  -  INSS Patronal</t>
        </is>
      </c>
      <c r="B184" s="488" t="n"/>
      <c r="C184" s="485" t="n"/>
      <c r="D184" s="97" t="inlineStr">
        <is>
          <t xml:space="preserve">Incidencias: salário e gorjeta </t>
        </is>
      </c>
      <c r="E184" s="98" t="n">
        <v>0.2</v>
      </c>
      <c r="F184" s="41" t="n"/>
      <c r="G184" s="33" t="n"/>
      <c r="H184" s="241" t="n"/>
      <c r="I184" s="27">
        <f>-SUMIFS(T_ORCAMENTOS!$E:$E,T_ORCAMENTOS!$C:$C,"  -  INSS Patronal",T_ORCAMENTOS!$H:$H,"1/2026")</f>
        <v/>
      </c>
      <c r="J184" s="28">
        <f>SUMIFS(Aut_BlueMe_Sem_Pedido!$J:$J,Aut_BlueMe_Sem_Pedido!$Q:$Q,DRE!H$4,Aut_BlueMe_Sem_Pedido!$H:$H,DRE!$A184)+SUMIFS(Aut_Ajustes_Manuais!$G:$G,Aut_Ajustes_Manuais!$I:$I,DRE!H$4,Aut_Ajustes_Manuais!$F:$F,"  -  INSS Patronal")</f>
        <v/>
      </c>
      <c r="K184" s="241" t="n"/>
      <c r="L184" s="27">
        <f>-SUMIFS(T_ORCAMENTOS!$E:$E,T_ORCAMENTOS!$C:$C,"  -  INSS Patronal",T_ORCAMENTOS!$H:$H,"2/2026")</f>
        <v/>
      </c>
      <c r="M184" s="28">
        <f>SUMIFS(Aut_BlueMe_Sem_Pedido!$J:$J,Aut_BlueMe_Sem_Pedido!$Q:$Q,DRE!K$4,Aut_BlueMe_Sem_Pedido!$H:$H,DRE!$A184)+SUMIFS(Aut_Ajustes_Manuais!$G:$G,Aut_Ajustes_Manuais!$I:$I,DRE!K$4,Aut_Ajustes_Manuais!$F:$F,"  -  INSS Patronal")</f>
        <v/>
      </c>
      <c r="N184" s="241" t="n"/>
      <c r="O184" s="27">
        <f>-SUMIFS(T_ORCAMENTOS!$E:$E,T_ORCAMENTOS!$C:$C,"  -  INSS Patronal",T_ORCAMENTOS!$H:$H,"3/2026")</f>
        <v/>
      </c>
      <c r="P184" s="28">
        <f>SUMIFS(Aut_BlueMe_Sem_Pedido!$J:$J,Aut_BlueMe_Sem_Pedido!$Q:$Q,DRE!N$4,Aut_BlueMe_Sem_Pedido!$H:$H,DRE!$A184)+SUMIFS(Aut_Ajustes_Manuais!$G:$G,Aut_Ajustes_Manuais!$I:$I,DRE!N$4,Aut_Ajustes_Manuais!$F:$F,"  -  INSS Patronal")</f>
        <v/>
      </c>
      <c r="Q184" s="241" t="n"/>
      <c r="R184" s="27">
        <f>-SUMIFS(T_ORCAMENTOS!$E:$E,T_ORCAMENTOS!$C:$C,"  -  INSS Patronal",T_ORCAMENTOS!$H:$H,"4/2026")</f>
        <v/>
      </c>
      <c r="S184" s="28">
        <f>SUMIFS(Aut_BlueMe_Sem_Pedido!$J:$J,Aut_BlueMe_Sem_Pedido!$Q:$Q,DRE!Q$4,Aut_BlueMe_Sem_Pedido!$H:$H,DRE!$A184)+SUMIFS(Aut_Ajustes_Manuais!$G:$G,Aut_Ajustes_Manuais!$I:$I,DRE!Q$4,Aut_Ajustes_Manuais!$F:$F,"  -  INSS Patronal")</f>
        <v/>
      </c>
      <c r="T184" s="241" t="n"/>
      <c r="U184" s="27">
        <f>-SUMIFS(T_ORCAMENTOS!$E:$E,T_ORCAMENTOS!$C:$C,"  -  INSS Patronal",T_ORCAMENTOS!$H:$H,"5/2026")</f>
        <v/>
      </c>
      <c r="V184" s="28">
        <f>SUMIFS(Aut_BlueMe_Sem_Pedido!$J:$J,Aut_BlueMe_Sem_Pedido!$Q:$Q,DRE!T$4,Aut_BlueMe_Sem_Pedido!$H:$H,DRE!$A184)+SUMIFS(Aut_Ajustes_Manuais!$G:$G,Aut_Ajustes_Manuais!$I:$I,DRE!T$4,Aut_Ajustes_Manuais!$F:$F,"  -  INSS Patronal")</f>
        <v/>
      </c>
      <c r="W184" s="241" t="n"/>
      <c r="X184" s="27">
        <f>-SUMIFS(T_ORCAMENTOS!$E:$E,T_ORCAMENTOS!$C:$C,"  -  INSS Patronal",T_ORCAMENTOS!$H:$H,"6/2026")</f>
        <v/>
      </c>
      <c r="Y184" s="28">
        <f>SUMIFS(Aut_BlueMe_Sem_Pedido!$J:$J,Aut_BlueMe_Sem_Pedido!$Q:$Q,DRE!W$4,Aut_BlueMe_Sem_Pedido!$H:$H,DRE!$A184)+SUMIFS(Aut_Ajustes_Manuais!$G:$G,Aut_Ajustes_Manuais!$I:$I,DRE!W$4,Aut_Ajustes_Manuais!$F:$F,"  -  INSS Patronal")</f>
        <v/>
      </c>
      <c r="Z184" s="241" t="n"/>
      <c r="AA184" s="27">
        <f>-SUMIFS(T_ORCAMENTOS!$E:$E,T_ORCAMENTOS!$C:$C,"  -  INSS Patronal",T_ORCAMENTOS!$H:$H,"7/2026")</f>
        <v/>
      </c>
      <c r="AB184" s="28">
        <f>SUMIFS(Aut_BlueMe_Sem_Pedido!$J:$J,Aut_BlueMe_Sem_Pedido!$Q:$Q,DRE!Z$4,Aut_BlueMe_Sem_Pedido!$H:$H,DRE!$A184)+SUMIFS(Aut_Ajustes_Manuais!$G:$G,Aut_Ajustes_Manuais!$I:$I,DRE!Z$4,Aut_Ajustes_Manuais!$F:$F,"  -  INSS Patronal")</f>
        <v/>
      </c>
      <c r="AC184" s="241" t="n"/>
      <c r="AD184" s="27">
        <f>-SUMIFS(T_ORCAMENTOS!$E:$E,T_ORCAMENTOS!$C:$C,"  -  INSS Patronal",T_ORCAMENTOS!$H:$H,"8/2026")</f>
        <v/>
      </c>
      <c r="AE184" s="28">
        <f>SUMIFS(Aut_BlueMe_Sem_Pedido!$J:$J,Aut_BlueMe_Sem_Pedido!$Q:$Q,DRE!AC$4,Aut_BlueMe_Sem_Pedido!$H:$H,DRE!$A184)+SUMIFS(Aut_Ajustes_Manuais!$G:$G,Aut_Ajustes_Manuais!$I:$I,DRE!AC$4,Aut_Ajustes_Manuais!$F:$F,"  -  INSS Patronal")</f>
        <v/>
      </c>
      <c r="AF184" s="241" t="n"/>
      <c r="AG184" s="27">
        <f>-SUMIFS(T_ORCAMENTOS!$E:$E,T_ORCAMENTOS!$C:$C,"  -  INSS Patronal",T_ORCAMENTOS!$H:$H,"9/2026")</f>
        <v/>
      </c>
      <c r="AH184" s="28">
        <f>SUMIFS(Aut_BlueMe_Sem_Pedido!$J:$J,Aut_BlueMe_Sem_Pedido!$Q:$Q,DRE!AF$4,Aut_BlueMe_Sem_Pedido!$H:$H,DRE!$A184)+SUMIFS(Aut_Ajustes_Manuais!$G:$G,Aut_Ajustes_Manuais!$I:$I,DRE!AF$4,Aut_Ajustes_Manuais!$F:$F,"  -  INSS Patronal")</f>
        <v/>
      </c>
      <c r="AI184" s="241" t="n"/>
      <c r="AJ184" s="27">
        <f>-SUMIFS(T_ORCAMENTOS!$E:$E,T_ORCAMENTOS!$C:$C,"  -  INSS Patronal",T_ORCAMENTOS!$H:$H,"10/2026")</f>
        <v/>
      </c>
      <c r="AK184" s="28">
        <f>SUMIFS(Aut_BlueMe_Sem_Pedido!$J:$J,Aut_BlueMe_Sem_Pedido!$Q:$Q,DRE!AI$4,Aut_BlueMe_Sem_Pedido!$H:$H,DRE!$A184)+SUMIFS(Aut_Ajustes_Manuais!$G:$G,Aut_Ajustes_Manuais!$I:$I,DRE!AI$4,Aut_Ajustes_Manuais!$F:$F,"  -  INSS Patronal")</f>
        <v/>
      </c>
      <c r="AL184" s="241" t="n"/>
      <c r="AM184" s="27">
        <f>-SUMIFS(T_ORCAMENTOS!$E:$E,T_ORCAMENTOS!$C:$C,"  -  INSS Patronal",T_ORCAMENTOS!$H:$H,"11/2026")</f>
        <v/>
      </c>
      <c r="AN184" s="28">
        <f>SUMIFS(Aut_BlueMe_Sem_Pedido!$J:$J,Aut_BlueMe_Sem_Pedido!$Q:$Q,DRE!AL$4,Aut_BlueMe_Sem_Pedido!$H:$H,DRE!$A184)+SUMIFS(Aut_Ajustes_Manuais!$G:$G,Aut_Ajustes_Manuais!$I:$I,DRE!AL$4,Aut_Ajustes_Manuais!$F:$F,"  -  INSS Patronal")</f>
        <v/>
      </c>
      <c r="AO184" s="241" t="n"/>
      <c r="AP184" s="27">
        <f>-SUMIFS(T_ORCAMENTOS!$E:$E,T_ORCAMENTOS!$C:$C,"  -  INSS Patronal",T_ORCAMENTOS!$H:$H,"12/2026")</f>
        <v/>
      </c>
      <c r="AQ184" s="28">
        <f>SUMIFS(Aut_BlueMe_Sem_Pedido!$J:$J,Aut_BlueMe_Sem_Pedido!$Q:$Q,DRE!AO$4,Aut_BlueMe_Sem_Pedido!$H:$H,DRE!$A184)+SUMIFS(Aut_Ajustes_Manuais!$G:$G,Aut_Ajustes_Manuais!$I:$I,DRE!AO$4,Aut_Ajustes_Manuais!$F:$F,"  -  INSS Patronal")</f>
        <v/>
      </c>
      <c r="AR184" s="241">
        <f>SUMIFS($H184:$AO184,$H$5:$AO$5,"&lt;"&amp;MONTH(TODAY()),$H$6:$AO$6,"REAL 25")</f>
        <v/>
      </c>
      <c r="AS184" s="27">
        <f>SUMIFS($I184:$AP184,$I$5:$AP$5,"&lt;"&amp;MONTH(TODAY()),$I$6:$AP$6,"ORÇADO ")</f>
        <v/>
      </c>
      <c r="AT184" s="28">
        <f>SUMIFS($J184:$AQ184,$J$5:$AQ$5,"&lt;"&amp;MONTH(TODAY()),$J$6:$AQ$6,"REAL 26")</f>
        <v/>
      </c>
      <c r="AU184" s="241">
        <f>SUM(H184,K184,N184,Q184,T184,W184,Z184,AC184,AF184,AI184,AL184,AO184)</f>
        <v/>
      </c>
      <c r="AV184" s="27">
        <f>SUM(I184,L184,O184,R184,U184,X184,AA184,AD184,AG184,AJ184,AM184,AP184)</f>
        <v/>
      </c>
      <c r="AW184" s="28">
        <f>SUM(J184,M184,P184,S184,V184,Y184,AB184,AE184,AH184,AK184,AN184,AQ184)</f>
        <v/>
      </c>
      <c r="AX184" s="241">
        <f>SUM(H184,K184,N184)</f>
        <v/>
      </c>
      <c r="AY184" s="27">
        <f>SUM(I184,L184,O184)</f>
        <v/>
      </c>
      <c r="AZ184" s="28">
        <f>SUM(J184,M184,P184)</f>
        <v/>
      </c>
      <c r="BA184" s="241">
        <f>SUM(Q184,T184,W184)</f>
        <v/>
      </c>
      <c r="BB184" s="27">
        <f>SUM(R184,U184,X184)</f>
        <v/>
      </c>
      <c r="BC184" s="28">
        <f>SUM(S184,V184,Y184)</f>
        <v/>
      </c>
      <c r="BD184" s="241">
        <f>SUM(Z184,AC184,AF184)</f>
        <v/>
      </c>
      <c r="BE184" s="27">
        <f>SUM(AA184,AD184,AG184)</f>
        <v/>
      </c>
      <c r="BF184" s="28">
        <f>SUM(AB184,AE184,AH184)</f>
        <v/>
      </c>
      <c r="BG184" s="241">
        <f>SUM(AI184,AL184,AO184)</f>
        <v/>
      </c>
      <c r="BH184" s="27">
        <f>SUM(AJ184,AM184,AP184)</f>
        <v/>
      </c>
      <c r="BI184" s="28">
        <f>SUM(AK184,AN184,AQ184)</f>
        <v/>
      </c>
    </row>
    <row r="185" hidden="1" outlineLevel="1" ht="25.2" customFormat="1" customHeight="1" s="498">
      <c r="A185" s="22" t="inlineStr">
        <is>
          <t xml:space="preserve">  -  INSS Segurados</t>
        </is>
      </c>
      <c r="B185" s="488" t="n"/>
      <c r="C185" s="485" t="n"/>
      <c r="D185" s="99" t="inlineStr">
        <is>
          <t>Incidencias: salário e gorjeta / Não entra como Custo  Está dentro do valor bruto de Salário</t>
        </is>
      </c>
      <c r="E185" s="98" t="n">
        <v>0</v>
      </c>
      <c r="F185" s="41" t="n"/>
      <c r="G185" s="33" t="n"/>
      <c r="H185" s="241" t="n"/>
      <c r="I185" s="27">
        <f>-SUMIFS(T_ORCAMENTOS!$E:$E,T_ORCAMENTOS!$C:$C,"  -  INSS Segurados",T_ORCAMENTOS!$H:$H,"1/2026")</f>
        <v/>
      </c>
      <c r="J185" s="28">
        <f>SUMIFS(Aut_BlueMe_Sem_Pedido!$J:$J,Aut_BlueMe_Sem_Pedido!$Q:$Q,DRE!H$4,Aut_BlueMe_Sem_Pedido!$H:$H,DRE!$A185)-SUMIFS(Aut_BlueMe_Sem_Pedido!$J:$J,Aut_BlueMe_Sem_Pedido!$Q:$Q,DRE!H$4,Aut_BlueMe_Sem_Pedido!$H:$H,"  -  INSS Segurados")+SUMIFS(Aut_Ajustes_Manuais!$G:$G,Aut_Ajustes_Manuais!$I:$I,DRE!H$4,Aut_Ajustes_Manuais!$F:$F,"  -  INSS Segurados")</f>
        <v/>
      </c>
      <c r="K185" s="241" t="n"/>
      <c r="L185" s="27">
        <f>-SUMIFS(T_ORCAMENTOS!$E:$E,T_ORCAMENTOS!$C:$C,"  -  INSS Segurados",T_ORCAMENTOS!$H:$H,"2/2026")</f>
        <v/>
      </c>
      <c r="M185" s="28">
        <f>SUMIFS(Aut_BlueMe_Sem_Pedido!$J:$J,Aut_BlueMe_Sem_Pedido!$Q:$Q,DRE!K$4,Aut_BlueMe_Sem_Pedido!$H:$H,DRE!$A185)-SUMIFS(Aut_BlueMe_Sem_Pedido!$J:$J,Aut_BlueMe_Sem_Pedido!$Q:$Q,DRE!K$4,Aut_BlueMe_Sem_Pedido!$H:$H,"  -  INSS Segurados")+SUMIFS(Aut_Ajustes_Manuais!$G:$G,Aut_Ajustes_Manuais!$I:$I,DRE!K$4,Aut_Ajustes_Manuais!$F:$F,"  -  INSS Segurados")</f>
        <v/>
      </c>
      <c r="N185" s="241" t="n"/>
      <c r="O185" s="27">
        <f>-SUMIFS(T_ORCAMENTOS!$E:$E,T_ORCAMENTOS!$C:$C,"  -  INSS Segurados",T_ORCAMENTOS!$H:$H,"3/2026")</f>
        <v/>
      </c>
      <c r="P185" s="28">
        <f>SUMIFS(Aut_BlueMe_Sem_Pedido!$J:$J,Aut_BlueMe_Sem_Pedido!$Q:$Q,DRE!N$4,Aut_BlueMe_Sem_Pedido!$H:$H,DRE!$A185)-SUMIFS(Aut_BlueMe_Sem_Pedido!$J:$J,Aut_BlueMe_Sem_Pedido!$Q:$Q,DRE!N$4,Aut_BlueMe_Sem_Pedido!$H:$H,"  -  INSS Segurados")+SUMIFS(Aut_Ajustes_Manuais!$G:$G,Aut_Ajustes_Manuais!$I:$I,DRE!N$4,Aut_Ajustes_Manuais!$F:$F,"  -  INSS Segurados")</f>
        <v/>
      </c>
      <c r="Q185" s="241" t="n"/>
      <c r="R185" s="27">
        <f>-SUMIFS(T_ORCAMENTOS!$E:$E,T_ORCAMENTOS!$C:$C,"  -  INSS Segurados",T_ORCAMENTOS!$H:$H,"4/2026")</f>
        <v/>
      </c>
      <c r="S185" s="28">
        <f>SUMIFS(Aut_BlueMe_Sem_Pedido!$J:$J,Aut_BlueMe_Sem_Pedido!$Q:$Q,DRE!Q$4,Aut_BlueMe_Sem_Pedido!$H:$H,DRE!$A185)-SUMIFS(Aut_BlueMe_Sem_Pedido!$J:$J,Aut_BlueMe_Sem_Pedido!$Q:$Q,DRE!Q$4,Aut_BlueMe_Sem_Pedido!$H:$H,"  -  INSS Segurados")+SUMIFS(Aut_Ajustes_Manuais!$G:$G,Aut_Ajustes_Manuais!$I:$I,DRE!Q$4,Aut_Ajustes_Manuais!$F:$F,"  -  INSS Segurados")</f>
        <v/>
      </c>
      <c r="T185" s="241" t="n"/>
      <c r="U185" s="27">
        <f>-SUMIFS(T_ORCAMENTOS!$E:$E,T_ORCAMENTOS!$C:$C,"  -  INSS Segurados",T_ORCAMENTOS!$H:$H,"5/2026")</f>
        <v/>
      </c>
      <c r="V185" s="28">
        <f>SUMIFS(Aut_BlueMe_Sem_Pedido!$J:$J,Aut_BlueMe_Sem_Pedido!$Q:$Q,DRE!T$4,Aut_BlueMe_Sem_Pedido!$H:$H,DRE!$A185)-SUMIFS(Aut_BlueMe_Sem_Pedido!$J:$J,Aut_BlueMe_Sem_Pedido!$Q:$Q,DRE!T$4,Aut_BlueMe_Sem_Pedido!$H:$H,"  -  INSS Segurados")+SUMIFS(Aut_Ajustes_Manuais!$G:$G,Aut_Ajustes_Manuais!$I:$I,DRE!T$4,Aut_Ajustes_Manuais!$F:$F,"  -  INSS Segurados")</f>
        <v/>
      </c>
      <c r="W185" s="241" t="n"/>
      <c r="X185" s="27">
        <f>-SUMIFS(T_ORCAMENTOS!$E:$E,T_ORCAMENTOS!$C:$C,"  -  INSS Segurados",T_ORCAMENTOS!$H:$H,"6/2026")</f>
        <v/>
      </c>
      <c r="Y185" s="28">
        <f>SUMIFS(Aut_BlueMe_Sem_Pedido!$J:$J,Aut_BlueMe_Sem_Pedido!$Q:$Q,DRE!W$4,Aut_BlueMe_Sem_Pedido!$H:$H,DRE!$A185)-SUMIFS(Aut_BlueMe_Sem_Pedido!$J:$J,Aut_BlueMe_Sem_Pedido!$Q:$Q,DRE!W$4,Aut_BlueMe_Sem_Pedido!$H:$H,"  -  INSS Segurados")+SUMIFS(Aut_Ajustes_Manuais!$G:$G,Aut_Ajustes_Manuais!$I:$I,DRE!W$4,Aut_Ajustes_Manuais!$F:$F,"  -  INSS Segurados")</f>
        <v/>
      </c>
      <c r="Z185" s="241" t="n"/>
      <c r="AA185" s="27">
        <f>-SUMIFS(T_ORCAMENTOS!$E:$E,T_ORCAMENTOS!$C:$C,"  -  INSS Segurados",T_ORCAMENTOS!$H:$H,"7/2026")</f>
        <v/>
      </c>
      <c r="AB185" s="28">
        <f>SUMIFS(Aut_BlueMe_Sem_Pedido!$J:$J,Aut_BlueMe_Sem_Pedido!$Q:$Q,DRE!Z$4,Aut_BlueMe_Sem_Pedido!$H:$H,DRE!$A185)-SUMIFS(Aut_BlueMe_Sem_Pedido!$J:$J,Aut_BlueMe_Sem_Pedido!$Q:$Q,DRE!Z$4,Aut_BlueMe_Sem_Pedido!$H:$H,"  -  INSS Segurados")+SUMIFS(Aut_Ajustes_Manuais!$G:$G,Aut_Ajustes_Manuais!$I:$I,DRE!Z$4,Aut_Ajustes_Manuais!$F:$F,"  -  INSS Segurados")</f>
        <v/>
      </c>
      <c r="AC185" s="241" t="n"/>
      <c r="AD185" s="27">
        <f>-SUMIFS(T_ORCAMENTOS!$E:$E,T_ORCAMENTOS!$C:$C,"  -  INSS Segurados",T_ORCAMENTOS!$H:$H,"8/2026")</f>
        <v/>
      </c>
      <c r="AE185" s="28">
        <f>SUMIFS(Aut_BlueMe_Sem_Pedido!$J:$J,Aut_BlueMe_Sem_Pedido!$Q:$Q,DRE!AC$4,Aut_BlueMe_Sem_Pedido!$H:$H,DRE!$A185)-SUMIFS(Aut_BlueMe_Sem_Pedido!$J:$J,Aut_BlueMe_Sem_Pedido!$Q:$Q,DRE!AC$4,Aut_BlueMe_Sem_Pedido!$H:$H,"  -  INSS Segurados")+SUMIFS(Aut_Ajustes_Manuais!$G:$G,Aut_Ajustes_Manuais!$I:$I,DRE!AC$4,Aut_Ajustes_Manuais!$F:$F,"  -  INSS Segurados")</f>
        <v/>
      </c>
      <c r="AF185" s="241" t="n"/>
      <c r="AG185" s="27">
        <f>-SUMIFS(T_ORCAMENTOS!$E:$E,T_ORCAMENTOS!$C:$C,"  -  INSS Segurados",T_ORCAMENTOS!$H:$H,"9/2026")</f>
        <v/>
      </c>
      <c r="AH185" s="28">
        <f>SUMIFS(Aut_BlueMe_Sem_Pedido!$J:$J,Aut_BlueMe_Sem_Pedido!$Q:$Q,DRE!AF$4,Aut_BlueMe_Sem_Pedido!$H:$H,DRE!$A185)-SUMIFS(Aut_BlueMe_Sem_Pedido!$J:$J,Aut_BlueMe_Sem_Pedido!$Q:$Q,DRE!AF$4,Aut_BlueMe_Sem_Pedido!$H:$H,"  -  INSS Segurados")+SUMIFS(Aut_Ajustes_Manuais!$G:$G,Aut_Ajustes_Manuais!$I:$I,DRE!AF$4,Aut_Ajustes_Manuais!$F:$F,"  -  INSS Segurados")</f>
        <v/>
      </c>
      <c r="AI185" s="241" t="n"/>
      <c r="AJ185" s="27">
        <f>-SUMIFS(T_ORCAMENTOS!$E:$E,T_ORCAMENTOS!$C:$C,"  -  INSS Segurados",T_ORCAMENTOS!$H:$H,"10/2026")</f>
        <v/>
      </c>
      <c r="AK185" s="28">
        <f>SUMIFS(Aut_BlueMe_Sem_Pedido!$J:$J,Aut_BlueMe_Sem_Pedido!$Q:$Q,DRE!AI$4,Aut_BlueMe_Sem_Pedido!$H:$H,DRE!$A185)-SUMIFS(Aut_BlueMe_Sem_Pedido!$J:$J,Aut_BlueMe_Sem_Pedido!$Q:$Q,DRE!AI$4,Aut_BlueMe_Sem_Pedido!$H:$H,"  -  INSS Segurados")+SUMIFS(Aut_Ajustes_Manuais!$G:$G,Aut_Ajustes_Manuais!$I:$I,DRE!AI$4,Aut_Ajustes_Manuais!$F:$F,"  -  INSS Segurados")</f>
        <v/>
      </c>
      <c r="AL185" s="241" t="n"/>
      <c r="AM185" s="27">
        <f>-SUMIFS(T_ORCAMENTOS!$E:$E,T_ORCAMENTOS!$C:$C,"  -  INSS Segurados",T_ORCAMENTOS!$H:$H,"11/2026")</f>
        <v/>
      </c>
      <c r="AN185" s="28">
        <f>SUMIFS(Aut_BlueMe_Sem_Pedido!$J:$J,Aut_BlueMe_Sem_Pedido!$Q:$Q,DRE!AL$4,Aut_BlueMe_Sem_Pedido!$H:$H,DRE!$A185)-SUMIFS(Aut_BlueMe_Sem_Pedido!$J:$J,Aut_BlueMe_Sem_Pedido!$Q:$Q,DRE!AL$4,Aut_BlueMe_Sem_Pedido!$H:$H,"  -  INSS Segurados")+SUMIFS(Aut_Ajustes_Manuais!$G:$G,Aut_Ajustes_Manuais!$I:$I,DRE!AL$4,Aut_Ajustes_Manuais!$F:$F,"  -  INSS Segurados")</f>
        <v/>
      </c>
      <c r="AO185" s="241" t="n"/>
      <c r="AP185" s="27">
        <f>-SUMIFS(T_ORCAMENTOS!$E:$E,T_ORCAMENTOS!$C:$C,"  -  INSS Segurados",T_ORCAMENTOS!$H:$H,"12/2026")</f>
        <v/>
      </c>
      <c r="AQ185" s="28">
        <f>SUMIFS(Aut_BlueMe_Sem_Pedido!$J:$J,Aut_BlueMe_Sem_Pedido!$Q:$Q,DRE!AO$4,Aut_BlueMe_Sem_Pedido!$H:$H,DRE!$A185)-SUMIFS(Aut_BlueMe_Sem_Pedido!$J:$J,Aut_BlueMe_Sem_Pedido!$Q:$Q,DRE!AO$4,Aut_BlueMe_Sem_Pedido!$H:$H,"  -  INSS Segurados")+SUMIFS(Aut_Ajustes_Manuais!$G:$G,Aut_Ajustes_Manuais!$I:$I,DRE!AO$4,Aut_Ajustes_Manuais!$F:$F,"  -  INSS Segurados")</f>
        <v/>
      </c>
      <c r="AR185" s="241">
        <f>SUMIFS($H185:$AO185,$H$5:$AO$5,"&lt;"&amp;MONTH(TODAY()),$H$6:$AO$6,"REAL 25")</f>
        <v/>
      </c>
      <c r="AS185" s="27">
        <f>SUMIFS($I185:$AP185,$I$5:$AP$5,"&lt;"&amp;MONTH(TODAY()),$I$6:$AP$6,"ORÇADO ")</f>
        <v/>
      </c>
      <c r="AT185" s="28">
        <f>SUMIFS($J185:$AQ185,$J$5:$AQ$5,"&lt;"&amp;MONTH(TODAY()),$J$6:$AQ$6,"REAL 26")</f>
        <v/>
      </c>
      <c r="AU185" s="241">
        <f>SUM(H185,K185,N185,Q185,T185,W185,Z185,AC185,AF185,AI185,AL185,AO185)</f>
        <v/>
      </c>
      <c r="AV185" s="27">
        <f>SUM(I185,L185,O185,R185,U185,X185,AA185,AD185,AG185,AJ185,AM185,AP185)</f>
        <v/>
      </c>
      <c r="AW185" s="28">
        <f>SUM(J185,M185,P185,S185,V185,Y185,AB185,AE185,AH185,AK185,AN185,AQ185)</f>
        <v/>
      </c>
      <c r="AX185" s="241">
        <f>SUM(H185,K185,N185)</f>
        <v/>
      </c>
      <c r="AY185" s="27">
        <f>SUM(I185,L185,O185)</f>
        <v/>
      </c>
      <c r="AZ185" s="28">
        <f>SUM(J185,M185,P185)</f>
        <v/>
      </c>
      <c r="BA185" s="241">
        <f>SUM(Q185,T185,W185)</f>
        <v/>
      </c>
      <c r="BB185" s="27">
        <f>SUM(R185,U185,X185)</f>
        <v/>
      </c>
      <c r="BC185" s="28">
        <f>SUM(S185,V185,Y185)</f>
        <v/>
      </c>
      <c r="BD185" s="241">
        <f>SUM(Z185,AC185,AF185)</f>
        <v/>
      </c>
      <c r="BE185" s="27">
        <f>SUM(AA185,AD185,AG185)</f>
        <v/>
      </c>
      <c r="BF185" s="28">
        <f>SUM(AB185,AE185,AH185)</f>
        <v/>
      </c>
      <c r="BG185" s="241">
        <f>SUM(AI185,AL185,AO185)</f>
        <v/>
      </c>
      <c r="BH185" s="27">
        <f>SUM(AJ185,AM185,AP185)</f>
        <v/>
      </c>
      <c r="BI185" s="28">
        <f>SUM(AK185,AN185,AQ185)</f>
        <v/>
      </c>
    </row>
    <row r="186" hidden="1" outlineLevel="1" customFormat="1" s="498">
      <c r="A186" s="22" t="inlineStr">
        <is>
          <t xml:space="preserve">  -  13º Salário</t>
        </is>
      </c>
      <c r="B186" s="488" t="n"/>
      <c r="C186" s="485" t="n"/>
      <c r="D186" s="97" t="inlineStr">
        <is>
          <t>Salário dividido por 12 x</t>
        </is>
      </c>
      <c r="E186" s="98" t="n">
        <v>0.0833</v>
      </c>
      <c r="F186" s="41" t="n"/>
      <c r="G186" s="33" t="n"/>
      <c r="H186" s="241" t="n"/>
      <c r="I186" s="27">
        <f>-SUMIFS(T_ORCAMENTOS!$E:$E,T_ORCAMENTOS!$C:$C,"  -  13º Salário",T_ORCAMENTOS!$H:$H,"1/2026")</f>
        <v/>
      </c>
      <c r="J186" s="28">
        <f>((J120+J89)/12)*$E$186+SUMIFS(Aut_Ajustes_Manuais!$G:$G,Aut_Ajustes_Manuais!$I:$I,DRE!H$4,Aut_Ajustes_Manuais!$F:$F,"  -  13º Salário")</f>
        <v/>
      </c>
      <c r="K186" s="241" t="n"/>
      <c r="L186" s="27">
        <f>-SUMIFS(T_ORCAMENTOS!$E:$E,T_ORCAMENTOS!$C:$C,"  -  13º Salário",T_ORCAMENTOS!$H:$H,"2/2026")</f>
        <v/>
      </c>
      <c r="M186" s="28">
        <f>((M120+M89)/12)*$E$186+SUMIFS(Aut_Ajustes_Manuais!$G:$G,Aut_Ajustes_Manuais!$I:$I,DRE!K$4,Aut_Ajustes_Manuais!$F:$F,"  -  13º Salário")</f>
        <v/>
      </c>
      <c r="N186" s="241" t="n"/>
      <c r="O186" s="27">
        <f>-SUMIFS(T_ORCAMENTOS!$E:$E,T_ORCAMENTOS!$C:$C,"  -  13º Salário",T_ORCAMENTOS!$H:$H,"3/2026")</f>
        <v/>
      </c>
      <c r="P186" s="28">
        <f>((P120+P89)/12)*$E$186+SUMIFS(Aut_Ajustes_Manuais!$G:$G,Aut_Ajustes_Manuais!$I:$I,DRE!N$4,Aut_Ajustes_Manuais!$F:$F,"  -  13º Salário")</f>
        <v/>
      </c>
      <c r="Q186" s="241" t="n"/>
      <c r="R186" s="27">
        <f>-SUMIFS(T_ORCAMENTOS!$E:$E,T_ORCAMENTOS!$C:$C,"  -  13º Salário",T_ORCAMENTOS!$H:$H,"4/2026")</f>
        <v/>
      </c>
      <c r="S186" s="28">
        <f>((S120+S89)/12)*$E$186+SUMIFS(Aut_Ajustes_Manuais!$G:$G,Aut_Ajustes_Manuais!$I:$I,DRE!Q$4,Aut_Ajustes_Manuais!$F:$F,"  -  13º Salário")</f>
        <v/>
      </c>
      <c r="T186" s="241" t="n"/>
      <c r="U186" s="27">
        <f>-SUMIFS(T_ORCAMENTOS!$E:$E,T_ORCAMENTOS!$C:$C,"  -  13º Salário",T_ORCAMENTOS!$H:$H,"5/2026")</f>
        <v/>
      </c>
      <c r="V186" s="28">
        <f>((V120+V89)/12)*$E$186+SUMIFS(Aut_Ajustes_Manuais!$G:$G,Aut_Ajustes_Manuais!$I:$I,DRE!T$4,Aut_Ajustes_Manuais!$F:$F,"  -  13º Salário")</f>
        <v/>
      </c>
      <c r="W186" s="241" t="n"/>
      <c r="X186" s="27">
        <f>-SUMIFS(T_ORCAMENTOS!$E:$E,T_ORCAMENTOS!$C:$C,"  -  13º Salário",T_ORCAMENTOS!$H:$H,"6/2026")</f>
        <v/>
      </c>
      <c r="Y186" s="28">
        <f>((Y120+Y89)/12)*$E$186+SUMIFS(Aut_Ajustes_Manuais!$G:$G,Aut_Ajustes_Manuais!$I:$I,DRE!W$4,Aut_Ajustes_Manuais!$F:$F,"  -  13º Salário")</f>
        <v/>
      </c>
      <c r="Z186" s="241" t="n"/>
      <c r="AA186" s="27">
        <f>-SUMIFS(T_ORCAMENTOS!$E:$E,T_ORCAMENTOS!$C:$C,"  -  13º Salário",T_ORCAMENTOS!$H:$H,"7/2026")</f>
        <v/>
      </c>
      <c r="AB186" s="28">
        <f>((AB120+AB89)/12)*$E$186+SUMIFS(Aut_Ajustes_Manuais!$G:$G,Aut_Ajustes_Manuais!$I:$I,DRE!Z$4,Aut_Ajustes_Manuais!$F:$F,"  -  13º Salário")</f>
        <v/>
      </c>
      <c r="AC186" s="241" t="n"/>
      <c r="AD186" s="27">
        <f>-SUMIFS(T_ORCAMENTOS!$E:$E,T_ORCAMENTOS!$C:$C,"  -  13º Salário",T_ORCAMENTOS!$H:$H,"8/2026")</f>
        <v/>
      </c>
      <c r="AE186" s="28">
        <f>((AE120+AE89)/12)*$E$186+SUMIFS(Aut_Ajustes_Manuais!$G:$G,Aut_Ajustes_Manuais!$I:$I,DRE!AC$4,Aut_Ajustes_Manuais!$F:$F,"  -  13º Salário")</f>
        <v/>
      </c>
      <c r="AF186" s="241" t="n"/>
      <c r="AG186" s="27">
        <f>-SUMIFS(T_ORCAMENTOS!$E:$E,T_ORCAMENTOS!$C:$C,"  -  13º Salário",T_ORCAMENTOS!$H:$H,"9/2026")</f>
        <v/>
      </c>
      <c r="AH186" s="28">
        <f>((AH120+AH89)/12)*$E$186+SUMIFS(Aut_Ajustes_Manuais!$G:$G,Aut_Ajustes_Manuais!$I:$I,DRE!AF$4,Aut_Ajustes_Manuais!$F:$F,"  -  13º Salário")</f>
        <v/>
      </c>
      <c r="AI186" s="241" t="n"/>
      <c r="AJ186" s="27">
        <f>-SUMIFS(T_ORCAMENTOS!$E:$E,T_ORCAMENTOS!$C:$C,"  -  13º Salário",T_ORCAMENTOS!$H:$H,"10/2026")</f>
        <v/>
      </c>
      <c r="AK186" s="28">
        <f>((AK120+AK89)/12)*$E$186+SUMIFS(Aut_Ajustes_Manuais!$G:$G,Aut_Ajustes_Manuais!$I:$I,DRE!AI$4,Aut_Ajustes_Manuais!$F:$F,"  -  13º Salário")</f>
        <v/>
      </c>
      <c r="AL186" s="241" t="n"/>
      <c r="AM186" s="27">
        <f>-SUMIFS(T_ORCAMENTOS!$E:$E,T_ORCAMENTOS!$C:$C,"  -  13º Salário",T_ORCAMENTOS!$H:$H,"11/2026")</f>
        <v/>
      </c>
      <c r="AN186" s="28">
        <f>((AN120+AN89)/12)*$E$186+SUMIFS(Aut_Ajustes_Manuais!$G:$G,Aut_Ajustes_Manuais!$I:$I,DRE!AL$4,Aut_Ajustes_Manuais!$F:$F,"  -  13º Salário")</f>
        <v/>
      </c>
      <c r="AO186" s="241" t="n"/>
      <c r="AP186" s="27">
        <f>-SUMIFS(T_ORCAMENTOS!$E:$E,T_ORCAMENTOS!$C:$C,"  -  13º Salário",T_ORCAMENTOS!$H:$H,"12/2026")</f>
        <v/>
      </c>
      <c r="AQ186" s="28">
        <f>((AQ120+AQ89)/12)*$E$186+SUMIFS(Aut_Ajustes_Manuais!$G:$G,Aut_Ajustes_Manuais!$I:$I,DRE!AO$4,Aut_Ajustes_Manuais!$F:$F,"  -  13º Salário")</f>
        <v/>
      </c>
      <c r="AR186" s="241">
        <f>SUMIFS($H186:$AO186,$H$5:$AO$5,"&lt;"&amp;MONTH(TODAY()),$H$6:$AO$6,"REAL 25")</f>
        <v/>
      </c>
      <c r="AS186" s="27">
        <f>SUMIFS($I186:$AP186,$I$5:$AP$5,"&lt;"&amp;MONTH(TODAY()),$I$6:$AP$6,"ORÇADO ")</f>
        <v/>
      </c>
      <c r="AT186" s="28">
        <f>SUMIFS($J186:$AQ186,$J$5:$AQ$5,"&lt;"&amp;MONTH(TODAY()),$J$6:$AQ$6,"REAL 26")</f>
        <v/>
      </c>
      <c r="AU186" s="241">
        <f>SUM(H186,K186,N186,Q186,T186,W186,Z186,AC186,AF186,AI186,AL186,AO186)</f>
        <v/>
      </c>
      <c r="AV186" s="27">
        <f>SUM(I186,L186,O186,R186,U186,X186,AA186,AD186,AG186,AJ186,AM186,AP186)</f>
        <v/>
      </c>
      <c r="AW186" s="28">
        <f>SUM(J186,M186,P186,S186,V186,Y186,AB186,AE186,AH186,AK186,AN186,AQ186)</f>
        <v/>
      </c>
      <c r="AX186" s="241">
        <f>SUM(H186,K186,N186)</f>
        <v/>
      </c>
      <c r="AY186" s="27">
        <f>SUM(I186,L186,O186)</f>
        <v/>
      </c>
      <c r="AZ186" s="28">
        <f>SUM(J186,M186,P186)</f>
        <v/>
      </c>
      <c r="BA186" s="241">
        <f>SUM(Q186,T186,W186)</f>
        <v/>
      </c>
      <c r="BB186" s="27">
        <f>SUM(R186,U186,X186)</f>
        <v/>
      </c>
      <c r="BC186" s="28">
        <f>SUM(S186,V186,Y186)</f>
        <v/>
      </c>
      <c r="BD186" s="241">
        <f>SUM(Z186,AC186,AF186)</f>
        <v/>
      </c>
      <c r="BE186" s="27">
        <f>SUM(AA186,AD186,AG186)</f>
        <v/>
      </c>
      <c r="BF186" s="28">
        <f>SUM(AB186,AE186,AH186)</f>
        <v/>
      </c>
      <c r="BG186" s="241">
        <f>SUM(AI186,AL186,AO186)</f>
        <v/>
      </c>
      <c r="BH186" s="27">
        <f>SUM(AJ186,AM186,AP186)</f>
        <v/>
      </c>
      <c r="BI186" s="28">
        <f>SUM(AK186,AN186,AQ186)</f>
        <v/>
      </c>
    </row>
    <row r="187" hidden="1" outlineLevel="1" ht="25.2" customFormat="1" customHeight="1" s="498">
      <c r="A187" s="22" t="inlineStr">
        <is>
          <t xml:space="preserve">  -  Férias</t>
        </is>
      </c>
      <c r="B187" s="488" t="n"/>
      <c r="C187" s="485" t="n"/>
      <c r="D187" s="99" t="inlineStr">
        <is>
          <t>Férias (salário + média de gorjeta) + 1/3 - Salário está no salário, consideramos 1/3 aqui</t>
        </is>
      </c>
      <c r="E187" s="97" t="n"/>
      <c r="F187" s="41" t="n"/>
      <c r="G187" s="33" t="n"/>
      <c r="H187" s="241" t="n"/>
      <c r="I187" s="27">
        <f>-SUMIFS(T_ORCAMENTOS!$E:$E,T_ORCAMENTOS!$C:$C,"  -  Férias",T_ORCAMENTOS!$H:$H,"1/2026")</f>
        <v/>
      </c>
      <c r="J187" s="28">
        <f>SUMIFS(Aut_BlueMe_Sem_Pedido!$J:$J,Aut_BlueMe_Sem_Pedido!$Q:$Q,DRE!H$4,Aut_BlueMe_Sem_Pedido!$H:$H,DRE!$A187)+SUMIFS(Aut_Ajustes_Manuais!$G:$G,Aut_Ajustes_Manuais!$I:$I,DRE!H$4,Aut_Ajustes_Manuais!$F:$F,"  -  Férias")</f>
        <v/>
      </c>
      <c r="K187" s="241" t="n"/>
      <c r="L187" s="27">
        <f>-SUMIFS(T_ORCAMENTOS!$E:$E,T_ORCAMENTOS!$C:$C,"  -  Férias",T_ORCAMENTOS!$H:$H,"2/2026")</f>
        <v/>
      </c>
      <c r="M187" s="28">
        <f>SUMIFS(Aut_BlueMe_Sem_Pedido!$J:$J,Aut_BlueMe_Sem_Pedido!$Q:$Q,DRE!K$4,Aut_BlueMe_Sem_Pedido!$H:$H,DRE!$A187)+SUMIFS(Aut_Ajustes_Manuais!$G:$G,Aut_Ajustes_Manuais!$I:$I,DRE!K$4,Aut_Ajustes_Manuais!$F:$F,"  -  Férias")</f>
        <v/>
      </c>
      <c r="N187" s="241" t="n"/>
      <c r="O187" s="27">
        <f>-SUMIFS(T_ORCAMENTOS!$E:$E,T_ORCAMENTOS!$C:$C,"  -  Férias",T_ORCAMENTOS!$H:$H,"3/2026")</f>
        <v/>
      </c>
      <c r="P187" s="28">
        <f>SUMIFS(Aut_BlueMe_Sem_Pedido!$J:$J,Aut_BlueMe_Sem_Pedido!$Q:$Q,DRE!N$4,Aut_BlueMe_Sem_Pedido!$H:$H,DRE!$A187)+SUMIFS(Aut_Ajustes_Manuais!$G:$G,Aut_Ajustes_Manuais!$I:$I,DRE!N$4,Aut_Ajustes_Manuais!$F:$F,"  -  Férias")</f>
        <v/>
      </c>
      <c r="Q187" s="241" t="n"/>
      <c r="R187" s="27">
        <f>-SUMIFS(T_ORCAMENTOS!$E:$E,T_ORCAMENTOS!$C:$C,"  -  Férias",T_ORCAMENTOS!$H:$H,"4/2026")</f>
        <v/>
      </c>
      <c r="S187" s="28">
        <f>SUMIFS(Aut_BlueMe_Sem_Pedido!$J:$J,Aut_BlueMe_Sem_Pedido!$Q:$Q,DRE!Q$4,Aut_BlueMe_Sem_Pedido!$H:$H,DRE!$A187)+SUMIFS(Aut_Ajustes_Manuais!$G:$G,Aut_Ajustes_Manuais!$I:$I,DRE!Q$4,Aut_Ajustes_Manuais!$F:$F,"  -  Férias")</f>
        <v/>
      </c>
      <c r="T187" s="241" t="n"/>
      <c r="U187" s="27">
        <f>-SUMIFS(T_ORCAMENTOS!$E:$E,T_ORCAMENTOS!$C:$C,"  -  Férias",T_ORCAMENTOS!$H:$H,"5/2026")</f>
        <v/>
      </c>
      <c r="V187" s="28">
        <f>SUMIFS(Aut_BlueMe_Sem_Pedido!$J:$J,Aut_BlueMe_Sem_Pedido!$Q:$Q,DRE!T$4,Aut_BlueMe_Sem_Pedido!$H:$H,DRE!$A187)+SUMIFS(Aut_Ajustes_Manuais!$G:$G,Aut_Ajustes_Manuais!$I:$I,DRE!T$4,Aut_Ajustes_Manuais!$F:$F,"  -  Férias")</f>
        <v/>
      </c>
      <c r="W187" s="241" t="n"/>
      <c r="X187" s="27">
        <f>-SUMIFS(T_ORCAMENTOS!$E:$E,T_ORCAMENTOS!$C:$C,"  -  Férias",T_ORCAMENTOS!$H:$H,"6/2026")</f>
        <v/>
      </c>
      <c r="Y187" s="28">
        <f>SUMIFS(Aut_BlueMe_Sem_Pedido!$J:$J,Aut_BlueMe_Sem_Pedido!$Q:$Q,DRE!W$4,Aut_BlueMe_Sem_Pedido!$H:$H,DRE!$A187)+SUMIFS(Aut_Ajustes_Manuais!$G:$G,Aut_Ajustes_Manuais!$I:$I,DRE!W$4,Aut_Ajustes_Manuais!$F:$F,"  -  Férias")</f>
        <v/>
      </c>
      <c r="Z187" s="241" t="n"/>
      <c r="AA187" s="27">
        <f>-SUMIFS(T_ORCAMENTOS!$E:$E,T_ORCAMENTOS!$C:$C,"  -  Férias",T_ORCAMENTOS!$H:$H,"7/2026")</f>
        <v/>
      </c>
      <c r="AB187" s="28">
        <f>SUMIFS(Aut_BlueMe_Sem_Pedido!$J:$J,Aut_BlueMe_Sem_Pedido!$Q:$Q,DRE!Z$4,Aut_BlueMe_Sem_Pedido!$H:$H,DRE!$A187)+SUMIFS(Aut_Ajustes_Manuais!$G:$G,Aut_Ajustes_Manuais!$I:$I,DRE!Z$4,Aut_Ajustes_Manuais!$F:$F,"  -  Férias")</f>
        <v/>
      </c>
      <c r="AC187" s="241" t="n"/>
      <c r="AD187" s="27">
        <f>-SUMIFS(T_ORCAMENTOS!$E:$E,T_ORCAMENTOS!$C:$C,"  -  Férias",T_ORCAMENTOS!$H:$H,"8/2026")</f>
        <v/>
      </c>
      <c r="AE187" s="28">
        <f>SUMIFS(Aut_BlueMe_Sem_Pedido!$J:$J,Aut_BlueMe_Sem_Pedido!$Q:$Q,DRE!AC$4,Aut_BlueMe_Sem_Pedido!$H:$H,DRE!$A187)+SUMIFS(Aut_Ajustes_Manuais!$G:$G,Aut_Ajustes_Manuais!$I:$I,DRE!AC$4,Aut_Ajustes_Manuais!$F:$F,"  -  Férias")</f>
        <v/>
      </c>
      <c r="AF187" s="241" t="n"/>
      <c r="AG187" s="27">
        <f>-SUMIFS(T_ORCAMENTOS!$E:$E,T_ORCAMENTOS!$C:$C,"  -  Férias",T_ORCAMENTOS!$H:$H,"9/2026")</f>
        <v/>
      </c>
      <c r="AH187" s="28">
        <f>SUMIFS(Aut_BlueMe_Sem_Pedido!$J:$J,Aut_BlueMe_Sem_Pedido!$Q:$Q,DRE!AF$4,Aut_BlueMe_Sem_Pedido!$H:$H,DRE!$A187)+SUMIFS(Aut_Ajustes_Manuais!$G:$G,Aut_Ajustes_Manuais!$I:$I,DRE!AF$4,Aut_Ajustes_Manuais!$F:$F,"  -  Férias")</f>
        <v/>
      </c>
      <c r="AI187" s="241" t="n"/>
      <c r="AJ187" s="27">
        <f>-SUMIFS(T_ORCAMENTOS!$E:$E,T_ORCAMENTOS!$C:$C,"  -  Férias",T_ORCAMENTOS!$H:$H,"10/2026")</f>
        <v/>
      </c>
      <c r="AK187" s="28">
        <f>SUMIFS(Aut_BlueMe_Sem_Pedido!$J:$J,Aut_BlueMe_Sem_Pedido!$Q:$Q,DRE!AI$4,Aut_BlueMe_Sem_Pedido!$H:$H,DRE!$A187)+SUMIFS(Aut_Ajustes_Manuais!$G:$G,Aut_Ajustes_Manuais!$I:$I,DRE!AI$4,Aut_Ajustes_Manuais!$F:$F,"  -  Férias")</f>
        <v/>
      </c>
      <c r="AL187" s="241" t="n"/>
      <c r="AM187" s="27">
        <f>-SUMIFS(T_ORCAMENTOS!$E:$E,T_ORCAMENTOS!$C:$C,"  -  Férias",T_ORCAMENTOS!$H:$H,"11/2026")</f>
        <v/>
      </c>
      <c r="AN187" s="28">
        <f>SUMIFS(Aut_BlueMe_Sem_Pedido!$J:$J,Aut_BlueMe_Sem_Pedido!$Q:$Q,DRE!AL$4,Aut_BlueMe_Sem_Pedido!$H:$H,DRE!$A187)+SUMIFS(Aut_Ajustes_Manuais!$G:$G,Aut_Ajustes_Manuais!$I:$I,DRE!AL$4,Aut_Ajustes_Manuais!$F:$F,"  -  Férias")</f>
        <v/>
      </c>
      <c r="AO187" s="241" t="n"/>
      <c r="AP187" s="27">
        <f>-SUMIFS(T_ORCAMENTOS!$E:$E,T_ORCAMENTOS!$C:$C,"  -  Férias",T_ORCAMENTOS!$H:$H,"12/2026")</f>
        <v/>
      </c>
      <c r="AQ187" s="28">
        <f>SUMIFS(Aut_BlueMe_Sem_Pedido!$J:$J,Aut_BlueMe_Sem_Pedido!$Q:$Q,DRE!AO$4,Aut_BlueMe_Sem_Pedido!$H:$H,DRE!$A187)+SUMIFS(Aut_Ajustes_Manuais!$G:$G,Aut_Ajustes_Manuais!$I:$I,DRE!AO$4,Aut_Ajustes_Manuais!$F:$F,"  -  Férias")</f>
        <v/>
      </c>
      <c r="AR187" s="241">
        <f>SUMIFS($H187:$AO187,$H$5:$AO$5,"&lt;"&amp;MONTH(TODAY()),$H$6:$AO$6,"REAL 25")</f>
        <v/>
      </c>
      <c r="AS187" s="27">
        <f>SUMIFS($I187:$AP187,$I$5:$AP$5,"&lt;"&amp;MONTH(TODAY()),$I$6:$AP$6,"ORÇADO ")</f>
        <v/>
      </c>
      <c r="AT187" s="28">
        <f>SUMIFS($J187:$AQ187,$J$5:$AQ$5,"&lt;"&amp;MONTH(TODAY()),$J$6:$AQ$6,"REAL 26")</f>
        <v/>
      </c>
      <c r="AU187" s="241">
        <f>SUM(H187,K187,N187,Q187,T187,W187,Z187,AC187,AF187,AI187,AL187,AO187)</f>
        <v/>
      </c>
      <c r="AV187" s="27">
        <f>SUM(I187,L187,O187,R187,U187,X187,AA187,AD187,AG187,AJ187,AM187,AP187)</f>
        <v/>
      </c>
      <c r="AW187" s="28">
        <f>SUM(J187,M187,P187,S187,V187,Y187,AB187,AE187,AH187,AK187,AN187,AQ187)</f>
        <v/>
      </c>
      <c r="AX187" s="241">
        <f>SUM(H187,K187,N187)</f>
        <v/>
      </c>
      <c r="AY187" s="27">
        <f>SUM(I187,L187,O187)</f>
        <v/>
      </c>
      <c r="AZ187" s="28">
        <f>SUM(J187,M187,P187)</f>
        <v/>
      </c>
      <c r="BA187" s="241">
        <f>SUM(Q187,T187,W187)</f>
        <v/>
      </c>
      <c r="BB187" s="27">
        <f>SUM(R187,U187,X187)</f>
        <v/>
      </c>
      <c r="BC187" s="28">
        <f>SUM(S187,V187,Y187)</f>
        <v/>
      </c>
      <c r="BD187" s="241">
        <f>SUM(Z187,AC187,AF187)</f>
        <v/>
      </c>
      <c r="BE187" s="27">
        <f>SUM(AA187,AD187,AG187)</f>
        <v/>
      </c>
      <c r="BF187" s="28">
        <f>SUM(AB187,AE187,AH187)</f>
        <v/>
      </c>
      <c r="BG187" s="241">
        <f>SUM(AI187,AL187,AO187)</f>
        <v/>
      </c>
      <c r="BH187" s="27">
        <f>SUM(AJ187,AM187,AP187)</f>
        <v/>
      </c>
      <c r="BI187" s="28">
        <f>SUM(AK187,AN187,AQ187)</f>
        <v/>
      </c>
    </row>
    <row r="188" hidden="1" outlineLevel="1" customFormat="1" s="498">
      <c r="A188" s="22" t="inlineStr">
        <is>
          <t xml:space="preserve">  -  FGTS sobre 13º Salários</t>
        </is>
      </c>
      <c r="B188" s="488" t="n"/>
      <c r="C188" s="485" t="n"/>
      <c r="D188" s="97" t="inlineStr">
        <is>
          <t>FGTS s/ 13º</t>
        </is>
      </c>
      <c r="E188" s="98" t="n">
        <v>0.0067</v>
      </c>
      <c r="F188" s="41" t="n"/>
      <c r="G188" s="33" t="n"/>
      <c r="H188" s="241" t="n"/>
      <c r="I188" s="27">
        <f>-SUMIFS(T_ORCAMENTOS!$E:$E,T_ORCAMENTOS!$C:$C,"  -  FGTS sobre 13º Salários",T_ORCAMENTOS!$H:$H,"1/2026")</f>
        <v/>
      </c>
      <c r="J188" s="28">
        <f>J186*$E$188+SUMIFS(Aut_Ajustes_Manuais!$G:$G,Aut_Ajustes_Manuais!$I:$I,DRE!H$4,Aut_Ajustes_Manuais!$F:$F,"  -  FGTS sobre 13º Salários")</f>
        <v/>
      </c>
      <c r="K188" s="241" t="n"/>
      <c r="L188" s="27">
        <f>-SUMIFS(T_ORCAMENTOS!$E:$E,T_ORCAMENTOS!$C:$C,"  -  FGTS sobre 13º Salários",T_ORCAMENTOS!$H:$H,"2/2026")</f>
        <v/>
      </c>
      <c r="M188" s="28">
        <f>M186*$E$188+SUMIFS(Aut_Ajustes_Manuais!$G:$G,Aut_Ajustes_Manuais!$I:$I,DRE!K$4,Aut_Ajustes_Manuais!$F:$F,"  -  FGTS sobre 13º Salários")</f>
        <v/>
      </c>
      <c r="N188" s="241" t="n"/>
      <c r="O188" s="27">
        <f>-SUMIFS(T_ORCAMENTOS!$E:$E,T_ORCAMENTOS!$C:$C,"  -  FGTS sobre 13º Salários",T_ORCAMENTOS!$H:$H,"3/2026")</f>
        <v/>
      </c>
      <c r="P188" s="28">
        <f>P186*$E$188+SUMIFS(Aut_Ajustes_Manuais!$G:$G,Aut_Ajustes_Manuais!$I:$I,DRE!N$4,Aut_Ajustes_Manuais!$F:$F,"  -  FGTS sobre 13º Salários")</f>
        <v/>
      </c>
      <c r="Q188" s="241" t="n"/>
      <c r="R188" s="27">
        <f>-SUMIFS(T_ORCAMENTOS!$E:$E,T_ORCAMENTOS!$C:$C,"  -  FGTS sobre 13º Salários",T_ORCAMENTOS!$H:$H,"4/2026")</f>
        <v/>
      </c>
      <c r="S188" s="28">
        <f>S186*$E$188+SUMIFS(Aut_Ajustes_Manuais!$G:$G,Aut_Ajustes_Manuais!$I:$I,DRE!Q$4,Aut_Ajustes_Manuais!$F:$F,"  -  FGTS sobre 13º Salários")</f>
        <v/>
      </c>
      <c r="T188" s="241" t="n"/>
      <c r="U188" s="27">
        <f>-SUMIFS(T_ORCAMENTOS!$E:$E,T_ORCAMENTOS!$C:$C,"  -  FGTS sobre 13º Salários",T_ORCAMENTOS!$H:$H,"5/2026")</f>
        <v/>
      </c>
      <c r="V188" s="28">
        <f>V186*$E$188+SUMIFS(Aut_Ajustes_Manuais!$G:$G,Aut_Ajustes_Manuais!$I:$I,DRE!T$4,Aut_Ajustes_Manuais!$F:$F,"  -  FGTS sobre 13º Salários")</f>
        <v/>
      </c>
      <c r="W188" s="241" t="n"/>
      <c r="X188" s="27">
        <f>-SUMIFS(T_ORCAMENTOS!$E:$E,T_ORCAMENTOS!$C:$C,"  -  FGTS sobre 13º Salários",T_ORCAMENTOS!$H:$H,"6/2026")</f>
        <v/>
      </c>
      <c r="Y188" s="28">
        <f>Y186*$E$188+SUMIFS(Aut_Ajustes_Manuais!$G:$G,Aut_Ajustes_Manuais!$I:$I,DRE!W$4,Aut_Ajustes_Manuais!$F:$F,"  -  FGTS sobre 13º Salários")</f>
        <v/>
      </c>
      <c r="Z188" s="241" t="n"/>
      <c r="AA188" s="27">
        <f>-SUMIFS(T_ORCAMENTOS!$E:$E,T_ORCAMENTOS!$C:$C,"  -  FGTS sobre 13º Salários",T_ORCAMENTOS!$H:$H,"7/2026")</f>
        <v/>
      </c>
      <c r="AB188" s="28">
        <f>AB186*$E$188+SUMIFS(Aut_Ajustes_Manuais!$G:$G,Aut_Ajustes_Manuais!$I:$I,DRE!Z$4,Aut_Ajustes_Manuais!$F:$F,"  -  FGTS sobre 13º Salários")</f>
        <v/>
      </c>
      <c r="AC188" s="241" t="n"/>
      <c r="AD188" s="27">
        <f>-SUMIFS(T_ORCAMENTOS!$E:$E,T_ORCAMENTOS!$C:$C,"  -  FGTS sobre 13º Salários",T_ORCAMENTOS!$H:$H,"8/2026")</f>
        <v/>
      </c>
      <c r="AE188" s="28">
        <f>AE186*$E$188+SUMIFS(Aut_Ajustes_Manuais!$G:$G,Aut_Ajustes_Manuais!$I:$I,DRE!AC$4,Aut_Ajustes_Manuais!$F:$F,"  -  FGTS sobre 13º Salários")</f>
        <v/>
      </c>
      <c r="AF188" s="241" t="n"/>
      <c r="AG188" s="27">
        <f>-SUMIFS(T_ORCAMENTOS!$E:$E,T_ORCAMENTOS!$C:$C,"  -  FGTS sobre 13º Salários",T_ORCAMENTOS!$H:$H,"9/2026")</f>
        <v/>
      </c>
      <c r="AH188" s="28">
        <f>AH186*$E$188+SUMIFS(Aut_Ajustes_Manuais!$G:$G,Aut_Ajustes_Manuais!$I:$I,DRE!AF$4,Aut_Ajustes_Manuais!$F:$F,"  -  FGTS sobre 13º Salários")</f>
        <v/>
      </c>
      <c r="AI188" s="241" t="n"/>
      <c r="AJ188" s="27">
        <f>-SUMIFS(T_ORCAMENTOS!$E:$E,T_ORCAMENTOS!$C:$C,"  -  FGTS sobre 13º Salários",T_ORCAMENTOS!$H:$H,"10/2026")</f>
        <v/>
      </c>
      <c r="AK188" s="28">
        <f>AK186*$E$188+SUMIFS(Aut_Ajustes_Manuais!$G:$G,Aut_Ajustes_Manuais!$I:$I,DRE!AI$4,Aut_Ajustes_Manuais!$F:$F,"  -  FGTS sobre 13º Salários")</f>
        <v/>
      </c>
      <c r="AL188" s="241" t="n"/>
      <c r="AM188" s="27">
        <f>-SUMIFS(T_ORCAMENTOS!$E:$E,T_ORCAMENTOS!$C:$C,"  -  FGTS sobre 13º Salários",T_ORCAMENTOS!$H:$H,"11/2026")</f>
        <v/>
      </c>
      <c r="AN188" s="28">
        <f>AN186*$E$188+SUMIFS(Aut_Ajustes_Manuais!$G:$G,Aut_Ajustes_Manuais!$I:$I,DRE!AL$4,Aut_Ajustes_Manuais!$F:$F,"  -  FGTS sobre 13º Salários")</f>
        <v/>
      </c>
      <c r="AO188" s="241" t="n"/>
      <c r="AP188" s="27">
        <f>-SUMIFS(T_ORCAMENTOS!$E:$E,T_ORCAMENTOS!$C:$C,"  -  FGTS sobre 13º Salários",T_ORCAMENTOS!$H:$H,"12/2026")</f>
        <v/>
      </c>
      <c r="AQ188" s="28">
        <f>AQ186*$E$188+SUMIFS(Aut_Ajustes_Manuais!$G:$G,Aut_Ajustes_Manuais!$I:$I,DRE!AO$4,Aut_Ajustes_Manuais!$F:$F,"  -  FGTS sobre 13º Salários")</f>
        <v/>
      </c>
      <c r="AR188" s="241">
        <f>SUMIFS($H188:$AO188,$H$5:$AO$5,"&lt;"&amp;MONTH(TODAY()),$H$6:$AO$6,"REAL 25")</f>
        <v/>
      </c>
      <c r="AS188" s="27">
        <f>SUMIFS($I188:$AP188,$I$5:$AP$5,"&lt;"&amp;MONTH(TODAY()),$I$6:$AP$6,"ORÇADO ")</f>
        <v/>
      </c>
      <c r="AT188" s="28">
        <f>SUMIFS($J188:$AQ188,$J$5:$AQ$5,"&lt;"&amp;MONTH(TODAY()),$J$6:$AQ$6,"REAL 26")</f>
        <v/>
      </c>
      <c r="AU188" s="241">
        <f>SUM(H188,K188,N188,Q188,T188,W188,Z188,AC188,AF188,AI188,AL188,AO188)</f>
        <v/>
      </c>
      <c r="AV188" s="27">
        <f>SUM(I188,L188,O188,R188,U188,X188,AA188,AD188,AG188,AJ188,AM188,AP188)</f>
        <v/>
      </c>
      <c r="AW188" s="28">
        <f>SUM(J188,M188,P188,S188,V188,Y188,AB188,AE188,AH188,AK188,AN188,AQ188)</f>
        <v/>
      </c>
      <c r="AX188" s="241">
        <f>SUM(H188,K188,N188)</f>
        <v/>
      </c>
      <c r="AY188" s="27">
        <f>SUM(I188,L188,O188)</f>
        <v/>
      </c>
      <c r="AZ188" s="28">
        <f>SUM(J188,M188,P188)</f>
        <v/>
      </c>
      <c r="BA188" s="241">
        <f>SUM(Q188,T188,W188)</f>
        <v/>
      </c>
      <c r="BB188" s="27">
        <f>SUM(R188,U188,X188)</f>
        <v/>
      </c>
      <c r="BC188" s="28">
        <f>SUM(S188,V188,Y188)</f>
        <v/>
      </c>
      <c r="BD188" s="241">
        <f>SUM(Z188,AC188,AF188)</f>
        <v/>
      </c>
      <c r="BE188" s="27">
        <f>SUM(AA188,AD188,AG188)</f>
        <v/>
      </c>
      <c r="BF188" s="28">
        <f>SUM(AB188,AE188,AH188)</f>
        <v/>
      </c>
      <c r="BG188" s="241">
        <f>SUM(AI188,AL188,AO188)</f>
        <v/>
      </c>
      <c r="BH188" s="27">
        <f>SUM(AJ188,AM188,AP188)</f>
        <v/>
      </c>
      <c r="BI188" s="28">
        <f>SUM(AK188,AN188,AQ188)</f>
        <v/>
      </c>
    </row>
    <row r="189" hidden="1" outlineLevel="1" customFormat="1" s="498">
      <c r="A189" s="22" t="inlineStr">
        <is>
          <t xml:space="preserve">  -  FGTS sobre Férias</t>
        </is>
      </c>
      <c r="B189" s="488" t="n"/>
      <c r="C189" s="485" t="n"/>
      <c r="D189" s="97" t="inlineStr">
        <is>
          <t>FGTS s/ Férias</t>
        </is>
      </c>
      <c r="E189" s="98" t="n">
        <v>0.0089</v>
      </c>
      <c r="F189" s="41" t="n"/>
      <c r="G189" s="33" t="n"/>
      <c r="H189" s="241" t="n"/>
      <c r="I189" s="27">
        <f>-SUMIFS(T_ORCAMENTOS!$E:$E,T_ORCAMENTOS!$C:$C,"  -  FGTS sobre Férias",T_ORCAMENTOS!$H:$H,"1/2026")</f>
        <v/>
      </c>
      <c r="J189" s="28">
        <f>SUMIFS(Aut_BlueMe_Sem_Pedido!$J:$J,Aut_BlueMe_Sem_Pedido!$Q:$Q,DRE!H$4,Aut_BlueMe_Sem_Pedido!$H:$H,DRE!$A189)+SUMIFS(Aut_Ajustes_Manuais!$G:$G,Aut_Ajustes_Manuais!$I:$I,DRE!H$4,Aut_Ajustes_Manuais!$F:$F,"  -  FGTS sobre Férias")</f>
        <v/>
      </c>
      <c r="K189" s="241" t="n"/>
      <c r="L189" s="27">
        <f>-SUMIFS(T_ORCAMENTOS!$E:$E,T_ORCAMENTOS!$C:$C,"  -  FGTS sobre Férias",T_ORCAMENTOS!$H:$H,"2/2026")</f>
        <v/>
      </c>
      <c r="M189" s="28">
        <f>SUMIFS(Aut_BlueMe_Sem_Pedido!$J:$J,Aut_BlueMe_Sem_Pedido!$Q:$Q,DRE!K$4,Aut_BlueMe_Sem_Pedido!$H:$H,DRE!$A189)+SUMIFS(Aut_Ajustes_Manuais!$G:$G,Aut_Ajustes_Manuais!$I:$I,DRE!K$4,Aut_Ajustes_Manuais!$F:$F,"  -  FGTS sobre Férias")</f>
        <v/>
      </c>
      <c r="N189" s="241" t="n"/>
      <c r="O189" s="27">
        <f>-SUMIFS(T_ORCAMENTOS!$E:$E,T_ORCAMENTOS!$C:$C,"  -  FGTS sobre Férias",T_ORCAMENTOS!$H:$H,"3/2026")</f>
        <v/>
      </c>
      <c r="P189" s="28">
        <f>SUMIFS(Aut_BlueMe_Sem_Pedido!$J:$J,Aut_BlueMe_Sem_Pedido!$Q:$Q,DRE!N$4,Aut_BlueMe_Sem_Pedido!$H:$H,DRE!$A189)+SUMIFS(Aut_Ajustes_Manuais!$G:$G,Aut_Ajustes_Manuais!$I:$I,DRE!N$4,Aut_Ajustes_Manuais!$F:$F,"  -  FGTS sobre Férias")</f>
        <v/>
      </c>
      <c r="Q189" s="241" t="n"/>
      <c r="R189" s="27">
        <f>-SUMIFS(T_ORCAMENTOS!$E:$E,T_ORCAMENTOS!$C:$C,"  -  FGTS sobre Férias",T_ORCAMENTOS!$H:$H,"4/2026")</f>
        <v/>
      </c>
      <c r="S189" s="28">
        <f>SUMIFS(Aut_BlueMe_Sem_Pedido!$J:$J,Aut_BlueMe_Sem_Pedido!$Q:$Q,DRE!Q$4,Aut_BlueMe_Sem_Pedido!$H:$H,DRE!$A189)+SUMIFS(Aut_Ajustes_Manuais!$G:$G,Aut_Ajustes_Manuais!$I:$I,DRE!Q$4,Aut_Ajustes_Manuais!$F:$F,"  -  FGTS sobre Férias")</f>
        <v/>
      </c>
      <c r="T189" s="241" t="n"/>
      <c r="U189" s="27">
        <f>-SUMIFS(T_ORCAMENTOS!$E:$E,T_ORCAMENTOS!$C:$C,"  -  FGTS sobre Férias",T_ORCAMENTOS!$H:$H,"5/2026")</f>
        <v/>
      </c>
      <c r="V189" s="28">
        <f>SUMIFS(Aut_BlueMe_Sem_Pedido!$J:$J,Aut_BlueMe_Sem_Pedido!$Q:$Q,DRE!T$4,Aut_BlueMe_Sem_Pedido!$H:$H,DRE!$A189)+SUMIFS(Aut_Ajustes_Manuais!$G:$G,Aut_Ajustes_Manuais!$I:$I,DRE!T$4,Aut_Ajustes_Manuais!$F:$F,"  -  FGTS sobre Férias")</f>
        <v/>
      </c>
      <c r="W189" s="241" t="n"/>
      <c r="X189" s="27">
        <f>-SUMIFS(T_ORCAMENTOS!$E:$E,T_ORCAMENTOS!$C:$C,"  -  FGTS sobre Férias",T_ORCAMENTOS!$H:$H,"6/2026")</f>
        <v/>
      </c>
      <c r="Y189" s="28">
        <f>SUMIFS(Aut_BlueMe_Sem_Pedido!$J:$J,Aut_BlueMe_Sem_Pedido!$Q:$Q,DRE!W$4,Aut_BlueMe_Sem_Pedido!$H:$H,DRE!$A189)+SUMIFS(Aut_Ajustes_Manuais!$G:$G,Aut_Ajustes_Manuais!$I:$I,DRE!W$4,Aut_Ajustes_Manuais!$F:$F,"  -  FGTS sobre Férias")</f>
        <v/>
      </c>
      <c r="Z189" s="241" t="n"/>
      <c r="AA189" s="27">
        <f>-SUMIFS(T_ORCAMENTOS!$E:$E,T_ORCAMENTOS!$C:$C,"  -  FGTS sobre Férias",T_ORCAMENTOS!$H:$H,"7/2026")</f>
        <v/>
      </c>
      <c r="AB189" s="28">
        <f>SUMIFS(Aut_BlueMe_Sem_Pedido!$J:$J,Aut_BlueMe_Sem_Pedido!$Q:$Q,DRE!Z$4,Aut_BlueMe_Sem_Pedido!$H:$H,DRE!$A189)+SUMIFS(Aut_Ajustes_Manuais!$G:$G,Aut_Ajustes_Manuais!$I:$I,DRE!Z$4,Aut_Ajustes_Manuais!$F:$F,"  -  FGTS sobre Férias")</f>
        <v/>
      </c>
      <c r="AC189" s="241" t="n"/>
      <c r="AD189" s="27">
        <f>-SUMIFS(T_ORCAMENTOS!$E:$E,T_ORCAMENTOS!$C:$C,"  -  FGTS sobre Férias",T_ORCAMENTOS!$H:$H,"8/2026")</f>
        <v/>
      </c>
      <c r="AE189" s="28">
        <f>SUMIFS(Aut_BlueMe_Sem_Pedido!$J:$J,Aut_BlueMe_Sem_Pedido!$Q:$Q,DRE!AC$4,Aut_BlueMe_Sem_Pedido!$H:$H,DRE!$A189)+SUMIFS(Aut_Ajustes_Manuais!$G:$G,Aut_Ajustes_Manuais!$I:$I,DRE!AC$4,Aut_Ajustes_Manuais!$F:$F,"  -  FGTS sobre Férias")</f>
        <v/>
      </c>
      <c r="AF189" s="241" t="n"/>
      <c r="AG189" s="27">
        <f>-SUMIFS(T_ORCAMENTOS!$E:$E,T_ORCAMENTOS!$C:$C,"  -  FGTS sobre Férias",T_ORCAMENTOS!$H:$H,"9/2026")</f>
        <v/>
      </c>
      <c r="AH189" s="28">
        <f>SUMIFS(Aut_BlueMe_Sem_Pedido!$J:$J,Aut_BlueMe_Sem_Pedido!$Q:$Q,DRE!AF$4,Aut_BlueMe_Sem_Pedido!$H:$H,DRE!$A189)+SUMIFS(Aut_Ajustes_Manuais!$G:$G,Aut_Ajustes_Manuais!$I:$I,DRE!AF$4,Aut_Ajustes_Manuais!$F:$F,"  -  FGTS sobre Férias")</f>
        <v/>
      </c>
      <c r="AI189" s="241" t="n"/>
      <c r="AJ189" s="27">
        <f>-SUMIFS(T_ORCAMENTOS!$E:$E,T_ORCAMENTOS!$C:$C,"  -  FGTS sobre Férias",T_ORCAMENTOS!$H:$H,"10/2026")</f>
        <v/>
      </c>
      <c r="AK189" s="28">
        <f>SUMIFS(Aut_BlueMe_Sem_Pedido!$J:$J,Aut_BlueMe_Sem_Pedido!$Q:$Q,DRE!AI$4,Aut_BlueMe_Sem_Pedido!$H:$H,DRE!$A189)+SUMIFS(Aut_Ajustes_Manuais!$G:$G,Aut_Ajustes_Manuais!$I:$I,DRE!AI$4,Aut_Ajustes_Manuais!$F:$F,"  -  FGTS sobre Férias")</f>
        <v/>
      </c>
      <c r="AL189" s="241" t="n"/>
      <c r="AM189" s="27">
        <f>-SUMIFS(T_ORCAMENTOS!$E:$E,T_ORCAMENTOS!$C:$C,"  -  FGTS sobre Férias",T_ORCAMENTOS!$H:$H,"11/2026")</f>
        <v/>
      </c>
      <c r="AN189" s="28">
        <f>SUMIFS(Aut_BlueMe_Sem_Pedido!$J:$J,Aut_BlueMe_Sem_Pedido!$Q:$Q,DRE!AL$4,Aut_BlueMe_Sem_Pedido!$H:$H,DRE!$A189)+SUMIFS(Aut_Ajustes_Manuais!$G:$G,Aut_Ajustes_Manuais!$I:$I,DRE!AL$4,Aut_Ajustes_Manuais!$F:$F,"  -  FGTS sobre Férias")</f>
        <v/>
      </c>
      <c r="AO189" s="241" t="n"/>
      <c r="AP189" s="27">
        <f>-SUMIFS(T_ORCAMENTOS!$E:$E,T_ORCAMENTOS!$C:$C,"  -  FGTS sobre Férias",T_ORCAMENTOS!$H:$H,"12/2026")</f>
        <v/>
      </c>
      <c r="AQ189" s="28">
        <f>SUMIFS(Aut_BlueMe_Sem_Pedido!$J:$J,Aut_BlueMe_Sem_Pedido!$Q:$Q,DRE!AO$4,Aut_BlueMe_Sem_Pedido!$H:$H,DRE!$A189)+SUMIFS(Aut_Ajustes_Manuais!$G:$G,Aut_Ajustes_Manuais!$I:$I,DRE!AO$4,Aut_Ajustes_Manuais!$F:$F,"  -  FGTS sobre Férias")</f>
        <v/>
      </c>
      <c r="AR189" s="241">
        <f>SUMIFS($H189:$AO189,$H$5:$AO$5,"&lt;"&amp;MONTH(TODAY()),$H$6:$AO$6,"REAL 25")</f>
        <v/>
      </c>
      <c r="AS189" s="27">
        <f>SUMIFS($I189:$AP189,$I$5:$AP$5,"&lt;"&amp;MONTH(TODAY()),$I$6:$AP$6,"ORÇADO ")</f>
        <v/>
      </c>
      <c r="AT189" s="28">
        <f>SUMIFS($J189:$AQ189,$J$5:$AQ$5,"&lt;"&amp;MONTH(TODAY()),$J$6:$AQ$6,"REAL 26")</f>
        <v/>
      </c>
      <c r="AU189" s="241">
        <f>SUM(H189,K189,N189,Q189,T189,W189,Z189,AC189,AF189,AI189,AL189,AO189)</f>
        <v/>
      </c>
      <c r="AV189" s="27">
        <f>SUM(I189,L189,O189,R189,U189,X189,AA189,AD189,AG189,AJ189,AM189,AP189)</f>
        <v/>
      </c>
      <c r="AW189" s="28">
        <f>SUM(J189,M189,P189,S189,V189,Y189,AB189,AE189,AH189,AK189,AN189,AQ189)</f>
        <v/>
      </c>
      <c r="AX189" s="241">
        <f>SUM(H189,K189,N189)</f>
        <v/>
      </c>
      <c r="AY189" s="27">
        <f>SUM(I189,L189,O189)</f>
        <v/>
      </c>
      <c r="AZ189" s="28">
        <f>SUM(J189,M189,P189)</f>
        <v/>
      </c>
      <c r="BA189" s="241">
        <f>SUM(Q189,T189,W189)</f>
        <v/>
      </c>
      <c r="BB189" s="27">
        <f>SUM(R189,U189,X189)</f>
        <v/>
      </c>
      <c r="BC189" s="28">
        <f>SUM(S189,V189,Y189)</f>
        <v/>
      </c>
      <c r="BD189" s="241">
        <f>SUM(Z189,AC189,AF189)</f>
        <v/>
      </c>
      <c r="BE189" s="27">
        <f>SUM(AA189,AD189,AG189)</f>
        <v/>
      </c>
      <c r="BF189" s="28">
        <f>SUM(AB189,AE189,AH189)</f>
        <v/>
      </c>
      <c r="BG189" s="241">
        <f>SUM(AI189,AL189,AO189)</f>
        <v/>
      </c>
      <c r="BH189" s="27">
        <f>SUM(AJ189,AM189,AP189)</f>
        <v/>
      </c>
      <c r="BI189" s="28">
        <f>SUM(AK189,AN189,AQ189)</f>
        <v/>
      </c>
    </row>
    <row r="190" hidden="1" outlineLevel="1" customFormat="1" s="498">
      <c r="A190" s="22" t="inlineStr">
        <is>
          <t xml:space="preserve">  -  INSS sobre 13º Salários</t>
        </is>
      </c>
      <c r="B190" s="488" t="n"/>
      <c r="C190" s="485" t="n"/>
      <c r="D190" s="97" t="inlineStr">
        <is>
          <t>INSS s/ 13º</t>
        </is>
      </c>
      <c r="E190" s="98" t="n">
        <v>0.0167</v>
      </c>
      <c r="F190" s="41" t="n"/>
      <c r="G190" s="33" t="n"/>
      <c r="H190" s="241" t="n"/>
      <c r="I190" s="27">
        <f>-SUMIFS(T_ORCAMENTOS!$E:$E,T_ORCAMENTOS!$C:$C,"  -  INSS sobre 13º Salários",T_ORCAMENTOS!$H:$H,"1/2026")</f>
        <v/>
      </c>
      <c r="J190" s="28">
        <f>J186*$E$190+SUMIFS(Aut_Ajustes_Manuais!$G:$G,Aut_Ajustes_Manuais!$I:$I,DRE!H$4,Aut_Ajustes_Manuais!$F:$F,"  -  INSS sobre 13º Salários")</f>
        <v/>
      </c>
      <c r="K190" s="241" t="n"/>
      <c r="L190" s="27">
        <f>-SUMIFS(T_ORCAMENTOS!$E:$E,T_ORCAMENTOS!$C:$C,"  -  INSS sobre 13º Salários",T_ORCAMENTOS!$H:$H,"2/2026")</f>
        <v/>
      </c>
      <c r="M190" s="28">
        <f>M186*$E$190+SUMIFS(Aut_Ajustes_Manuais!$G:$G,Aut_Ajustes_Manuais!$I:$I,DRE!K$4,Aut_Ajustes_Manuais!$F:$F,"  -  INSS sobre 13º Salários")</f>
        <v/>
      </c>
      <c r="N190" s="241" t="n"/>
      <c r="O190" s="27">
        <f>-SUMIFS(T_ORCAMENTOS!$E:$E,T_ORCAMENTOS!$C:$C,"  -  INSS sobre 13º Salários",T_ORCAMENTOS!$H:$H,"3/2026")</f>
        <v/>
      </c>
      <c r="P190" s="28">
        <f>P186*$E$190+SUMIFS(Aut_Ajustes_Manuais!$G:$G,Aut_Ajustes_Manuais!$I:$I,DRE!N$4,Aut_Ajustes_Manuais!$F:$F,"  -  INSS sobre 13º Salários")</f>
        <v/>
      </c>
      <c r="Q190" s="241" t="n"/>
      <c r="R190" s="27">
        <f>-SUMIFS(T_ORCAMENTOS!$E:$E,T_ORCAMENTOS!$C:$C,"  -  INSS sobre 13º Salários",T_ORCAMENTOS!$H:$H,"4/2026")</f>
        <v/>
      </c>
      <c r="S190" s="28">
        <f>S186*$E$190+SUMIFS(Aut_Ajustes_Manuais!$G:$G,Aut_Ajustes_Manuais!$I:$I,DRE!Q$4,Aut_Ajustes_Manuais!$F:$F,"  -  INSS sobre 13º Salários")</f>
        <v/>
      </c>
      <c r="T190" s="241" t="n"/>
      <c r="U190" s="27">
        <f>-SUMIFS(T_ORCAMENTOS!$E:$E,T_ORCAMENTOS!$C:$C,"  -  INSS sobre 13º Salários",T_ORCAMENTOS!$H:$H,"5/2026")</f>
        <v/>
      </c>
      <c r="V190" s="28">
        <f>V186*$E$190+SUMIFS(Aut_Ajustes_Manuais!$G:$G,Aut_Ajustes_Manuais!$I:$I,DRE!T$4,Aut_Ajustes_Manuais!$F:$F,"  -  INSS sobre 13º Salários")</f>
        <v/>
      </c>
      <c r="W190" s="241" t="n"/>
      <c r="X190" s="27">
        <f>-SUMIFS(T_ORCAMENTOS!$E:$E,T_ORCAMENTOS!$C:$C,"  -  INSS sobre 13º Salários",T_ORCAMENTOS!$H:$H,"6/2026")</f>
        <v/>
      </c>
      <c r="Y190" s="28">
        <f>Y186*$E$190+SUMIFS(Aut_Ajustes_Manuais!$G:$G,Aut_Ajustes_Manuais!$I:$I,DRE!W$4,Aut_Ajustes_Manuais!$F:$F,"  -  INSS sobre 13º Salários")</f>
        <v/>
      </c>
      <c r="Z190" s="241" t="n"/>
      <c r="AA190" s="27">
        <f>-SUMIFS(T_ORCAMENTOS!$E:$E,T_ORCAMENTOS!$C:$C,"  -  INSS sobre 13º Salários",T_ORCAMENTOS!$H:$H,"7/2026")</f>
        <v/>
      </c>
      <c r="AB190" s="28">
        <f>AB186*$E$190+SUMIFS(Aut_Ajustes_Manuais!$G:$G,Aut_Ajustes_Manuais!$I:$I,DRE!Z$4,Aut_Ajustes_Manuais!$F:$F,"  -  INSS sobre 13º Salários")</f>
        <v/>
      </c>
      <c r="AC190" s="241" t="n"/>
      <c r="AD190" s="27">
        <f>-SUMIFS(T_ORCAMENTOS!$E:$E,T_ORCAMENTOS!$C:$C,"  -  INSS sobre 13º Salários",T_ORCAMENTOS!$H:$H,"8/2026")</f>
        <v/>
      </c>
      <c r="AE190" s="28">
        <f>AE186*$E$190+SUMIFS(Aut_Ajustes_Manuais!$G:$G,Aut_Ajustes_Manuais!$I:$I,DRE!AC$4,Aut_Ajustes_Manuais!$F:$F,"  -  INSS sobre 13º Salários")</f>
        <v/>
      </c>
      <c r="AF190" s="241" t="n"/>
      <c r="AG190" s="27">
        <f>-SUMIFS(T_ORCAMENTOS!$E:$E,T_ORCAMENTOS!$C:$C,"  -  INSS sobre 13º Salários",T_ORCAMENTOS!$H:$H,"9/2026")</f>
        <v/>
      </c>
      <c r="AH190" s="28">
        <f>AH186*$E$190+SUMIFS(Aut_Ajustes_Manuais!$G:$G,Aut_Ajustes_Manuais!$I:$I,DRE!AF$4,Aut_Ajustes_Manuais!$F:$F,"  -  INSS sobre 13º Salários")</f>
        <v/>
      </c>
      <c r="AI190" s="241" t="n"/>
      <c r="AJ190" s="27">
        <f>-SUMIFS(T_ORCAMENTOS!$E:$E,T_ORCAMENTOS!$C:$C,"  -  INSS sobre 13º Salários",T_ORCAMENTOS!$H:$H,"10/2026")</f>
        <v/>
      </c>
      <c r="AK190" s="28">
        <f>AK186*$E$190+SUMIFS(Aut_Ajustes_Manuais!$G:$G,Aut_Ajustes_Manuais!$I:$I,DRE!AI$4,Aut_Ajustes_Manuais!$F:$F,"  -  INSS sobre 13º Salários")</f>
        <v/>
      </c>
      <c r="AL190" s="241" t="n"/>
      <c r="AM190" s="27">
        <f>-SUMIFS(T_ORCAMENTOS!$E:$E,T_ORCAMENTOS!$C:$C,"  -  INSS sobre 13º Salários",T_ORCAMENTOS!$H:$H,"11/2026")</f>
        <v/>
      </c>
      <c r="AN190" s="28">
        <f>AN186*$E$190+SUMIFS(Aut_Ajustes_Manuais!$G:$G,Aut_Ajustes_Manuais!$I:$I,DRE!AL$4,Aut_Ajustes_Manuais!$F:$F,"  -  INSS sobre 13º Salários")</f>
        <v/>
      </c>
      <c r="AO190" s="241" t="n"/>
      <c r="AP190" s="27">
        <f>-SUMIFS(T_ORCAMENTOS!$E:$E,T_ORCAMENTOS!$C:$C,"  -  INSS sobre 13º Salários",T_ORCAMENTOS!$H:$H,"12/2026")</f>
        <v/>
      </c>
      <c r="AQ190" s="28">
        <f>AQ186*$E$190+SUMIFS(Aut_Ajustes_Manuais!$G:$G,Aut_Ajustes_Manuais!$I:$I,DRE!AO$4,Aut_Ajustes_Manuais!$F:$F,"  -  INSS sobre 13º Salários")</f>
        <v/>
      </c>
      <c r="AR190" s="241">
        <f>SUMIFS($H190:$AO190,$H$5:$AO$5,"&lt;"&amp;MONTH(TODAY()),$H$6:$AO$6,"REAL 25")</f>
        <v/>
      </c>
      <c r="AS190" s="27">
        <f>SUMIFS($I190:$AP190,$I$5:$AP$5,"&lt;"&amp;MONTH(TODAY()),$I$6:$AP$6,"ORÇADO ")</f>
        <v/>
      </c>
      <c r="AT190" s="28">
        <f>SUMIFS($J190:$AQ190,$J$5:$AQ$5,"&lt;"&amp;MONTH(TODAY()),$J$6:$AQ$6,"REAL 26")</f>
        <v/>
      </c>
      <c r="AU190" s="241">
        <f>SUM(H190,K190,N190,Q190,T190,W190,Z190,AC190,AF190,AI190,AL190,AO190)</f>
        <v/>
      </c>
      <c r="AV190" s="27">
        <f>SUM(I190,L190,O190,R190,U190,X190,AA190,AD190,AG190,AJ190,AM190,AP190)</f>
        <v/>
      </c>
      <c r="AW190" s="28">
        <f>SUM(J190,M190,P190,S190,V190,Y190,AB190,AE190,AH190,AK190,AN190,AQ190)</f>
        <v/>
      </c>
      <c r="AX190" s="241">
        <f>SUM(H190,K190,N190)</f>
        <v/>
      </c>
      <c r="AY190" s="27">
        <f>SUM(I190,L190,O190)</f>
        <v/>
      </c>
      <c r="AZ190" s="28">
        <f>SUM(J190,M190,P190)</f>
        <v/>
      </c>
      <c r="BA190" s="241">
        <f>SUM(Q190,T190,W190)</f>
        <v/>
      </c>
      <c r="BB190" s="27">
        <f>SUM(R190,U190,X190)</f>
        <v/>
      </c>
      <c r="BC190" s="28">
        <f>SUM(S190,V190,Y190)</f>
        <v/>
      </c>
      <c r="BD190" s="241">
        <f>SUM(Z190,AC190,AF190)</f>
        <v/>
      </c>
      <c r="BE190" s="27">
        <f>SUM(AA190,AD190,AG190)</f>
        <v/>
      </c>
      <c r="BF190" s="28">
        <f>SUM(AB190,AE190,AH190)</f>
        <v/>
      </c>
      <c r="BG190" s="241">
        <f>SUM(AI190,AL190,AO190)</f>
        <v/>
      </c>
      <c r="BH190" s="27">
        <f>SUM(AJ190,AM190,AP190)</f>
        <v/>
      </c>
      <c r="BI190" s="28">
        <f>SUM(AK190,AN190,AQ190)</f>
        <v/>
      </c>
    </row>
    <row r="191" hidden="1" outlineLevel="1" customFormat="1" s="498">
      <c r="A191" s="22" t="inlineStr">
        <is>
          <t xml:space="preserve">  -  INSS sobre Férias</t>
        </is>
      </c>
      <c r="B191" s="488" t="n"/>
      <c r="C191" s="485" t="n"/>
      <c r="D191" s="97" t="inlineStr">
        <is>
          <t>INSS s/ Férias</t>
        </is>
      </c>
      <c r="E191" s="98" t="n">
        <v>0.0222</v>
      </c>
      <c r="F191" s="41" t="n"/>
      <c r="G191" s="33" t="n"/>
      <c r="H191" s="241" t="n"/>
      <c r="I191" s="27">
        <f>-SUMIFS(T_ORCAMENTOS!$E:$E,T_ORCAMENTOS!$C:$C,"  -  INSS sobre Férias",T_ORCAMENTOS!$H:$H,"1/2026")</f>
        <v/>
      </c>
      <c r="J191" s="28">
        <f>SUMIFS(Aut_BlueMe_Sem_Pedido!$J:$J,Aut_BlueMe_Sem_Pedido!$Q:$Q,DRE!H$4,Aut_BlueMe_Sem_Pedido!$H:$H,DRE!$A191)+SUMIFS(Aut_Ajustes_Manuais!$G:$G,Aut_Ajustes_Manuais!$I:$I,DRE!H$4,Aut_Ajustes_Manuais!$F:$F,"  -  INSS sobre Férias")</f>
        <v/>
      </c>
      <c r="K191" s="241" t="n"/>
      <c r="L191" s="27">
        <f>-SUMIFS(T_ORCAMENTOS!$E:$E,T_ORCAMENTOS!$C:$C,"  -  INSS sobre Férias",T_ORCAMENTOS!$H:$H,"2/2026")</f>
        <v/>
      </c>
      <c r="M191" s="28">
        <f>SUMIFS(Aut_BlueMe_Sem_Pedido!$J:$J,Aut_BlueMe_Sem_Pedido!$Q:$Q,DRE!K$4,Aut_BlueMe_Sem_Pedido!$H:$H,DRE!$A191)+SUMIFS(Aut_Ajustes_Manuais!$G:$G,Aut_Ajustes_Manuais!$I:$I,DRE!K$4,Aut_Ajustes_Manuais!$F:$F,"  -  INSS sobre Férias")</f>
        <v/>
      </c>
      <c r="N191" s="241" t="n"/>
      <c r="O191" s="27">
        <f>-SUMIFS(T_ORCAMENTOS!$E:$E,T_ORCAMENTOS!$C:$C,"  -  INSS sobre Férias",T_ORCAMENTOS!$H:$H,"3/2026")</f>
        <v/>
      </c>
      <c r="P191" s="28">
        <f>SUMIFS(Aut_BlueMe_Sem_Pedido!$J:$J,Aut_BlueMe_Sem_Pedido!$Q:$Q,DRE!N$4,Aut_BlueMe_Sem_Pedido!$H:$H,DRE!$A191)+SUMIFS(Aut_Ajustes_Manuais!$G:$G,Aut_Ajustes_Manuais!$I:$I,DRE!N$4,Aut_Ajustes_Manuais!$F:$F,"  -  INSS sobre Férias")</f>
        <v/>
      </c>
      <c r="Q191" s="241" t="n"/>
      <c r="R191" s="27">
        <f>-SUMIFS(T_ORCAMENTOS!$E:$E,T_ORCAMENTOS!$C:$C,"  -  INSS sobre Férias",T_ORCAMENTOS!$H:$H,"4/2026")</f>
        <v/>
      </c>
      <c r="S191" s="28">
        <f>SUMIFS(Aut_BlueMe_Sem_Pedido!$J:$J,Aut_BlueMe_Sem_Pedido!$Q:$Q,DRE!Q$4,Aut_BlueMe_Sem_Pedido!$H:$H,DRE!$A191)+SUMIFS(Aut_Ajustes_Manuais!$G:$G,Aut_Ajustes_Manuais!$I:$I,DRE!Q$4,Aut_Ajustes_Manuais!$F:$F,"  -  INSS sobre Férias")</f>
        <v/>
      </c>
      <c r="T191" s="241" t="n"/>
      <c r="U191" s="27">
        <f>-SUMIFS(T_ORCAMENTOS!$E:$E,T_ORCAMENTOS!$C:$C,"  -  INSS sobre Férias",T_ORCAMENTOS!$H:$H,"5/2026")</f>
        <v/>
      </c>
      <c r="V191" s="28">
        <f>SUMIFS(Aut_BlueMe_Sem_Pedido!$J:$J,Aut_BlueMe_Sem_Pedido!$Q:$Q,DRE!T$4,Aut_BlueMe_Sem_Pedido!$H:$H,DRE!$A191)+SUMIFS(Aut_Ajustes_Manuais!$G:$G,Aut_Ajustes_Manuais!$I:$I,DRE!T$4,Aut_Ajustes_Manuais!$F:$F,"  -  INSS sobre Férias")</f>
        <v/>
      </c>
      <c r="W191" s="241" t="n"/>
      <c r="X191" s="27">
        <f>-SUMIFS(T_ORCAMENTOS!$E:$E,T_ORCAMENTOS!$C:$C,"  -  INSS sobre Férias",T_ORCAMENTOS!$H:$H,"6/2026")</f>
        <v/>
      </c>
      <c r="Y191" s="28">
        <f>SUMIFS(Aut_BlueMe_Sem_Pedido!$J:$J,Aut_BlueMe_Sem_Pedido!$Q:$Q,DRE!W$4,Aut_BlueMe_Sem_Pedido!$H:$H,DRE!$A191)+SUMIFS(Aut_Ajustes_Manuais!$G:$G,Aut_Ajustes_Manuais!$I:$I,DRE!W$4,Aut_Ajustes_Manuais!$F:$F,"  -  INSS sobre Férias")</f>
        <v/>
      </c>
      <c r="Z191" s="241" t="n"/>
      <c r="AA191" s="27">
        <f>-SUMIFS(T_ORCAMENTOS!$E:$E,T_ORCAMENTOS!$C:$C,"  -  INSS sobre Férias",T_ORCAMENTOS!$H:$H,"7/2026")</f>
        <v/>
      </c>
      <c r="AB191" s="28">
        <f>SUMIFS(Aut_BlueMe_Sem_Pedido!$J:$J,Aut_BlueMe_Sem_Pedido!$Q:$Q,DRE!Z$4,Aut_BlueMe_Sem_Pedido!$H:$H,DRE!$A191)+SUMIFS(Aut_Ajustes_Manuais!$G:$G,Aut_Ajustes_Manuais!$I:$I,DRE!Z$4,Aut_Ajustes_Manuais!$F:$F,"  -  INSS sobre Férias")</f>
        <v/>
      </c>
      <c r="AC191" s="241" t="n"/>
      <c r="AD191" s="27">
        <f>-SUMIFS(T_ORCAMENTOS!$E:$E,T_ORCAMENTOS!$C:$C,"  -  INSS sobre Férias",T_ORCAMENTOS!$H:$H,"8/2026")</f>
        <v/>
      </c>
      <c r="AE191" s="28">
        <f>SUMIFS(Aut_BlueMe_Sem_Pedido!$J:$J,Aut_BlueMe_Sem_Pedido!$Q:$Q,DRE!AC$4,Aut_BlueMe_Sem_Pedido!$H:$H,DRE!$A191)+SUMIFS(Aut_Ajustes_Manuais!$G:$G,Aut_Ajustes_Manuais!$I:$I,DRE!AC$4,Aut_Ajustes_Manuais!$F:$F,"  -  INSS sobre Férias")</f>
        <v/>
      </c>
      <c r="AF191" s="241" t="n"/>
      <c r="AG191" s="27">
        <f>-SUMIFS(T_ORCAMENTOS!$E:$E,T_ORCAMENTOS!$C:$C,"  -  INSS sobre Férias",T_ORCAMENTOS!$H:$H,"9/2026")</f>
        <v/>
      </c>
      <c r="AH191" s="28">
        <f>SUMIFS(Aut_BlueMe_Sem_Pedido!$J:$J,Aut_BlueMe_Sem_Pedido!$Q:$Q,DRE!AF$4,Aut_BlueMe_Sem_Pedido!$H:$H,DRE!$A191)+SUMIFS(Aut_Ajustes_Manuais!$G:$G,Aut_Ajustes_Manuais!$I:$I,DRE!AF$4,Aut_Ajustes_Manuais!$F:$F,"  -  INSS sobre Férias")</f>
        <v/>
      </c>
      <c r="AI191" s="241" t="n"/>
      <c r="AJ191" s="27">
        <f>-SUMIFS(T_ORCAMENTOS!$E:$E,T_ORCAMENTOS!$C:$C,"  -  INSS sobre Férias",T_ORCAMENTOS!$H:$H,"10/2026")</f>
        <v/>
      </c>
      <c r="AK191" s="28">
        <f>SUMIFS(Aut_BlueMe_Sem_Pedido!$J:$J,Aut_BlueMe_Sem_Pedido!$Q:$Q,DRE!AI$4,Aut_BlueMe_Sem_Pedido!$H:$H,DRE!$A191)+SUMIFS(Aut_Ajustes_Manuais!$G:$G,Aut_Ajustes_Manuais!$I:$I,DRE!AI$4,Aut_Ajustes_Manuais!$F:$F,"  -  INSS sobre Férias")</f>
        <v/>
      </c>
      <c r="AL191" s="241" t="n"/>
      <c r="AM191" s="27">
        <f>-SUMIFS(T_ORCAMENTOS!$E:$E,T_ORCAMENTOS!$C:$C,"  -  INSS sobre Férias",T_ORCAMENTOS!$H:$H,"11/2026")</f>
        <v/>
      </c>
      <c r="AN191" s="28">
        <f>SUMIFS(Aut_BlueMe_Sem_Pedido!$J:$J,Aut_BlueMe_Sem_Pedido!$Q:$Q,DRE!AL$4,Aut_BlueMe_Sem_Pedido!$H:$H,DRE!$A191)+SUMIFS(Aut_Ajustes_Manuais!$G:$G,Aut_Ajustes_Manuais!$I:$I,DRE!AL$4,Aut_Ajustes_Manuais!$F:$F,"  -  INSS sobre Férias")</f>
        <v/>
      </c>
      <c r="AO191" s="241" t="n"/>
      <c r="AP191" s="27">
        <f>-SUMIFS(T_ORCAMENTOS!$E:$E,T_ORCAMENTOS!$C:$C,"  -  INSS sobre Férias",T_ORCAMENTOS!$H:$H,"12/2026")</f>
        <v/>
      </c>
      <c r="AQ191" s="28">
        <f>SUMIFS(Aut_BlueMe_Sem_Pedido!$J:$J,Aut_BlueMe_Sem_Pedido!$Q:$Q,DRE!AO$4,Aut_BlueMe_Sem_Pedido!$H:$H,DRE!$A191)+SUMIFS(Aut_Ajustes_Manuais!$G:$G,Aut_Ajustes_Manuais!$I:$I,DRE!AO$4,Aut_Ajustes_Manuais!$F:$F,"  -  INSS sobre Férias")</f>
        <v/>
      </c>
      <c r="AR191" s="241">
        <f>SUMIFS($H191:$AO191,$H$5:$AO$5,"&lt;"&amp;MONTH(TODAY()),$H$6:$AO$6,"REAL 25")</f>
        <v/>
      </c>
      <c r="AS191" s="27">
        <f>SUMIFS($I191:$AP191,$I$5:$AP$5,"&lt;"&amp;MONTH(TODAY()),$I$6:$AP$6,"ORÇADO ")</f>
        <v/>
      </c>
      <c r="AT191" s="28">
        <f>SUMIFS($J191:$AQ191,$J$5:$AQ$5,"&lt;"&amp;MONTH(TODAY()),$J$6:$AQ$6,"REAL 26")</f>
        <v/>
      </c>
      <c r="AU191" s="241">
        <f>SUM(H191,K191,N191,Q191,T191,W191,Z191,AC191,AF191,AI191,AL191,AO191)</f>
        <v/>
      </c>
      <c r="AV191" s="27">
        <f>SUM(I191,L191,O191,R191,U191,X191,AA191,AD191,AG191,AJ191,AM191,AP191)</f>
        <v/>
      </c>
      <c r="AW191" s="28">
        <f>SUM(J191,M191,P191,S191,V191,Y191,AB191,AE191,AH191,AK191,AN191,AQ191)</f>
        <v/>
      </c>
      <c r="AX191" s="241">
        <f>SUM(H191,K191,N191)</f>
        <v/>
      </c>
      <c r="AY191" s="27">
        <f>SUM(I191,L191,O191)</f>
        <v/>
      </c>
      <c r="AZ191" s="28">
        <f>SUM(J191,M191,P191)</f>
        <v/>
      </c>
      <c r="BA191" s="241">
        <f>SUM(Q191,T191,W191)</f>
        <v/>
      </c>
      <c r="BB191" s="27">
        <f>SUM(R191,U191,X191)</f>
        <v/>
      </c>
      <c r="BC191" s="28">
        <f>SUM(S191,V191,Y191)</f>
        <v/>
      </c>
      <c r="BD191" s="241">
        <f>SUM(Z191,AC191,AF191)</f>
        <v/>
      </c>
      <c r="BE191" s="27">
        <f>SUM(AA191,AD191,AG191)</f>
        <v/>
      </c>
      <c r="BF191" s="28">
        <f>SUM(AB191,AE191,AH191)</f>
        <v/>
      </c>
      <c r="BG191" s="241">
        <f>SUM(AI191,AL191,AO191)</f>
        <v/>
      </c>
      <c r="BH191" s="27">
        <f>SUM(AJ191,AM191,AP191)</f>
        <v/>
      </c>
      <c r="BI191" s="28">
        <f>SUM(AK191,AN191,AQ191)</f>
        <v/>
      </c>
    </row>
    <row r="192" hidden="1" outlineLevel="1" customFormat="1" s="498">
      <c r="A192" s="22" t="inlineStr">
        <is>
          <t xml:space="preserve">  -  Rescisão</t>
        </is>
      </c>
      <c r="B192" s="488" t="n"/>
      <c r="C192" s="485" t="n"/>
      <c r="D192" s="97" t="inlineStr">
        <is>
          <t xml:space="preserve">Sugestão - atribuir valor maximo de rescisão por mês </t>
        </is>
      </c>
      <c r="E192" s="98" t="n">
        <v>0.04</v>
      </c>
      <c r="F192" s="41" t="n"/>
      <c r="G192" s="33" t="n"/>
      <c r="H192" s="241" t="n"/>
      <c r="I192" s="27">
        <f>-SUMIFS(T_ORCAMENTOS!$E:$E,T_ORCAMENTOS!$C:$C,"  -  Rescisão",T_ORCAMENTOS!$H:$H,"1/2026")</f>
        <v/>
      </c>
      <c r="J192" s="28">
        <f>SUMIFS(Aut_BlueMe_Sem_Pedido!$J:$J,Aut_BlueMe_Sem_Pedido!$Q:$Q,DRE!H$4,Aut_BlueMe_Sem_Pedido!$H:$H,DRE!$A192)+SUMIFS(Aut_Ajustes_Manuais!$G:$G,Aut_Ajustes_Manuais!$I:$I,DRE!H$4,Aut_Ajustes_Manuais!$F:$F,"  -  Rescisão")</f>
        <v/>
      </c>
      <c r="K192" s="241" t="n"/>
      <c r="L192" s="27">
        <f>-SUMIFS(T_ORCAMENTOS!$E:$E,T_ORCAMENTOS!$C:$C,"  -  Rescisão",T_ORCAMENTOS!$H:$H,"2/2026")</f>
        <v/>
      </c>
      <c r="M192" s="28">
        <f>SUMIFS(Aut_BlueMe_Sem_Pedido!$J:$J,Aut_BlueMe_Sem_Pedido!$Q:$Q,DRE!K$4,Aut_BlueMe_Sem_Pedido!$H:$H,DRE!$A192)+SUMIFS(Aut_Ajustes_Manuais!$G:$G,Aut_Ajustes_Manuais!$I:$I,DRE!K$4,Aut_Ajustes_Manuais!$F:$F,"  -  Rescisão")</f>
        <v/>
      </c>
      <c r="N192" s="241" t="n"/>
      <c r="O192" s="27">
        <f>-SUMIFS(T_ORCAMENTOS!$E:$E,T_ORCAMENTOS!$C:$C,"  -  Rescisão",T_ORCAMENTOS!$H:$H,"3/2026")</f>
        <v/>
      </c>
      <c r="P192" s="27">
        <f>SUMIFS(Aut_BlueMe_Sem_Pedido!$J:$J,Aut_BlueMe_Sem_Pedido!$Q:$Q,DRE!N$4,Aut_BlueMe_Sem_Pedido!$H:$H,DRE!$A192)+SUMIFS(Aut_Ajustes_Manuais!$G:$G,Aut_Ajustes_Manuais!$I:$I,DRE!N$4,Aut_Ajustes_Manuais!$F:$F,"  -  Rescisão")</f>
        <v/>
      </c>
      <c r="Q192" s="241" t="n"/>
      <c r="R192" s="27">
        <f>-SUMIFS(T_ORCAMENTOS!$E:$E,T_ORCAMENTOS!$C:$C,"  -  Rescisão",T_ORCAMENTOS!$H:$H,"4/2026")</f>
        <v/>
      </c>
      <c r="S192" s="28">
        <f>SUMIFS(Aut_BlueMe_Sem_Pedido!$J:$J,Aut_BlueMe_Sem_Pedido!$Q:$Q,DRE!Q$4,Aut_BlueMe_Sem_Pedido!$H:$H,DRE!$A192)+SUMIFS(Aut_Ajustes_Manuais!$G:$G,Aut_Ajustes_Manuais!$I:$I,DRE!Q$4,Aut_Ajustes_Manuais!$F:$F,"  -  Rescisão")</f>
        <v/>
      </c>
      <c r="T192" s="241" t="n"/>
      <c r="U192" s="27">
        <f>-SUMIFS(T_ORCAMENTOS!$E:$E,T_ORCAMENTOS!$C:$C,"  -  Rescisão",T_ORCAMENTOS!$H:$H,"5/2026")</f>
        <v/>
      </c>
      <c r="V192" s="28">
        <f>SUMIFS(Aut_BlueMe_Sem_Pedido!$J:$J,Aut_BlueMe_Sem_Pedido!$Q:$Q,DRE!T$4,Aut_BlueMe_Sem_Pedido!$H:$H,DRE!$A192)+SUMIFS(Aut_Ajustes_Manuais!$G:$G,Aut_Ajustes_Manuais!$I:$I,DRE!T$4,Aut_Ajustes_Manuais!$F:$F,"  -  Rescisão")</f>
        <v/>
      </c>
      <c r="W192" s="241" t="n"/>
      <c r="X192" s="27">
        <f>-SUMIFS(T_ORCAMENTOS!$E:$E,T_ORCAMENTOS!$C:$C,"  -  Rescisão",T_ORCAMENTOS!$H:$H,"6/2026")</f>
        <v/>
      </c>
      <c r="Y192" s="28">
        <f>SUMIFS(Aut_BlueMe_Sem_Pedido!$J:$J,Aut_BlueMe_Sem_Pedido!$Q:$Q,DRE!W$4,Aut_BlueMe_Sem_Pedido!$H:$H,DRE!$A192)+SUMIFS(Aut_Ajustes_Manuais!$G:$G,Aut_Ajustes_Manuais!$I:$I,DRE!W$4,Aut_Ajustes_Manuais!$F:$F,"  -  Rescisão")</f>
        <v/>
      </c>
      <c r="Z192" s="241" t="n"/>
      <c r="AA192" s="27">
        <f>-SUMIFS(T_ORCAMENTOS!$E:$E,T_ORCAMENTOS!$C:$C,"  -  Rescisão",T_ORCAMENTOS!$H:$H,"7/2026")</f>
        <v/>
      </c>
      <c r="AB192" s="28">
        <f>SUMIFS(Aut_BlueMe_Sem_Pedido!$J:$J,Aut_BlueMe_Sem_Pedido!$Q:$Q,DRE!Z$4,Aut_BlueMe_Sem_Pedido!$H:$H,DRE!$A192)+SUMIFS(Aut_Ajustes_Manuais!$G:$G,Aut_Ajustes_Manuais!$I:$I,DRE!Z$4,Aut_Ajustes_Manuais!$F:$F,"  -  Rescisão")</f>
        <v/>
      </c>
      <c r="AC192" s="241" t="n"/>
      <c r="AD192" s="27">
        <f>-SUMIFS(T_ORCAMENTOS!$E:$E,T_ORCAMENTOS!$C:$C,"  -  Rescisão",T_ORCAMENTOS!$H:$H,"8/2026")</f>
        <v/>
      </c>
      <c r="AE192" s="28">
        <f>SUMIFS(Aut_BlueMe_Sem_Pedido!$J:$J,Aut_BlueMe_Sem_Pedido!$Q:$Q,DRE!AC$4,Aut_BlueMe_Sem_Pedido!$H:$H,DRE!$A192)+SUMIFS(Aut_Ajustes_Manuais!$G:$G,Aut_Ajustes_Manuais!$I:$I,DRE!AC$4,Aut_Ajustes_Manuais!$F:$F,"  -  Rescisão")</f>
        <v/>
      </c>
      <c r="AF192" s="241" t="n"/>
      <c r="AG192" s="27">
        <f>-SUMIFS(T_ORCAMENTOS!$E:$E,T_ORCAMENTOS!$C:$C,"  -  Rescisão",T_ORCAMENTOS!$H:$H,"9/2026")</f>
        <v/>
      </c>
      <c r="AH192" s="28">
        <f>SUMIFS(Aut_BlueMe_Sem_Pedido!$J:$J,Aut_BlueMe_Sem_Pedido!$Q:$Q,DRE!AF$4,Aut_BlueMe_Sem_Pedido!$H:$H,DRE!$A192)+SUMIFS(Aut_Ajustes_Manuais!$G:$G,Aut_Ajustes_Manuais!$I:$I,DRE!AF$4,Aut_Ajustes_Manuais!$F:$F,"  -  Rescisão")</f>
        <v/>
      </c>
      <c r="AI192" s="241" t="n"/>
      <c r="AJ192" s="27">
        <f>-SUMIFS(T_ORCAMENTOS!$E:$E,T_ORCAMENTOS!$C:$C,"  -  Rescisão",T_ORCAMENTOS!$H:$H,"10/2026")</f>
        <v/>
      </c>
      <c r="AK192" s="28">
        <f>SUMIFS(Aut_BlueMe_Sem_Pedido!$J:$J,Aut_BlueMe_Sem_Pedido!$Q:$Q,DRE!AI$4,Aut_BlueMe_Sem_Pedido!$H:$H,DRE!$A192)+SUMIFS(Aut_Ajustes_Manuais!$G:$G,Aut_Ajustes_Manuais!$I:$I,DRE!AI$4,Aut_Ajustes_Manuais!$F:$F,"  -  Rescisão")</f>
        <v/>
      </c>
      <c r="AL192" s="241" t="n"/>
      <c r="AM192" s="27">
        <f>-SUMIFS(T_ORCAMENTOS!$E:$E,T_ORCAMENTOS!$C:$C,"  -  Rescisão",T_ORCAMENTOS!$H:$H,"11/2026")</f>
        <v/>
      </c>
      <c r="AN192" s="28">
        <f>SUMIFS(Aut_BlueMe_Sem_Pedido!$J:$J,Aut_BlueMe_Sem_Pedido!$Q:$Q,DRE!AL$4,Aut_BlueMe_Sem_Pedido!$H:$H,DRE!$A192)+SUMIFS(Aut_Ajustes_Manuais!$G:$G,Aut_Ajustes_Manuais!$I:$I,DRE!AL$4,Aut_Ajustes_Manuais!$F:$F,"  -  Rescisão")</f>
        <v/>
      </c>
      <c r="AO192" s="241" t="n"/>
      <c r="AP192" s="27">
        <f>-SUMIFS(T_ORCAMENTOS!$E:$E,T_ORCAMENTOS!$C:$C,"  -  Rescisão",T_ORCAMENTOS!$H:$H,"12/2026")</f>
        <v/>
      </c>
      <c r="AQ192" s="28">
        <f>SUMIFS(Aut_BlueMe_Sem_Pedido!$J:$J,Aut_BlueMe_Sem_Pedido!$Q:$Q,DRE!AO$4,Aut_BlueMe_Sem_Pedido!$H:$H,DRE!$A192)+SUMIFS(Aut_Ajustes_Manuais!$G:$G,Aut_Ajustes_Manuais!$I:$I,DRE!AO$4,Aut_Ajustes_Manuais!$F:$F,"  -  Rescisão")</f>
        <v/>
      </c>
      <c r="AR192" s="241">
        <f>SUMIFS($H192:$AO192,$H$5:$AO$5,"&lt;"&amp;MONTH(TODAY()),$H$6:$AO$6,"REAL 25")</f>
        <v/>
      </c>
      <c r="AS192" s="27">
        <f>SUMIFS($I192:$AP192,$I$5:$AP$5,"&lt;"&amp;MONTH(TODAY()),$I$6:$AP$6,"ORÇADO ")</f>
        <v/>
      </c>
      <c r="AT192" s="28">
        <f>SUMIFS($J192:$AQ192,$J$5:$AQ$5,"&lt;"&amp;MONTH(TODAY()),$J$6:$AQ$6,"REAL 26")</f>
        <v/>
      </c>
      <c r="AU192" s="241">
        <f>SUM(H192,K192,N192,Q192,T192,W192,Z192,AC192,AF192,AI192,AL192,AO192)</f>
        <v/>
      </c>
      <c r="AV192" s="27">
        <f>SUM(I192,L192,O192,R192,U192,X192,AA192,AD192,AG192,AJ192,AM192,AP192)</f>
        <v/>
      </c>
      <c r="AW192" s="28">
        <f>SUM(J192,M192,P192,S192,V192,Y192,AB192,AE192,AH192,AK192,AN192,AQ192)</f>
        <v/>
      </c>
      <c r="AX192" s="241">
        <f>SUM(H192,K192,N192)</f>
        <v/>
      </c>
      <c r="AY192" s="27">
        <f>SUM(I192,L192,O192)</f>
        <v/>
      </c>
      <c r="AZ192" s="28">
        <f>SUM(J192,M192,P192)</f>
        <v/>
      </c>
      <c r="BA192" s="241">
        <f>SUM(Q192,T192,W192)</f>
        <v/>
      </c>
      <c r="BB192" s="27">
        <f>SUM(R192,U192,X192)</f>
        <v/>
      </c>
      <c r="BC192" s="28">
        <f>SUM(S192,V192,Y192)</f>
        <v/>
      </c>
      <c r="BD192" s="241">
        <f>SUM(Z192,AC192,AF192)</f>
        <v/>
      </c>
      <c r="BE192" s="27">
        <f>SUM(AA192,AD192,AG192)</f>
        <v/>
      </c>
      <c r="BF192" s="28">
        <f>SUM(AB192,AE192,AH192)</f>
        <v/>
      </c>
      <c r="BG192" s="241">
        <f>SUM(AI192,AL192,AO192)</f>
        <v/>
      </c>
      <c r="BH192" s="27">
        <f>SUM(AJ192,AM192,AP192)</f>
        <v/>
      </c>
      <c r="BI192" s="28">
        <f>SUM(AK192,AN192,AQ192)</f>
        <v/>
      </c>
    </row>
    <row r="193" hidden="1" outlineLevel="1" customFormat="1" s="498">
      <c r="A193" s="22" t="inlineStr">
        <is>
          <t xml:space="preserve">  -  Multa Rescisória</t>
        </is>
      </c>
      <c r="B193" s="488" t="n"/>
      <c r="C193" s="485" t="n"/>
      <c r="D193" s="97" t="inlineStr">
        <is>
          <t xml:space="preserve"> 40% do saldo do FGTS do colaborador</t>
        </is>
      </c>
      <c r="E193" s="98" t="n">
        <v>0</v>
      </c>
      <c r="F193" s="41" t="n"/>
      <c r="G193" s="33" t="n"/>
      <c r="H193" s="241" t="n"/>
      <c r="I193" s="27">
        <f>-SUMIFS(T_ORCAMENTOS!$E:$E,T_ORCAMENTOS!$C:$C,"  -  Multa Rescisória",T_ORCAMENTOS!$H:$H,"1/2026")</f>
        <v/>
      </c>
      <c r="J193" s="28">
        <f>SUMIFS(Aut_BlueMe_Sem_Pedido!$J:$J,Aut_BlueMe_Sem_Pedido!$Q:$Q,DRE!H$4,Aut_BlueMe_Sem_Pedido!$H:$H,DRE!$A193)+SUMIFS(Aut_Ajustes_Manuais!$G:$G,Aut_Ajustes_Manuais!$I:$I,DRE!H$4,Aut_Ajustes_Manuais!$F:$F,"  -  Multa Rescisória")</f>
        <v/>
      </c>
      <c r="K193" s="241" t="n"/>
      <c r="L193" s="27">
        <f>-SUMIFS(T_ORCAMENTOS!$E:$E,T_ORCAMENTOS!$C:$C,"  -  Multa Rescisória",T_ORCAMENTOS!$H:$H,"2/2026")</f>
        <v/>
      </c>
      <c r="M193" s="28">
        <f>SUMIFS(Aut_BlueMe_Sem_Pedido!$J:$J,Aut_BlueMe_Sem_Pedido!$Q:$Q,DRE!K$4,Aut_BlueMe_Sem_Pedido!$H:$H,DRE!$A193)+SUMIFS(Aut_Ajustes_Manuais!$G:$G,Aut_Ajustes_Manuais!$I:$I,DRE!K$4,Aut_Ajustes_Manuais!$F:$F,"  -  Multa Rescisória")</f>
        <v/>
      </c>
      <c r="N193" s="241" t="n"/>
      <c r="O193" s="27">
        <f>-SUMIFS(T_ORCAMENTOS!$E:$E,T_ORCAMENTOS!$C:$C,"  -  Multa Rescisória",T_ORCAMENTOS!$H:$H,"3/2026")</f>
        <v/>
      </c>
      <c r="P193" s="28">
        <f>SUMIFS(Aut_BlueMe_Sem_Pedido!$J:$J,Aut_BlueMe_Sem_Pedido!$Q:$Q,DRE!N$4,Aut_BlueMe_Sem_Pedido!$H:$H,DRE!$A193)+SUMIFS(Aut_Ajustes_Manuais!$G:$G,Aut_Ajustes_Manuais!$I:$I,DRE!N$4,Aut_Ajustes_Manuais!$F:$F,"  -  Multa Rescisória")</f>
        <v/>
      </c>
      <c r="Q193" s="241" t="n"/>
      <c r="R193" s="27">
        <f>-SUMIFS(T_ORCAMENTOS!$E:$E,T_ORCAMENTOS!$C:$C,"  -  Multa Rescisória",T_ORCAMENTOS!$H:$H,"4/2026")</f>
        <v/>
      </c>
      <c r="S193" s="28">
        <f>SUMIFS(Aut_BlueMe_Sem_Pedido!$J:$J,Aut_BlueMe_Sem_Pedido!$Q:$Q,DRE!Q$4,Aut_BlueMe_Sem_Pedido!$H:$H,DRE!$A193)+SUMIFS(Aut_Ajustes_Manuais!$G:$G,Aut_Ajustes_Manuais!$I:$I,DRE!Q$4,Aut_Ajustes_Manuais!$F:$F,"  -  Multa Rescisória")</f>
        <v/>
      </c>
      <c r="T193" s="241" t="n"/>
      <c r="U193" s="27">
        <f>-SUMIFS(T_ORCAMENTOS!$E:$E,T_ORCAMENTOS!$C:$C,"  -  Multa Rescisória",T_ORCAMENTOS!$H:$H,"5/2026")</f>
        <v/>
      </c>
      <c r="V193" s="28">
        <f>SUMIFS(Aut_BlueMe_Sem_Pedido!$J:$J,Aut_BlueMe_Sem_Pedido!$Q:$Q,DRE!T$4,Aut_BlueMe_Sem_Pedido!$H:$H,DRE!$A193)+SUMIFS(Aut_Ajustes_Manuais!$G:$G,Aut_Ajustes_Manuais!$I:$I,DRE!T$4,Aut_Ajustes_Manuais!$F:$F,"  -  Multa Rescisória")</f>
        <v/>
      </c>
      <c r="W193" s="241" t="n"/>
      <c r="X193" s="27">
        <f>-SUMIFS(T_ORCAMENTOS!$E:$E,T_ORCAMENTOS!$C:$C,"  -  Multa Rescisória",T_ORCAMENTOS!$H:$H,"6/2026")</f>
        <v/>
      </c>
      <c r="Y193" s="28">
        <f>SUMIFS(Aut_BlueMe_Sem_Pedido!$J:$J,Aut_BlueMe_Sem_Pedido!$Q:$Q,DRE!W$4,Aut_BlueMe_Sem_Pedido!$H:$H,DRE!$A193)+SUMIFS(Aut_Ajustes_Manuais!$G:$G,Aut_Ajustes_Manuais!$I:$I,DRE!W$4,Aut_Ajustes_Manuais!$F:$F,"  -  Multa Rescisória")</f>
        <v/>
      </c>
      <c r="Z193" s="241" t="n"/>
      <c r="AA193" s="27">
        <f>-SUMIFS(T_ORCAMENTOS!$E:$E,T_ORCAMENTOS!$C:$C,"  -  Multa Rescisória",T_ORCAMENTOS!$H:$H,"7/2026")</f>
        <v/>
      </c>
      <c r="AB193" s="28">
        <f>SUMIFS(Aut_BlueMe_Sem_Pedido!$J:$J,Aut_BlueMe_Sem_Pedido!$Q:$Q,DRE!Z$4,Aut_BlueMe_Sem_Pedido!$H:$H,DRE!$A193)+SUMIFS(Aut_Ajustes_Manuais!$G:$G,Aut_Ajustes_Manuais!$I:$I,DRE!Z$4,Aut_Ajustes_Manuais!$F:$F,"  -  Multa Rescisória")</f>
        <v/>
      </c>
      <c r="AC193" s="241" t="n"/>
      <c r="AD193" s="27">
        <f>-SUMIFS(T_ORCAMENTOS!$E:$E,T_ORCAMENTOS!$C:$C,"  -  Multa Rescisória",T_ORCAMENTOS!$H:$H,"8/2026")</f>
        <v/>
      </c>
      <c r="AE193" s="28">
        <f>SUMIFS(Aut_BlueMe_Sem_Pedido!$J:$J,Aut_BlueMe_Sem_Pedido!$Q:$Q,DRE!AC$4,Aut_BlueMe_Sem_Pedido!$H:$H,DRE!$A193)+SUMIFS(Aut_Ajustes_Manuais!$G:$G,Aut_Ajustes_Manuais!$I:$I,DRE!AC$4,Aut_Ajustes_Manuais!$F:$F,"  -  Multa Rescisória")</f>
        <v/>
      </c>
      <c r="AF193" s="241" t="n"/>
      <c r="AG193" s="27">
        <f>-SUMIFS(T_ORCAMENTOS!$E:$E,T_ORCAMENTOS!$C:$C,"  -  Multa Rescisória",T_ORCAMENTOS!$H:$H,"9/2026")</f>
        <v/>
      </c>
      <c r="AH193" s="28">
        <f>SUMIFS(Aut_BlueMe_Sem_Pedido!$J:$J,Aut_BlueMe_Sem_Pedido!$Q:$Q,DRE!AF$4,Aut_BlueMe_Sem_Pedido!$H:$H,DRE!$A193)+SUMIFS(Aut_Ajustes_Manuais!$G:$G,Aut_Ajustes_Manuais!$I:$I,DRE!AF$4,Aut_Ajustes_Manuais!$F:$F,"  -  Multa Rescisória")</f>
        <v/>
      </c>
      <c r="AI193" s="241" t="n"/>
      <c r="AJ193" s="27">
        <f>-SUMIFS(T_ORCAMENTOS!$E:$E,T_ORCAMENTOS!$C:$C,"  -  Multa Rescisória",T_ORCAMENTOS!$H:$H,"10/2026")</f>
        <v/>
      </c>
      <c r="AK193" s="28">
        <f>SUMIFS(Aut_BlueMe_Sem_Pedido!$J:$J,Aut_BlueMe_Sem_Pedido!$Q:$Q,DRE!AI$4,Aut_BlueMe_Sem_Pedido!$H:$H,DRE!$A193)+SUMIFS(Aut_Ajustes_Manuais!$G:$G,Aut_Ajustes_Manuais!$I:$I,DRE!AI$4,Aut_Ajustes_Manuais!$F:$F,"  -  Multa Rescisória")</f>
        <v/>
      </c>
      <c r="AL193" s="241" t="n"/>
      <c r="AM193" s="27">
        <f>-SUMIFS(T_ORCAMENTOS!$E:$E,T_ORCAMENTOS!$C:$C,"  -  Multa Rescisória",T_ORCAMENTOS!$H:$H,"11/2026")</f>
        <v/>
      </c>
      <c r="AN193" s="28">
        <f>SUMIFS(Aut_BlueMe_Sem_Pedido!$J:$J,Aut_BlueMe_Sem_Pedido!$Q:$Q,DRE!AL$4,Aut_BlueMe_Sem_Pedido!$H:$H,DRE!$A193)+SUMIFS(Aut_Ajustes_Manuais!$G:$G,Aut_Ajustes_Manuais!$I:$I,DRE!AL$4,Aut_Ajustes_Manuais!$F:$F,"  -  Multa Rescisória")</f>
        <v/>
      </c>
      <c r="AO193" s="241" t="n"/>
      <c r="AP193" s="27">
        <f>-SUMIFS(T_ORCAMENTOS!$E:$E,T_ORCAMENTOS!$C:$C,"  -  Multa Rescisória",T_ORCAMENTOS!$H:$H,"12/2026")</f>
        <v/>
      </c>
      <c r="AQ193" s="28">
        <f>SUMIFS(Aut_BlueMe_Sem_Pedido!$J:$J,Aut_BlueMe_Sem_Pedido!$Q:$Q,DRE!AO$4,Aut_BlueMe_Sem_Pedido!$H:$H,DRE!$A193)+SUMIFS(Aut_Ajustes_Manuais!$G:$G,Aut_Ajustes_Manuais!$I:$I,DRE!AO$4,Aut_Ajustes_Manuais!$F:$F,"  -  Multa Rescisória")</f>
        <v/>
      </c>
      <c r="AR193" s="241">
        <f>SUMIFS($H193:$AO193,$H$5:$AO$5,"&lt;"&amp;MONTH(TODAY()),$H$6:$AO$6,"REAL 25")</f>
        <v/>
      </c>
      <c r="AS193" s="27">
        <f>SUMIFS($I193:$AP193,$I$5:$AP$5,"&lt;"&amp;MONTH(TODAY()),$I$6:$AP$6,"ORÇADO ")</f>
        <v/>
      </c>
      <c r="AT193" s="28">
        <f>SUMIFS($J193:$AQ193,$J$5:$AQ$5,"&lt;"&amp;MONTH(TODAY()),$J$6:$AQ$6,"REAL 26")</f>
        <v/>
      </c>
      <c r="AU193" s="241">
        <f>SUM(H193,K193,N193,Q193,T193,W193,Z193,AC193,AF193,AI193,AL193,AO193)</f>
        <v/>
      </c>
      <c r="AV193" s="27">
        <f>SUM(I193,L193,O193,R193,U193,X193,AA193,AD193,AG193,AJ193,AM193,AP193)</f>
        <v/>
      </c>
      <c r="AW193" s="28">
        <f>SUM(J193,M193,P193,S193,V193,Y193,AB193,AE193,AH193,AK193,AN193,AQ193)</f>
        <v/>
      </c>
      <c r="AX193" s="241">
        <f>SUM(H193,K193,N193)</f>
        <v/>
      </c>
      <c r="AY193" s="27">
        <f>SUM(I193,L193,O193)</f>
        <v/>
      </c>
      <c r="AZ193" s="28">
        <f>SUM(J193,M193,P193)</f>
        <v/>
      </c>
      <c r="BA193" s="241">
        <f>SUM(Q193,T193,W193)</f>
        <v/>
      </c>
      <c r="BB193" s="27">
        <f>SUM(R193,U193,X193)</f>
        <v/>
      </c>
      <c r="BC193" s="28">
        <f>SUM(S193,V193,Y193)</f>
        <v/>
      </c>
      <c r="BD193" s="241">
        <f>SUM(Z193,AC193,AF193)</f>
        <v/>
      </c>
      <c r="BE193" s="27">
        <f>SUM(AA193,AD193,AG193)</f>
        <v/>
      </c>
      <c r="BF193" s="28">
        <f>SUM(AB193,AE193,AH193)</f>
        <v/>
      </c>
      <c r="BG193" s="241">
        <f>SUM(AI193,AL193,AO193)</f>
        <v/>
      </c>
      <c r="BH193" s="27">
        <f>SUM(AJ193,AM193,AP193)</f>
        <v/>
      </c>
      <c r="BI193" s="28">
        <f>SUM(AK193,AN193,AQ193)</f>
        <v/>
      </c>
    </row>
    <row r="194" hidden="1" outlineLevel="1" customFormat="1" s="498">
      <c r="A194" s="22" t="inlineStr">
        <is>
          <t xml:space="preserve">  -  Ações trabalhistas</t>
        </is>
      </c>
      <c r="B194" s="488" t="n"/>
      <c r="C194" s="485" t="n"/>
      <c r="D194" s="97" t="inlineStr">
        <is>
          <t xml:space="preserve">Valor lançado em sistema </t>
        </is>
      </c>
      <c r="E194" s="98" t="n"/>
      <c r="F194" s="41" t="n"/>
      <c r="G194" s="33" t="n"/>
      <c r="H194" s="241" t="n"/>
      <c r="I194" s="27">
        <f>-SUMIFS(T_ORCAMENTOS!$E:$E,T_ORCAMENTOS!$C:$C,"  -  Ações trabalhistas",T_ORCAMENTOS!$H:$H,"1/2026")</f>
        <v/>
      </c>
      <c r="J194" s="28">
        <f>SUMIFS(Aut_Endividamentos!$N:$N,Aut_Endividamentos!$S:$S,DRE!H$4,Aut_Endividamentos!$G:$G,DRE!$A194)+SUMIFS(Aut_Ajustes_Manuais!$G:$G,Aut_Ajustes_Manuais!$I:$I,DRE!H$4,Aut_Ajustes_Manuais!$F:$F,"  -  Ações trabalhistas")</f>
        <v/>
      </c>
      <c r="K194" s="241" t="n"/>
      <c r="L194" s="27">
        <f>-SUMIFS(T_ORCAMENTOS!$E:$E,T_ORCAMENTOS!$C:$C,"  -  Ações trabalhistas",T_ORCAMENTOS!$H:$H,"2/2026")</f>
        <v/>
      </c>
      <c r="M194" s="28">
        <f>SUMIFS(Aut_Endividamentos!$N:$N,Aut_Endividamentos!$S:$S,DRE!K$4,Aut_Endividamentos!$G:$G,DRE!$A194)+SUMIFS(Aut_Ajustes_Manuais!$G:$G,Aut_Ajustes_Manuais!$I:$I,DRE!K$4,Aut_Ajustes_Manuais!$F:$F,"  -  Ações trabalhistas")</f>
        <v/>
      </c>
      <c r="N194" s="241" t="n"/>
      <c r="O194" s="27">
        <f>-SUMIFS(T_ORCAMENTOS!$E:$E,T_ORCAMENTOS!$C:$C,"  -  Ações trabalhistas",T_ORCAMENTOS!$H:$H,"3/2026")</f>
        <v/>
      </c>
      <c r="P194" s="28">
        <f>SUMIFS(Aut_Endividamentos!$N:$N,Aut_Endividamentos!$S:$S,DRE!N$4,Aut_Endividamentos!$G:$G,DRE!$A194)+SUMIFS(Aut_Ajustes_Manuais!$G:$G,Aut_Ajustes_Manuais!$I:$I,DRE!N$4,Aut_Ajustes_Manuais!$F:$F,"  -  Ações trabalhistas")</f>
        <v/>
      </c>
      <c r="Q194" s="241" t="n"/>
      <c r="R194" s="27">
        <f>-SUMIFS(T_ORCAMENTOS!$E:$E,T_ORCAMENTOS!$C:$C,"  -  Ações trabalhistas",T_ORCAMENTOS!$H:$H,"4/2026")</f>
        <v/>
      </c>
      <c r="S194" s="28">
        <f>SUMIFS(Aut_Endividamentos!$N:$N,Aut_Endividamentos!$S:$S,DRE!Q$4,Aut_Endividamentos!$G:$G,DRE!$A194)+SUMIFS(Aut_Ajustes_Manuais!$G:$G,Aut_Ajustes_Manuais!$I:$I,DRE!Q$4,Aut_Ajustes_Manuais!$F:$F,"  -  Ações trabalhistas")</f>
        <v/>
      </c>
      <c r="T194" s="241" t="n"/>
      <c r="U194" s="27">
        <f>-SUMIFS(T_ORCAMENTOS!$E:$E,T_ORCAMENTOS!$C:$C,"  -  Ações trabalhistas",T_ORCAMENTOS!$H:$H,"5/2026")</f>
        <v/>
      </c>
      <c r="V194" s="28">
        <f>SUMIFS(Aut_Endividamentos!$N:$N,Aut_Endividamentos!$S:$S,DRE!T$4,Aut_Endividamentos!$G:$G,DRE!$A194)+SUMIFS(Aut_Ajustes_Manuais!$G:$G,Aut_Ajustes_Manuais!$I:$I,DRE!T$4,Aut_Ajustes_Manuais!$F:$F,"  -  Ações trabalhistas")</f>
        <v/>
      </c>
      <c r="W194" s="241" t="n"/>
      <c r="X194" s="27">
        <f>-SUMIFS(T_ORCAMENTOS!$E:$E,T_ORCAMENTOS!$C:$C,"  -  Ações trabalhistas",T_ORCAMENTOS!$H:$H,"6/2026")</f>
        <v/>
      </c>
      <c r="Y194" s="28">
        <f>SUMIFS(Aut_Endividamentos!$N:$N,Aut_Endividamentos!$S:$S,DRE!W$4,Aut_Endividamentos!$G:$G,DRE!$A194)+SUMIFS(Aut_Ajustes_Manuais!$G:$G,Aut_Ajustes_Manuais!$I:$I,DRE!W$4,Aut_Ajustes_Manuais!$F:$F,"  -  Ações trabalhistas")</f>
        <v/>
      </c>
      <c r="Z194" s="241" t="n"/>
      <c r="AA194" s="27">
        <f>-SUMIFS(T_ORCAMENTOS!$E:$E,T_ORCAMENTOS!$C:$C,"  -  Ações trabalhistas",T_ORCAMENTOS!$H:$H,"7/2026")</f>
        <v/>
      </c>
      <c r="AB194" s="28">
        <f>SUMIFS(Aut_Endividamentos!$N:$N,Aut_Endividamentos!$S:$S,DRE!Z$4,Aut_Endividamentos!$G:$G,DRE!$A194)+SUMIFS(Aut_Ajustes_Manuais!$G:$G,Aut_Ajustes_Manuais!$I:$I,DRE!Z$4,Aut_Ajustes_Manuais!$F:$F,"  -  Ações trabalhistas")</f>
        <v/>
      </c>
      <c r="AC194" s="241" t="n"/>
      <c r="AD194" s="27">
        <f>-SUMIFS(T_ORCAMENTOS!$E:$E,T_ORCAMENTOS!$C:$C,"  -  Ações trabalhistas",T_ORCAMENTOS!$H:$H,"8/2026")</f>
        <v/>
      </c>
      <c r="AE194" s="28">
        <f>SUMIFS(Aut_Endividamentos!$N:$N,Aut_Endividamentos!$S:$S,DRE!AC$4,Aut_Endividamentos!$G:$G,DRE!$A194)+SUMIFS(Aut_Ajustes_Manuais!$G:$G,Aut_Ajustes_Manuais!$I:$I,DRE!AC$4,Aut_Ajustes_Manuais!$F:$F,"  -  Ações trabalhistas")</f>
        <v/>
      </c>
      <c r="AF194" s="241" t="n"/>
      <c r="AG194" s="27">
        <f>-SUMIFS(T_ORCAMENTOS!$E:$E,T_ORCAMENTOS!$C:$C,"  -  Ações trabalhistas",T_ORCAMENTOS!$H:$H,"9/2026")</f>
        <v/>
      </c>
      <c r="AH194" s="28">
        <f>SUMIFS(Aut_Endividamentos!$N:$N,Aut_Endividamentos!$S:$S,DRE!AF$4,Aut_Endividamentos!$G:$G,DRE!$A194)+SUMIFS(Aut_Ajustes_Manuais!$G:$G,Aut_Ajustes_Manuais!$I:$I,DRE!AF$4,Aut_Ajustes_Manuais!$F:$F,"  -  Ações trabalhistas")</f>
        <v/>
      </c>
      <c r="AI194" s="241" t="n"/>
      <c r="AJ194" s="27">
        <f>-SUMIFS(T_ORCAMENTOS!$E:$E,T_ORCAMENTOS!$C:$C,"  -  Ações trabalhistas",T_ORCAMENTOS!$H:$H,"10/2026")</f>
        <v/>
      </c>
      <c r="AK194" s="28">
        <f>SUMIFS(Aut_Endividamentos!$N:$N,Aut_Endividamentos!$S:$S,DRE!AI$4,Aut_Endividamentos!$G:$G,DRE!$A194)+SUMIFS(Aut_Ajustes_Manuais!$G:$G,Aut_Ajustes_Manuais!$I:$I,DRE!AI$4,Aut_Ajustes_Manuais!$F:$F,"  -  Ações trabalhistas")</f>
        <v/>
      </c>
      <c r="AL194" s="241" t="n"/>
      <c r="AM194" s="27">
        <f>-SUMIFS(T_ORCAMENTOS!$E:$E,T_ORCAMENTOS!$C:$C,"  -  Ações trabalhistas",T_ORCAMENTOS!$H:$H,"11/2026")</f>
        <v/>
      </c>
      <c r="AN194" s="28">
        <f>SUMIFS(Aut_Endividamentos!$N:$N,Aut_Endividamentos!$S:$S,DRE!AL$4,Aut_Endividamentos!$G:$G,DRE!$A194)+SUMIFS(Aut_Ajustes_Manuais!$G:$G,Aut_Ajustes_Manuais!$I:$I,DRE!AL$4,Aut_Ajustes_Manuais!$F:$F,"  -  Ações trabalhistas")</f>
        <v/>
      </c>
      <c r="AO194" s="241" t="n"/>
      <c r="AP194" s="27">
        <f>-SUMIFS(T_ORCAMENTOS!$E:$E,T_ORCAMENTOS!$C:$C,"  -  Ações trabalhistas",T_ORCAMENTOS!$H:$H,"12/2026")</f>
        <v/>
      </c>
      <c r="AQ194" s="28">
        <f>SUMIFS(Aut_Endividamentos!$N:$N,Aut_Endividamentos!$S:$S,DRE!AO$4,Aut_Endividamentos!$G:$G,DRE!$A194)+SUMIFS(Aut_Ajustes_Manuais!$G:$G,Aut_Ajustes_Manuais!$I:$I,DRE!AO$4,Aut_Ajustes_Manuais!$F:$F,"  -  Ações trabalhistas")</f>
        <v/>
      </c>
      <c r="AR194" s="241">
        <f>SUMIFS($H194:$AO194,$H$5:$AO$5,"&lt;"&amp;MONTH(TODAY()),$H$6:$AO$6,"REAL 25")</f>
        <v/>
      </c>
      <c r="AS194" s="27">
        <f>SUMIFS($I194:$AP194,$I$5:$AP$5,"&lt;"&amp;MONTH(TODAY()),$I$6:$AP$6,"ORÇADO ")</f>
        <v/>
      </c>
      <c r="AT194" s="28">
        <f>SUMIFS($J194:$AQ194,$J$5:$AQ$5,"&lt;"&amp;MONTH(TODAY()),$J$6:$AQ$6,"REAL 26")</f>
        <v/>
      </c>
      <c r="AU194" s="241">
        <f>SUM(H194,K194,N194,Q194,T194,W194,Z194,AC194,AF194,AI194,AL194,AO194)</f>
        <v/>
      </c>
      <c r="AV194" s="27">
        <f>SUM(I194,L194,O194,R194,U194,X194,AA194,AD194,AG194,AJ194,AM194,AP194)</f>
        <v/>
      </c>
      <c r="AW194" s="28">
        <f>SUM(J194,M194,P194,S194,V194,Y194,AB194,AE194,AH194,AK194,AN194,AQ194)</f>
        <v/>
      </c>
      <c r="AX194" s="241">
        <f>SUM(H194,K194,N194)</f>
        <v/>
      </c>
      <c r="AY194" s="27">
        <f>SUM(I194,L194,O194)</f>
        <v/>
      </c>
      <c r="AZ194" s="28">
        <f>SUM(J194,M194,P194)</f>
        <v/>
      </c>
      <c r="BA194" s="241">
        <f>SUM(Q194,T194,W194)</f>
        <v/>
      </c>
      <c r="BB194" s="27">
        <f>SUM(R194,U194,X194)</f>
        <v/>
      </c>
      <c r="BC194" s="28">
        <f>SUM(S194,V194,Y194)</f>
        <v/>
      </c>
      <c r="BD194" s="241">
        <f>SUM(Z194,AC194,AF194)</f>
        <v/>
      </c>
      <c r="BE194" s="27">
        <f>SUM(AA194,AD194,AG194)</f>
        <v/>
      </c>
      <c r="BF194" s="28">
        <f>SUM(AB194,AE194,AH194)</f>
        <v/>
      </c>
      <c r="BG194" s="241">
        <f>SUM(AI194,AL194,AO194)</f>
        <v/>
      </c>
      <c r="BH194" s="27">
        <f>SUM(AJ194,AM194,AP194)</f>
        <v/>
      </c>
      <c r="BI194" s="28">
        <f>SUM(AK194,AN194,AQ194)</f>
        <v/>
      </c>
    </row>
    <row r="195" hidden="1" outlineLevel="1" customFormat="1" s="498">
      <c r="A195" s="22" t="inlineStr">
        <is>
          <t xml:space="preserve">  -  Adicional Noturno</t>
        </is>
      </c>
      <c r="B195" s="488" t="n"/>
      <c r="C195" s="485" t="n"/>
      <c r="D195" s="97" t="inlineStr">
        <is>
          <t xml:space="preserve">(Salário / 220 x Nº de horas noturnas x1,142857) </t>
        </is>
      </c>
      <c r="E195" s="100" t="inlineStr">
        <is>
          <t>4 horas - 40% OP</t>
        </is>
      </c>
      <c r="F195" s="41" t="n"/>
      <c r="G195" s="33" t="n"/>
      <c r="H195" s="241" t="n"/>
      <c r="I195" s="27">
        <f>-SUMIFS(T_ORCAMENTOS!$E:$E,T_ORCAMENTOS!$C:$C,"  -  Adicional Noturno",T_ORCAMENTOS!$H:$H,"1/2026")</f>
        <v/>
      </c>
      <c r="J195" s="28">
        <f>SUMIFS(Aut_BlueMe_Sem_Pedido!$J:$J,Aut_BlueMe_Sem_Pedido!$Q:$Q,DRE!H$4,Aut_BlueMe_Sem_Pedido!$H:$H,DRE!$A195)+SUMIFS(Aut_Ajustes_Manuais!$G:$G,Aut_Ajustes_Manuais!$I:$I,DRE!H$4,Aut_Ajustes_Manuais!$F:$F,"  -  Adicional Noturno")</f>
        <v/>
      </c>
      <c r="K195" s="241" t="n"/>
      <c r="L195" s="27">
        <f>-SUMIFS(T_ORCAMENTOS!$E:$E,T_ORCAMENTOS!$C:$C,"  -  Adicional Noturno",T_ORCAMENTOS!$H:$H,"2/2026")</f>
        <v/>
      </c>
      <c r="M195" s="28">
        <f>SUMIFS(Aut_BlueMe_Sem_Pedido!$J:$J,Aut_BlueMe_Sem_Pedido!$Q:$Q,DRE!K$4,Aut_BlueMe_Sem_Pedido!$H:$H,DRE!$A195)+SUMIFS(Aut_Ajustes_Manuais!$G:$G,Aut_Ajustes_Manuais!$I:$I,DRE!K$4,Aut_Ajustes_Manuais!$F:$F,"  -  Adicional Noturno")</f>
        <v/>
      </c>
      <c r="N195" s="241" t="n"/>
      <c r="O195" s="27">
        <f>-SUMIFS(T_ORCAMENTOS!$E:$E,T_ORCAMENTOS!$C:$C,"  -  Adicional Noturno",T_ORCAMENTOS!$H:$H,"3/2026")</f>
        <v/>
      </c>
      <c r="P195" s="28">
        <f>SUMIFS(Aut_BlueMe_Sem_Pedido!$J:$J,Aut_BlueMe_Sem_Pedido!$Q:$Q,DRE!N$4,Aut_BlueMe_Sem_Pedido!$H:$H,DRE!$A195)+SUMIFS(Aut_Ajustes_Manuais!$G:$G,Aut_Ajustes_Manuais!$I:$I,DRE!N$4,Aut_Ajustes_Manuais!$F:$F,"  -  Adicional Noturno")</f>
        <v/>
      </c>
      <c r="Q195" s="241" t="n"/>
      <c r="R195" s="27">
        <f>-SUMIFS(T_ORCAMENTOS!$E:$E,T_ORCAMENTOS!$C:$C,"  -  Adicional Noturno",T_ORCAMENTOS!$H:$H,"4/2026")</f>
        <v/>
      </c>
      <c r="S195" s="28">
        <f>SUMIFS(Aut_BlueMe_Sem_Pedido!$J:$J,Aut_BlueMe_Sem_Pedido!$Q:$Q,DRE!Q$4,Aut_BlueMe_Sem_Pedido!$H:$H,DRE!$A195)+SUMIFS(Aut_Ajustes_Manuais!$G:$G,Aut_Ajustes_Manuais!$I:$I,DRE!Q$4,Aut_Ajustes_Manuais!$F:$F,"  -  Adicional Noturno")</f>
        <v/>
      </c>
      <c r="T195" s="241" t="n"/>
      <c r="U195" s="27">
        <f>-SUMIFS(T_ORCAMENTOS!$E:$E,T_ORCAMENTOS!$C:$C,"  -  Adicional Noturno",T_ORCAMENTOS!$H:$H,"5/2026")</f>
        <v/>
      </c>
      <c r="V195" s="28">
        <f>SUMIFS(Aut_BlueMe_Sem_Pedido!$J:$J,Aut_BlueMe_Sem_Pedido!$Q:$Q,DRE!T$4,Aut_BlueMe_Sem_Pedido!$H:$H,DRE!$A195)+SUMIFS(Aut_Ajustes_Manuais!$G:$G,Aut_Ajustes_Manuais!$I:$I,DRE!T$4,Aut_Ajustes_Manuais!$F:$F,"  -  Adicional Noturno")</f>
        <v/>
      </c>
      <c r="W195" s="241" t="n"/>
      <c r="X195" s="27">
        <f>-SUMIFS(T_ORCAMENTOS!$E:$E,T_ORCAMENTOS!$C:$C,"  -  Adicional Noturno",T_ORCAMENTOS!$H:$H,"6/2026")</f>
        <v/>
      </c>
      <c r="Y195" s="28">
        <f>SUMIFS(Aut_BlueMe_Sem_Pedido!$J:$J,Aut_BlueMe_Sem_Pedido!$Q:$Q,DRE!W$4,Aut_BlueMe_Sem_Pedido!$H:$H,DRE!$A195)+SUMIFS(Aut_Ajustes_Manuais!$G:$G,Aut_Ajustes_Manuais!$I:$I,DRE!W$4,Aut_Ajustes_Manuais!$F:$F,"  -  Adicional Noturno")</f>
        <v/>
      </c>
      <c r="Z195" s="241" t="n"/>
      <c r="AA195" s="27">
        <f>-SUMIFS(T_ORCAMENTOS!$E:$E,T_ORCAMENTOS!$C:$C,"  -  Adicional Noturno",T_ORCAMENTOS!$H:$H,"7/2026")</f>
        <v/>
      </c>
      <c r="AB195" s="28">
        <f>SUMIFS(Aut_BlueMe_Sem_Pedido!$J:$J,Aut_BlueMe_Sem_Pedido!$Q:$Q,DRE!Z$4,Aut_BlueMe_Sem_Pedido!$H:$H,DRE!$A195)+SUMIFS(Aut_Ajustes_Manuais!$G:$G,Aut_Ajustes_Manuais!$I:$I,DRE!Z$4,Aut_Ajustes_Manuais!$F:$F,"  -  Adicional Noturno")</f>
        <v/>
      </c>
      <c r="AC195" s="241" t="n"/>
      <c r="AD195" s="27">
        <f>-SUMIFS(T_ORCAMENTOS!$E:$E,T_ORCAMENTOS!$C:$C,"  -  Adicional Noturno",T_ORCAMENTOS!$H:$H,"8/2026")</f>
        <v/>
      </c>
      <c r="AE195" s="28">
        <f>SUMIFS(Aut_BlueMe_Sem_Pedido!$J:$J,Aut_BlueMe_Sem_Pedido!$Q:$Q,DRE!AC$4,Aut_BlueMe_Sem_Pedido!$H:$H,DRE!$A195)+SUMIFS(Aut_Ajustes_Manuais!$G:$G,Aut_Ajustes_Manuais!$I:$I,DRE!AC$4,Aut_Ajustes_Manuais!$F:$F,"  -  Adicional Noturno")</f>
        <v/>
      </c>
      <c r="AF195" s="241" t="n"/>
      <c r="AG195" s="27">
        <f>-SUMIFS(T_ORCAMENTOS!$E:$E,T_ORCAMENTOS!$C:$C,"  -  Adicional Noturno",T_ORCAMENTOS!$H:$H,"9/2026")</f>
        <v/>
      </c>
      <c r="AH195" s="28">
        <f>SUMIFS(Aut_BlueMe_Sem_Pedido!$J:$J,Aut_BlueMe_Sem_Pedido!$Q:$Q,DRE!AF$4,Aut_BlueMe_Sem_Pedido!$H:$H,DRE!$A195)+SUMIFS(Aut_Ajustes_Manuais!$G:$G,Aut_Ajustes_Manuais!$I:$I,DRE!AF$4,Aut_Ajustes_Manuais!$F:$F,"  -  Adicional Noturno")</f>
        <v/>
      </c>
      <c r="AI195" s="241" t="n"/>
      <c r="AJ195" s="27">
        <f>-SUMIFS(T_ORCAMENTOS!$E:$E,T_ORCAMENTOS!$C:$C,"  -  Adicional Noturno",T_ORCAMENTOS!$H:$H,"10/2026")</f>
        <v/>
      </c>
      <c r="AK195" s="28">
        <f>SUMIFS(Aut_BlueMe_Sem_Pedido!$J:$J,Aut_BlueMe_Sem_Pedido!$Q:$Q,DRE!AI$4,Aut_BlueMe_Sem_Pedido!$H:$H,DRE!$A195)+SUMIFS(Aut_Ajustes_Manuais!$G:$G,Aut_Ajustes_Manuais!$I:$I,DRE!AI$4,Aut_Ajustes_Manuais!$F:$F,"  -  Adicional Noturno")</f>
        <v/>
      </c>
      <c r="AL195" s="241" t="n"/>
      <c r="AM195" s="27">
        <f>-SUMIFS(T_ORCAMENTOS!$E:$E,T_ORCAMENTOS!$C:$C,"  -  Adicional Noturno",T_ORCAMENTOS!$H:$H,"11/2026")</f>
        <v/>
      </c>
      <c r="AN195" s="28">
        <f>SUMIFS(Aut_BlueMe_Sem_Pedido!$J:$J,Aut_BlueMe_Sem_Pedido!$Q:$Q,DRE!AL$4,Aut_BlueMe_Sem_Pedido!$H:$H,DRE!$A195)+SUMIFS(Aut_Ajustes_Manuais!$G:$G,Aut_Ajustes_Manuais!$I:$I,DRE!AL$4,Aut_Ajustes_Manuais!$F:$F,"  -  Adicional Noturno")</f>
        <v/>
      </c>
      <c r="AO195" s="241" t="n"/>
      <c r="AP195" s="27">
        <f>-SUMIFS(T_ORCAMENTOS!$E:$E,T_ORCAMENTOS!$C:$C,"  -  Adicional Noturno",T_ORCAMENTOS!$H:$H,"12/2026")</f>
        <v/>
      </c>
      <c r="AQ195" s="28">
        <f>SUMIFS(Aut_BlueMe_Sem_Pedido!$J:$J,Aut_BlueMe_Sem_Pedido!$Q:$Q,DRE!AO$4,Aut_BlueMe_Sem_Pedido!$H:$H,DRE!$A195)+SUMIFS(Aut_Ajustes_Manuais!$G:$G,Aut_Ajustes_Manuais!$I:$I,DRE!AO$4,Aut_Ajustes_Manuais!$F:$F,"  -  Adicional Noturno")</f>
        <v/>
      </c>
      <c r="AR195" s="241">
        <f>SUMIFS($H195:$AO195,$H$5:$AO$5,"&lt;"&amp;MONTH(TODAY()),$H$6:$AO$6,"REAL 25")</f>
        <v/>
      </c>
      <c r="AS195" s="27">
        <f>SUMIFS($I195:$AP195,$I$5:$AP$5,"&lt;"&amp;MONTH(TODAY()),$I$6:$AP$6,"ORÇADO ")</f>
        <v/>
      </c>
      <c r="AT195" s="28">
        <f>SUMIFS($J195:$AQ195,$J$5:$AQ$5,"&lt;"&amp;MONTH(TODAY()),$J$6:$AQ$6,"REAL 26")</f>
        <v/>
      </c>
      <c r="AU195" s="241">
        <f>SUM(H195,K195,N195,Q195,T195,W195,Z195,AC195,AF195,AI195,AL195,AO195)</f>
        <v/>
      </c>
      <c r="AV195" s="27">
        <f>SUM(I195,L195,O195,R195,U195,X195,AA195,AD195,AG195,AJ195,AM195,AP195)</f>
        <v/>
      </c>
      <c r="AW195" s="28">
        <f>SUM(J195,M195,P195,S195,V195,Y195,AB195,AE195,AH195,AK195,AN195,AQ195)</f>
        <v/>
      </c>
      <c r="AX195" s="241">
        <f>SUM(H195,K195,N195)</f>
        <v/>
      </c>
      <c r="AY195" s="27">
        <f>SUM(I195,L195,O195)</f>
        <v/>
      </c>
      <c r="AZ195" s="28">
        <f>SUM(J195,M195,P195)</f>
        <v/>
      </c>
      <c r="BA195" s="241">
        <f>SUM(Q195,T195,W195)</f>
        <v/>
      </c>
      <c r="BB195" s="27">
        <f>SUM(R195,U195,X195)</f>
        <v/>
      </c>
      <c r="BC195" s="28">
        <f>SUM(S195,V195,Y195)</f>
        <v/>
      </c>
      <c r="BD195" s="241">
        <f>SUM(Z195,AC195,AF195)</f>
        <v/>
      </c>
      <c r="BE195" s="27">
        <f>SUM(AA195,AD195,AG195)</f>
        <v/>
      </c>
      <c r="BF195" s="28">
        <f>SUM(AB195,AE195,AH195)</f>
        <v/>
      </c>
      <c r="BG195" s="241">
        <f>SUM(AI195,AL195,AO195)</f>
        <v/>
      </c>
      <c r="BH195" s="27">
        <f>SUM(AJ195,AM195,AP195)</f>
        <v/>
      </c>
      <c r="BI195" s="28">
        <f>SUM(AK195,AN195,AQ195)</f>
        <v/>
      </c>
    </row>
    <row r="196" hidden="1" outlineLevel="1" customFormat="1" s="498">
      <c r="A196" s="22" t="inlineStr">
        <is>
          <t xml:space="preserve">  -  Hora Extra</t>
        </is>
      </c>
      <c r="B196" s="488" t="n"/>
      <c r="C196" s="485" t="n"/>
      <c r="D196" s="97" t="inlineStr">
        <is>
          <t>Salário / 220 x 2  =  1 horas - 5% dos funcionários</t>
        </is>
      </c>
      <c r="E196" s="100" t="n"/>
      <c r="F196" s="41" t="n"/>
      <c r="G196" s="33" t="n"/>
      <c r="H196" s="241" t="n"/>
      <c r="I196" s="27">
        <f>-SUMIFS(T_ORCAMENTOS!$E:$E,T_ORCAMENTOS!$C:$C,"  -  Hora Extra",T_ORCAMENTOS!$H:$H,"1/2026")</f>
        <v/>
      </c>
      <c r="J196" s="27">
        <f>SUMIFS(Aut_BlueMe_Sem_Pedido!$J:$J,Aut_BlueMe_Sem_Pedido!$Q:$Q,DRE!H$4,Aut_BlueMe_Sem_Pedido!$H:$H,DRE!$A196)+SUMIFS(Aut_Ajustes_Manuais!$G:$G,Aut_Ajustes_Manuais!$I:$I,DRE!H$4,Aut_Ajustes_Manuais!$F:$F,"  -  Hora Extra")</f>
        <v/>
      </c>
      <c r="K196" s="241" t="n"/>
      <c r="L196" s="27">
        <f>-SUMIFS(T_ORCAMENTOS!$E:$E,T_ORCAMENTOS!$C:$C,"  -  Hora Extra",T_ORCAMENTOS!$H:$H,"2/2026")</f>
        <v/>
      </c>
      <c r="M196" s="27">
        <f>SUMIFS(Aut_BlueMe_Sem_Pedido!$J:$J,Aut_BlueMe_Sem_Pedido!$Q:$Q,DRE!K$4,Aut_BlueMe_Sem_Pedido!$H:$H,DRE!$A196)+SUMIFS(Aut_Ajustes_Manuais!$G:$G,Aut_Ajustes_Manuais!$I:$I,DRE!K$4,Aut_Ajustes_Manuais!$F:$F,"  -  Hora Extra")</f>
        <v/>
      </c>
      <c r="N196" s="241" t="n"/>
      <c r="O196" s="27">
        <f>-SUMIFS(T_ORCAMENTOS!$E:$E,T_ORCAMENTOS!$C:$C,"  -  Hora Extra",T_ORCAMENTOS!$H:$H,"3/2026")</f>
        <v/>
      </c>
      <c r="P196" s="27">
        <f>SUMIFS(Aut_BlueMe_Sem_Pedido!$J:$J,Aut_BlueMe_Sem_Pedido!$Q:$Q,DRE!N$4,Aut_BlueMe_Sem_Pedido!$H:$H,DRE!$A196)+SUMIFS(Aut_Ajustes_Manuais!$G:$G,Aut_Ajustes_Manuais!$I:$I,DRE!N$4,Aut_Ajustes_Manuais!$F:$F,"  -  Hora Extra")</f>
        <v/>
      </c>
      <c r="Q196" s="241" t="n"/>
      <c r="R196" s="27">
        <f>-SUMIFS(T_ORCAMENTOS!$E:$E,T_ORCAMENTOS!$C:$C,"  -  Hora Extra",T_ORCAMENTOS!$H:$H,"4/2026")</f>
        <v/>
      </c>
      <c r="S196" s="27">
        <f>SUMIFS(Aut_BlueMe_Sem_Pedido!$J:$J,Aut_BlueMe_Sem_Pedido!$Q:$Q,DRE!Q$4,Aut_BlueMe_Sem_Pedido!$H:$H,DRE!$A196)+SUMIFS(Aut_Ajustes_Manuais!$G:$G,Aut_Ajustes_Manuais!$I:$I,DRE!Q$4,Aut_Ajustes_Manuais!$F:$F,"  -  Hora Extra")</f>
        <v/>
      </c>
      <c r="T196" s="241" t="n"/>
      <c r="U196" s="27">
        <f>-SUMIFS(T_ORCAMENTOS!$E:$E,T_ORCAMENTOS!$C:$C,"  -  Hora Extra",T_ORCAMENTOS!$H:$H,"5/2026")</f>
        <v/>
      </c>
      <c r="V196" s="28">
        <f>SUMIFS(Aut_BlueMe_Sem_Pedido!$J:$J,Aut_BlueMe_Sem_Pedido!$Q:$Q,DRE!T$4,Aut_BlueMe_Sem_Pedido!$H:$H,DRE!$A196)+SUMIFS(Aut_Ajustes_Manuais!$G:$G,Aut_Ajustes_Manuais!$I:$I,DRE!T$4,Aut_Ajustes_Manuais!$F:$F,"  -  Hora Extra")</f>
        <v/>
      </c>
      <c r="W196" s="241" t="n"/>
      <c r="X196" s="27">
        <f>-SUMIFS(T_ORCAMENTOS!$E:$E,T_ORCAMENTOS!$C:$C,"  -  Hora Extra",T_ORCAMENTOS!$H:$H,"6/2026")</f>
        <v/>
      </c>
      <c r="Y196" s="28">
        <f>SUMIFS(Aut_BlueMe_Sem_Pedido!$J:$J,Aut_BlueMe_Sem_Pedido!$Q:$Q,DRE!W$4,Aut_BlueMe_Sem_Pedido!$H:$H,DRE!$A196)+SUMIFS(Aut_Ajustes_Manuais!$G:$G,Aut_Ajustes_Manuais!$I:$I,DRE!W$4,Aut_Ajustes_Manuais!$F:$F,"  -  Hora Extra")</f>
        <v/>
      </c>
      <c r="Z196" s="241" t="n"/>
      <c r="AA196" s="27">
        <f>-SUMIFS(T_ORCAMENTOS!$E:$E,T_ORCAMENTOS!$C:$C,"  -  Hora Extra",T_ORCAMENTOS!$H:$H,"7/2026")</f>
        <v/>
      </c>
      <c r="AB196" s="28">
        <f>SUMIFS(Aut_BlueMe_Sem_Pedido!$J:$J,Aut_BlueMe_Sem_Pedido!$Q:$Q,DRE!Z$4,Aut_BlueMe_Sem_Pedido!$H:$H,DRE!$A196)+SUMIFS(Aut_Ajustes_Manuais!$G:$G,Aut_Ajustes_Manuais!$I:$I,DRE!Z$4,Aut_Ajustes_Manuais!$F:$F,"  -  Hora Extra")</f>
        <v/>
      </c>
      <c r="AC196" s="241" t="n"/>
      <c r="AD196" s="27">
        <f>-SUMIFS(T_ORCAMENTOS!$E:$E,T_ORCAMENTOS!$C:$C,"  -  Hora Extra",T_ORCAMENTOS!$H:$H,"8/2026")</f>
        <v/>
      </c>
      <c r="AE196" s="28">
        <f>SUMIFS(Aut_BlueMe_Sem_Pedido!$J:$J,Aut_BlueMe_Sem_Pedido!$Q:$Q,DRE!AC$4,Aut_BlueMe_Sem_Pedido!$H:$H,DRE!$A196)+SUMIFS(Aut_Ajustes_Manuais!$G:$G,Aut_Ajustes_Manuais!$I:$I,DRE!AC$4,Aut_Ajustes_Manuais!$F:$F,"  -  Hora Extra")</f>
        <v/>
      </c>
      <c r="AF196" s="241" t="n"/>
      <c r="AG196" s="27">
        <f>-SUMIFS(T_ORCAMENTOS!$E:$E,T_ORCAMENTOS!$C:$C,"  -  Hora Extra",T_ORCAMENTOS!$H:$H,"9/2026")</f>
        <v/>
      </c>
      <c r="AH196" s="28">
        <f>SUMIFS(Aut_BlueMe_Sem_Pedido!$J:$J,Aut_BlueMe_Sem_Pedido!$Q:$Q,DRE!AF$4,Aut_BlueMe_Sem_Pedido!$H:$H,DRE!$A196)+SUMIFS(Aut_Ajustes_Manuais!$G:$G,Aut_Ajustes_Manuais!$I:$I,DRE!AF$4,Aut_Ajustes_Manuais!$F:$F,"  -  Hora Extra")</f>
        <v/>
      </c>
      <c r="AI196" s="241" t="n"/>
      <c r="AJ196" s="27">
        <f>-SUMIFS(T_ORCAMENTOS!$E:$E,T_ORCAMENTOS!$C:$C,"  -  Hora Extra",T_ORCAMENTOS!$H:$H,"10/2026")</f>
        <v/>
      </c>
      <c r="AK196" s="28">
        <f>SUMIFS(Aut_BlueMe_Sem_Pedido!$J:$J,Aut_BlueMe_Sem_Pedido!$Q:$Q,DRE!AI$4,Aut_BlueMe_Sem_Pedido!$H:$H,DRE!$A196)+SUMIFS(Aut_Ajustes_Manuais!$G:$G,Aut_Ajustes_Manuais!$I:$I,DRE!AI$4,Aut_Ajustes_Manuais!$F:$F,"  -  Hora Extra")</f>
        <v/>
      </c>
      <c r="AL196" s="241" t="n"/>
      <c r="AM196" s="27">
        <f>-SUMIFS(T_ORCAMENTOS!$E:$E,T_ORCAMENTOS!$C:$C,"  -  Hora Extra",T_ORCAMENTOS!$H:$H,"11/2026")</f>
        <v/>
      </c>
      <c r="AN196" s="28">
        <f>SUMIFS(Aut_BlueMe_Sem_Pedido!$J:$J,Aut_BlueMe_Sem_Pedido!$Q:$Q,DRE!AL$4,Aut_BlueMe_Sem_Pedido!$H:$H,DRE!$A196)+SUMIFS(Aut_Ajustes_Manuais!$G:$G,Aut_Ajustes_Manuais!$I:$I,DRE!AL$4,Aut_Ajustes_Manuais!$F:$F,"  -  Hora Extra")</f>
        <v/>
      </c>
      <c r="AO196" s="241" t="n"/>
      <c r="AP196" s="27">
        <f>-SUMIFS(T_ORCAMENTOS!$E:$E,T_ORCAMENTOS!$C:$C,"  -  Hora Extra",T_ORCAMENTOS!$H:$H,"12/2026")</f>
        <v/>
      </c>
      <c r="AQ196" s="28">
        <f>SUMIFS(Aut_BlueMe_Sem_Pedido!$J:$J,Aut_BlueMe_Sem_Pedido!$Q:$Q,DRE!AO$4,Aut_BlueMe_Sem_Pedido!$H:$H,DRE!$A196)+SUMIFS(Aut_Ajustes_Manuais!$G:$G,Aut_Ajustes_Manuais!$I:$I,DRE!AO$4,Aut_Ajustes_Manuais!$F:$F,"  -  Hora Extra")</f>
        <v/>
      </c>
      <c r="AR196" s="241">
        <f>SUMIFS($H196:$AO196,$H$5:$AO$5,"&lt;"&amp;MONTH(TODAY()),$H$6:$AO$6,"REAL 25")</f>
        <v/>
      </c>
      <c r="AS196" s="27">
        <f>SUMIFS($I196:$AP196,$I$5:$AP$5,"&lt;"&amp;MONTH(TODAY()),$I$6:$AP$6,"ORÇADO ")</f>
        <v/>
      </c>
      <c r="AT196" s="28">
        <f>SUMIFS($J196:$AQ196,$J$5:$AQ$5,"&lt;"&amp;MONTH(TODAY()),$J$6:$AQ$6,"REAL 26")</f>
        <v/>
      </c>
      <c r="AU196" s="241">
        <f>SUM(H196,K196,N196,Q196,T196,W196,Z196,AC196,AF196,AI196,AL196,AO196)</f>
        <v/>
      </c>
      <c r="AV196" s="27">
        <f>SUM(I196,L196,O196,R196,U196,X196,AA196,AD196,AG196,AJ196,AM196,AP196)</f>
        <v/>
      </c>
      <c r="AW196" s="28">
        <f>SUM(J196,M196,P196,S196,V196,Y196,AB196,AE196,AH196,AK196,AN196,AQ196)</f>
        <v/>
      </c>
      <c r="AX196" s="241">
        <f>SUM(H196,K196,N196)</f>
        <v/>
      </c>
      <c r="AY196" s="27">
        <f>SUM(I196,L196,O196)</f>
        <v/>
      </c>
      <c r="AZ196" s="28">
        <f>SUM(J196,M196,P196)</f>
        <v/>
      </c>
      <c r="BA196" s="241">
        <f>SUM(Q196,T196,W196)</f>
        <v/>
      </c>
      <c r="BB196" s="27">
        <f>SUM(R196,U196,X196)</f>
        <v/>
      </c>
      <c r="BC196" s="28">
        <f>SUM(S196,V196,Y196)</f>
        <v/>
      </c>
      <c r="BD196" s="241">
        <f>SUM(Z196,AC196,AF196)</f>
        <v/>
      </c>
      <c r="BE196" s="27">
        <f>SUM(AA196,AD196,AG196)</f>
        <v/>
      </c>
      <c r="BF196" s="28">
        <f>SUM(AB196,AE196,AH196)</f>
        <v/>
      </c>
      <c r="BG196" s="241">
        <f>SUM(AI196,AL196,AO196)</f>
        <v/>
      </c>
      <c r="BH196" s="27">
        <f>SUM(AJ196,AM196,AP196)</f>
        <v/>
      </c>
      <c r="BI196" s="28">
        <f>SUM(AK196,AN196,AQ196)</f>
        <v/>
      </c>
    </row>
    <row r="197" hidden="1" outlineLevel="1" customFormat="1" s="498">
      <c r="A197" s="22" t="inlineStr">
        <is>
          <t xml:space="preserve">  -  Remuneração Variável</t>
        </is>
      </c>
      <c r="B197" s="488" t="n"/>
      <c r="C197" s="485" t="n"/>
      <c r="D197" s="97" t="n"/>
      <c r="E197" s="100" t="n"/>
      <c r="F197" s="41" t="n"/>
      <c r="G197" s="33" t="n"/>
      <c r="H197" s="241" t="n"/>
      <c r="I197" s="27">
        <f>-SUMIFS(T_ORCAMENTOS!$E:$E,T_ORCAMENTOS!$C:$C,"  -  Remuneração Variável",T_ORCAMENTOS!$H:$H,"1/2026")</f>
        <v/>
      </c>
      <c r="J197" s="28">
        <f>SUMIFS(Aut_BlueMe_Sem_Pedido!$J:$J,Aut_BlueMe_Sem_Pedido!$Q:$Q,DRE!H$4,Aut_BlueMe_Sem_Pedido!$H:$H,DRE!$A197)+SUMIFS(Aut_Ajustes_Manuais!$G:$G,Aut_Ajustes_Manuais!$I:$I,DRE!H$4,Aut_Ajustes_Manuais!$F:$F,"  -  Remuneração Variável")</f>
        <v/>
      </c>
      <c r="K197" s="241" t="n"/>
      <c r="L197" s="27">
        <f>-SUMIFS(T_ORCAMENTOS!$E:$E,T_ORCAMENTOS!$C:$C,"  -  Remuneração Variável",T_ORCAMENTOS!$H:$H,"2/2026")</f>
        <v/>
      </c>
      <c r="M197" s="28">
        <f>SUMIFS(Aut_BlueMe_Sem_Pedido!$J:$J,Aut_BlueMe_Sem_Pedido!$Q:$Q,DRE!K$4,Aut_BlueMe_Sem_Pedido!$H:$H,DRE!$A197)+SUMIFS(Aut_Ajustes_Manuais!$G:$G,Aut_Ajustes_Manuais!$I:$I,DRE!K$4,Aut_Ajustes_Manuais!$F:$F,"  -  Remuneração Variável")</f>
        <v/>
      </c>
      <c r="N197" s="241" t="n"/>
      <c r="O197" s="27">
        <f>-SUMIFS(T_ORCAMENTOS!$E:$E,T_ORCAMENTOS!$C:$C,"  -  Remuneração Variável",T_ORCAMENTOS!$H:$H,"3/2026")</f>
        <v/>
      </c>
      <c r="P197" s="28">
        <f>SUMIFS(Aut_BlueMe_Sem_Pedido!$J:$J,Aut_BlueMe_Sem_Pedido!$Q:$Q,DRE!N$4,Aut_BlueMe_Sem_Pedido!$H:$H,DRE!$A197)+SUMIFS(Aut_Ajustes_Manuais!$G:$G,Aut_Ajustes_Manuais!$I:$I,DRE!N$4,Aut_Ajustes_Manuais!$F:$F,"  -  Remuneração Variável")</f>
        <v/>
      </c>
      <c r="Q197" s="241" t="n"/>
      <c r="R197" s="27">
        <f>-SUMIFS(T_ORCAMENTOS!$E:$E,T_ORCAMENTOS!$C:$C,"  -  Remuneração Variável",T_ORCAMENTOS!$H:$H,"4/2026")</f>
        <v/>
      </c>
      <c r="S197" s="28">
        <f>SUMIFS(Aut_BlueMe_Sem_Pedido!$J:$J,Aut_BlueMe_Sem_Pedido!$Q:$Q,DRE!Q$4,Aut_BlueMe_Sem_Pedido!$H:$H,DRE!$A197)+SUMIFS(Aut_Ajustes_Manuais!$G:$G,Aut_Ajustes_Manuais!$I:$I,DRE!Q$4,Aut_Ajustes_Manuais!$F:$F,"  -  Remuneração Variável")</f>
        <v/>
      </c>
      <c r="T197" s="241" t="n"/>
      <c r="U197" s="27">
        <f>-SUMIFS(T_ORCAMENTOS!$E:$E,T_ORCAMENTOS!$C:$C,"  -  Remuneração Variável",T_ORCAMENTOS!$H:$H,"5/2026")</f>
        <v/>
      </c>
      <c r="V197" s="28">
        <f>SUMIFS(Aut_BlueMe_Sem_Pedido!$J:$J,Aut_BlueMe_Sem_Pedido!$Q:$Q,DRE!T$4,Aut_BlueMe_Sem_Pedido!$H:$H,DRE!$A197)+SUMIFS(Aut_Ajustes_Manuais!$G:$G,Aut_Ajustes_Manuais!$I:$I,DRE!T$4,Aut_Ajustes_Manuais!$F:$F,"  -  Remuneração Variável")</f>
        <v/>
      </c>
      <c r="W197" s="241" t="n"/>
      <c r="X197" s="27">
        <f>-SUMIFS(T_ORCAMENTOS!$E:$E,T_ORCAMENTOS!$C:$C,"  -  Remuneração Variável",T_ORCAMENTOS!$H:$H,"6/2026")</f>
        <v/>
      </c>
      <c r="Y197" s="28">
        <f>SUMIFS(Aut_BlueMe_Sem_Pedido!$J:$J,Aut_BlueMe_Sem_Pedido!$Q:$Q,DRE!W$4,Aut_BlueMe_Sem_Pedido!$H:$H,DRE!$A197)+SUMIFS(Aut_Ajustes_Manuais!$G:$G,Aut_Ajustes_Manuais!$I:$I,DRE!W$4,Aut_Ajustes_Manuais!$F:$F,"  -  Remuneração Variável")</f>
        <v/>
      </c>
      <c r="Z197" s="241" t="n"/>
      <c r="AA197" s="27">
        <f>-SUMIFS(T_ORCAMENTOS!$E:$E,T_ORCAMENTOS!$C:$C,"  -  Remuneração Variável",T_ORCAMENTOS!$H:$H,"7/2026")</f>
        <v/>
      </c>
      <c r="AB197" s="28">
        <f>SUMIFS(Aut_BlueMe_Sem_Pedido!$J:$J,Aut_BlueMe_Sem_Pedido!$Q:$Q,DRE!Z$4,Aut_BlueMe_Sem_Pedido!$H:$H,DRE!$A197)+SUMIFS(Aut_Ajustes_Manuais!$G:$G,Aut_Ajustes_Manuais!$I:$I,DRE!Z$4,Aut_Ajustes_Manuais!$F:$F,"  -  Remuneração Variável")</f>
        <v/>
      </c>
      <c r="AC197" s="241" t="n"/>
      <c r="AD197" s="27">
        <f>-SUMIFS(T_ORCAMENTOS!$E:$E,T_ORCAMENTOS!$C:$C,"  -  Remuneração Variável",T_ORCAMENTOS!$H:$H,"8/2026")</f>
        <v/>
      </c>
      <c r="AE197" s="28">
        <f>SUMIFS(Aut_BlueMe_Sem_Pedido!$J:$J,Aut_BlueMe_Sem_Pedido!$Q:$Q,DRE!AC$4,Aut_BlueMe_Sem_Pedido!$H:$H,DRE!$A197)+SUMIFS(Aut_Ajustes_Manuais!$G:$G,Aut_Ajustes_Manuais!$I:$I,DRE!AC$4,Aut_Ajustes_Manuais!$F:$F,"  -  Remuneração Variável")</f>
        <v/>
      </c>
      <c r="AF197" s="241" t="n"/>
      <c r="AG197" s="27">
        <f>-SUMIFS(T_ORCAMENTOS!$E:$E,T_ORCAMENTOS!$C:$C,"  -  Remuneração Variável",T_ORCAMENTOS!$H:$H,"9/2026")</f>
        <v/>
      </c>
      <c r="AH197" s="28">
        <f>SUMIFS(Aut_BlueMe_Sem_Pedido!$J:$J,Aut_BlueMe_Sem_Pedido!$Q:$Q,DRE!AF$4,Aut_BlueMe_Sem_Pedido!$H:$H,DRE!$A197)+SUMIFS(Aut_Ajustes_Manuais!$G:$G,Aut_Ajustes_Manuais!$I:$I,DRE!AF$4,Aut_Ajustes_Manuais!$F:$F,"  -  Remuneração Variável")</f>
        <v/>
      </c>
      <c r="AI197" s="241" t="n"/>
      <c r="AJ197" s="27">
        <f>-SUMIFS(T_ORCAMENTOS!$E:$E,T_ORCAMENTOS!$C:$C,"  -  Remuneração Variável",T_ORCAMENTOS!$H:$H,"10/2026")</f>
        <v/>
      </c>
      <c r="AK197" s="28">
        <f>SUMIFS(Aut_BlueMe_Sem_Pedido!$J:$J,Aut_BlueMe_Sem_Pedido!$Q:$Q,DRE!AI$4,Aut_BlueMe_Sem_Pedido!$H:$H,DRE!$A197)+SUMIFS(Aut_Ajustes_Manuais!$G:$G,Aut_Ajustes_Manuais!$I:$I,DRE!AI$4,Aut_Ajustes_Manuais!$F:$F,"  -  Remuneração Variável")</f>
        <v/>
      </c>
      <c r="AL197" s="241" t="n"/>
      <c r="AM197" s="27">
        <f>-SUMIFS(T_ORCAMENTOS!$E:$E,T_ORCAMENTOS!$C:$C,"  -  Remuneração Variável",T_ORCAMENTOS!$H:$H,"11/2026")</f>
        <v/>
      </c>
      <c r="AN197" s="28">
        <f>SUMIFS(Aut_BlueMe_Sem_Pedido!$J:$J,Aut_BlueMe_Sem_Pedido!$Q:$Q,DRE!AL$4,Aut_BlueMe_Sem_Pedido!$H:$H,DRE!$A197)+SUMIFS(Aut_Ajustes_Manuais!$G:$G,Aut_Ajustes_Manuais!$I:$I,DRE!AL$4,Aut_Ajustes_Manuais!$F:$F,"  -  Remuneração Variável")</f>
        <v/>
      </c>
      <c r="AO197" s="241" t="n"/>
      <c r="AP197" s="27">
        <f>-SUMIFS(T_ORCAMENTOS!$E:$E,T_ORCAMENTOS!$C:$C,"  -  Remuneração Variável",T_ORCAMENTOS!$H:$H,"12/2026")</f>
        <v/>
      </c>
      <c r="AQ197" s="28">
        <f>SUMIFS(Aut_BlueMe_Sem_Pedido!$J:$J,Aut_BlueMe_Sem_Pedido!$Q:$Q,DRE!AO$4,Aut_BlueMe_Sem_Pedido!$H:$H,DRE!$A197)+SUMIFS(Aut_Ajustes_Manuais!$G:$G,Aut_Ajustes_Manuais!$I:$I,DRE!AO$4,Aut_Ajustes_Manuais!$F:$F,"  -  Remuneração Variável")</f>
        <v/>
      </c>
      <c r="AR197" s="241">
        <f>SUMIFS($H197:$AO197,$H$5:$AO$5,"&lt;"&amp;MONTH(TODAY()),$H$6:$AO$6,"REAL 25")</f>
        <v/>
      </c>
      <c r="AS197" s="27">
        <f>SUMIFS($I197:$AP197,$I$5:$AP$5,"&lt;"&amp;MONTH(TODAY()),$I$6:$AP$6,"ORÇADO ")</f>
        <v/>
      </c>
      <c r="AT197" s="28">
        <f>SUMIFS($J197:$AQ197,$J$5:$AQ$5,"&lt;"&amp;MONTH(TODAY()),$J$6:$AQ$6,"REAL 26")</f>
        <v/>
      </c>
      <c r="AU197" s="241">
        <f>SUM(H197,K197,N197,Q197,T197,W197,Z197,AC197,AF197,AI197,AL197,AO197)</f>
        <v/>
      </c>
      <c r="AV197" s="27">
        <f>SUM(I197,L197,O197,R197,U197,X197,AA197,AD197,AG197,AJ197,AM197,AP197)</f>
        <v/>
      </c>
      <c r="AW197" s="28">
        <f>SUM(J197,M197,P197,S197,V197,Y197,AB197,AE197,AH197,AK197,AN197,AQ197)</f>
        <v/>
      </c>
      <c r="AX197" s="241">
        <f>SUM(H197,K197,N197)</f>
        <v/>
      </c>
      <c r="AY197" s="27">
        <f>SUM(I197,L197,O197)</f>
        <v/>
      </c>
      <c r="AZ197" s="28">
        <f>SUM(J197,M197,P197)</f>
        <v/>
      </c>
      <c r="BA197" s="241">
        <f>SUM(Q197,T197,W197)</f>
        <v/>
      </c>
      <c r="BB197" s="27">
        <f>SUM(R197,U197,X197)</f>
        <v/>
      </c>
      <c r="BC197" s="28">
        <f>SUM(S197,V197,Y197)</f>
        <v/>
      </c>
      <c r="BD197" s="241">
        <f>SUM(Z197,AC197,AF197)</f>
        <v/>
      </c>
      <c r="BE197" s="27">
        <f>SUM(AA197,AD197,AG197)</f>
        <v/>
      </c>
      <c r="BF197" s="28">
        <f>SUM(AB197,AE197,AH197)</f>
        <v/>
      </c>
      <c r="BG197" s="241">
        <f>SUM(AI197,AL197,AO197)</f>
        <v/>
      </c>
      <c r="BH197" s="27">
        <f>SUM(AJ197,AM197,AP197)</f>
        <v/>
      </c>
      <c r="BI197" s="28">
        <f>SUM(AK197,AN197,AQ197)</f>
        <v/>
      </c>
    </row>
    <row r="198" hidden="1" outlineLevel="1" customFormat="1" s="498">
      <c r="A198" s="22" t="inlineStr">
        <is>
          <t xml:space="preserve">  -  Premiação</t>
        </is>
      </c>
      <c r="B198" s="488" t="n"/>
      <c r="C198" s="486" t="n"/>
      <c r="D198" s="97" t="n"/>
      <c r="E198" s="100" t="n"/>
      <c r="F198" s="41" t="n"/>
      <c r="G198" s="33" t="n"/>
      <c r="H198" s="241" t="n"/>
      <c r="I198" s="27">
        <f>-SUMIFS(T_ORCAMENTOS!$E:$E,T_ORCAMENTOS!$C:$C,"  -  Premiação",T_ORCAMENTOS!$H:$H,"1/2026")</f>
        <v/>
      </c>
      <c r="J198" s="28">
        <f>SUMIFS(Aut_BlueMe_Sem_Pedido!$J:$J,Aut_BlueMe_Sem_Pedido!$Q:$Q,DRE!H$4,Aut_BlueMe_Sem_Pedido!$H:$H,DRE!$A198)+SUMIFS(Aut_Ajustes_Manuais!$G:$G,Aut_Ajustes_Manuais!$I:$I,DRE!H$4,Aut_Ajustes_Manuais!$F:$F,"  -  Premiação")</f>
        <v/>
      </c>
      <c r="K198" s="241" t="n"/>
      <c r="L198" s="27">
        <f>-SUMIFS(T_ORCAMENTOS!$E:$E,T_ORCAMENTOS!$C:$C,"  -  Premiação",T_ORCAMENTOS!$H:$H,"2/2026")</f>
        <v/>
      </c>
      <c r="M198" s="28">
        <f>SUMIFS(Aut_BlueMe_Sem_Pedido!$J:$J,Aut_BlueMe_Sem_Pedido!$Q:$Q,DRE!K$4,Aut_BlueMe_Sem_Pedido!$H:$H,DRE!$A198)+SUMIFS(Aut_Ajustes_Manuais!$G:$G,Aut_Ajustes_Manuais!$I:$I,DRE!K$4,Aut_Ajustes_Manuais!$F:$F,"  -  Premiação")</f>
        <v/>
      </c>
      <c r="N198" s="241" t="n"/>
      <c r="O198" s="27">
        <f>-SUMIFS(T_ORCAMENTOS!$E:$E,T_ORCAMENTOS!$C:$C,"  -  Premiação",T_ORCAMENTOS!$H:$H,"3/2026")</f>
        <v/>
      </c>
      <c r="P198" s="28">
        <f>SUMIFS(Aut_BlueMe_Sem_Pedido!$J:$J,Aut_BlueMe_Sem_Pedido!$Q:$Q,DRE!N$4,Aut_BlueMe_Sem_Pedido!$H:$H,DRE!$A198)+SUMIFS(Aut_Ajustes_Manuais!$G:$G,Aut_Ajustes_Manuais!$I:$I,DRE!N$4,Aut_Ajustes_Manuais!$F:$F,"  -  Premiação")</f>
        <v/>
      </c>
      <c r="Q198" s="241" t="n"/>
      <c r="R198" s="27">
        <f>-SUMIFS(T_ORCAMENTOS!$E:$E,T_ORCAMENTOS!$C:$C,"  -  Premiação",T_ORCAMENTOS!$H:$H,"4/2026")</f>
        <v/>
      </c>
      <c r="S198" s="28">
        <f>SUMIFS(Aut_BlueMe_Sem_Pedido!$J:$J,Aut_BlueMe_Sem_Pedido!$Q:$Q,DRE!Q$4,Aut_BlueMe_Sem_Pedido!$H:$H,DRE!$A198)+SUMIFS(Aut_Ajustes_Manuais!$G:$G,Aut_Ajustes_Manuais!$I:$I,DRE!Q$4,Aut_Ajustes_Manuais!$F:$F,"  -  Premiação")</f>
        <v/>
      </c>
      <c r="T198" s="241" t="n"/>
      <c r="U198" s="27">
        <f>-SUMIFS(T_ORCAMENTOS!$E:$E,T_ORCAMENTOS!$C:$C,"  -  Premiação",T_ORCAMENTOS!$H:$H,"5/2026")</f>
        <v/>
      </c>
      <c r="V198" s="28">
        <f>SUMIFS(Aut_BlueMe_Sem_Pedido!$J:$J,Aut_BlueMe_Sem_Pedido!$Q:$Q,DRE!T$4,Aut_BlueMe_Sem_Pedido!$H:$H,DRE!$A198)+SUMIFS(Aut_Ajustes_Manuais!$G:$G,Aut_Ajustes_Manuais!$I:$I,DRE!T$4,Aut_Ajustes_Manuais!$F:$F,"  -  Premiação")</f>
        <v/>
      </c>
      <c r="W198" s="241" t="n"/>
      <c r="X198" s="27">
        <f>-SUMIFS(T_ORCAMENTOS!$E:$E,T_ORCAMENTOS!$C:$C,"  -  Premiação",T_ORCAMENTOS!$H:$H,"6/2026")</f>
        <v/>
      </c>
      <c r="Y198" s="28">
        <f>SUMIFS(Aut_BlueMe_Sem_Pedido!$J:$J,Aut_BlueMe_Sem_Pedido!$Q:$Q,DRE!W$4,Aut_BlueMe_Sem_Pedido!$H:$H,DRE!$A198)+SUMIFS(Aut_Ajustes_Manuais!$G:$G,Aut_Ajustes_Manuais!$I:$I,DRE!W$4,Aut_Ajustes_Manuais!$F:$F,"  -  Premiação")</f>
        <v/>
      </c>
      <c r="Z198" s="241" t="n"/>
      <c r="AA198" s="27">
        <f>-SUMIFS(T_ORCAMENTOS!$E:$E,T_ORCAMENTOS!$C:$C,"  -  Premiação",T_ORCAMENTOS!$H:$H,"7/2026")</f>
        <v/>
      </c>
      <c r="AB198" s="28">
        <f>SUMIFS(Aut_BlueMe_Sem_Pedido!$J:$J,Aut_BlueMe_Sem_Pedido!$Q:$Q,DRE!Z$4,Aut_BlueMe_Sem_Pedido!$H:$H,DRE!$A198)+SUMIFS(Aut_Ajustes_Manuais!$G:$G,Aut_Ajustes_Manuais!$I:$I,DRE!Z$4,Aut_Ajustes_Manuais!$F:$F,"  -  Premiação")</f>
        <v/>
      </c>
      <c r="AC198" s="241" t="n"/>
      <c r="AD198" s="27">
        <f>-SUMIFS(T_ORCAMENTOS!$E:$E,T_ORCAMENTOS!$C:$C,"  -  Premiação",T_ORCAMENTOS!$H:$H,"8/2026")</f>
        <v/>
      </c>
      <c r="AE198" s="28">
        <f>SUMIFS(Aut_BlueMe_Sem_Pedido!$J:$J,Aut_BlueMe_Sem_Pedido!$Q:$Q,DRE!AC$4,Aut_BlueMe_Sem_Pedido!$H:$H,DRE!$A198)+SUMIFS(Aut_Ajustes_Manuais!$G:$G,Aut_Ajustes_Manuais!$I:$I,DRE!AC$4,Aut_Ajustes_Manuais!$F:$F,"  -  Premiação")</f>
        <v/>
      </c>
      <c r="AF198" s="241" t="n"/>
      <c r="AG198" s="27">
        <f>-SUMIFS(T_ORCAMENTOS!$E:$E,T_ORCAMENTOS!$C:$C,"  -  Premiação",T_ORCAMENTOS!$H:$H,"9/2026")</f>
        <v/>
      </c>
      <c r="AH198" s="28">
        <f>SUMIFS(Aut_BlueMe_Sem_Pedido!$J:$J,Aut_BlueMe_Sem_Pedido!$Q:$Q,DRE!AF$4,Aut_BlueMe_Sem_Pedido!$H:$H,DRE!$A198)+SUMIFS(Aut_Ajustes_Manuais!$G:$G,Aut_Ajustes_Manuais!$I:$I,DRE!AF$4,Aut_Ajustes_Manuais!$F:$F,"  -  Premiação")</f>
        <v/>
      </c>
      <c r="AI198" s="241" t="n"/>
      <c r="AJ198" s="27">
        <f>-SUMIFS(T_ORCAMENTOS!$E:$E,T_ORCAMENTOS!$C:$C,"  -  Premiação",T_ORCAMENTOS!$H:$H,"10/2026")</f>
        <v/>
      </c>
      <c r="AK198" s="28">
        <f>SUMIFS(Aut_BlueMe_Sem_Pedido!$J:$J,Aut_BlueMe_Sem_Pedido!$Q:$Q,DRE!AI$4,Aut_BlueMe_Sem_Pedido!$H:$H,DRE!$A198)+SUMIFS(Aut_Ajustes_Manuais!$G:$G,Aut_Ajustes_Manuais!$I:$I,DRE!AI$4,Aut_Ajustes_Manuais!$F:$F,"  -  Premiação")</f>
        <v/>
      </c>
      <c r="AL198" s="241" t="n"/>
      <c r="AM198" s="27">
        <f>-SUMIFS(T_ORCAMENTOS!$E:$E,T_ORCAMENTOS!$C:$C,"  -  Premiação",T_ORCAMENTOS!$H:$H,"11/2026")</f>
        <v/>
      </c>
      <c r="AN198" s="28">
        <f>SUMIFS(Aut_BlueMe_Sem_Pedido!$J:$J,Aut_BlueMe_Sem_Pedido!$Q:$Q,DRE!AL$4,Aut_BlueMe_Sem_Pedido!$H:$H,DRE!$A198)+SUMIFS(Aut_Ajustes_Manuais!$G:$G,Aut_Ajustes_Manuais!$I:$I,DRE!AL$4,Aut_Ajustes_Manuais!$F:$F,"  -  Premiação")</f>
        <v/>
      </c>
      <c r="AO198" s="241" t="n"/>
      <c r="AP198" s="27">
        <f>-SUMIFS(T_ORCAMENTOS!$E:$E,T_ORCAMENTOS!$C:$C,"  -  Premiação",T_ORCAMENTOS!$H:$H,"12/2026")</f>
        <v/>
      </c>
      <c r="AQ198" s="28">
        <f>SUMIFS(Aut_BlueMe_Sem_Pedido!$J:$J,Aut_BlueMe_Sem_Pedido!$Q:$Q,DRE!AO$4,Aut_BlueMe_Sem_Pedido!$H:$H,DRE!$A198)+SUMIFS(Aut_Ajustes_Manuais!$G:$G,Aut_Ajustes_Manuais!$I:$I,DRE!AO$4,Aut_Ajustes_Manuais!$F:$F,"  -  Premiação")</f>
        <v/>
      </c>
      <c r="AR198" s="241">
        <f>SUMIFS($H198:$AO198,$H$5:$AO$5,"&lt;"&amp;MONTH(TODAY()),$H$6:$AO$6,"REAL 25")</f>
        <v/>
      </c>
      <c r="AS198" s="27">
        <f>SUMIFS($I198:$AP198,$I$5:$AP$5,"&lt;"&amp;MONTH(TODAY()),$I$6:$AP$6,"ORÇADO ")</f>
        <v/>
      </c>
      <c r="AT198" s="28">
        <f>SUMIFS($J198:$AQ198,$J$5:$AQ$5,"&lt;"&amp;MONTH(TODAY()),$J$6:$AQ$6,"REAL 26")</f>
        <v/>
      </c>
      <c r="AU198" s="241">
        <f>SUM(H198,K198,N198,Q198,T198,W198,Z198,AC198,AF198,AI198,AL198,AO198)</f>
        <v/>
      </c>
      <c r="AV198" s="27">
        <f>SUM(I198,L198,O198,R198,U198,X198,AA198,AD198,AG198,AJ198,AM198,AP198)</f>
        <v/>
      </c>
      <c r="AW198" s="28">
        <f>SUM(J198,M198,P198,S198,V198,Y198,AB198,AE198,AH198,AK198,AN198,AQ198)</f>
        <v/>
      </c>
      <c r="AX198" s="241">
        <f>SUM(H198,K198,N198)</f>
        <v/>
      </c>
      <c r="AY198" s="27">
        <f>SUM(I198,L198,O198)</f>
        <v/>
      </c>
      <c r="AZ198" s="28">
        <f>SUM(J198,M198,P198)</f>
        <v/>
      </c>
      <c r="BA198" s="241">
        <f>SUM(Q198,T198,W198)</f>
        <v/>
      </c>
      <c r="BB198" s="27">
        <f>SUM(R198,U198,X198)</f>
        <v/>
      </c>
      <c r="BC198" s="28">
        <f>SUM(S198,V198,Y198)</f>
        <v/>
      </c>
      <c r="BD198" s="241">
        <f>SUM(Z198,AC198,AF198)</f>
        <v/>
      </c>
      <c r="BE198" s="27">
        <f>SUM(AA198,AD198,AG198)</f>
        <v/>
      </c>
      <c r="BF198" s="28">
        <f>SUM(AB198,AE198,AH198)</f>
        <v/>
      </c>
      <c r="BG198" s="241">
        <f>SUM(AI198,AL198,AO198)</f>
        <v/>
      </c>
      <c r="BH198" s="27">
        <f>SUM(AJ198,AM198,AP198)</f>
        <v/>
      </c>
      <c r="BI198" s="28">
        <f>SUM(AK198,AN198,AQ198)</f>
        <v/>
      </c>
    </row>
    <row r="199" collapsed="1">
      <c r="A199" s="73" t="inlineStr">
        <is>
          <t>Benefícios</t>
        </is>
      </c>
      <c r="C199" s="40" t="inlineStr">
        <is>
          <t>Premissas</t>
        </is>
      </c>
      <c r="D199" s="40" t="inlineStr">
        <is>
          <t>Valores</t>
        </is>
      </c>
      <c r="E199" s="40" t="inlineStr">
        <is>
          <t>Acréscimo</t>
        </is>
      </c>
      <c r="F199" s="41" t="n"/>
      <c r="G199" s="47" t="n"/>
      <c r="H199" s="252" t="n"/>
      <c r="I199" s="74">
        <f>SUM(I200:I204)</f>
        <v/>
      </c>
      <c r="J199" s="76">
        <f>SUM(J200:J204)+SUMIFS(Aut_Ajustes_Manuais!$G:$G,Aut_Ajustes_Manuais!$I:$I,DRE!H$4,Aut_Ajustes_Manuais!$F:$F,"Benefícios")</f>
        <v/>
      </c>
      <c r="K199" s="252" t="n"/>
      <c r="L199" s="74">
        <f>SUM(L200:L204)</f>
        <v/>
      </c>
      <c r="M199" s="76">
        <f>SUM(M200:M204)+SUMIFS(Aut_Ajustes_Manuais!$G:$G,Aut_Ajustes_Manuais!$I:$I,DRE!K$4,Aut_Ajustes_Manuais!$F:$F,"Benefícios")</f>
        <v/>
      </c>
      <c r="N199" s="252" t="n"/>
      <c r="O199" s="74">
        <f>SUM(O200:O204)</f>
        <v/>
      </c>
      <c r="P199" s="76">
        <f>SUM(P200:P204)+SUMIFS(Aut_Ajustes_Manuais!$G:$G,Aut_Ajustes_Manuais!$I:$I,DRE!N$4,Aut_Ajustes_Manuais!$F:$F,"Benefícios")</f>
        <v/>
      </c>
      <c r="Q199" s="252" t="n"/>
      <c r="R199" s="74">
        <f>SUM(R200:R204)</f>
        <v/>
      </c>
      <c r="S199" s="76">
        <f>SUM(S200:S204)+SUMIFS(Aut_Ajustes_Manuais!$G:$G,Aut_Ajustes_Manuais!$I:$I,DRE!Q$4,Aut_Ajustes_Manuais!$F:$F,"Benefícios")</f>
        <v/>
      </c>
      <c r="T199" s="252" t="n"/>
      <c r="U199" s="74">
        <f>SUM(U200:U204)</f>
        <v/>
      </c>
      <c r="V199" s="76">
        <f>SUM(V200:V204)+SUMIFS(Aut_Ajustes_Manuais!$G:$G,Aut_Ajustes_Manuais!$I:$I,DRE!T$4,Aut_Ajustes_Manuais!$F:$F,"Benefícios")</f>
        <v/>
      </c>
      <c r="W199" s="252" t="n"/>
      <c r="X199" s="74">
        <f>SUM(X200:X204)</f>
        <v/>
      </c>
      <c r="Y199" s="76">
        <f>SUM(Y200:Y204)+SUMIFS(Aut_Ajustes_Manuais!$G:$G,Aut_Ajustes_Manuais!$I:$I,DRE!W$4,Aut_Ajustes_Manuais!$F:$F,"Benefícios")</f>
        <v/>
      </c>
      <c r="Z199" s="252" t="n"/>
      <c r="AA199" s="74">
        <f>SUM(AA200:AA204)</f>
        <v/>
      </c>
      <c r="AB199" s="76">
        <f>SUM(AB200:AB204)+SUMIFS(Aut_Ajustes_Manuais!$G:$G,Aut_Ajustes_Manuais!$I:$I,DRE!Z$4,Aut_Ajustes_Manuais!$F:$F,"Benefícios")</f>
        <v/>
      </c>
      <c r="AC199" s="252" t="n"/>
      <c r="AD199" s="74">
        <f>SUM(AD200:AD204)</f>
        <v/>
      </c>
      <c r="AE199" s="76">
        <f>SUM(AE200:AE204)+SUMIFS(Aut_Ajustes_Manuais!$G:$G,Aut_Ajustes_Manuais!$I:$I,DRE!AC$4,Aut_Ajustes_Manuais!$F:$F,"Benefícios")</f>
        <v/>
      </c>
      <c r="AF199" s="252" t="n"/>
      <c r="AG199" s="74">
        <f>SUM(AG200:AG204)</f>
        <v/>
      </c>
      <c r="AH199" s="76">
        <f>SUM(AH200:AH204)+SUMIFS(Aut_Ajustes_Manuais!$G:$G,Aut_Ajustes_Manuais!$I:$I,DRE!AF$4,Aut_Ajustes_Manuais!$F:$F,"Benefícios")</f>
        <v/>
      </c>
      <c r="AI199" s="252" t="n"/>
      <c r="AJ199" s="74">
        <f>SUM(AJ200:AJ204)</f>
        <v/>
      </c>
      <c r="AK199" s="76">
        <f>SUM(AK200:AK204)+SUMIFS(Aut_Ajustes_Manuais!$G:$G,Aut_Ajustes_Manuais!$I:$I,DRE!AI$4,Aut_Ajustes_Manuais!$F:$F,"Benefícios")</f>
        <v/>
      </c>
      <c r="AL199" s="252" t="n"/>
      <c r="AM199" s="74">
        <f>SUM(AM200:AM204)</f>
        <v/>
      </c>
      <c r="AN199" s="76">
        <f>SUM(AN200:AN204)+SUMIFS(Aut_Ajustes_Manuais!$G:$G,Aut_Ajustes_Manuais!$I:$I,DRE!AL$4,Aut_Ajustes_Manuais!$F:$F,"Benefícios")</f>
        <v/>
      </c>
      <c r="AO199" s="252" t="n"/>
      <c r="AP199" s="74">
        <f>SUM(AP200:AP204)</f>
        <v/>
      </c>
      <c r="AQ199" s="76">
        <f>SUM(AQ200:AQ204)+SUMIFS(Aut_Ajustes_Manuais!$G:$G,Aut_Ajustes_Manuais!$I:$I,DRE!AO$4,Aut_Ajustes_Manuais!$F:$F,"Benefícios")</f>
        <v/>
      </c>
      <c r="AR199" s="252">
        <f>SUMIFS($H199:$AO199,$H$5:$AO$5,"&lt;"&amp;MONTH(TODAY()),$H$6:$AO$6,"REAL 25")</f>
        <v/>
      </c>
      <c r="AS199" s="74">
        <f>SUMIFS($I199:$AP199,$I$5:$AP$5,"&lt;"&amp;MONTH(TODAY()),$I$6:$AP$6,"ORÇADO ")</f>
        <v/>
      </c>
      <c r="AT199" s="76">
        <f>SUMIFS($J199:$AQ199,$J$5:$AQ$5,"&lt;"&amp;MONTH(TODAY()),$J$6:$AQ$6,"REAL 26")</f>
        <v/>
      </c>
      <c r="AU199" s="252">
        <f>SUM(AU200:AU204)</f>
        <v/>
      </c>
      <c r="AV199" s="74">
        <f>SUM(AV200:AV204)</f>
        <v/>
      </c>
      <c r="AW199" s="76">
        <f>SUM(AW200:AW204)</f>
        <v/>
      </c>
      <c r="AX199" s="252">
        <f>SUM(AX200:AX204)</f>
        <v/>
      </c>
      <c r="AY199" s="74">
        <f>SUM(AY200:AY204)</f>
        <v/>
      </c>
      <c r="AZ199" s="76">
        <f>SUM(AZ200:AZ204)</f>
        <v/>
      </c>
      <c r="BA199" s="252">
        <f>SUM(BA200:BA204)</f>
        <v/>
      </c>
      <c r="BB199" s="74">
        <f>SUM(BB200:BB204)</f>
        <v/>
      </c>
      <c r="BC199" s="76">
        <f>SUM(BC200:BC204)</f>
        <v/>
      </c>
      <c r="BD199" s="252">
        <f>SUM(BD200:BD204)</f>
        <v/>
      </c>
      <c r="BE199" s="74">
        <f>SUM(BE200:BE204)</f>
        <v/>
      </c>
      <c r="BF199" s="76">
        <f>SUM(BF200:BF204)</f>
        <v/>
      </c>
      <c r="BG199" s="252">
        <f>SUM(BG200:BG204)</f>
        <v/>
      </c>
      <c r="BH199" s="74">
        <f>SUM(BH200:BH204)</f>
        <v/>
      </c>
      <c r="BI199" s="76">
        <f>SUM(BI200:BI204)</f>
        <v/>
      </c>
    </row>
    <row r="200" hidden="1" outlineLevel="1" ht="14.7" customFormat="1" customHeight="1" s="498">
      <c r="A200" s="22" t="inlineStr">
        <is>
          <t xml:space="preserve">  -  Vale-transporte</t>
        </is>
      </c>
      <c r="B200" s="488" t="n"/>
      <c r="C200" s="24" t="n"/>
      <c r="D200" s="55" t="n"/>
      <c r="E200" s="509" t="n">
        <v>-280</v>
      </c>
      <c r="F200" s="41" t="n"/>
      <c r="G200" s="33" t="n"/>
      <c r="H200" s="241" t="n"/>
      <c r="I200" s="27">
        <f>-SUMIFS(T_ORCAMENTOS!$E:$E,T_ORCAMENTOS!$C:$C,"  -  Vale-transporte",T_ORCAMENTOS!$H:$H,"1/2026")</f>
        <v/>
      </c>
      <c r="J200" s="28">
        <f>SUMIFS(Aut_BlueMe_Sem_Pedido!$J:$J,Aut_BlueMe_Sem_Pedido!$Q:$Q,DRE!H$4,Aut_BlueMe_Sem_Pedido!$H:$H,DRE!$A200)+SUMIFS(Aut_Ajustes_Manuais!$G:$G,Aut_Ajustes_Manuais!$I:$I,DRE!H$4,Aut_Ajustes_Manuais!$F:$F,"  -  Vale-transporte")</f>
        <v/>
      </c>
      <c r="K200" s="241" t="n"/>
      <c r="L200" s="27">
        <f>-SUMIFS(T_ORCAMENTOS!$E:$E,T_ORCAMENTOS!$C:$C,"  -  Vale-transporte",T_ORCAMENTOS!$H:$H,"2/2026")</f>
        <v/>
      </c>
      <c r="M200" s="28">
        <f>SUMIFS(Aut_BlueMe_Sem_Pedido!$J:$J,Aut_BlueMe_Sem_Pedido!$Q:$Q,DRE!K$4,Aut_BlueMe_Sem_Pedido!$H:$H,DRE!$A200)+SUMIFS(Aut_Ajustes_Manuais!$G:$G,Aut_Ajustes_Manuais!$I:$I,DRE!K$4,Aut_Ajustes_Manuais!$F:$F,"  -  Vale-transporte")</f>
        <v/>
      </c>
      <c r="N200" s="241" t="n"/>
      <c r="O200" s="27">
        <f>-SUMIFS(T_ORCAMENTOS!$E:$E,T_ORCAMENTOS!$C:$C,"  -  Vale-transporte",T_ORCAMENTOS!$H:$H,"3/2026")</f>
        <v/>
      </c>
      <c r="P200" s="28">
        <f>SUMIFS(Aut_BlueMe_Sem_Pedido!$J:$J,Aut_BlueMe_Sem_Pedido!$Q:$Q,DRE!N$4,Aut_BlueMe_Sem_Pedido!$H:$H,DRE!$A200)+SUMIFS(Aut_Ajustes_Manuais!$G:$G,Aut_Ajustes_Manuais!$I:$I,DRE!N$4,Aut_Ajustes_Manuais!$F:$F,"  -  Vale-transporte")</f>
        <v/>
      </c>
      <c r="Q200" s="241" t="n"/>
      <c r="R200" s="27">
        <f>-SUMIFS(T_ORCAMENTOS!$E:$E,T_ORCAMENTOS!$C:$C,"  -  Vale-transporte",T_ORCAMENTOS!$H:$H,"4/2026")</f>
        <v/>
      </c>
      <c r="S200" s="28">
        <f>SUMIFS(Aut_BlueMe_Sem_Pedido!$J:$J,Aut_BlueMe_Sem_Pedido!$Q:$Q,DRE!Q$4,Aut_BlueMe_Sem_Pedido!$H:$H,DRE!$A200)+SUMIFS(Aut_Ajustes_Manuais!$G:$G,Aut_Ajustes_Manuais!$I:$I,DRE!Q$4,Aut_Ajustes_Manuais!$F:$F,"  -  Vale-transporte")</f>
        <v/>
      </c>
      <c r="T200" s="241" t="n"/>
      <c r="U200" s="27">
        <f>-SUMIFS(T_ORCAMENTOS!$E:$E,T_ORCAMENTOS!$C:$C,"  -  Vale-transporte",T_ORCAMENTOS!$H:$H,"5/2026")</f>
        <v/>
      </c>
      <c r="V200" s="28">
        <f>SUMIFS(Aut_BlueMe_Sem_Pedido!$J:$J,Aut_BlueMe_Sem_Pedido!$Q:$Q,DRE!T$4,Aut_BlueMe_Sem_Pedido!$H:$H,DRE!$A200)+SUMIFS(Aut_Ajustes_Manuais!$G:$G,Aut_Ajustes_Manuais!$I:$I,DRE!T$4,Aut_Ajustes_Manuais!$F:$F,"  -  Vale-transporte")</f>
        <v/>
      </c>
      <c r="W200" s="241" t="n"/>
      <c r="X200" s="27">
        <f>-SUMIFS(T_ORCAMENTOS!$E:$E,T_ORCAMENTOS!$C:$C,"  -  Vale-transporte",T_ORCAMENTOS!$H:$H,"6/2026")</f>
        <v/>
      </c>
      <c r="Y200" s="28">
        <f>SUMIFS(Aut_BlueMe_Sem_Pedido!$J:$J,Aut_BlueMe_Sem_Pedido!$Q:$Q,DRE!W$4,Aut_BlueMe_Sem_Pedido!$H:$H,DRE!$A200)+SUMIFS(Aut_Ajustes_Manuais!$G:$G,Aut_Ajustes_Manuais!$I:$I,DRE!W$4,Aut_Ajustes_Manuais!$F:$F,"  -  Vale-transporte")</f>
        <v/>
      </c>
      <c r="Z200" s="241" t="n"/>
      <c r="AA200" s="27">
        <f>-SUMIFS(T_ORCAMENTOS!$E:$E,T_ORCAMENTOS!$C:$C,"  -  Vale-transporte",T_ORCAMENTOS!$H:$H,"7/2026")</f>
        <v/>
      </c>
      <c r="AB200" s="28">
        <f>SUMIFS(Aut_BlueMe_Sem_Pedido!$J:$J,Aut_BlueMe_Sem_Pedido!$Q:$Q,DRE!Z$4,Aut_BlueMe_Sem_Pedido!$H:$H,DRE!$A200)+SUMIFS(Aut_Ajustes_Manuais!$G:$G,Aut_Ajustes_Manuais!$I:$I,DRE!Z$4,Aut_Ajustes_Manuais!$F:$F,"  -  Vale-transporte")</f>
        <v/>
      </c>
      <c r="AC200" s="241" t="n"/>
      <c r="AD200" s="27">
        <f>-SUMIFS(T_ORCAMENTOS!$E:$E,T_ORCAMENTOS!$C:$C,"  -  Vale-transporte",T_ORCAMENTOS!$H:$H,"8/2026")</f>
        <v/>
      </c>
      <c r="AE200" s="28">
        <f>SUMIFS(Aut_BlueMe_Sem_Pedido!$J:$J,Aut_BlueMe_Sem_Pedido!$Q:$Q,DRE!AC$4,Aut_BlueMe_Sem_Pedido!$H:$H,DRE!$A200)+SUMIFS(Aut_Ajustes_Manuais!$G:$G,Aut_Ajustes_Manuais!$I:$I,DRE!AC$4,Aut_Ajustes_Manuais!$F:$F,"  -  Vale-transporte")</f>
        <v/>
      </c>
      <c r="AF200" s="241" t="n"/>
      <c r="AG200" s="27">
        <f>-SUMIFS(T_ORCAMENTOS!$E:$E,T_ORCAMENTOS!$C:$C,"  -  Vale-transporte",T_ORCAMENTOS!$H:$H,"9/2026")</f>
        <v/>
      </c>
      <c r="AH200" s="28">
        <f>SUMIFS(Aut_BlueMe_Sem_Pedido!$J:$J,Aut_BlueMe_Sem_Pedido!$Q:$Q,DRE!AF$4,Aut_BlueMe_Sem_Pedido!$H:$H,DRE!$A200)+SUMIFS(Aut_Ajustes_Manuais!$G:$G,Aut_Ajustes_Manuais!$I:$I,DRE!AF$4,Aut_Ajustes_Manuais!$F:$F,"  -  Vale-transporte")</f>
        <v/>
      </c>
      <c r="AI200" s="241" t="n"/>
      <c r="AJ200" s="27">
        <f>-SUMIFS(T_ORCAMENTOS!$E:$E,T_ORCAMENTOS!$C:$C,"  -  Vale-transporte",T_ORCAMENTOS!$H:$H,"10/2026")</f>
        <v/>
      </c>
      <c r="AK200" s="28">
        <f>SUMIFS(Aut_BlueMe_Sem_Pedido!$J:$J,Aut_BlueMe_Sem_Pedido!$Q:$Q,DRE!AI$4,Aut_BlueMe_Sem_Pedido!$H:$H,DRE!$A200)+SUMIFS(Aut_Ajustes_Manuais!$G:$G,Aut_Ajustes_Manuais!$I:$I,DRE!AI$4,Aut_Ajustes_Manuais!$F:$F,"  -  Vale-transporte")</f>
        <v/>
      </c>
      <c r="AL200" s="241" t="n"/>
      <c r="AM200" s="27">
        <f>-SUMIFS(T_ORCAMENTOS!$E:$E,T_ORCAMENTOS!$C:$C,"  -  Vale-transporte",T_ORCAMENTOS!$H:$H,"11/2026")</f>
        <v/>
      </c>
      <c r="AN200" s="28">
        <f>SUMIFS(Aut_BlueMe_Sem_Pedido!$J:$J,Aut_BlueMe_Sem_Pedido!$Q:$Q,DRE!AL$4,Aut_BlueMe_Sem_Pedido!$H:$H,DRE!$A200)+SUMIFS(Aut_Ajustes_Manuais!$G:$G,Aut_Ajustes_Manuais!$I:$I,DRE!AL$4,Aut_Ajustes_Manuais!$F:$F,"  -  Vale-transporte")</f>
        <v/>
      </c>
      <c r="AO200" s="241" t="n"/>
      <c r="AP200" s="27">
        <f>-SUMIFS(T_ORCAMENTOS!$E:$E,T_ORCAMENTOS!$C:$C,"  -  Vale-transporte",T_ORCAMENTOS!$H:$H,"12/2026")</f>
        <v/>
      </c>
      <c r="AQ200" s="28">
        <f>SUMIFS(Aut_BlueMe_Sem_Pedido!$J:$J,Aut_BlueMe_Sem_Pedido!$Q:$Q,DRE!AO$4,Aut_BlueMe_Sem_Pedido!$H:$H,DRE!$A200)+SUMIFS(Aut_Ajustes_Manuais!$G:$G,Aut_Ajustes_Manuais!$I:$I,DRE!AO$4,Aut_Ajustes_Manuais!$F:$F,"  -  Vale-transporte")</f>
        <v/>
      </c>
      <c r="AR200" s="241">
        <f>SUMIFS($H200:$AO200,$H$5:$AO$5,"&lt;"&amp;MONTH(TODAY()),$H$6:$AO$6,"REAL 25")</f>
        <v/>
      </c>
      <c r="AS200" s="27">
        <f>SUMIFS($I200:$AP200,$I$5:$AP$5,"&lt;"&amp;MONTH(TODAY()),$I$6:$AP$6,"ORÇADO ")</f>
        <v/>
      </c>
      <c r="AT200" s="28">
        <f>SUMIFS($J200:$AQ200,$J$5:$AQ$5,"&lt;"&amp;MONTH(TODAY()),$J$6:$AQ$6,"REAL 26")</f>
        <v/>
      </c>
      <c r="AU200" s="241">
        <f>SUM(H200,K200,N200,Q200,T200,W200,Z200,AC200,AF200,AI200,AL200,AO200)</f>
        <v/>
      </c>
      <c r="AV200" s="27">
        <f>SUM(I200,L200,O200,R200,U200,X200,AA200,AD200,AG200,AJ200,AM200,AP200)</f>
        <v/>
      </c>
      <c r="AW200" s="28">
        <f>SUM(J200,M200,P200,S200,V200,Y200,AB200,AE200,AH200,AK200,AN200,AQ200)</f>
        <v/>
      </c>
      <c r="AX200" s="241">
        <f>SUM(H200,K200,N200)</f>
        <v/>
      </c>
      <c r="AY200" s="27">
        <f>SUM(I200,L200,O200)</f>
        <v/>
      </c>
      <c r="AZ200" s="28">
        <f>SUM(J200,M200,P200)</f>
        <v/>
      </c>
      <c r="BA200" s="241">
        <f>SUM(Q200,T200,W200)</f>
        <v/>
      </c>
      <c r="BB200" s="27">
        <f>SUM(R200,U200,X200)</f>
        <v/>
      </c>
      <c r="BC200" s="28">
        <f>SUM(S200,V200,Y200)</f>
        <v/>
      </c>
      <c r="BD200" s="241">
        <f>SUM(Z200,AC200,AF200)</f>
        <v/>
      </c>
      <c r="BE200" s="27">
        <f>SUM(AA200,AD200,AG200)</f>
        <v/>
      </c>
      <c r="BF200" s="28">
        <f>SUM(AB200,AE200,AH200)</f>
        <v/>
      </c>
      <c r="BG200" s="241">
        <f>SUM(AI200,AL200,AO200)</f>
        <v/>
      </c>
      <c r="BH200" s="27">
        <f>SUM(AJ200,AM200,AP200)</f>
        <v/>
      </c>
      <c r="BI200" s="28">
        <f>SUM(AK200,AN200,AQ200)</f>
        <v/>
      </c>
    </row>
    <row r="201" hidden="1" outlineLevel="1" customFormat="1" s="498">
      <c r="A201" s="22" t="inlineStr">
        <is>
          <t xml:space="preserve">  -  Assist. Médica</t>
        </is>
      </c>
      <c r="B201" s="488" t="n"/>
      <c r="C201" s="24" t="n"/>
      <c r="D201" s="55" t="n"/>
      <c r="E201" s="509" t="n">
        <v>-350</v>
      </c>
      <c r="F201" s="41" t="n"/>
      <c r="G201" s="510" t="n"/>
      <c r="H201" s="241" t="n"/>
      <c r="I201" s="27">
        <f>-SUMIFS(T_ORCAMENTOS!$E:$E,T_ORCAMENTOS!$C:$C,"  -  Assist. Médica",T_ORCAMENTOS!$H:$H,"1/2026")</f>
        <v/>
      </c>
      <c r="J201" s="28">
        <f>SUMIFS(Aut_BlueMe_Sem_Pedido!$J:$J,Aut_BlueMe_Sem_Pedido!$Q:$Q,DRE!H$4,Aut_BlueMe_Sem_Pedido!$H:$H,DRE!$A201)+SUMIFS(Aut_Ajustes_Manuais!$G:$G,Aut_Ajustes_Manuais!$I:$I,DRE!H$4,Aut_Ajustes_Manuais!$F:$F,"  -  Assist. Médica")</f>
        <v/>
      </c>
      <c r="K201" s="241" t="n"/>
      <c r="L201" s="27">
        <f>-SUMIFS(T_ORCAMENTOS!$E:$E,T_ORCAMENTOS!$C:$C,"  -  Assist. Médica",T_ORCAMENTOS!$H:$H,"2/2026")</f>
        <v/>
      </c>
      <c r="M201" s="28">
        <f>SUMIFS(Aut_BlueMe_Sem_Pedido!$J:$J,Aut_BlueMe_Sem_Pedido!$Q:$Q,DRE!K$4,Aut_BlueMe_Sem_Pedido!$H:$H,DRE!$A201)+SUMIFS(Aut_Ajustes_Manuais!$G:$G,Aut_Ajustes_Manuais!$I:$I,DRE!K$4,Aut_Ajustes_Manuais!$F:$F,"  -  Assist. Médica")</f>
        <v/>
      </c>
      <c r="N201" s="241" t="n"/>
      <c r="O201" s="27">
        <f>-SUMIFS(T_ORCAMENTOS!$E:$E,T_ORCAMENTOS!$C:$C,"  -  Assist. Médica",T_ORCAMENTOS!$H:$H,"3/2026")</f>
        <v/>
      </c>
      <c r="P201" s="28">
        <f>SUMIFS(Aut_BlueMe_Sem_Pedido!$J:$J,Aut_BlueMe_Sem_Pedido!$Q:$Q,DRE!N$4,Aut_BlueMe_Sem_Pedido!$H:$H,DRE!$A201)+SUMIFS(Aut_Ajustes_Manuais!$G:$G,Aut_Ajustes_Manuais!$I:$I,DRE!N$4,Aut_Ajustes_Manuais!$F:$F,"  -  Assist. Médica")</f>
        <v/>
      </c>
      <c r="Q201" s="241" t="n"/>
      <c r="R201" s="27">
        <f>-SUMIFS(T_ORCAMENTOS!$E:$E,T_ORCAMENTOS!$C:$C,"  -  Assist. Médica",T_ORCAMENTOS!$H:$H,"4/2026")</f>
        <v/>
      </c>
      <c r="S201" s="28">
        <f>SUMIFS(Aut_BlueMe_Sem_Pedido!$J:$J,Aut_BlueMe_Sem_Pedido!$Q:$Q,DRE!Q$4,Aut_BlueMe_Sem_Pedido!$H:$H,DRE!$A201)+SUMIFS(Aut_Ajustes_Manuais!$G:$G,Aut_Ajustes_Manuais!$I:$I,DRE!Q$4,Aut_Ajustes_Manuais!$F:$F,"  -  Assist. Médica")</f>
        <v/>
      </c>
      <c r="T201" s="241" t="n"/>
      <c r="U201" s="27">
        <f>-SUMIFS(T_ORCAMENTOS!$E:$E,T_ORCAMENTOS!$C:$C,"  -  Assist. Médica",T_ORCAMENTOS!$H:$H,"5/2026")</f>
        <v/>
      </c>
      <c r="V201" s="28">
        <f>SUMIFS(Aut_BlueMe_Sem_Pedido!$J:$J,Aut_BlueMe_Sem_Pedido!$Q:$Q,DRE!T$4,Aut_BlueMe_Sem_Pedido!$H:$H,DRE!$A201)+SUMIFS(Aut_Ajustes_Manuais!$G:$G,Aut_Ajustes_Manuais!$I:$I,DRE!T$4,Aut_Ajustes_Manuais!$F:$F,"  -  Assist. Médica")</f>
        <v/>
      </c>
      <c r="W201" s="241" t="n"/>
      <c r="X201" s="27">
        <f>-SUMIFS(T_ORCAMENTOS!$E:$E,T_ORCAMENTOS!$C:$C,"  -  Assist. Médica",T_ORCAMENTOS!$H:$H,"6/2026")</f>
        <v/>
      </c>
      <c r="Y201" s="28">
        <f>SUMIFS(Aut_BlueMe_Sem_Pedido!$J:$J,Aut_BlueMe_Sem_Pedido!$Q:$Q,DRE!W$4,Aut_BlueMe_Sem_Pedido!$H:$H,DRE!$A201)+SUMIFS(Aut_Ajustes_Manuais!$G:$G,Aut_Ajustes_Manuais!$I:$I,DRE!W$4,Aut_Ajustes_Manuais!$F:$F,"  -  Assist. Médica")</f>
        <v/>
      </c>
      <c r="Z201" s="241" t="n"/>
      <c r="AA201" s="27">
        <f>-SUMIFS(T_ORCAMENTOS!$E:$E,T_ORCAMENTOS!$C:$C,"  -  Assist. Médica",T_ORCAMENTOS!$H:$H,"7/2026")</f>
        <v/>
      </c>
      <c r="AB201" s="28">
        <f>SUMIFS(Aut_BlueMe_Sem_Pedido!$J:$J,Aut_BlueMe_Sem_Pedido!$Q:$Q,DRE!Z$4,Aut_BlueMe_Sem_Pedido!$H:$H,DRE!$A201)+SUMIFS(Aut_Ajustes_Manuais!$G:$G,Aut_Ajustes_Manuais!$I:$I,DRE!Z$4,Aut_Ajustes_Manuais!$F:$F,"  -  Assist. Médica")</f>
        <v/>
      </c>
      <c r="AC201" s="241" t="n"/>
      <c r="AD201" s="27">
        <f>-SUMIFS(T_ORCAMENTOS!$E:$E,T_ORCAMENTOS!$C:$C,"  -  Assist. Médica",T_ORCAMENTOS!$H:$H,"8/2026")</f>
        <v/>
      </c>
      <c r="AE201" s="28">
        <f>SUMIFS(Aut_BlueMe_Sem_Pedido!$J:$J,Aut_BlueMe_Sem_Pedido!$Q:$Q,DRE!AC$4,Aut_BlueMe_Sem_Pedido!$H:$H,DRE!$A201)+SUMIFS(Aut_Ajustes_Manuais!$G:$G,Aut_Ajustes_Manuais!$I:$I,DRE!AC$4,Aut_Ajustes_Manuais!$F:$F,"  -  Assist. Médica")</f>
        <v/>
      </c>
      <c r="AF201" s="241" t="n"/>
      <c r="AG201" s="27">
        <f>-SUMIFS(T_ORCAMENTOS!$E:$E,T_ORCAMENTOS!$C:$C,"  -  Assist. Médica",T_ORCAMENTOS!$H:$H,"9/2026")</f>
        <v/>
      </c>
      <c r="AH201" s="28">
        <f>SUMIFS(Aut_BlueMe_Sem_Pedido!$J:$J,Aut_BlueMe_Sem_Pedido!$Q:$Q,DRE!AF$4,Aut_BlueMe_Sem_Pedido!$H:$H,DRE!$A201)+SUMIFS(Aut_Ajustes_Manuais!$G:$G,Aut_Ajustes_Manuais!$I:$I,DRE!AF$4,Aut_Ajustes_Manuais!$F:$F,"  -  Assist. Médica")</f>
        <v/>
      </c>
      <c r="AI201" s="241" t="n"/>
      <c r="AJ201" s="27">
        <f>-SUMIFS(T_ORCAMENTOS!$E:$E,T_ORCAMENTOS!$C:$C,"  -  Assist. Médica",T_ORCAMENTOS!$H:$H,"10/2026")</f>
        <v/>
      </c>
      <c r="AK201" s="28">
        <f>SUMIFS(Aut_BlueMe_Sem_Pedido!$J:$J,Aut_BlueMe_Sem_Pedido!$Q:$Q,DRE!AI$4,Aut_BlueMe_Sem_Pedido!$H:$H,DRE!$A201)+SUMIFS(Aut_Ajustes_Manuais!$G:$G,Aut_Ajustes_Manuais!$I:$I,DRE!AI$4,Aut_Ajustes_Manuais!$F:$F,"  -  Assist. Médica")</f>
        <v/>
      </c>
      <c r="AL201" s="241" t="n"/>
      <c r="AM201" s="27">
        <f>-SUMIFS(T_ORCAMENTOS!$E:$E,T_ORCAMENTOS!$C:$C,"  -  Assist. Médica",T_ORCAMENTOS!$H:$H,"11/2026")</f>
        <v/>
      </c>
      <c r="AN201" s="28">
        <f>SUMIFS(Aut_BlueMe_Sem_Pedido!$J:$J,Aut_BlueMe_Sem_Pedido!$Q:$Q,DRE!AL$4,Aut_BlueMe_Sem_Pedido!$H:$H,DRE!$A201)+SUMIFS(Aut_Ajustes_Manuais!$G:$G,Aut_Ajustes_Manuais!$I:$I,DRE!AL$4,Aut_Ajustes_Manuais!$F:$F,"  -  Assist. Médica")</f>
        <v/>
      </c>
      <c r="AO201" s="241" t="n"/>
      <c r="AP201" s="27">
        <f>-SUMIFS(T_ORCAMENTOS!$E:$E,T_ORCAMENTOS!$C:$C,"  -  Assist. Médica",T_ORCAMENTOS!$H:$H,"12/2026")</f>
        <v/>
      </c>
      <c r="AQ201" s="28">
        <f>SUMIFS(Aut_BlueMe_Sem_Pedido!$J:$J,Aut_BlueMe_Sem_Pedido!$Q:$Q,DRE!AO$4,Aut_BlueMe_Sem_Pedido!$H:$H,DRE!$A201)+SUMIFS(Aut_Ajustes_Manuais!$G:$G,Aut_Ajustes_Manuais!$I:$I,DRE!AO$4,Aut_Ajustes_Manuais!$F:$F,"  -  Assist. Médica")</f>
        <v/>
      </c>
      <c r="AR201" s="241">
        <f>SUMIFS($H201:$AO201,$H$5:$AO$5,"&lt;"&amp;MONTH(TODAY()),$H$6:$AO$6,"REAL 25")</f>
        <v/>
      </c>
      <c r="AS201" s="27">
        <f>SUMIFS($I201:$AP201,$I$5:$AP$5,"&lt;"&amp;MONTH(TODAY()),$I$6:$AP$6,"ORÇADO ")</f>
        <v/>
      </c>
      <c r="AT201" s="28">
        <f>SUMIFS($J201:$AQ201,$J$5:$AQ$5,"&lt;"&amp;MONTH(TODAY()),$J$6:$AQ$6,"REAL 26")</f>
        <v/>
      </c>
      <c r="AU201" s="241">
        <f>SUM(H201,K201,N201,Q201,T201,W201,Z201,AC201,AF201,AI201,AL201,AO201)</f>
        <v/>
      </c>
      <c r="AV201" s="27">
        <f>SUM(I201,L201,O201,R201,U201,X201,AA201,AD201,AG201,AJ201,AM201,AP201)</f>
        <v/>
      </c>
      <c r="AW201" s="28">
        <f>SUM(J201,M201,P201,S201,V201,Y201,AB201,AE201,AH201,AK201,AN201,AQ201)</f>
        <v/>
      </c>
      <c r="AX201" s="241">
        <f>SUM(H201,K201,N201)</f>
        <v/>
      </c>
      <c r="AY201" s="27">
        <f>SUM(I201,L201,O201)</f>
        <v/>
      </c>
      <c r="AZ201" s="28">
        <f>SUM(J201,M201,P201)</f>
        <v/>
      </c>
      <c r="BA201" s="241">
        <f>SUM(Q201,T201,W201)</f>
        <v/>
      </c>
      <c r="BB201" s="27">
        <f>SUM(R201,U201,X201)</f>
        <v/>
      </c>
      <c r="BC201" s="28">
        <f>SUM(S201,V201,Y201)</f>
        <v/>
      </c>
      <c r="BD201" s="241">
        <f>SUM(Z201,AC201,AF201)</f>
        <v/>
      </c>
      <c r="BE201" s="27">
        <f>SUM(AA201,AD201,AG201)</f>
        <v/>
      </c>
      <c r="BF201" s="28">
        <f>SUM(AB201,AE201,AH201)</f>
        <v/>
      </c>
      <c r="BG201" s="241">
        <f>SUM(AI201,AL201,AO201)</f>
        <v/>
      </c>
      <c r="BH201" s="27">
        <f>SUM(AJ201,AM201,AP201)</f>
        <v/>
      </c>
      <c r="BI201" s="28">
        <f>SUM(AK201,AN201,AQ201)</f>
        <v/>
      </c>
    </row>
    <row r="202" hidden="1" outlineLevel="1" customFormat="1" s="498">
      <c r="A202" s="22" t="inlineStr">
        <is>
          <t xml:space="preserve">  -  Assist. Odontologica</t>
        </is>
      </c>
      <c r="B202" s="488" t="n"/>
      <c r="C202" s="24" t="n"/>
      <c r="D202" s="55" t="n"/>
      <c r="E202" s="87" t="n"/>
      <c r="F202" s="41" t="n"/>
      <c r="G202" s="511" t="n"/>
      <c r="H202" s="241" t="n"/>
      <c r="I202" s="27">
        <f>-SUMIFS(T_ORCAMENTOS!$E:$E,T_ORCAMENTOS!$C:$C,"  -  Assist. Odontologica",T_ORCAMENTOS!$H:$H,"1/2026")</f>
        <v/>
      </c>
      <c r="J202" s="28">
        <f>SUMIFS(Aut_BlueMe_Sem_Pedido!$J:$J,Aut_BlueMe_Sem_Pedido!$Q:$Q,DRE!H$4,Aut_BlueMe_Sem_Pedido!$H:$H,DRE!$A202)+SUMIFS(Aut_Ajustes_Manuais!$G:$G,Aut_Ajustes_Manuais!$I:$I,DRE!H$4,Aut_Ajustes_Manuais!$F:$F,"  -  Assist. Odontologica")</f>
        <v/>
      </c>
      <c r="K202" s="241" t="n"/>
      <c r="L202" s="27">
        <f>-SUMIFS(T_ORCAMENTOS!$E:$E,T_ORCAMENTOS!$C:$C,"  -  Assist. Odontologica",T_ORCAMENTOS!$H:$H,"2/2026")</f>
        <v/>
      </c>
      <c r="M202" s="28">
        <f>SUMIFS(Aut_BlueMe_Sem_Pedido!$J:$J,Aut_BlueMe_Sem_Pedido!$Q:$Q,DRE!K$4,Aut_BlueMe_Sem_Pedido!$H:$H,DRE!$A202)+SUMIFS(Aut_Ajustes_Manuais!$G:$G,Aut_Ajustes_Manuais!$I:$I,DRE!K$4,Aut_Ajustes_Manuais!$F:$F,"  -  Assist. Odontologica")</f>
        <v/>
      </c>
      <c r="N202" s="241" t="n"/>
      <c r="O202" s="27">
        <f>-SUMIFS(T_ORCAMENTOS!$E:$E,T_ORCAMENTOS!$C:$C,"  -  Assist. Odontologica",T_ORCAMENTOS!$H:$H,"3/2026")</f>
        <v/>
      </c>
      <c r="P202" s="28">
        <f>SUMIFS(Aut_BlueMe_Sem_Pedido!$J:$J,Aut_BlueMe_Sem_Pedido!$Q:$Q,DRE!N$4,Aut_BlueMe_Sem_Pedido!$H:$H,DRE!$A202)+SUMIFS(Aut_Ajustes_Manuais!$G:$G,Aut_Ajustes_Manuais!$I:$I,DRE!N$4,Aut_Ajustes_Manuais!$F:$F,"  -  Assist. Odontologica")</f>
        <v/>
      </c>
      <c r="Q202" s="241" t="n"/>
      <c r="R202" s="27">
        <f>-SUMIFS(T_ORCAMENTOS!$E:$E,T_ORCAMENTOS!$C:$C,"  -  Assist. Odontologica",T_ORCAMENTOS!$H:$H,"4/2026")</f>
        <v/>
      </c>
      <c r="S202" s="28">
        <f>SUMIFS(Aut_BlueMe_Sem_Pedido!$J:$J,Aut_BlueMe_Sem_Pedido!$Q:$Q,DRE!Q$4,Aut_BlueMe_Sem_Pedido!$H:$H,DRE!$A202)+SUMIFS(Aut_Ajustes_Manuais!$G:$G,Aut_Ajustes_Manuais!$I:$I,DRE!Q$4,Aut_Ajustes_Manuais!$F:$F,"  -  Assist. Odontologica")</f>
        <v/>
      </c>
      <c r="T202" s="241" t="n"/>
      <c r="U202" s="27">
        <f>-SUMIFS(T_ORCAMENTOS!$E:$E,T_ORCAMENTOS!$C:$C,"  -  Assist. Odontologica",T_ORCAMENTOS!$H:$H,"5/2026")</f>
        <v/>
      </c>
      <c r="V202" s="28">
        <f>SUMIFS(Aut_BlueMe_Sem_Pedido!$J:$J,Aut_BlueMe_Sem_Pedido!$Q:$Q,DRE!T$4,Aut_BlueMe_Sem_Pedido!$H:$H,DRE!$A202)+SUMIFS(Aut_Ajustes_Manuais!$G:$G,Aut_Ajustes_Manuais!$I:$I,DRE!T$4,Aut_Ajustes_Manuais!$F:$F,"  -  Assist. Odontologica")</f>
        <v/>
      </c>
      <c r="W202" s="241" t="n"/>
      <c r="X202" s="27">
        <f>-SUMIFS(T_ORCAMENTOS!$E:$E,T_ORCAMENTOS!$C:$C,"  -  Assist. Odontologica",T_ORCAMENTOS!$H:$H,"6/2026")</f>
        <v/>
      </c>
      <c r="Y202" s="28">
        <f>SUMIFS(Aut_BlueMe_Sem_Pedido!$J:$J,Aut_BlueMe_Sem_Pedido!$Q:$Q,DRE!W$4,Aut_BlueMe_Sem_Pedido!$H:$H,DRE!$A202)+SUMIFS(Aut_Ajustes_Manuais!$G:$G,Aut_Ajustes_Manuais!$I:$I,DRE!W$4,Aut_Ajustes_Manuais!$F:$F,"  -  Assist. Odontologica")</f>
        <v/>
      </c>
      <c r="Z202" s="241" t="n"/>
      <c r="AA202" s="27">
        <f>-SUMIFS(T_ORCAMENTOS!$E:$E,T_ORCAMENTOS!$C:$C,"  -  Assist. Odontologica",T_ORCAMENTOS!$H:$H,"7/2026")</f>
        <v/>
      </c>
      <c r="AB202" s="28">
        <f>SUMIFS(Aut_BlueMe_Sem_Pedido!$J:$J,Aut_BlueMe_Sem_Pedido!$Q:$Q,DRE!Z$4,Aut_BlueMe_Sem_Pedido!$H:$H,DRE!$A202)+SUMIFS(Aut_Ajustes_Manuais!$G:$G,Aut_Ajustes_Manuais!$I:$I,DRE!Z$4,Aut_Ajustes_Manuais!$F:$F,"  -  Assist. Odontologica")</f>
        <v/>
      </c>
      <c r="AC202" s="241" t="n"/>
      <c r="AD202" s="27">
        <f>-SUMIFS(T_ORCAMENTOS!$E:$E,T_ORCAMENTOS!$C:$C,"  -  Assist. Odontologica",T_ORCAMENTOS!$H:$H,"8/2026")</f>
        <v/>
      </c>
      <c r="AE202" s="28">
        <f>SUMIFS(Aut_BlueMe_Sem_Pedido!$J:$J,Aut_BlueMe_Sem_Pedido!$Q:$Q,DRE!AC$4,Aut_BlueMe_Sem_Pedido!$H:$H,DRE!$A202)+SUMIFS(Aut_Ajustes_Manuais!$G:$G,Aut_Ajustes_Manuais!$I:$I,DRE!AC$4,Aut_Ajustes_Manuais!$F:$F,"  -  Assist. Odontologica")</f>
        <v/>
      </c>
      <c r="AF202" s="241" t="n"/>
      <c r="AG202" s="27">
        <f>-SUMIFS(T_ORCAMENTOS!$E:$E,T_ORCAMENTOS!$C:$C,"  -  Assist. Odontologica",T_ORCAMENTOS!$H:$H,"9/2026")</f>
        <v/>
      </c>
      <c r="AH202" s="28">
        <f>SUMIFS(Aut_BlueMe_Sem_Pedido!$J:$J,Aut_BlueMe_Sem_Pedido!$Q:$Q,DRE!AF$4,Aut_BlueMe_Sem_Pedido!$H:$H,DRE!$A202)+SUMIFS(Aut_Ajustes_Manuais!$G:$G,Aut_Ajustes_Manuais!$I:$I,DRE!AF$4,Aut_Ajustes_Manuais!$F:$F,"  -  Assist. Odontologica")</f>
        <v/>
      </c>
      <c r="AI202" s="241" t="n"/>
      <c r="AJ202" s="27">
        <f>-SUMIFS(T_ORCAMENTOS!$E:$E,T_ORCAMENTOS!$C:$C,"  -  Assist. Odontologica",T_ORCAMENTOS!$H:$H,"10/2026")</f>
        <v/>
      </c>
      <c r="AK202" s="28">
        <f>SUMIFS(Aut_BlueMe_Sem_Pedido!$J:$J,Aut_BlueMe_Sem_Pedido!$Q:$Q,DRE!AI$4,Aut_BlueMe_Sem_Pedido!$H:$H,DRE!$A202)+SUMIFS(Aut_Ajustes_Manuais!$G:$G,Aut_Ajustes_Manuais!$I:$I,DRE!AI$4,Aut_Ajustes_Manuais!$F:$F,"  -  Assist. Odontologica")</f>
        <v/>
      </c>
      <c r="AL202" s="241" t="n"/>
      <c r="AM202" s="27">
        <f>-SUMIFS(T_ORCAMENTOS!$E:$E,T_ORCAMENTOS!$C:$C,"  -  Assist. Odontologica",T_ORCAMENTOS!$H:$H,"11/2026")</f>
        <v/>
      </c>
      <c r="AN202" s="28">
        <f>SUMIFS(Aut_BlueMe_Sem_Pedido!$J:$J,Aut_BlueMe_Sem_Pedido!$Q:$Q,DRE!AL$4,Aut_BlueMe_Sem_Pedido!$H:$H,DRE!$A202)+SUMIFS(Aut_Ajustes_Manuais!$G:$G,Aut_Ajustes_Manuais!$I:$I,DRE!AL$4,Aut_Ajustes_Manuais!$F:$F,"  -  Assist. Odontologica")</f>
        <v/>
      </c>
      <c r="AO202" s="241" t="n"/>
      <c r="AP202" s="27">
        <f>-SUMIFS(T_ORCAMENTOS!$E:$E,T_ORCAMENTOS!$C:$C,"  -  Assist. Odontologica",T_ORCAMENTOS!$H:$H,"12/2026")</f>
        <v/>
      </c>
      <c r="AQ202" s="28">
        <f>SUMIFS(Aut_BlueMe_Sem_Pedido!$J:$J,Aut_BlueMe_Sem_Pedido!$Q:$Q,DRE!AO$4,Aut_BlueMe_Sem_Pedido!$H:$H,DRE!$A202)+SUMIFS(Aut_Ajustes_Manuais!$G:$G,Aut_Ajustes_Manuais!$I:$I,DRE!AO$4,Aut_Ajustes_Manuais!$F:$F,"  -  Assist. Odontologica")</f>
        <v/>
      </c>
      <c r="AR202" s="241">
        <f>SUMIFS($H202:$AO202,$H$5:$AO$5,"&lt;"&amp;MONTH(TODAY()),$H$6:$AO$6,"REAL 25")</f>
        <v/>
      </c>
      <c r="AS202" s="27">
        <f>SUMIFS($I202:$AP202,$I$5:$AP$5,"&lt;"&amp;MONTH(TODAY()),$I$6:$AP$6,"ORÇADO ")</f>
        <v/>
      </c>
      <c r="AT202" s="28">
        <f>SUMIFS($J202:$AQ202,$J$5:$AQ$5,"&lt;"&amp;MONTH(TODAY()),$J$6:$AQ$6,"REAL 26")</f>
        <v/>
      </c>
      <c r="AU202" s="241">
        <f>SUM(H202,K202,N202,Q202,T202,W202,Z202,AC202,AF202,AI202,AL202,AO202)</f>
        <v/>
      </c>
      <c r="AV202" s="27">
        <f>SUM(I202,L202,O202,R202,U202,X202,AA202,AD202,AG202,AJ202,AM202,AP202)</f>
        <v/>
      </c>
      <c r="AW202" s="28">
        <f>SUM(J202,M202,P202,S202,V202,Y202,AB202,AE202,AH202,AK202,AN202,AQ202)</f>
        <v/>
      </c>
      <c r="AX202" s="241">
        <f>SUM(H202,K202,N202)</f>
        <v/>
      </c>
      <c r="AY202" s="27">
        <f>SUM(I202,L202,O202)</f>
        <v/>
      </c>
      <c r="AZ202" s="28">
        <f>SUM(J202,M202,P202)</f>
        <v/>
      </c>
      <c r="BA202" s="241">
        <f>SUM(Q202,T202,W202)</f>
        <v/>
      </c>
      <c r="BB202" s="27">
        <f>SUM(R202,U202,X202)</f>
        <v/>
      </c>
      <c r="BC202" s="28">
        <f>SUM(S202,V202,Y202)</f>
        <v/>
      </c>
      <c r="BD202" s="241">
        <f>SUM(Z202,AC202,AF202)</f>
        <v/>
      </c>
      <c r="BE202" s="27">
        <f>SUM(AA202,AD202,AG202)</f>
        <v/>
      </c>
      <c r="BF202" s="28">
        <f>SUM(AB202,AE202,AH202)</f>
        <v/>
      </c>
      <c r="BG202" s="241">
        <f>SUM(AI202,AL202,AO202)</f>
        <v/>
      </c>
      <c r="BH202" s="27">
        <f>SUM(AJ202,AM202,AP202)</f>
        <v/>
      </c>
      <c r="BI202" s="28">
        <f>SUM(AK202,AN202,AQ202)</f>
        <v/>
      </c>
    </row>
    <row r="203" hidden="1" outlineLevel="1" customFormat="1" s="498">
      <c r="A203" s="22" t="inlineStr">
        <is>
          <t xml:space="preserve">  -  Seguro de Vida</t>
        </is>
      </c>
      <c r="B203" s="488" t="n"/>
      <c r="C203" s="24" t="n"/>
      <c r="D203" s="55" t="inlineStr">
        <is>
          <t xml:space="preserve">Custo por colaborador </t>
        </is>
      </c>
      <c r="E203" s="509" t="n">
        <v>-5</v>
      </c>
      <c r="F203" s="41" t="n"/>
      <c r="G203" s="510" t="n"/>
      <c r="H203" s="241" t="n"/>
      <c r="I203" s="27">
        <f>-SUMIFS(T_ORCAMENTOS!$E:$E,T_ORCAMENTOS!$C:$C,"  -  Seguro de Vida",T_ORCAMENTOS!$H:$H,"1/2026")</f>
        <v/>
      </c>
      <c r="J203" s="28">
        <f>SUMIFS(Aut_BlueMe_Sem_Pedido!$J:$J,Aut_BlueMe_Sem_Pedido!$Q:$Q,DRE!H$4,Aut_BlueMe_Sem_Pedido!$H:$H,DRE!$A203)+SUMIFS(Aut_Ajustes_Manuais!$G:$G,Aut_Ajustes_Manuais!$I:$I,DRE!H$4,Aut_Ajustes_Manuais!$F:$F,"  -  Seguro de Vida")</f>
        <v/>
      </c>
      <c r="K203" s="241" t="n"/>
      <c r="L203" s="27">
        <f>-SUMIFS(T_ORCAMENTOS!$E:$E,T_ORCAMENTOS!$C:$C,"  -  Seguro de Vida",T_ORCAMENTOS!$H:$H,"2/2026")</f>
        <v/>
      </c>
      <c r="M203" s="28">
        <f>SUMIFS(Aut_BlueMe_Sem_Pedido!$J:$J,Aut_BlueMe_Sem_Pedido!$Q:$Q,DRE!K$4,Aut_BlueMe_Sem_Pedido!$H:$H,DRE!$A203)+SUMIFS(Aut_Ajustes_Manuais!$G:$G,Aut_Ajustes_Manuais!$I:$I,DRE!K$4,Aut_Ajustes_Manuais!$F:$F,"  -  Seguro de Vida")</f>
        <v/>
      </c>
      <c r="N203" s="241" t="n"/>
      <c r="O203" s="27">
        <f>-SUMIFS(T_ORCAMENTOS!$E:$E,T_ORCAMENTOS!$C:$C,"  -  Seguro de Vida",T_ORCAMENTOS!$H:$H,"3/2026")</f>
        <v/>
      </c>
      <c r="P203" s="28">
        <f>SUMIFS(Aut_BlueMe_Sem_Pedido!$J:$J,Aut_BlueMe_Sem_Pedido!$Q:$Q,DRE!N$4,Aut_BlueMe_Sem_Pedido!$H:$H,DRE!$A203)+SUMIFS(Aut_Ajustes_Manuais!$G:$G,Aut_Ajustes_Manuais!$I:$I,DRE!N$4,Aut_Ajustes_Manuais!$F:$F,"  -  Seguro de Vida")</f>
        <v/>
      </c>
      <c r="Q203" s="241" t="n"/>
      <c r="R203" s="27">
        <f>-SUMIFS(T_ORCAMENTOS!$E:$E,T_ORCAMENTOS!$C:$C,"  -  Seguro de Vida",T_ORCAMENTOS!$H:$H,"4/2026")</f>
        <v/>
      </c>
      <c r="S203" s="28">
        <f>SUMIFS(Aut_BlueMe_Sem_Pedido!$J:$J,Aut_BlueMe_Sem_Pedido!$Q:$Q,DRE!Q$4,Aut_BlueMe_Sem_Pedido!$H:$H,DRE!$A203)+SUMIFS(Aut_Ajustes_Manuais!$G:$G,Aut_Ajustes_Manuais!$I:$I,DRE!Q$4,Aut_Ajustes_Manuais!$F:$F,"  -  Seguro de Vida")</f>
        <v/>
      </c>
      <c r="T203" s="241" t="n"/>
      <c r="U203" s="27">
        <f>-SUMIFS(T_ORCAMENTOS!$E:$E,T_ORCAMENTOS!$C:$C,"  -  Seguro de Vida",T_ORCAMENTOS!$H:$H,"5/2026")</f>
        <v/>
      </c>
      <c r="V203" s="28">
        <f>SUMIFS(Aut_BlueMe_Sem_Pedido!$J:$J,Aut_BlueMe_Sem_Pedido!$Q:$Q,DRE!T$4,Aut_BlueMe_Sem_Pedido!$H:$H,DRE!$A203)+SUMIFS(Aut_Ajustes_Manuais!$G:$G,Aut_Ajustes_Manuais!$I:$I,DRE!T$4,Aut_Ajustes_Manuais!$F:$F,"  -  Seguro de Vida")</f>
        <v/>
      </c>
      <c r="W203" s="241" t="n"/>
      <c r="X203" s="27">
        <f>-SUMIFS(T_ORCAMENTOS!$E:$E,T_ORCAMENTOS!$C:$C,"  -  Seguro de Vida",T_ORCAMENTOS!$H:$H,"6/2026")</f>
        <v/>
      </c>
      <c r="Y203" s="28">
        <f>SUMIFS(Aut_BlueMe_Sem_Pedido!$J:$J,Aut_BlueMe_Sem_Pedido!$Q:$Q,DRE!W$4,Aut_BlueMe_Sem_Pedido!$H:$H,DRE!$A203)+SUMIFS(Aut_Ajustes_Manuais!$G:$G,Aut_Ajustes_Manuais!$I:$I,DRE!W$4,Aut_Ajustes_Manuais!$F:$F,"  -  Seguro de Vida")</f>
        <v/>
      </c>
      <c r="Z203" s="241" t="n"/>
      <c r="AA203" s="27">
        <f>-SUMIFS(T_ORCAMENTOS!$E:$E,T_ORCAMENTOS!$C:$C,"  -  Seguro de Vida",T_ORCAMENTOS!$H:$H,"7/2026")</f>
        <v/>
      </c>
      <c r="AB203" s="28">
        <f>SUMIFS(Aut_BlueMe_Sem_Pedido!$J:$J,Aut_BlueMe_Sem_Pedido!$Q:$Q,DRE!Z$4,Aut_BlueMe_Sem_Pedido!$H:$H,DRE!$A203)+SUMIFS(Aut_Ajustes_Manuais!$G:$G,Aut_Ajustes_Manuais!$I:$I,DRE!Z$4,Aut_Ajustes_Manuais!$F:$F,"  -  Seguro de Vida")</f>
        <v/>
      </c>
      <c r="AC203" s="241" t="n"/>
      <c r="AD203" s="27">
        <f>-SUMIFS(T_ORCAMENTOS!$E:$E,T_ORCAMENTOS!$C:$C,"  -  Seguro de Vida",T_ORCAMENTOS!$H:$H,"8/2026")</f>
        <v/>
      </c>
      <c r="AE203" s="28">
        <f>SUMIFS(Aut_BlueMe_Sem_Pedido!$J:$J,Aut_BlueMe_Sem_Pedido!$Q:$Q,DRE!AC$4,Aut_BlueMe_Sem_Pedido!$H:$H,DRE!$A203)+SUMIFS(Aut_Ajustes_Manuais!$G:$G,Aut_Ajustes_Manuais!$I:$I,DRE!AC$4,Aut_Ajustes_Manuais!$F:$F,"  -  Seguro de Vida")</f>
        <v/>
      </c>
      <c r="AF203" s="241" t="n"/>
      <c r="AG203" s="27">
        <f>-SUMIFS(T_ORCAMENTOS!$E:$E,T_ORCAMENTOS!$C:$C,"  -  Seguro de Vida",T_ORCAMENTOS!$H:$H,"9/2026")</f>
        <v/>
      </c>
      <c r="AH203" s="28">
        <f>SUMIFS(Aut_BlueMe_Sem_Pedido!$J:$J,Aut_BlueMe_Sem_Pedido!$Q:$Q,DRE!AF$4,Aut_BlueMe_Sem_Pedido!$H:$H,DRE!$A203)+SUMIFS(Aut_Ajustes_Manuais!$G:$G,Aut_Ajustes_Manuais!$I:$I,DRE!AF$4,Aut_Ajustes_Manuais!$F:$F,"  -  Seguro de Vida")</f>
        <v/>
      </c>
      <c r="AI203" s="241" t="n"/>
      <c r="AJ203" s="27">
        <f>-SUMIFS(T_ORCAMENTOS!$E:$E,T_ORCAMENTOS!$C:$C,"  -  Seguro de Vida",T_ORCAMENTOS!$H:$H,"10/2026")</f>
        <v/>
      </c>
      <c r="AK203" s="28">
        <f>SUMIFS(Aut_BlueMe_Sem_Pedido!$J:$J,Aut_BlueMe_Sem_Pedido!$Q:$Q,DRE!AI$4,Aut_BlueMe_Sem_Pedido!$H:$H,DRE!$A203)+SUMIFS(Aut_Ajustes_Manuais!$G:$G,Aut_Ajustes_Manuais!$I:$I,DRE!AI$4,Aut_Ajustes_Manuais!$F:$F,"  -  Seguro de Vida")</f>
        <v/>
      </c>
      <c r="AL203" s="241" t="n"/>
      <c r="AM203" s="27">
        <f>-SUMIFS(T_ORCAMENTOS!$E:$E,T_ORCAMENTOS!$C:$C,"  -  Seguro de Vida",T_ORCAMENTOS!$H:$H,"11/2026")</f>
        <v/>
      </c>
      <c r="AN203" s="28">
        <f>SUMIFS(Aut_BlueMe_Sem_Pedido!$J:$J,Aut_BlueMe_Sem_Pedido!$Q:$Q,DRE!AL$4,Aut_BlueMe_Sem_Pedido!$H:$H,DRE!$A203)+SUMIFS(Aut_Ajustes_Manuais!$G:$G,Aut_Ajustes_Manuais!$I:$I,DRE!AL$4,Aut_Ajustes_Manuais!$F:$F,"  -  Seguro de Vida")</f>
        <v/>
      </c>
      <c r="AO203" s="241" t="n"/>
      <c r="AP203" s="27">
        <f>-SUMIFS(T_ORCAMENTOS!$E:$E,T_ORCAMENTOS!$C:$C,"  -  Seguro de Vida",T_ORCAMENTOS!$H:$H,"12/2026")</f>
        <v/>
      </c>
      <c r="AQ203" s="28">
        <f>SUMIFS(Aut_BlueMe_Sem_Pedido!$J:$J,Aut_BlueMe_Sem_Pedido!$Q:$Q,DRE!AO$4,Aut_BlueMe_Sem_Pedido!$H:$H,DRE!$A203)+SUMIFS(Aut_Ajustes_Manuais!$G:$G,Aut_Ajustes_Manuais!$I:$I,DRE!AO$4,Aut_Ajustes_Manuais!$F:$F,"  -  Seguro de Vida")</f>
        <v/>
      </c>
      <c r="AR203" s="241">
        <f>SUMIFS($H203:$AO203,$H$5:$AO$5,"&lt;"&amp;MONTH(TODAY()),$H$6:$AO$6,"REAL 25")</f>
        <v/>
      </c>
      <c r="AS203" s="27">
        <f>SUMIFS($I203:$AP203,$I$5:$AP$5,"&lt;"&amp;MONTH(TODAY()),$I$6:$AP$6,"ORÇADO ")</f>
        <v/>
      </c>
      <c r="AT203" s="28">
        <f>SUMIFS($J203:$AQ203,$J$5:$AQ$5,"&lt;"&amp;MONTH(TODAY()),$J$6:$AQ$6,"REAL 26")</f>
        <v/>
      </c>
      <c r="AU203" s="241">
        <f>SUM(H203,K203,N203,Q203,T203,W203,Z203,AC203,AF203,AI203,AL203,AO203)</f>
        <v/>
      </c>
      <c r="AV203" s="27">
        <f>SUM(I203,L203,O203,R203,U203,X203,AA203,AD203,AG203,AJ203,AM203,AP203)</f>
        <v/>
      </c>
      <c r="AW203" s="28">
        <f>SUM(J203,M203,P203,S203,V203,Y203,AB203,AE203,AH203,AK203,AN203,AQ203)</f>
        <v/>
      </c>
      <c r="AX203" s="241">
        <f>SUM(H203,K203,N203)</f>
        <v/>
      </c>
      <c r="AY203" s="27">
        <f>SUM(I203,L203,O203)</f>
        <v/>
      </c>
      <c r="AZ203" s="28">
        <f>SUM(J203,M203,P203)</f>
        <v/>
      </c>
      <c r="BA203" s="241">
        <f>SUM(Q203,T203,W203)</f>
        <v/>
      </c>
      <c r="BB203" s="27">
        <f>SUM(R203,U203,X203)</f>
        <v/>
      </c>
      <c r="BC203" s="28">
        <f>SUM(S203,V203,Y203)</f>
        <v/>
      </c>
      <c r="BD203" s="241">
        <f>SUM(Z203,AC203,AF203)</f>
        <v/>
      </c>
      <c r="BE203" s="27">
        <f>SUM(AA203,AD203,AG203)</f>
        <v/>
      </c>
      <c r="BF203" s="28">
        <f>SUM(AB203,AE203,AH203)</f>
        <v/>
      </c>
      <c r="BG203" s="241">
        <f>SUM(AI203,AL203,AO203)</f>
        <v/>
      </c>
      <c r="BH203" s="27">
        <f>SUM(AJ203,AM203,AP203)</f>
        <v/>
      </c>
      <c r="BI203" s="28">
        <f>SUM(AK203,AN203,AQ203)</f>
        <v/>
      </c>
    </row>
    <row r="204" hidden="1" outlineLevel="1" customFormat="1" s="498">
      <c r="A204" s="22" t="inlineStr">
        <is>
          <t xml:space="preserve">  -  Ajuda de Custo</t>
        </is>
      </c>
      <c r="B204" s="488" t="n"/>
      <c r="C204" s="24" t="n"/>
      <c r="D204" s="55" t="n"/>
      <c r="E204" s="87" t="n"/>
      <c r="F204" s="41" t="n"/>
      <c r="G204" s="512" t="n"/>
      <c r="H204" s="241" t="n"/>
      <c r="I204" s="27">
        <f>-SUMIFS(T_ORCAMENTOS!$E:$E,T_ORCAMENTOS!$C:$C,"  -  Ajuda de Custo",T_ORCAMENTOS!$H:$H,"1/2026")</f>
        <v/>
      </c>
      <c r="J204" s="28">
        <f>SUMIFS(Aut_BlueMe_Sem_Pedido!$J:$J,Aut_BlueMe_Sem_Pedido!$Q:$Q,DRE!H$4,Aut_BlueMe_Sem_Pedido!$H:$H,DRE!$A204)+SUMIFS(Aut_Ajustes_Manuais!$G:$G,Aut_Ajustes_Manuais!$I:$I,DRE!H$4,Aut_Ajustes_Manuais!$F:$F,"  -  Ajuda de Custo")</f>
        <v/>
      </c>
      <c r="K204" s="241" t="n"/>
      <c r="L204" s="27">
        <f>-SUMIFS(T_ORCAMENTOS!$E:$E,T_ORCAMENTOS!$C:$C,"  -  Ajuda de Custo",T_ORCAMENTOS!$H:$H,"2/2026")</f>
        <v/>
      </c>
      <c r="M204" s="28">
        <f>SUMIFS(Aut_BlueMe_Sem_Pedido!$J:$J,Aut_BlueMe_Sem_Pedido!$Q:$Q,DRE!K$4,Aut_BlueMe_Sem_Pedido!$H:$H,DRE!$A204)+SUMIFS(Aut_Ajustes_Manuais!$G:$G,Aut_Ajustes_Manuais!$I:$I,DRE!K$4,Aut_Ajustes_Manuais!$F:$F,"  -  Ajuda de Custo")</f>
        <v/>
      </c>
      <c r="N204" s="241" t="n"/>
      <c r="O204" s="27">
        <f>-SUMIFS(T_ORCAMENTOS!$E:$E,T_ORCAMENTOS!$C:$C,"  -  Ajuda de Custo",T_ORCAMENTOS!$H:$H,"3/2026")</f>
        <v/>
      </c>
      <c r="P204" s="28">
        <f>SUMIFS(Aut_BlueMe_Sem_Pedido!$J:$J,Aut_BlueMe_Sem_Pedido!$Q:$Q,DRE!N$4,Aut_BlueMe_Sem_Pedido!$H:$H,DRE!$A204)+SUMIFS(Aut_Ajustes_Manuais!$G:$G,Aut_Ajustes_Manuais!$I:$I,DRE!N$4,Aut_Ajustes_Manuais!$F:$F,"  -  Ajuda de Custo")</f>
        <v/>
      </c>
      <c r="Q204" s="241" t="n"/>
      <c r="R204" s="27">
        <f>-SUMIFS(T_ORCAMENTOS!$E:$E,T_ORCAMENTOS!$C:$C,"  -  Ajuda de Custo",T_ORCAMENTOS!$H:$H,"4/2026")</f>
        <v/>
      </c>
      <c r="S204" s="28">
        <f>SUMIFS(Aut_BlueMe_Sem_Pedido!$J:$J,Aut_BlueMe_Sem_Pedido!$Q:$Q,DRE!Q$4,Aut_BlueMe_Sem_Pedido!$H:$H,DRE!$A204)+SUMIFS(Aut_Ajustes_Manuais!$G:$G,Aut_Ajustes_Manuais!$I:$I,DRE!Q$4,Aut_Ajustes_Manuais!$F:$F,"  -  Ajuda de Custo")</f>
        <v/>
      </c>
      <c r="T204" s="241" t="n"/>
      <c r="U204" s="27">
        <f>-SUMIFS(T_ORCAMENTOS!$E:$E,T_ORCAMENTOS!$C:$C,"  -  Ajuda de Custo",T_ORCAMENTOS!$H:$H,"5/2026")</f>
        <v/>
      </c>
      <c r="V204" s="28">
        <f>SUMIFS(Aut_BlueMe_Sem_Pedido!$J:$J,Aut_BlueMe_Sem_Pedido!$Q:$Q,DRE!T$4,Aut_BlueMe_Sem_Pedido!$H:$H,DRE!$A204)+SUMIFS(Aut_Ajustes_Manuais!$G:$G,Aut_Ajustes_Manuais!$I:$I,DRE!T$4,Aut_Ajustes_Manuais!$F:$F,"  -  Ajuda de Custo")</f>
        <v/>
      </c>
      <c r="W204" s="241" t="n"/>
      <c r="X204" s="27">
        <f>-SUMIFS(T_ORCAMENTOS!$E:$E,T_ORCAMENTOS!$C:$C,"  -  Ajuda de Custo",T_ORCAMENTOS!$H:$H,"6/2026")</f>
        <v/>
      </c>
      <c r="Y204" s="28">
        <f>SUMIFS(Aut_BlueMe_Sem_Pedido!$J:$J,Aut_BlueMe_Sem_Pedido!$Q:$Q,DRE!W$4,Aut_BlueMe_Sem_Pedido!$H:$H,DRE!$A204)+SUMIFS(Aut_Ajustes_Manuais!$G:$G,Aut_Ajustes_Manuais!$I:$I,DRE!W$4,Aut_Ajustes_Manuais!$F:$F,"  -  Ajuda de Custo")</f>
        <v/>
      </c>
      <c r="Z204" s="241" t="n"/>
      <c r="AA204" s="27">
        <f>-SUMIFS(T_ORCAMENTOS!$E:$E,T_ORCAMENTOS!$C:$C,"  -  Ajuda de Custo",T_ORCAMENTOS!$H:$H,"7/2026")</f>
        <v/>
      </c>
      <c r="AB204" s="28">
        <f>SUMIFS(Aut_BlueMe_Sem_Pedido!$J:$J,Aut_BlueMe_Sem_Pedido!$Q:$Q,DRE!Z$4,Aut_BlueMe_Sem_Pedido!$H:$H,DRE!$A204)+SUMIFS(Aut_Ajustes_Manuais!$G:$G,Aut_Ajustes_Manuais!$I:$I,DRE!Z$4,Aut_Ajustes_Manuais!$F:$F,"  -  Ajuda de Custo")</f>
        <v/>
      </c>
      <c r="AC204" s="241" t="n"/>
      <c r="AD204" s="27">
        <f>-SUMIFS(T_ORCAMENTOS!$E:$E,T_ORCAMENTOS!$C:$C,"  -  Ajuda de Custo",T_ORCAMENTOS!$H:$H,"8/2026")</f>
        <v/>
      </c>
      <c r="AE204" s="28">
        <f>SUMIFS(Aut_BlueMe_Sem_Pedido!$J:$J,Aut_BlueMe_Sem_Pedido!$Q:$Q,DRE!AC$4,Aut_BlueMe_Sem_Pedido!$H:$H,DRE!$A204)+SUMIFS(Aut_Ajustes_Manuais!$G:$G,Aut_Ajustes_Manuais!$I:$I,DRE!AC$4,Aut_Ajustes_Manuais!$F:$F,"  -  Ajuda de Custo")</f>
        <v/>
      </c>
      <c r="AF204" s="241" t="n"/>
      <c r="AG204" s="27">
        <f>-SUMIFS(T_ORCAMENTOS!$E:$E,T_ORCAMENTOS!$C:$C,"  -  Ajuda de Custo",T_ORCAMENTOS!$H:$H,"9/2026")</f>
        <v/>
      </c>
      <c r="AH204" s="28">
        <f>SUMIFS(Aut_BlueMe_Sem_Pedido!$J:$J,Aut_BlueMe_Sem_Pedido!$Q:$Q,DRE!AF$4,Aut_BlueMe_Sem_Pedido!$H:$H,DRE!$A204)+SUMIFS(Aut_Ajustes_Manuais!$G:$G,Aut_Ajustes_Manuais!$I:$I,DRE!AF$4,Aut_Ajustes_Manuais!$F:$F,"  -  Ajuda de Custo")</f>
        <v/>
      </c>
      <c r="AI204" s="241" t="n"/>
      <c r="AJ204" s="27">
        <f>-SUMIFS(T_ORCAMENTOS!$E:$E,T_ORCAMENTOS!$C:$C,"  -  Ajuda de Custo",T_ORCAMENTOS!$H:$H,"10/2026")</f>
        <v/>
      </c>
      <c r="AK204" s="28">
        <f>SUMIFS(Aut_BlueMe_Sem_Pedido!$J:$J,Aut_BlueMe_Sem_Pedido!$Q:$Q,DRE!AI$4,Aut_BlueMe_Sem_Pedido!$H:$H,DRE!$A204)+SUMIFS(Aut_Ajustes_Manuais!$G:$G,Aut_Ajustes_Manuais!$I:$I,DRE!AI$4,Aut_Ajustes_Manuais!$F:$F,"  -  Ajuda de Custo")</f>
        <v/>
      </c>
      <c r="AL204" s="241" t="n"/>
      <c r="AM204" s="27">
        <f>-SUMIFS(T_ORCAMENTOS!$E:$E,T_ORCAMENTOS!$C:$C,"  -  Ajuda de Custo",T_ORCAMENTOS!$H:$H,"11/2026")</f>
        <v/>
      </c>
      <c r="AN204" s="28">
        <f>SUMIFS(Aut_BlueMe_Sem_Pedido!$J:$J,Aut_BlueMe_Sem_Pedido!$Q:$Q,DRE!AL$4,Aut_BlueMe_Sem_Pedido!$H:$H,DRE!$A204)+SUMIFS(Aut_Ajustes_Manuais!$G:$G,Aut_Ajustes_Manuais!$I:$I,DRE!AL$4,Aut_Ajustes_Manuais!$F:$F,"  -  Ajuda de Custo")</f>
        <v/>
      </c>
      <c r="AO204" s="241" t="n"/>
      <c r="AP204" s="27">
        <f>-SUMIFS(T_ORCAMENTOS!$E:$E,T_ORCAMENTOS!$C:$C,"  -  Ajuda de Custo",T_ORCAMENTOS!$H:$H,"12/2026")</f>
        <v/>
      </c>
      <c r="AQ204" s="28">
        <f>SUMIFS(Aut_BlueMe_Sem_Pedido!$J:$J,Aut_BlueMe_Sem_Pedido!$Q:$Q,DRE!AO$4,Aut_BlueMe_Sem_Pedido!$H:$H,DRE!$A204)+SUMIFS(Aut_Ajustes_Manuais!$G:$G,Aut_Ajustes_Manuais!$I:$I,DRE!AO$4,Aut_Ajustes_Manuais!$F:$F,"  -  Ajuda de Custo")</f>
        <v/>
      </c>
      <c r="AR204" s="241">
        <f>SUMIFS($H204:$AO204,$H$5:$AO$5,"&lt;"&amp;MONTH(TODAY()),$H$6:$AO$6,"REAL 25")</f>
        <v/>
      </c>
      <c r="AS204" s="27">
        <f>SUMIFS($I204:$AP204,$I$5:$AP$5,"&lt;"&amp;MONTH(TODAY()),$I$6:$AP$6,"ORÇADO ")</f>
        <v/>
      </c>
      <c r="AT204" s="28">
        <f>SUMIFS($J204:$AQ204,$J$5:$AQ$5,"&lt;"&amp;MONTH(TODAY()),$J$6:$AQ$6,"REAL 26")</f>
        <v/>
      </c>
      <c r="AU204" s="241">
        <f>SUM(H204,K204,N204,Q204,T204,W204,Z204,AC204,AF204,AI204,AL204,AO204)</f>
        <v/>
      </c>
      <c r="AV204" s="27">
        <f>SUM(I204,L204,O204,R204,U204,X204,AA204,AD204,AG204,AJ204,AM204,AP204)</f>
        <v/>
      </c>
      <c r="AW204" s="28">
        <f>SUM(J204,M204,P204,S204,V204,Y204,AB204,AE204,AH204,AK204,AN204,AQ204)</f>
        <v/>
      </c>
      <c r="AX204" s="241">
        <f>SUM(H204,K204,N204)</f>
        <v/>
      </c>
      <c r="AY204" s="27">
        <f>SUM(I204,L204,O204)</f>
        <v/>
      </c>
      <c r="AZ204" s="28">
        <f>SUM(J204,M204,P204)</f>
        <v/>
      </c>
      <c r="BA204" s="241">
        <f>SUM(Q204,T204,W204)</f>
        <v/>
      </c>
      <c r="BB204" s="27">
        <f>SUM(R204,U204,X204)</f>
        <v/>
      </c>
      <c r="BC204" s="28">
        <f>SUM(S204,V204,Y204)</f>
        <v/>
      </c>
      <c r="BD204" s="241">
        <f>SUM(Z204,AC204,AF204)</f>
        <v/>
      </c>
      <c r="BE204" s="27">
        <f>SUM(AA204,AD204,AG204)</f>
        <v/>
      </c>
      <c r="BF204" s="28">
        <f>SUM(AB204,AE204,AH204)</f>
        <v/>
      </c>
      <c r="BG204" s="241">
        <f>SUM(AI204,AL204,AO204)</f>
        <v/>
      </c>
      <c r="BH204" s="27">
        <f>SUM(AJ204,AM204,AP204)</f>
        <v/>
      </c>
      <c r="BI204" s="28">
        <f>SUM(AK204,AN204,AQ204)</f>
        <v/>
      </c>
    </row>
    <row r="205" collapsed="1">
      <c r="A205" s="73" t="inlineStr">
        <is>
          <t>Outros B</t>
        </is>
      </c>
      <c r="C205" s="40" t="inlineStr">
        <is>
          <t>Premissas</t>
        </is>
      </c>
      <c r="D205" s="40" t="inlineStr">
        <is>
          <t>Valores</t>
        </is>
      </c>
      <c r="E205" s="40" t="inlineStr">
        <is>
          <t>Acréscimo</t>
        </is>
      </c>
      <c r="F205" s="41" t="n"/>
      <c r="G205" s="47" t="n"/>
      <c r="H205" s="252" t="n"/>
      <c r="I205" s="74">
        <f>SUM(I206:I212)</f>
        <v/>
      </c>
      <c r="J205" s="76">
        <f>SUM(J206:J212)+SUMIFS(Aut_Ajustes_Manuais!$G:$G,Aut_Ajustes_Manuais!$I:$I,DRE!H$4,Aut_Ajustes_Manuais!$F:$F,"Outros B")</f>
        <v/>
      </c>
      <c r="K205" s="252" t="n"/>
      <c r="L205" s="74">
        <f>SUM(L206:L212)</f>
        <v/>
      </c>
      <c r="M205" s="76">
        <f>SUM(M206:M212)+SUMIFS(Aut_Ajustes_Manuais!$G:$G,Aut_Ajustes_Manuais!$I:$I,DRE!K$4,Aut_Ajustes_Manuais!$F:$F,"Outros B")</f>
        <v/>
      </c>
      <c r="N205" s="252" t="n"/>
      <c r="O205" s="74">
        <f>SUM(O206:O212)</f>
        <v/>
      </c>
      <c r="P205" s="76">
        <f>SUM(P206:P212)+SUMIFS(Aut_Ajustes_Manuais!$G:$G,Aut_Ajustes_Manuais!$I:$I,DRE!N$4,Aut_Ajustes_Manuais!$F:$F,"Outros B")</f>
        <v/>
      </c>
      <c r="Q205" s="252" t="n"/>
      <c r="R205" s="74">
        <f>SUM(R206:R212)</f>
        <v/>
      </c>
      <c r="S205" s="76">
        <f>SUM(S206:S212)+SUMIFS(Aut_Ajustes_Manuais!$G:$G,Aut_Ajustes_Manuais!$I:$I,DRE!Q$4,Aut_Ajustes_Manuais!$F:$F,"Outros B")</f>
        <v/>
      </c>
      <c r="T205" s="252" t="n"/>
      <c r="U205" s="74">
        <f>SUM(U206:U212)</f>
        <v/>
      </c>
      <c r="V205" s="76">
        <f>SUM(V206:V212)+SUMIFS(Aut_Ajustes_Manuais!$G:$G,Aut_Ajustes_Manuais!$I:$I,DRE!T$4,Aut_Ajustes_Manuais!$F:$F,"Outros B")</f>
        <v/>
      </c>
      <c r="W205" s="252" t="n"/>
      <c r="X205" s="74">
        <f>SUM(X206:X212)</f>
        <v/>
      </c>
      <c r="Y205" s="76">
        <f>SUM(Y206:Y212)+SUMIFS(Aut_Ajustes_Manuais!$G:$G,Aut_Ajustes_Manuais!$I:$I,DRE!W$4,Aut_Ajustes_Manuais!$F:$F,"Outros B")</f>
        <v/>
      </c>
      <c r="Z205" s="252" t="n"/>
      <c r="AA205" s="74">
        <f>SUM(AA206:AA212)</f>
        <v/>
      </c>
      <c r="AB205" s="76">
        <f>SUM(AB206:AB212)+SUMIFS(Aut_Ajustes_Manuais!$G:$G,Aut_Ajustes_Manuais!$I:$I,DRE!Z$4,Aut_Ajustes_Manuais!$F:$F,"Outros B")</f>
        <v/>
      </c>
      <c r="AC205" s="252" t="n"/>
      <c r="AD205" s="74">
        <f>SUM(AD206:AD212)</f>
        <v/>
      </c>
      <c r="AE205" s="76">
        <f>SUM(AE206:AE212)+SUMIFS(Aut_Ajustes_Manuais!$G:$G,Aut_Ajustes_Manuais!$I:$I,DRE!AC$4,Aut_Ajustes_Manuais!$F:$F,"Outros B")</f>
        <v/>
      </c>
      <c r="AF205" s="252" t="n"/>
      <c r="AG205" s="74">
        <f>SUM(AG206:AG212)</f>
        <v/>
      </c>
      <c r="AH205" s="76">
        <f>SUM(AH206:AH212)+SUMIFS(Aut_Ajustes_Manuais!$G:$G,Aut_Ajustes_Manuais!$I:$I,DRE!AF$4,Aut_Ajustes_Manuais!$F:$F,"Outros B")</f>
        <v/>
      </c>
      <c r="AI205" s="252" t="n"/>
      <c r="AJ205" s="74">
        <f>SUM(AJ206:AJ212)</f>
        <v/>
      </c>
      <c r="AK205" s="76">
        <f>SUM(AK206:AK212)+SUMIFS(Aut_Ajustes_Manuais!$G:$G,Aut_Ajustes_Manuais!$I:$I,DRE!AI$4,Aut_Ajustes_Manuais!$F:$F,"Outros B")</f>
        <v/>
      </c>
      <c r="AL205" s="252" t="n"/>
      <c r="AM205" s="74">
        <f>SUM(AM206:AM212)</f>
        <v/>
      </c>
      <c r="AN205" s="76">
        <f>SUM(AN206:AN212)+SUMIFS(Aut_Ajustes_Manuais!$G:$G,Aut_Ajustes_Manuais!$I:$I,DRE!AL$4,Aut_Ajustes_Manuais!$F:$F,"Outros B")</f>
        <v/>
      </c>
      <c r="AO205" s="252" t="n"/>
      <c r="AP205" s="74">
        <f>SUM(AP206:AP212)</f>
        <v/>
      </c>
      <c r="AQ205" s="76">
        <f>SUM(AQ206:AQ212)+SUMIFS(Aut_Ajustes_Manuais!$G:$G,Aut_Ajustes_Manuais!$I:$I,DRE!AO$4,Aut_Ajustes_Manuais!$F:$F,"Outros B")</f>
        <v/>
      </c>
      <c r="AR205" s="252">
        <f>SUMIFS($H205:$AO205,$H$5:$AO$5,"&lt;"&amp;MONTH(TODAY()),$H$6:$AO$6,"REAL 25")</f>
        <v/>
      </c>
      <c r="AS205" s="74">
        <f>SUMIFS($I205:$AP205,$I$5:$AP$5,"&lt;"&amp;MONTH(TODAY()),$I$6:$AP$6,"ORÇADO ")</f>
        <v/>
      </c>
      <c r="AT205" s="76">
        <f>SUMIFS($J205:$AQ205,$J$5:$AQ$5,"&lt;"&amp;MONTH(TODAY()),$J$6:$AQ$6,"REAL 26")</f>
        <v/>
      </c>
      <c r="AU205" s="252">
        <f>SUM(AU206:AU212)</f>
        <v/>
      </c>
      <c r="AV205" s="74">
        <f>SUM(AV206:AV212)</f>
        <v/>
      </c>
      <c r="AW205" s="76">
        <f>SUM(AW206:AW212)</f>
        <v/>
      </c>
      <c r="AX205" s="252">
        <f>SUM(AX206:AX212)</f>
        <v/>
      </c>
      <c r="AY205" s="74">
        <f>SUM(AY206:AY212)</f>
        <v/>
      </c>
      <c r="AZ205" s="76">
        <f>SUM(AZ206:AZ212)</f>
        <v/>
      </c>
      <c r="BA205" s="252">
        <f>SUM(BA206:BA212)</f>
        <v/>
      </c>
      <c r="BB205" s="74">
        <f>SUM(BB206:BB212)</f>
        <v/>
      </c>
      <c r="BC205" s="76">
        <f>SUM(BC206:BC212)</f>
        <v/>
      </c>
      <c r="BD205" s="252">
        <f>SUM(BD206:BD212)</f>
        <v/>
      </c>
      <c r="BE205" s="74">
        <f>SUM(BE206:BE212)</f>
        <v/>
      </c>
      <c r="BF205" s="76">
        <f>SUM(BF206:BF212)</f>
        <v/>
      </c>
      <c r="BG205" s="252">
        <f>SUM(BG206:BG212)</f>
        <v/>
      </c>
      <c r="BH205" s="74">
        <f>SUM(BH206:BH212)</f>
        <v/>
      </c>
      <c r="BI205" s="76">
        <f>SUM(BI206:BI212)</f>
        <v/>
      </c>
    </row>
    <row r="206" outlineLevel="2" customFormat="1" s="498">
      <c r="A206" s="22" t="inlineStr">
        <is>
          <t xml:space="preserve">  -  Uniformes Manutenção e Reposição</t>
        </is>
      </c>
      <c r="B206" s="488" t="n"/>
      <c r="C206" s="24" t="n"/>
      <c r="D206" s="513" t="n"/>
      <c r="E206" s="509" t="n"/>
      <c r="F206" s="41" t="n"/>
      <c r="G206" s="33" t="n"/>
      <c r="H206" s="241" t="n"/>
      <c r="I206" s="27">
        <f>-SUMIFS(T_ORCAMENTOS!$E:$E,T_ORCAMENTOS!$C:$C,"  -  Uniformes Manutenção e Reposição",T_ORCAMENTOS!$H:$H,"1/2026")</f>
        <v/>
      </c>
      <c r="J206" s="28">
        <f>SUMIFS(Aut_BlueMe_Sem_Pedido!$J:$J,Aut_BlueMe_Sem_Pedido!$Q:$Q,DRE!H$4,Aut_BlueMe_Sem_Pedido!$H:$H,DRE!$A206)+SUMIFS(Aut_Ajustes_Manuais!$G:$G,Aut_Ajustes_Manuais!$I:$I,DRE!H$4,Aut_Ajustes_Manuais!$F:$F,"  -  Uniformes Manutenção e Reposição")</f>
        <v/>
      </c>
      <c r="K206" s="241" t="n"/>
      <c r="L206" s="27">
        <f>-SUMIFS(T_ORCAMENTOS!$E:$E,T_ORCAMENTOS!$C:$C,"  -  Uniformes Manutenção e Reposição",T_ORCAMENTOS!$H:$H,"2/2026")</f>
        <v/>
      </c>
      <c r="M206" s="28">
        <f>SUMIFS(Aut_BlueMe_Sem_Pedido!$J:$J,Aut_BlueMe_Sem_Pedido!$Q:$Q,DRE!K$4,Aut_BlueMe_Sem_Pedido!$H:$H,DRE!$A206)+SUMIFS(Aut_Ajustes_Manuais!$G:$G,Aut_Ajustes_Manuais!$I:$I,DRE!K$4,Aut_Ajustes_Manuais!$F:$F,"  -  Uniformes Manutenção e Reposição")</f>
        <v/>
      </c>
      <c r="N206" s="241" t="n"/>
      <c r="O206" s="27">
        <f>-SUMIFS(T_ORCAMENTOS!$E:$E,T_ORCAMENTOS!$C:$C,"  -  Uniformes Manutenção e Reposição",T_ORCAMENTOS!$H:$H,"3/2026")</f>
        <v/>
      </c>
      <c r="P206" s="28">
        <f>SUMIFS(Aut_BlueMe_Sem_Pedido!$J:$J,Aut_BlueMe_Sem_Pedido!$Q:$Q,DRE!N$4,Aut_BlueMe_Sem_Pedido!$H:$H,DRE!$A206)+SUMIFS(Aut_Ajustes_Manuais!$G:$G,Aut_Ajustes_Manuais!$I:$I,DRE!N$4,Aut_Ajustes_Manuais!$F:$F,"  -  Uniformes Manutenção e Reposição")</f>
        <v/>
      </c>
      <c r="Q206" s="241" t="n"/>
      <c r="R206" s="27">
        <f>-SUMIFS(T_ORCAMENTOS!$E:$E,T_ORCAMENTOS!$C:$C,"  -  Uniformes Manutenção e Reposição",T_ORCAMENTOS!$H:$H,"4/2026")</f>
        <v/>
      </c>
      <c r="S206" s="28">
        <f>SUMIFS(Aut_BlueMe_Sem_Pedido!$J:$J,Aut_BlueMe_Sem_Pedido!$Q:$Q,DRE!Q$4,Aut_BlueMe_Sem_Pedido!$H:$H,DRE!$A206)+SUMIFS(Aut_Ajustes_Manuais!$G:$G,Aut_Ajustes_Manuais!$I:$I,DRE!Q$4,Aut_Ajustes_Manuais!$F:$F,"  -  Uniformes Manutenção e Reposição")</f>
        <v/>
      </c>
      <c r="T206" s="241" t="n"/>
      <c r="U206" s="27">
        <f>-SUMIFS(T_ORCAMENTOS!$E:$E,T_ORCAMENTOS!$C:$C,"  -  Uniformes Manutenção e Reposição",T_ORCAMENTOS!$H:$H,"5/2026")</f>
        <v/>
      </c>
      <c r="V206" s="28">
        <f>SUMIFS(Aut_BlueMe_Sem_Pedido!$J:$J,Aut_BlueMe_Sem_Pedido!$Q:$Q,DRE!T$4,Aut_BlueMe_Sem_Pedido!$H:$H,DRE!$A206)+SUMIFS(Aut_Ajustes_Manuais!$G:$G,Aut_Ajustes_Manuais!$I:$I,DRE!T$4,Aut_Ajustes_Manuais!$F:$F,"  -  Uniformes Manutenção e Reposição")</f>
        <v/>
      </c>
      <c r="W206" s="241" t="n"/>
      <c r="X206" s="27">
        <f>-SUMIFS(T_ORCAMENTOS!$E:$E,T_ORCAMENTOS!$C:$C,"  -  Uniformes Manutenção e Reposição",T_ORCAMENTOS!$H:$H,"6/2026")</f>
        <v/>
      </c>
      <c r="Y206" s="28">
        <f>SUMIFS(Aut_BlueMe_Sem_Pedido!$J:$J,Aut_BlueMe_Sem_Pedido!$Q:$Q,DRE!W$4,Aut_BlueMe_Sem_Pedido!$H:$H,DRE!$A206)+SUMIFS(Aut_Ajustes_Manuais!$G:$G,Aut_Ajustes_Manuais!$I:$I,DRE!W$4,Aut_Ajustes_Manuais!$F:$F,"  -  Uniformes Manutenção e Reposição")</f>
        <v/>
      </c>
      <c r="Z206" s="241" t="n"/>
      <c r="AA206" s="27">
        <f>-SUMIFS(T_ORCAMENTOS!$E:$E,T_ORCAMENTOS!$C:$C,"  -  Uniformes Manutenção e Reposição",T_ORCAMENTOS!$H:$H,"7/2026")</f>
        <v/>
      </c>
      <c r="AB206" s="28">
        <f>SUMIFS(Aut_BlueMe_Sem_Pedido!$J:$J,Aut_BlueMe_Sem_Pedido!$Q:$Q,DRE!Z$4,Aut_BlueMe_Sem_Pedido!$H:$H,DRE!$A206)+SUMIFS(Aut_Ajustes_Manuais!$G:$G,Aut_Ajustes_Manuais!$I:$I,DRE!Z$4,Aut_Ajustes_Manuais!$F:$F,"  -  Uniformes Manutenção e Reposição")</f>
        <v/>
      </c>
      <c r="AC206" s="241" t="n"/>
      <c r="AD206" s="27">
        <f>-SUMIFS(T_ORCAMENTOS!$E:$E,T_ORCAMENTOS!$C:$C,"  -  Uniformes Manutenção e Reposição",T_ORCAMENTOS!$H:$H,"8/2026")</f>
        <v/>
      </c>
      <c r="AE206" s="28">
        <f>SUMIFS(Aut_BlueMe_Sem_Pedido!$J:$J,Aut_BlueMe_Sem_Pedido!$Q:$Q,DRE!AC$4,Aut_BlueMe_Sem_Pedido!$H:$H,DRE!$A206)+SUMIFS(Aut_Ajustes_Manuais!$G:$G,Aut_Ajustes_Manuais!$I:$I,DRE!AC$4,Aut_Ajustes_Manuais!$F:$F,"  -  Uniformes Manutenção e Reposição")</f>
        <v/>
      </c>
      <c r="AF206" s="241" t="n"/>
      <c r="AG206" s="27">
        <f>-SUMIFS(T_ORCAMENTOS!$E:$E,T_ORCAMENTOS!$C:$C,"  -  Uniformes Manutenção e Reposição",T_ORCAMENTOS!$H:$H,"9/2026")</f>
        <v/>
      </c>
      <c r="AH206" s="28">
        <f>SUMIFS(Aut_BlueMe_Sem_Pedido!$J:$J,Aut_BlueMe_Sem_Pedido!$Q:$Q,DRE!AF$4,Aut_BlueMe_Sem_Pedido!$H:$H,DRE!$A206)+SUMIFS(Aut_Ajustes_Manuais!$G:$G,Aut_Ajustes_Manuais!$I:$I,DRE!AF$4,Aut_Ajustes_Manuais!$F:$F,"  -  Uniformes Manutenção e Reposição")</f>
        <v/>
      </c>
      <c r="AI206" s="241" t="n"/>
      <c r="AJ206" s="27">
        <f>-SUMIFS(T_ORCAMENTOS!$E:$E,T_ORCAMENTOS!$C:$C,"  -  Uniformes Manutenção e Reposição",T_ORCAMENTOS!$H:$H,"10/2026")</f>
        <v/>
      </c>
      <c r="AK206" s="28">
        <f>SUMIFS(Aut_BlueMe_Sem_Pedido!$J:$J,Aut_BlueMe_Sem_Pedido!$Q:$Q,DRE!AI$4,Aut_BlueMe_Sem_Pedido!$H:$H,DRE!$A206)+SUMIFS(Aut_Ajustes_Manuais!$G:$G,Aut_Ajustes_Manuais!$I:$I,DRE!AI$4,Aut_Ajustes_Manuais!$F:$F,"  -  Uniformes Manutenção e Reposição")</f>
        <v/>
      </c>
      <c r="AL206" s="241" t="n"/>
      <c r="AM206" s="27">
        <f>-SUMIFS(T_ORCAMENTOS!$E:$E,T_ORCAMENTOS!$C:$C,"  -  Uniformes Manutenção e Reposição",T_ORCAMENTOS!$H:$H,"11/2026")</f>
        <v/>
      </c>
      <c r="AN206" s="28">
        <f>SUMIFS(Aut_BlueMe_Sem_Pedido!$J:$J,Aut_BlueMe_Sem_Pedido!$Q:$Q,DRE!AL$4,Aut_BlueMe_Sem_Pedido!$H:$H,DRE!$A206)+SUMIFS(Aut_Ajustes_Manuais!$G:$G,Aut_Ajustes_Manuais!$I:$I,DRE!AL$4,Aut_Ajustes_Manuais!$F:$F,"  -  Uniformes Manutenção e Reposição")</f>
        <v/>
      </c>
      <c r="AO206" s="241" t="n"/>
      <c r="AP206" s="27">
        <f>-SUMIFS(T_ORCAMENTOS!$E:$E,T_ORCAMENTOS!$C:$C,"  -  Uniformes Manutenção e Reposição",T_ORCAMENTOS!$H:$H,"12/2026")</f>
        <v/>
      </c>
      <c r="AQ206" s="28">
        <f>SUMIFS(Aut_BlueMe_Sem_Pedido!$J:$J,Aut_BlueMe_Sem_Pedido!$Q:$Q,DRE!AO$4,Aut_BlueMe_Sem_Pedido!$H:$H,DRE!$A206)+SUMIFS(Aut_Ajustes_Manuais!$G:$G,Aut_Ajustes_Manuais!$I:$I,DRE!AO$4,Aut_Ajustes_Manuais!$F:$F,"  -  Uniformes Manutenção e Reposição")</f>
        <v/>
      </c>
      <c r="AR206" s="241">
        <f>SUMIFS($H206:$AO206,$H$5:$AO$5,"&lt;"&amp;MONTH(TODAY()),$H$6:$AO$6,"REAL 25")</f>
        <v/>
      </c>
      <c r="AS206" s="27">
        <f>SUMIFS($I206:$AP206,$I$5:$AP$5,"&lt;"&amp;MONTH(TODAY()),$I$6:$AP$6,"ORÇADO ")</f>
        <v/>
      </c>
      <c r="AT206" s="28">
        <f>SUMIFS($J206:$AQ206,$J$5:$AQ$5,"&lt;"&amp;MONTH(TODAY()),$J$6:$AQ$6,"REAL 26")</f>
        <v/>
      </c>
      <c r="AU206" s="241">
        <f>SUM(H206,K206,N206,Q206,T206,W206,Z206,AC206,AF206,AI206,AL206,AO206)</f>
        <v/>
      </c>
      <c r="AV206" s="27">
        <f>SUM(I206,L206,O206,R206,U206,X206,AA206,AD206,AG206,AJ206,AM206,AP206)</f>
        <v/>
      </c>
      <c r="AW206" s="28">
        <f>SUM(J206,M206,P206,S206,V206,Y206,AB206,AE206,AH206,AK206,AN206,AQ206)</f>
        <v/>
      </c>
      <c r="AX206" s="241">
        <f>SUM(H206,K206,N206)</f>
        <v/>
      </c>
      <c r="AY206" s="27">
        <f>SUM(I206,L206,O206)</f>
        <v/>
      </c>
      <c r="AZ206" s="28">
        <f>SUM(J206,M206,P206)</f>
        <v/>
      </c>
      <c r="BA206" s="241">
        <f>SUM(Q206,T206,W206)</f>
        <v/>
      </c>
      <c r="BB206" s="27">
        <f>SUM(R206,U206,X206)</f>
        <v/>
      </c>
      <c r="BC206" s="28">
        <f>SUM(S206,V206,Y206)</f>
        <v/>
      </c>
      <c r="BD206" s="241">
        <f>SUM(Z206,AC206,AF206)</f>
        <v/>
      </c>
      <c r="BE206" s="27">
        <f>SUM(AA206,AD206,AG206)</f>
        <v/>
      </c>
      <c r="BF206" s="28">
        <f>SUM(AB206,AE206,AH206)</f>
        <v/>
      </c>
      <c r="BG206" s="241">
        <f>SUM(AI206,AL206,AO206)</f>
        <v/>
      </c>
      <c r="BH206" s="27">
        <f>SUM(AJ206,AM206,AP206)</f>
        <v/>
      </c>
      <c r="BI206" s="28">
        <f>SUM(AK206,AN206,AQ206)</f>
        <v/>
      </c>
    </row>
    <row r="207" outlineLevel="2" ht="25.2" customFormat="1" customHeight="1" s="498">
      <c r="A207" s="22" t="inlineStr">
        <is>
          <t xml:space="preserve">  -  Exames Periódicos</t>
        </is>
      </c>
      <c r="B207" s="488" t="n"/>
      <c r="C207" s="24" t="n"/>
      <c r="D207" s="99" t="inlineStr">
        <is>
          <t>Discutir esse assunto, valor por func com todos os exames - Estimado 10%</t>
        </is>
      </c>
      <c r="E207" s="509" t="n">
        <v>-49.44</v>
      </c>
      <c r="F207" s="41" t="n"/>
      <c r="G207" s="33" t="n"/>
      <c r="H207" s="241" t="n"/>
      <c r="I207" s="27">
        <f>-SUMIFS(T_ORCAMENTOS!$E:$E,T_ORCAMENTOS!$C:$C,"  -  Exames Periódicos",T_ORCAMENTOS!$H:$H,"1/2026")</f>
        <v/>
      </c>
      <c r="J207" s="28">
        <f>SUMIFS(Aut_BlueMe_Sem_Pedido!$J:$J,Aut_BlueMe_Sem_Pedido!$Q:$Q,DRE!H$4,Aut_BlueMe_Sem_Pedido!$H:$H,DRE!$A207)+SUMIFS(Aut_Ajustes_Manuais!$G:$G,Aut_Ajustes_Manuais!$I:$I,DRE!H$4,Aut_Ajustes_Manuais!$F:$F,"  -  Exames Periódicos")</f>
        <v/>
      </c>
      <c r="K207" s="241" t="n"/>
      <c r="L207" s="27">
        <f>-SUMIFS(T_ORCAMENTOS!$E:$E,T_ORCAMENTOS!$C:$C,"  -  Exames Periódicos",T_ORCAMENTOS!$H:$H,"2/2026")</f>
        <v/>
      </c>
      <c r="M207" s="28">
        <f>SUMIFS(Aut_BlueMe_Sem_Pedido!$J:$J,Aut_BlueMe_Sem_Pedido!$Q:$Q,DRE!K$4,Aut_BlueMe_Sem_Pedido!$H:$H,DRE!$A207)+SUMIFS(Aut_Ajustes_Manuais!$G:$G,Aut_Ajustes_Manuais!$I:$I,DRE!K$4,Aut_Ajustes_Manuais!$F:$F,"  -  Exames Periódicos")</f>
        <v/>
      </c>
      <c r="N207" s="241" t="n"/>
      <c r="O207" s="27">
        <f>-SUMIFS(T_ORCAMENTOS!$E:$E,T_ORCAMENTOS!$C:$C,"  -  Exames Periódicos",T_ORCAMENTOS!$H:$H,"3/2026")</f>
        <v/>
      </c>
      <c r="P207" s="28">
        <f>SUMIFS(Aut_BlueMe_Sem_Pedido!$J:$J,Aut_BlueMe_Sem_Pedido!$Q:$Q,DRE!N$4,Aut_BlueMe_Sem_Pedido!$H:$H,DRE!$A207)+SUMIFS(Aut_Ajustes_Manuais!$G:$G,Aut_Ajustes_Manuais!$I:$I,DRE!N$4,Aut_Ajustes_Manuais!$F:$F,"  -  Exames Periódicos")</f>
        <v/>
      </c>
      <c r="Q207" s="241" t="n"/>
      <c r="R207" s="27">
        <f>-SUMIFS(T_ORCAMENTOS!$E:$E,T_ORCAMENTOS!$C:$C,"  -  Exames Periódicos",T_ORCAMENTOS!$H:$H,"4/2026")</f>
        <v/>
      </c>
      <c r="S207" s="28">
        <f>SUMIFS(Aut_BlueMe_Sem_Pedido!$J:$J,Aut_BlueMe_Sem_Pedido!$Q:$Q,DRE!Q$4,Aut_BlueMe_Sem_Pedido!$H:$H,DRE!$A207)+SUMIFS(Aut_Ajustes_Manuais!$G:$G,Aut_Ajustes_Manuais!$I:$I,DRE!Q$4,Aut_Ajustes_Manuais!$F:$F,"  -  Exames Periódicos")</f>
        <v/>
      </c>
      <c r="T207" s="241" t="n"/>
      <c r="U207" s="27">
        <f>-SUMIFS(T_ORCAMENTOS!$E:$E,T_ORCAMENTOS!$C:$C,"  -  Exames Periódicos",T_ORCAMENTOS!$H:$H,"5/2026")</f>
        <v/>
      </c>
      <c r="V207" s="28">
        <f>SUMIFS(Aut_BlueMe_Sem_Pedido!$J:$J,Aut_BlueMe_Sem_Pedido!$Q:$Q,DRE!T$4,Aut_BlueMe_Sem_Pedido!$H:$H,DRE!$A207)+SUMIFS(Aut_Ajustes_Manuais!$G:$G,Aut_Ajustes_Manuais!$I:$I,DRE!T$4,Aut_Ajustes_Manuais!$F:$F,"  -  Exames Periódicos")</f>
        <v/>
      </c>
      <c r="W207" s="241" t="n"/>
      <c r="X207" s="27">
        <f>-SUMIFS(T_ORCAMENTOS!$E:$E,T_ORCAMENTOS!$C:$C,"  -  Exames Periódicos",T_ORCAMENTOS!$H:$H,"6/2026")</f>
        <v/>
      </c>
      <c r="Y207" s="28">
        <f>SUMIFS(Aut_BlueMe_Sem_Pedido!$J:$J,Aut_BlueMe_Sem_Pedido!$Q:$Q,DRE!W$4,Aut_BlueMe_Sem_Pedido!$H:$H,DRE!$A207)+SUMIFS(Aut_Ajustes_Manuais!$G:$G,Aut_Ajustes_Manuais!$I:$I,DRE!W$4,Aut_Ajustes_Manuais!$F:$F,"  -  Exames Periódicos")</f>
        <v/>
      </c>
      <c r="Z207" s="241" t="n"/>
      <c r="AA207" s="27">
        <f>-SUMIFS(T_ORCAMENTOS!$E:$E,T_ORCAMENTOS!$C:$C,"  -  Exames Periódicos",T_ORCAMENTOS!$H:$H,"7/2026")</f>
        <v/>
      </c>
      <c r="AB207" s="28">
        <f>SUMIFS(Aut_BlueMe_Sem_Pedido!$J:$J,Aut_BlueMe_Sem_Pedido!$Q:$Q,DRE!Z$4,Aut_BlueMe_Sem_Pedido!$H:$H,DRE!$A207)+SUMIFS(Aut_Ajustes_Manuais!$G:$G,Aut_Ajustes_Manuais!$I:$I,DRE!Z$4,Aut_Ajustes_Manuais!$F:$F,"  -  Exames Periódicos")</f>
        <v/>
      </c>
      <c r="AC207" s="241" t="n"/>
      <c r="AD207" s="27">
        <f>-SUMIFS(T_ORCAMENTOS!$E:$E,T_ORCAMENTOS!$C:$C,"  -  Exames Periódicos",T_ORCAMENTOS!$H:$H,"8/2026")</f>
        <v/>
      </c>
      <c r="AE207" s="28">
        <f>SUMIFS(Aut_BlueMe_Sem_Pedido!$J:$J,Aut_BlueMe_Sem_Pedido!$Q:$Q,DRE!AC$4,Aut_BlueMe_Sem_Pedido!$H:$H,DRE!$A207)+SUMIFS(Aut_Ajustes_Manuais!$G:$G,Aut_Ajustes_Manuais!$I:$I,DRE!AC$4,Aut_Ajustes_Manuais!$F:$F,"  -  Exames Periódicos")</f>
        <v/>
      </c>
      <c r="AF207" s="241" t="n"/>
      <c r="AG207" s="27">
        <f>-SUMIFS(T_ORCAMENTOS!$E:$E,T_ORCAMENTOS!$C:$C,"  -  Exames Periódicos",T_ORCAMENTOS!$H:$H,"9/2026")</f>
        <v/>
      </c>
      <c r="AH207" s="28">
        <f>SUMIFS(Aut_BlueMe_Sem_Pedido!$J:$J,Aut_BlueMe_Sem_Pedido!$Q:$Q,DRE!AF$4,Aut_BlueMe_Sem_Pedido!$H:$H,DRE!$A207)+SUMIFS(Aut_Ajustes_Manuais!$G:$G,Aut_Ajustes_Manuais!$I:$I,DRE!AF$4,Aut_Ajustes_Manuais!$F:$F,"  -  Exames Periódicos")</f>
        <v/>
      </c>
      <c r="AI207" s="241" t="n"/>
      <c r="AJ207" s="27">
        <f>-SUMIFS(T_ORCAMENTOS!$E:$E,T_ORCAMENTOS!$C:$C,"  -  Exames Periódicos",T_ORCAMENTOS!$H:$H,"10/2026")</f>
        <v/>
      </c>
      <c r="AK207" s="28">
        <f>SUMIFS(Aut_BlueMe_Sem_Pedido!$J:$J,Aut_BlueMe_Sem_Pedido!$Q:$Q,DRE!AI$4,Aut_BlueMe_Sem_Pedido!$H:$H,DRE!$A207)+SUMIFS(Aut_Ajustes_Manuais!$G:$G,Aut_Ajustes_Manuais!$I:$I,DRE!AI$4,Aut_Ajustes_Manuais!$F:$F,"  -  Exames Periódicos")</f>
        <v/>
      </c>
      <c r="AL207" s="241" t="n"/>
      <c r="AM207" s="27">
        <f>-SUMIFS(T_ORCAMENTOS!$E:$E,T_ORCAMENTOS!$C:$C,"  -  Exames Periódicos",T_ORCAMENTOS!$H:$H,"11/2026")</f>
        <v/>
      </c>
      <c r="AN207" s="28">
        <f>SUMIFS(Aut_BlueMe_Sem_Pedido!$J:$J,Aut_BlueMe_Sem_Pedido!$Q:$Q,DRE!AL$4,Aut_BlueMe_Sem_Pedido!$H:$H,DRE!$A207)+SUMIFS(Aut_Ajustes_Manuais!$G:$G,Aut_Ajustes_Manuais!$I:$I,DRE!AL$4,Aut_Ajustes_Manuais!$F:$F,"  -  Exames Periódicos")</f>
        <v/>
      </c>
      <c r="AO207" s="241" t="n"/>
      <c r="AP207" s="27">
        <f>-SUMIFS(T_ORCAMENTOS!$E:$E,T_ORCAMENTOS!$C:$C,"  -  Exames Periódicos",T_ORCAMENTOS!$H:$H,"12/2026")</f>
        <v/>
      </c>
      <c r="AQ207" s="28">
        <f>SUMIFS(Aut_BlueMe_Sem_Pedido!$J:$J,Aut_BlueMe_Sem_Pedido!$Q:$Q,DRE!AO$4,Aut_BlueMe_Sem_Pedido!$H:$H,DRE!$A207)+SUMIFS(Aut_Ajustes_Manuais!$G:$G,Aut_Ajustes_Manuais!$I:$I,DRE!AO$4,Aut_Ajustes_Manuais!$F:$F,"  -  Exames Periódicos")</f>
        <v/>
      </c>
      <c r="AR207" s="241">
        <f>SUMIFS($H207:$AO207,$H$5:$AO$5,"&lt;"&amp;MONTH(TODAY()),$H$6:$AO$6,"REAL 25")</f>
        <v/>
      </c>
      <c r="AS207" s="27">
        <f>SUMIFS($I207:$AP207,$I$5:$AP$5,"&lt;"&amp;MONTH(TODAY()),$I$6:$AP$6,"ORÇADO ")</f>
        <v/>
      </c>
      <c r="AT207" s="28">
        <f>SUMIFS($J207:$AQ207,$J$5:$AQ$5,"&lt;"&amp;MONTH(TODAY()),$J$6:$AQ$6,"REAL 26")</f>
        <v/>
      </c>
      <c r="AU207" s="241">
        <f>SUM(H207,K207,N207,Q207,T207,W207,Z207,AC207,AF207,AI207,AL207,AO207)</f>
        <v/>
      </c>
      <c r="AV207" s="27">
        <f>SUM(I207,L207,O207,R207,U207,X207,AA207,AD207,AG207,AJ207,AM207,AP207)</f>
        <v/>
      </c>
      <c r="AW207" s="28">
        <f>SUM(J207,M207,P207,S207,V207,Y207,AB207,AE207,AH207,AK207,AN207,AQ207)</f>
        <v/>
      </c>
      <c r="AX207" s="241">
        <f>SUM(H207,K207,N207)</f>
        <v/>
      </c>
      <c r="AY207" s="27">
        <f>SUM(I207,L207,O207)</f>
        <v/>
      </c>
      <c r="AZ207" s="28">
        <f>SUM(J207,M207,P207)</f>
        <v/>
      </c>
      <c r="BA207" s="241">
        <f>SUM(Q207,T207,W207)</f>
        <v/>
      </c>
      <c r="BB207" s="27">
        <f>SUM(R207,U207,X207)</f>
        <v/>
      </c>
      <c r="BC207" s="28">
        <f>SUM(S207,V207,Y207)</f>
        <v/>
      </c>
      <c r="BD207" s="241">
        <f>SUM(Z207,AC207,AF207)</f>
        <v/>
      </c>
      <c r="BE207" s="27">
        <f>SUM(AA207,AD207,AG207)</f>
        <v/>
      </c>
      <c r="BF207" s="28">
        <f>SUM(AB207,AE207,AH207)</f>
        <v/>
      </c>
      <c r="BG207" s="241">
        <f>SUM(AI207,AL207,AO207)</f>
        <v/>
      </c>
      <c r="BH207" s="27">
        <f>SUM(AJ207,AM207,AP207)</f>
        <v/>
      </c>
      <c r="BI207" s="28">
        <f>SUM(AK207,AN207,AQ207)</f>
        <v/>
      </c>
    </row>
    <row r="208" outlineLevel="2" customFormat="1" s="498">
      <c r="A208" s="22" t="inlineStr">
        <is>
          <t xml:space="preserve">  -  Diversos - Vale Combustível</t>
        </is>
      </c>
      <c r="B208" s="488" t="n"/>
      <c r="C208" s="24" t="n"/>
      <c r="D208" s="55" t="n"/>
      <c r="E208" s="87" t="n"/>
      <c r="F208" s="41" t="n"/>
      <c r="G208" s="33" t="n"/>
      <c r="H208" s="241" t="n"/>
      <c r="I208" s="27">
        <f>-SUMIFS(T_ORCAMENTOS!$E:$E,T_ORCAMENTOS!$C:$C,"  -  Diversos - Vale Combustível",T_ORCAMENTOS!$H:$H,"1/2026")</f>
        <v/>
      </c>
      <c r="J208" s="28">
        <f>SUMIFS(Aut_BlueMe_Sem_Pedido!$J:$J,Aut_BlueMe_Sem_Pedido!$Q:$Q,DRE!H$4,Aut_BlueMe_Sem_Pedido!$H:$H,DRE!$A208)+SUMIFS(Aut_Ajustes_Manuais!$G:$G,Aut_Ajustes_Manuais!$I:$I,DRE!H$4,Aut_Ajustes_Manuais!$F:$F,"  -  Diversos - Vale Combustível")</f>
        <v/>
      </c>
      <c r="K208" s="241" t="n"/>
      <c r="L208" s="27">
        <f>-SUMIFS(T_ORCAMENTOS!$E:$E,T_ORCAMENTOS!$C:$C,"  -  Diversos - Vale Combustível",T_ORCAMENTOS!$H:$H,"2/2026")</f>
        <v/>
      </c>
      <c r="M208" s="28">
        <f>SUMIFS(Aut_BlueMe_Sem_Pedido!$J:$J,Aut_BlueMe_Sem_Pedido!$Q:$Q,DRE!K$4,Aut_BlueMe_Sem_Pedido!$H:$H,DRE!$A208)+SUMIFS(Aut_Ajustes_Manuais!$G:$G,Aut_Ajustes_Manuais!$I:$I,DRE!K$4,Aut_Ajustes_Manuais!$F:$F,"  -  Diversos - Vale Combustível")</f>
        <v/>
      </c>
      <c r="N208" s="241" t="n"/>
      <c r="O208" s="27">
        <f>-SUMIFS(T_ORCAMENTOS!$E:$E,T_ORCAMENTOS!$C:$C,"  -  Diversos - Vale Combustível",T_ORCAMENTOS!$H:$H,"3/2026")</f>
        <v/>
      </c>
      <c r="P208" s="28">
        <f>SUMIFS(Aut_BlueMe_Sem_Pedido!$J:$J,Aut_BlueMe_Sem_Pedido!$Q:$Q,DRE!N$4,Aut_BlueMe_Sem_Pedido!$H:$H,DRE!$A208)+SUMIFS(Aut_Ajustes_Manuais!$G:$G,Aut_Ajustes_Manuais!$I:$I,DRE!N$4,Aut_Ajustes_Manuais!$F:$F,"  -  Diversos - Vale Combustível")</f>
        <v/>
      </c>
      <c r="Q208" s="241" t="n"/>
      <c r="R208" s="27">
        <f>-SUMIFS(T_ORCAMENTOS!$E:$E,T_ORCAMENTOS!$C:$C,"  -  Diversos - Vale Combustível",T_ORCAMENTOS!$H:$H,"4/2026")</f>
        <v/>
      </c>
      <c r="S208" s="28">
        <f>SUMIFS(Aut_BlueMe_Sem_Pedido!$J:$J,Aut_BlueMe_Sem_Pedido!$Q:$Q,DRE!Q$4,Aut_BlueMe_Sem_Pedido!$H:$H,DRE!$A208)+SUMIFS(Aut_Ajustes_Manuais!$G:$G,Aut_Ajustes_Manuais!$I:$I,DRE!Q$4,Aut_Ajustes_Manuais!$F:$F,"  -  Diversos - Vale Combustível")</f>
        <v/>
      </c>
      <c r="T208" s="241" t="n"/>
      <c r="U208" s="27">
        <f>-SUMIFS(T_ORCAMENTOS!$E:$E,T_ORCAMENTOS!$C:$C,"  -  Diversos - Vale Combustível",T_ORCAMENTOS!$H:$H,"5/2026")</f>
        <v/>
      </c>
      <c r="V208" s="28">
        <f>SUMIFS(Aut_BlueMe_Sem_Pedido!$J:$J,Aut_BlueMe_Sem_Pedido!$Q:$Q,DRE!T$4,Aut_BlueMe_Sem_Pedido!$H:$H,DRE!$A208)+SUMIFS(Aut_Ajustes_Manuais!$G:$G,Aut_Ajustes_Manuais!$I:$I,DRE!T$4,Aut_Ajustes_Manuais!$F:$F,"  -  Diversos - Vale Combustível")</f>
        <v/>
      </c>
      <c r="W208" s="241" t="n"/>
      <c r="X208" s="27">
        <f>-SUMIFS(T_ORCAMENTOS!$E:$E,T_ORCAMENTOS!$C:$C,"  -  Diversos - Vale Combustível",T_ORCAMENTOS!$H:$H,"6/2026")</f>
        <v/>
      </c>
      <c r="Y208" s="28">
        <f>SUMIFS(Aut_BlueMe_Sem_Pedido!$J:$J,Aut_BlueMe_Sem_Pedido!$Q:$Q,DRE!W$4,Aut_BlueMe_Sem_Pedido!$H:$H,DRE!$A208)+SUMIFS(Aut_Ajustes_Manuais!$G:$G,Aut_Ajustes_Manuais!$I:$I,DRE!W$4,Aut_Ajustes_Manuais!$F:$F,"  -  Diversos - Vale Combustível")</f>
        <v/>
      </c>
      <c r="Z208" s="241" t="n"/>
      <c r="AA208" s="27">
        <f>-SUMIFS(T_ORCAMENTOS!$E:$E,T_ORCAMENTOS!$C:$C,"  -  Diversos - Vale Combustível",T_ORCAMENTOS!$H:$H,"7/2026")</f>
        <v/>
      </c>
      <c r="AB208" s="28">
        <f>SUMIFS(Aut_BlueMe_Sem_Pedido!$J:$J,Aut_BlueMe_Sem_Pedido!$Q:$Q,DRE!Z$4,Aut_BlueMe_Sem_Pedido!$H:$H,DRE!$A208)+SUMIFS(Aut_Ajustes_Manuais!$G:$G,Aut_Ajustes_Manuais!$I:$I,DRE!Z$4,Aut_Ajustes_Manuais!$F:$F,"  -  Diversos - Vale Combustível")</f>
        <v/>
      </c>
      <c r="AC208" s="241" t="n"/>
      <c r="AD208" s="27">
        <f>-SUMIFS(T_ORCAMENTOS!$E:$E,T_ORCAMENTOS!$C:$C,"  -  Diversos - Vale Combustível",T_ORCAMENTOS!$H:$H,"8/2026")</f>
        <v/>
      </c>
      <c r="AE208" s="28">
        <f>SUMIFS(Aut_BlueMe_Sem_Pedido!$J:$J,Aut_BlueMe_Sem_Pedido!$Q:$Q,DRE!AC$4,Aut_BlueMe_Sem_Pedido!$H:$H,DRE!$A208)+SUMIFS(Aut_Ajustes_Manuais!$G:$G,Aut_Ajustes_Manuais!$I:$I,DRE!AC$4,Aut_Ajustes_Manuais!$F:$F,"  -  Diversos - Vale Combustível")</f>
        <v/>
      </c>
      <c r="AF208" s="241" t="n"/>
      <c r="AG208" s="27">
        <f>-SUMIFS(T_ORCAMENTOS!$E:$E,T_ORCAMENTOS!$C:$C,"  -  Diversos - Vale Combustível",T_ORCAMENTOS!$H:$H,"9/2026")</f>
        <v/>
      </c>
      <c r="AH208" s="28">
        <f>SUMIFS(Aut_BlueMe_Sem_Pedido!$J:$J,Aut_BlueMe_Sem_Pedido!$Q:$Q,DRE!AF$4,Aut_BlueMe_Sem_Pedido!$H:$H,DRE!$A208)+SUMIFS(Aut_Ajustes_Manuais!$G:$G,Aut_Ajustes_Manuais!$I:$I,DRE!AF$4,Aut_Ajustes_Manuais!$F:$F,"  -  Diversos - Vale Combustível")</f>
        <v/>
      </c>
      <c r="AI208" s="241" t="n"/>
      <c r="AJ208" s="27">
        <f>-SUMIFS(T_ORCAMENTOS!$E:$E,T_ORCAMENTOS!$C:$C,"  -  Diversos - Vale Combustível",T_ORCAMENTOS!$H:$H,"10/2026")</f>
        <v/>
      </c>
      <c r="AK208" s="28">
        <f>SUMIFS(Aut_BlueMe_Sem_Pedido!$J:$J,Aut_BlueMe_Sem_Pedido!$Q:$Q,DRE!AI$4,Aut_BlueMe_Sem_Pedido!$H:$H,DRE!$A208)+SUMIFS(Aut_Ajustes_Manuais!$G:$G,Aut_Ajustes_Manuais!$I:$I,DRE!AI$4,Aut_Ajustes_Manuais!$F:$F,"  -  Diversos - Vale Combustível")</f>
        <v/>
      </c>
      <c r="AL208" s="241" t="n"/>
      <c r="AM208" s="27">
        <f>-SUMIFS(T_ORCAMENTOS!$E:$E,T_ORCAMENTOS!$C:$C,"  -  Diversos - Vale Combustível",T_ORCAMENTOS!$H:$H,"11/2026")</f>
        <v/>
      </c>
      <c r="AN208" s="28">
        <f>SUMIFS(Aut_BlueMe_Sem_Pedido!$J:$J,Aut_BlueMe_Sem_Pedido!$Q:$Q,DRE!AL$4,Aut_BlueMe_Sem_Pedido!$H:$H,DRE!$A208)+SUMIFS(Aut_Ajustes_Manuais!$G:$G,Aut_Ajustes_Manuais!$I:$I,DRE!AL$4,Aut_Ajustes_Manuais!$F:$F,"  -  Diversos - Vale Combustível")</f>
        <v/>
      </c>
      <c r="AO208" s="241" t="n"/>
      <c r="AP208" s="27">
        <f>-SUMIFS(T_ORCAMENTOS!$E:$E,T_ORCAMENTOS!$C:$C,"  -  Diversos - Vale Combustível",T_ORCAMENTOS!$H:$H,"12/2026")</f>
        <v/>
      </c>
      <c r="AQ208" s="28">
        <f>SUMIFS(Aut_BlueMe_Sem_Pedido!$J:$J,Aut_BlueMe_Sem_Pedido!$Q:$Q,DRE!AO$4,Aut_BlueMe_Sem_Pedido!$H:$H,DRE!$A208)+SUMIFS(Aut_Ajustes_Manuais!$G:$G,Aut_Ajustes_Manuais!$I:$I,DRE!AO$4,Aut_Ajustes_Manuais!$F:$F,"  -  Diversos - Vale Combustível")</f>
        <v/>
      </c>
      <c r="AR208" s="241">
        <f>SUMIFS($H208:$AO208,$H$5:$AO$5,"&lt;"&amp;MONTH(TODAY()),$H$6:$AO$6,"REAL 25")</f>
        <v/>
      </c>
      <c r="AS208" s="27">
        <f>SUMIFS($I208:$AP208,$I$5:$AP$5,"&lt;"&amp;MONTH(TODAY()),$I$6:$AP$6,"ORÇADO ")</f>
        <v/>
      </c>
      <c r="AT208" s="28">
        <f>SUMIFS($J208:$AQ208,$J$5:$AQ$5,"&lt;"&amp;MONTH(TODAY()),$J$6:$AQ$6,"REAL 26")</f>
        <v/>
      </c>
      <c r="AU208" s="241">
        <f>SUM(H208,K208,N208,Q208,T208,W208,Z208,AC208,AF208,AI208,AL208,AO208)</f>
        <v/>
      </c>
      <c r="AV208" s="27">
        <f>SUM(I208,L208,O208,R208,U208,X208,AA208,AD208,AG208,AJ208,AM208,AP208)</f>
        <v/>
      </c>
      <c r="AW208" s="28">
        <f>SUM(J208,M208,P208,S208,V208,Y208,AB208,AE208,AH208,AK208,AN208,AQ208)</f>
        <v/>
      </c>
      <c r="AX208" s="241">
        <f>SUM(H208,K208,N208)</f>
        <v/>
      </c>
      <c r="AY208" s="27">
        <f>SUM(I208,L208,O208)</f>
        <v/>
      </c>
      <c r="AZ208" s="28">
        <f>SUM(J208,M208,P208)</f>
        <v/>
      </c>
      <c r="BA208" s="241">
        <f>SUM(Q208,T208,W208)</f>
        <v/>
      </c>
      <c r="BB208" s="27">
        <f>SUM(R208,U208,X208)</f>
        <v/>
      </c>
      <c r="BC208" s="28">
        <f>SUM(S208,V208,Y208)</f>
        <v/>
      </c>
      <c r="BD208" s="241">
        <f>SUM(Z208,AC208,AF208)</f>
        <v/>
      </c>
      <c r="BE208" s="27">
        <f>SUM(AA208,AD208,AG208)</f>
        <v/>
      </c>
      <c r="BF208" s="28">
        <f>SUM(AB208,AE208,AH208)</f>
        <v/>
      </c>
      <c r="BG208" s="241">
        <f>SUM(AI208,AL208,AO208)</f>
        <v/>
      </c>
      <c r="BH208" s="27">
        <f>SUM(AJ208,AM208,AP208)</f>
        <v/>
      </c>
      <c r="BI208" s="28">
        <f>SUM(AK208,AN208,AQ208)</f>
        <v/>
      </c>
    </row>
    <row r="209" outlineLevel="2" customFormat="1" s="498">
      <c r="A209" s="22" t="inlineStr">
        <is>
          <t xml:space="preserve">  -  Gratificações</t>
        </is>
      </c>
      <c r="B209" s="488" t="n"/>
      <c r="C209" s="24" t="n"/>
      <c r="D209" s="55" t="n"/>
      <c r="E209" s="87" t="n"/>
      <c r="F209" s="41" t="n"/>
      <c r="G209" s="33" t="n"/>
      <c r="H209" s="241" t="n"/>
      <c r="I209" s="27">
        <f>-SUMIFS(T_ORCAMENTOS!$E:$E,T_ORCAMENTOS!$C:$C,"  -  Gratificações",T_ORCAMENTOS!$H:$H,"1/2026")</f>
        <v/>
      </c>
      <c r="J209" s="28">
        <f>SUMIFS(Aut_BlueMe_Sem_Pedido!$J:$J,Aut_BlueMe_Sem_Pedido!$Q:$Q,DRE!H$4,Aut_BlueMe_Sem_Pedido!$H:$H,DRE!$A209)+SUMIFS(Aut_Ajustes_Manuais!$G:$G,Aut_Ajustes_Manuais!$I:$I,DRE!H$4,Aut_Ajustes_Manuais!$F:$F,"  -  Gratificações")</f>
        <v/>
      </c>
      <c r="K209" s="241" t="n"/>
      <c r="L209" s="27">
        <f>-SUMIFS(T_ORCAMENTOS!$E:$E,T_ORCAMENTOS!$C:$C,"  -  Gratificações",T_ORCAMENTOS!$H:$H,"2/2026")</f>
        <v/>
      </c>
      <c r="M209" s="28">
        <f>SUMIFS(Aut_BlueMe_Sem_Pedido!$J:$J,Aut_BlueMe_Sem_Pedido!$Q:$Q,DRE!K$4,Aut_BlueMe_Sem_Pedido!$H:$H,DRE!$A209)+SUMIFS(Aut_Ajustes_Manuais!$G:$G,Aut_Ajustes_Manuais!$I:$I,DRE!K$4,Aut_Ajustes_Manuais!$F:$F,"  -  Gratificações")</f>
        <v/>
      </c>
      <c r="N209" s="241" t="n"/>
      <c r="O209" s="27">
        <f>-SUMIFS(T_ORCAMENTOS!$E:$E,T_ORCAMENTOS!$C:$C,"  -  Gratificações",T_ORCAMENTOS!$H:$H,"3/2026")</f>
        <v/>
      </c>
      <c r="P209" s="28">
        <f>SUMIFS(Aut_BlueMe_Sem_Pedido!$J:$J,Aut_BlueMe_Sem_Pedido!$Q:$Q,DRE!N$4,Aut_BlueMe_Sem_Pedido!$H:$H,DRE!$A209)+SUMIFS(Aut_Ajustes_Manuais!$G:$G,Aut_Ajustes_Manuais!$I:$I,DRE!N$4,Aut_Ajustes_Manuais!$F:$F,"  -  Gratificações")</f>
        <v/>
      </c>
      <c r="Q209" s="241" t="n"/>
      <c r="R209" s="27">
        <f>-SUMIFS(T_ORCAMENTOS!$E:$E,T_ORCAMENTOS!$C:$C,"  -  Gratificações",T_ORCAMENTOS!$H:$H,"4/2026")</f>
        <v/>
      </c>
      <c r="S209" s="28">
        <f>SUMIFS(Aut_BlueMe_Sem_Pedido!$J:$J,Aut_BlueMe_Sem_Pedido!$Q:$Q,DRE!Q$4,Aut_BlueMe_Sem_Pedido!$H:$H,DRE!$A209)+SUMIFS(Aut_Ajustes_Manuais!$G:$G,Aut_Ajustes_Manuais!$I:$I,DRE!Q$4,Aut_Ajustes_Manuais!$F:$F,"  -  Gratificações")</f>
        <v/>
      </c>
      <c r="T209" s="241" t="n"/>
      <c r="U209" s="27">
        <f>-SUMIFS(T_ORCAMENTOS!$E:$E,T_ORCAMENTOS!$C:$C,"  -  Gratificações",T_ORCAMENTOS!$H:$H,"5/2026")</f>
        <v/>
      </c>
      <c r="V209" s="28">
        <f>SUMIFS(Aut_BlueMe_Sem_Pedido!$J:$J,Aut_BlueMe_Sem_Pedido!$Q:$Q,DRE!T$4,Aut_BlueMe_Sem_Pedido!$H:$H,DRE!$A209)+SUMIFS(Aut_Ajustes_Manuais!$G:$G,Aut_Ajustes_Manuais!$I:$I,DRE!T$4,Aut_Ajustes_Manuais!$F:$F,"  -  Gratificações")</f>
        <v/>
      </c>
      <c r="W209" s="241" t="n"/>
      <c r="X209" s="27">
        <f>-SUMIFS(T_ORCAMENTOS!$E:$E,T_ORCAMENTOS!$C:$C,"  -  Gratificações",T_ORCAMENTOS!$H:$H,"6/2026")</f>
        <v/>
      </c>
      <c r="Y209" s="28">
        <f>SUMIFS(Aut_BlueMe_Sem_Pedido!$J:$J,Aut_BlueMe_Sem_Pedido!$Q:$Q,DRE!W$4,Aut_BlueMe_Sem_Pedido!$H:$H,DRE!$A209)+SUMIFS(Aut_Ajustes_Manuais!$G:$G,Aut_Ajustes_Manuais!$I:$I,DRE!W$4,Aut_Ajustes_Manuais!$F:$F,"  -  Gratificações")</f>
        <v/>
      </c>
      <c r="Z209" s="241" t="n"/>
      <c r="AA209" s="27">
        <f>-SUMIFS(T_ORCAMENTOS!$E:$E,T_ORCAMENTOS!$C:$C,"  -  Gratificações",T_ORCAMENTOS!$H:$H,"7/2026")</f>
        <v/>
      </c>
      <c r="AB209" s="28">
        <f>SUMIFS(Aut_BlueMe_Sem_Pedido!$J:$J,Aut_BlueMe_Sem_Pedido!$Q:$Q,DRE!Z$4,Aut_BlueMe_Sem_Pedido!$H:$H,DRE!$A209)+SUMIFS(Aut_Ajustes_Manuais!$G:$G,Aut_Ajustes_Manuais!$I:$I,DRE!Z$4,Aut_Ajustes_Manuais!$F:$F,"  -  Gratificações")</f>
        <v/>
      </c>
      <c r="AC209" s="241" t="n"/>
      <c r="AD209" s="27">
        <f>-SUMIFS(T_ORCAMENTOS!$E:$E,T_ORCAMENTOS!$C:$C,"  -  Gratificações",T_ORCAMENTOS!$H:$H,"8/2026")</f>
        <v/>
      </c>
      <c r="AE209" s="28">
        <f>SUMIFS(Aut_BlueMe_Sem_Pedido!$J:$J,Aut_BlueMe_Sem_Pedido!$Q:$Q,DRE!AC$4,Aut_BlueMe_Sem_Pedido!$H:$H,DRE!$A209)+SUMIFS(Aut_Ajustes_Manuais!$G:$G,Aut_Ajustes_Manuais!$I:$I,DRE!AC$4,Aut_Ajustes_Manuais!$F:$F,"  -  Gratificações")</f>
        <v/>
      </c>
      <c r="AF209" s="241" t="n"/>
      <c r="AG209" s="27">
        <f>-SUMIFS(T_ORCAMENTOS!$E:$E,T_ORCAMENTOS!$C:$C,"  -  Gratificações",T_ORCAMENTOS!$H:$H,"9/2026")</f>
        <v/>
      </c>
      <c r="AH209" s="28">
        <f>SUMIFS(Aut_BlueMe_Sem_Pedido!$J:$J,Aut_BlueMe_Sem_Pedido!$Q:$Q,DRE!AF$4,Aut_BlueMe_Sem_Pedido!$H:$H,DRE!$A209)+SUMIFS(Aut_Ajustes_Manuais!$G:$G,Aut_Ajustes_Manuais!$I:$I,DRE!AF$4,Aut_Ajustes_Manuais!$F:$F,"  -  Gratificações")</f>
        <v/>
      </c>
      <c r="AI209" s="241" t="n"/>
      <c r="AJ209" s="27">
        <f>-SUMIFS(T_ORCAMENTOS!$E:$E,T_ORCAMENTOS!$C:$C,"  -  Gratificações",T_ORCAMENTOS!$H:$H,"10/2026")</f>
        <v/>
      </c>
      <c r="AK209" s="28">
        <f>SUMIFS(Aut_BlueMe_Sem_Pedido!$J:$J,Aut_BlueMe_Sem_Pedido!$Q:$Q,DRE!AI$4,Aut_BlueMe_Sem_Pedido!$H:$H,DRE!$A209)+SUMIFS(Aut_Ajustes_Manuais!$G:$G,Aut_Ajustes_Manuais!$I:$I,DRE!AI$4,Aut_Ajustes_Manuais!$F:$F,"  -  Gratificações")</f>
        <v/>
      </c>
      <c r="AL209" s="241" t="n"/>
      <c r="AM209" s="27">
        <f>-SUMIFS(T_ORCAMENTOS!$E:$E,T_ORCAMENTOS!$C:$C,"  -  Gratificações",T_ORCAMENTOS!$H:$H,"11/2026")</f>
        <v/>
      </c>
      <c r="AN209" s="28">
        <f>SUMIFS(Aut_BlueMe_Sem_Pedido!$J:$J,Aut_BlueMe_Sem_Pedido!$Q:$Q,DRE!AL$4,Aut_BlueMe_Sem_Pedido!$H:$H,DRE!$A209)+SUMIFS(Aut_Ajustes_Manuais!$G:$G,Aut_Ajustes_Manuais!$I:$I,DRE!AL$4,Aut_Ajustes_Manuais!$F:$F,"  -  Gratificações")</f>
        <v/>
      </c>
      <c r="AO209" s="241" t="n"/>
      <c r="AP209" s="27">
        <f>-SUMIFS(T_ORCAMENTOS!$E:$E,T_ORCAMENTOS!$C:$C,"  -  Gratificações",T_ORCAMENTOS!$H:$H,"12/2026")</f>
        <v/>
      </c>
      <c r="AQ209" s="28">
        <f>SUMIFS(Aut_BlueMe_Sem_Pedido!$J:$J,Aut_BlueMe_Sem_Pedido!$Q:$Q,DRE!AO$4,Aut_BlueMe_Sem_Pedido!$H:$H,DRE!$A209)+SUMIFS(Aut_Ajustes_Manuais!$G:$G,Aut_Ajustes_Manuais!$I:$I,DRE!AO$4,Aut_Ajustes_Manuais!$F:$F,"  -  Gratificações")</f>
        <v/>
      </c>
      <c r="AR209" s="241">
        <f>SUMIFS($H209:$AO209,$H$5:$AO$5,"&lt;"&amp;MONTH(TODAY()),$H$6:$AO$6,"REAL 25")</f>
        <v/>
      </c>
      <c r="AS209" s="27">
        <f>SUMIFS($I209:$AP209,$I$5:$AP$5,"&lt;"&amp;MONTH(TODAY()),$I$6:$AP$6,"ORÇADO ")</f>
        <v/>
      </c>
      <c r="AT209" s="28">
        <f>SUMIFS($J209:$AQ209,$J$5:$AQ$5,"&lt;"&amp;MONTH(TODAY()),$J$6:$AQ$6,"REAL 26")</f>
        <v/>
      </c>
      <c r="AU209" s="241">
        <f>SUM(H209,K209,N209,Q209,T209,W209,Z209,AC209,AF209,AI209,AL209,AO209)</f>
        <v/>
      </c>
      <c r="AV209" s="27">
        <f>SUM(I209,L209,O209,R209,U209,X209,AA209,AD209,AG209,AJ209,AM209,AP209)</f>
        <v/>
      </c>
      <c r="AW209" s="28">
        <f>SUM(J209,M209,P209,S209,V209,Y209,AB209,AE209,AH209,AK209,AN209,AQ209)</f>
        <v/>
      </c>
      <c r="AX209" s="241">
        <f>SUM(H209,K209,N209)</f>
        <v/>
      </c>
      <c r="AY209" s="27">
        <f>SUM(I209,L209,O209)</f>
        <v/>
      </c>
      <c r="AZ209" s="28">
        <f>SUM(J209,M209,P209)</f>
        <v/>
      </c>
      <c r="BA209" s="241">
        <f>SUM(Q209,T209,W209)</f>
        <v/>
      </c>
      <c r="BB209" s="27">
        <f>SUM(R209,U209,X209)</f>
        <v/>
      </c>
      <c r="BC209" s="28">
        <f>SUM(S209,V209,Y209)</f>
        <v/>
      </c>
      <c r="BD209" s="241">
        <f>SUM(Z209,AC209,AF209)</f>
        <v/>
      </c>
      <c r="BE209" s="27">
        <f>SUM(AA209,AD209,AG209)</f>
        <v/>
      </c>
      <c r="BF209" s="28">
        <f>SUM(AB209,AE209,AH209)</f>
        <v/>
      </c>
      <c r="BG209" s="241">
        <f>SUM(AI209,AL209,AO209)</f>
        <v/>
      </c>
      <c r="BH209" s="27">
        <f>SUM(AJ209,AM209,AP209)</f>
        <v/>
      </c>
      <c r="BI209" s="28">
        <f>SUM(AK209,AN209,AQ209)</f>
        <v/>
      </c>
    </row>
    <row r="210" outlineLevel="2" customFormat="1" s="498">
      <c r="A210" s="22" t="inlineStr">
        <is>
          <t xml:space="preserve">  -  Cursos e Treinamentos</t>
        </is>
      </c>
      <c r="B210" s="488" t="n"/>
      <c r="C210" s="24" t="n"/>
      <c r="D210" s="55" t="n"/>
      <c r="E210" s="87" t="n"/>
      <c r="F210" s="41" t="n"/>
      <c r="G210" s="33" t="n"/>
      <c r="H210" s="241" t="n"/>
      <c r="I210" s="27">
        <f>-SUMIFS(T_ORCAMENTOS!$E:$E,T_ORCAMENTOS!$C:$C,"  -  Cursos e Treinamentos",T_ORCAMENTOS!$H:$H,"1/2026")</f>
        <v/>
      </c>
      <c r="J210" s="28">
        <f>SUMIFS(Aut_BlueMe_Sem_Pedido!$J:$J,Aut_BlueMe_Sem_Pedido!$Q:$Q,DRE!H$4,Aut_BlueMe_Sem_Pedido!$H:$H,DRE!$A210)+SUMIFS(Aut_Ajustes_Manuais!$G:$G,Aut_Ajustes_Manuais!$I:$I,DRE!H$4,Aut_Ajustes_Manuais!$F:$F,"  -  Cursos e Treinamentos")</f>
        <v/>
      </c>
      <c r="K210" s="241" t="n"/>
      <c r="L210" s="27">
        <f>-SUMIFS(T_ORCAMENTOS!$E:$E,T_ORCAMENTOS!$C:$C,"  -  Cursos e Treinamentos",T_ORCAMENTOS!$H:$H,"2/2026")</f>
        <v/>
      </c>
      <c r="M210" s="28">
        <f>SUMIFS(Aut_BlueMe_Sem_Pedido!$J:$J,Aut_BlueMe_Sem_Pedido!$Q:$Q,DRE!K$4,Aut_BlueMe_Sem_Pedido!$H:$H,DRE!$A210)+SUMIFS(Aut_Ajustes_Manuais!$G:$G,Aut_Ajustes_Manuais!$I:$I,DRE!K$4,Aut_Ajustes_Manuais!$F:$F,"  -  Cursos e Treinamentos")</f>
        <v/>
      </c>
      <c r="N210" s="241" t="n"/>
      <c r="O210" s="27">
        <f>-SUMIFS(T_ORCAMENTOS!$E:$E,T_ORCAMENTOS!$C:$C,"  -  Cursos e Treinamentos",T_ORCAMENTOS!$H:$H,"3/2026")</f>
        <v/>
      </c>
      <c r="P210" s="28">
        <f>SUMIFS(Aut_BlueMe_Sem_Pedido!$J:$J,Aut_BlueMe_Sem_Pedido!$Q:$Q,DRE!N$4,Aut_BlueMe_Sem_Pedido!$H:$H,DRE!$A210)+SUMIFS(Aut_Ajustes_Manuais!$G:$G,Aut_Ajustes_Manuais!$I:$I,DRE!N$4,Aut_Ajustes_Manuais!$F:$F,"  -  Cursos e Treinamentos")</f>
        <v/>
      </c>
      <c r="Q210" s="241" t="n"/>
      <c r="R210" s="27">
        <f>-SUMIFS(T_ORCAMENTOS!$E:$E,T_ORCAMENTOS!$C:$C,"  -  Cursos e Treinamentos",T_ORCAMENTOS!$H:$H,"4/2026")</f>
        <v/>
      </c>
      <c r="S210" s="28">
        <f>SUMIFS(Aut_BlueMe_Sem_Pedido!$J:$J,Aut_BlueMe_Sem_Pedido!$Q:$Q,DRE!Q$4,Aut_BlueMe_Sem_Pedido!$H:$H,DRE!$A210)+SUMIFS(Aut_Ajustes_Manuais!$G:$G,Aut_Ajustes_Manuais!$I:$I,DRE!Q$4,Aut_Ajustes_Manuais!$F:$F,"  -  Cursos e Treinamentos")</f>
        <v/>
      </c>
      <c r="T210" s="241" t="n"/>
      <c r="U210" s="27">
        <f>-SUMIFS(T_ORCAMENTOS!$E:$E,T_ORCAMENTOS!$C:$C,"  -  Cursos e Treinamentos",T_ORCAMENTOS!$H:$H,"5/2026")</f>
        <v/>
      </c>
      <c r="V210" s="28">
        <f>SUMIFS(Aut_BlueMe_Sem_Pedido!$J:$J,Aut_BlueMe_Sem_Pedido!$Q:$Q,DRE!T$4,Aut_BlueMe_Sem_Pedido!$H:$H,DRE!$A210)+SUMIFS(Aut_Ajustes_Manuais!$G:$G,Aut_Ajustes_Manuais!$I:$I,DRE!T$4,Aut_Ajustes_Manuais!$F:$F,"  -  Cursos e Treinamentos")</f>
        <v/>
      </c>
      <c r="W210" s="241" t="n"/>
      <c r="X210" s="27">
        <f>-SUMIFS(T_ORCAMENTOS!$E:$E,T_ORCAMENTOS!$C:$C,"  -  Cursos e Treinamentos",T_ORCAMENTOS!$H:$H,"6/2026")</f>
        <v/>
      </c>
      <c r="Y210" s="28">
        <f>SUMIFS(Aut_BlueMe_Sem_Pedido!$J:$J,Aut_BlueMe_Sem_Pedido!$Q:$Q,DRE!W$4,Aut_BlueMe_Sem_Pedido!$H:$H,DRE!$A210)+SUMIFS(Aut_Ajustes_Manuais!$G:$G,Aut_Ajustes_Manuais!$I:$I,DRE!W$4,Aut_Ajustes_Manuais!$F:$F,"  -  Cursos e Treinamentos")</f>
        <v/>
      </c>
      <c r="Z210" s="241" t="n"/>
      <c r="AA210" s="27">
        <f>-SUMIFS(T_ORCAMENTOS!$E:$E,T_ORCAMENTOS!$C:$C,"  -  Cursos e Treinamentos",T_ORCAMENTOS!$H:$H,"7/2026")</f>
        <v/>
      </c>
      <c r="AB210" s="28">
        <f>SUMIFS(Aut_BlueMe_Sem_Pedido!$J:$J,Aut_BlueMe_Sem_Pedido!$Q:$Q,DRE!Z$4,Aut_BlueMe_Sem_Pedido!$H:$H,DRE!$A210)+SUMIFS(Aut_Ajustes_Manuais!$G:$G,Aut_Ajustes_Manuais!$I:$I,DRE!Z$4,Aut_Ajustes_Manuais!$F:$F,"  -  Cursos e Treinamentos")</f>
        <v/>
      </c>
      <c r="AC210" s="241" t="n"/>
      <c r="AD210" s="27">
        <f>-SUMIFS(T_ORCAMENTOS!$E:$E,T_ORCAMENTOS!$C:$C,"  -  Cursos e Treinamentos",T_ORCAMENTOS!$H:$H,"8/2026")</f>
        <v/>
      </c>
      <c r="AE210" s="28">
        <f>SUMIFS(Aut_BlueMe_Sem_Pedido!$J:$J,Aut_BlueMe_Sem_Pedido!$Q:$Q,DRE!AC$4,Aut_BlueMe_Sem_Pedido!$H:$H,DRE!$A210)+SUMIFS(Aut_Ajustes_Manuais!$G:$G,Aut_Ajustes_Manuais!$I:$I,DRE!AC$4,Aut_Ajustes_Manuais!$F:$F,"  -  Cursos e Treinamentos")</f>
        <v/>
      </c>
      <c r="AF210" s="241" t="n"/>
      <c r="AG210" s="27">
        <f>-SUMIFS(T_ORCAMENTOS!$E:$E,T_ORCAMENTOS!$C:$C,"  -  Cursos e Treinamentos",T_ORCAMENTOS!$H:$H,"9/2026")</f>
        <v/>
      </c>
      <c r="AH210" s="28">
        <f>SUMIFS(Aut_BlueMe_Sem_Pedido!$J:$J,Aut_BlueMe_Sem_Pedido!$Q:$Q,DRE!AF$4,Aut_BlueMe_Sem_Pedido!$H:$H,DRE!$A210)+SUMIFS(Aut_Ajustes_Manuais!$G:$G,Aut_Ajustes_Manuais!$I:$I,DRE!AF$4,Aut_Ajustes_Manuais!$F:$F,"  -  Cursos e Treinamentos")</f>
        <v/>
      </c>
      <c r="AI210" s="241" t="n"/>
      <c r="AJ210" s="27">
        <f>-SUMIFS(T_ORCAMENTOS!$E:$E,T_ORCAMENTOS!$C:$C,"  -  Cursos e Treinamentos",T_ORCAMENTOS!$H:$H,"10/2026")</f>
        <v/>
      </c>
      <c r="AK210" s="28">
        <f>SUMIFS(Aut_BlueMe_Sem_Pedido!$J:$J,Aut_BlueMe_Sem_Pedido!$Q:$Q,DRE!AI$4,Aut_BlueMe_Sem_Pedido!$H:$H,DRE!$A210)+SUMIFS(Aut_Ajustes_Manuais!$G:$G,Aut_Ajustes_Manuais!$I:$I,DRE!AI$4,Aut_Ajustes_Manuais!$F:$F,"  -  Cursos e Treinamentos")</f>
        <v/>
      </c>
      <c r="AL210" s="241" t="n"/>
      <c r="AM210" s="27">
        <f>-SUMIFS(T_ORCAMENTOS!$E:$E,T_ORCAMENTOS!$C:$C,"  -  Cursos e Treinamentos",T_ORCAMENTOS!$H:$H,"11/2026")</f>
        <v/>
      </c>
      <c r="AN210" s="28">
        <f>SUMIFS(Aut_BlueMe_Sem_Pedido!$J:$J,Aut_BlueMe_Sem_Pedido!$Q:$Q,DRE!AL$4,Aut_BlueMe_Sem_Pedido!$H:$H,DRE!$A210)+SUMIFS(Aut_Ajustes_Manuais!$G:$G,Aut_Ajustes_Manuais!$I:$I,DRE!AL$4,Aut_Ajustes_Manuais!$F:$F,"  -  Cursos e Treinamentos")</f>
        <v/>
      </c>
      <c r="AO210" s="241" t="n"/>
      <c r="AP210" s="27">
        <f>-SUMIFS(T_ORCAMENTOS!$E:$E,T_ORCAMENTOS!$C:$C,"  -  Cursos e Treinamentos",T_ORCAMENTOS!$H:$H,"12/2026")</f>
        <v/>
      </c>
      <c r="AQ210" s="28">
        <f>SUMIFS(Aut_BlueMe_Sem_Pedido!$J:$J,Aut_BlueMe_Sem_Pedido!$Q:$Q,DRE!AO$4,Aut_BlueMe_Sem_Pedido!$H:$H,DRE!$A210)+SUMIFS(Aut_Ajustes_Manuais!$G:$G,Aut_Ajustes_Manuais!$I:$I,DRE!AO$4,Aut_Ajustes_Manuais!$F:$F,"  -  Cursos e Treinamentos")</f>
        <v/>
      </c>
      <c r="AR210" s="241">
        <f>SUMIFS($H210:$AO210,$H$5:$AO$5,"&lt;"&amp;MONTH(TODAY()),$H$6:$AO$6,"REAL 25")</f>
        <v/>
      </c>
      <c r="AS210" s="27">
        <f>SUMIFS($I210:$AP210,$I$5:$AP$5,"&lt;"&amp;MONTH(TODAY()),$I$6:$AP$6,"ORÇADO ")</f>
        <v/>
      </c>
      <c r="AT210" s="28">
        <f>SUMIFS($J210:$AQ210,$J$5:$AQ$5,"&lt;"&amp;MONTH(TODAY()),$J$6:$AQ$6,"REAL 26")</f>
        <v/>
      </c>
      <c r="AU210" s="241">
        <f>SUM(H210,K210,N210,Q210,T210,W210,Z210,AC210,AF210,AI210,AL210,AO210)</f>
        <v/>
      </c>
      <c r="AV210" s="27">
        <f>SUM(I210,L210,O210,R210,U210,X210,AA210,AD210,AG210,AJ210,AM210,AP210)</f>
        <v/>
      </c>
      <c r="AW210" s="28">
        <f>SUM(J210,M210,P210,S210,V210,Y210,AB210,AE210,AH210,AK210,AN210,AQ210)</f>
        <v/>
      </c>
      <c r="AX210" s="241">
        <f>SUM(H210,K210,N210)</f>
        <v/>
      </c>
      <c r="AY210" s="27">
        <f>SUM(I210,L210,O210)</f>
        <v/>
      </c>
      <c r="AZ210" s="28">
        <f>SUM(J210,M210,P210)</f>
        <v/>
      </c>
      <c r="BA210" s="241">
        <f>SUM(Q210,T210,W210)</f>
        <v/>
      </c>
      <c r="BB210" s="27">
        <f>SUM(R210,U210,X210)</f>
        <v/>
      </c>
      <c r="BC210" s="28">
        <f>SUM(S210,V210,Y210)</f>
        <v/>
      </c>
      <c r="BD210" s="241">
        <f>SUM(Z210,AC210,AF210)</f>
        <v/>
      </c>
      <c r="BE210" s="27">
        <f>SUM(AA210,AD210,AG210)</f>
        <v/>
      </c>
      <c r="BF210" s="28">
        <f>SUM(AB210,AE210,AH210)</f>
        <v/>
      </c>
      <c r="BG210" s="241">
        <f>SUM(AI210,AL210,AO210)</f>
        <v/>
      </c>
      <c r="BH210" s="27">
        <f>SUM(AJ210,AM210,AP210)</f>
        <v/>
      </c>
      <c r="BI210" s="28">
        <f>SUM(AK210,AN210,AQ210)</f>
        <v/>
      </c>
    </row>
    <row r="211" outlineLevel="2" customFormat="1" s="498">
      <c r="A211" s="22" t="inlineStr">
        <is>
          <t xml:space="preserve">  -  Alimentação Funcionário</t>
        </is>
      </c>
      <c r="B211" s="488" t="n"/>
      <c r="C211" s="106" t="n"/>
      <c r="D211" s="107" t="n"/>
      <c r="E211" s="509" t="n">
        <v>-22</v>
      </c>
      <c r="F211" s="41" t="n"/>
      <c r="G211" s="33" t="n"/>
      <c r="H211" s="241" t="n"/>
      <c r="I211" s="27">
        <f>-SUMIFS(T_ORCAMENTOS!$E:$E,T_ORCAMENTOS!$C:$C,"  -  Alimentação Funcionário",T_ORCAMENTOS!$H:$H,"1/2026")</f>
        <v/>
      </c>
      <c r="J211" s="28">
        <f>SUMIFS(Aut_BlueMe_Sem_Pedido!$J:$J,Aut_BlueMe_Sem_Pedido!$Q:$Q,DRE!H$4,Aut_BlueMe_Sem_Pedido!$H:$H,DRE!$A211)-SUMIFS(Aut_Descontos!$G:$G,Aut_Descontos!$H:$H,$A211,Aut_Descontos!$L:$L,DRE!H$4)+SUMIFS(Aut_Ajustes_Manuais!$G:$G,Aut_Ajustes_Manuais!$I:$I,DRE!H$4,Aut_Ajustes_Manuais!$F:$F,"  -  Alimentação Funcionário")-CMV_Manual!D15</f>
        <v/>
      </c>
      <c r="K211" s="241" t="n"/>
      <c r="L211" s="27">
        <f>-SUMIFS(T_ORCAMENTOS!$E:$E,T_ORCAMENTOS!$C:$C,"  -  Alimentação Funcionário",T_ORCAMENTOS!$H:$H,"2/2026")</f>
        <v/>
      </c>
      <c r="M211" s="28">
        <f>SUMIFS(Aut_BlueMe_Sem_Pedido!$J:$J,Aut_BlueMe_Sem_Pedido!$Q:$Q,DRE!K$4,Aut_BlueMe_Sem_Pedido!$H:$H,DRE!$A211)-SUMIFS(Aut_Descontos!$G:$G,Aut_Descontos!$H:$H,$A211,Aut_Descontos!$L:$L,DRE!K$4)+SUMIFS(Aut_Ajustes_Manuais!$G:$G,Aut_Ajustes_Manuais!$I:$I,DRE!K$4,Aut_Ajustes_Manuais!$F:$F,"  -  Alimentação Funcionário")-CMV_Manual!E15</f>
        <v/>
      </c>
      <c r="N211" s="241" t="n"/>
      <c r="O211" s="27">
        <f>-SUMIFS(T_ORCAMENTOS!$E:$E,T_ORCAMENTOS!$C:$C,"  -  Alimentação Funcionário",T_ORCAMENTOS!$H:$H,"3/2026")</f>
        <v/>
      </c>
      <c r="P211" s="28">
        <f>SUMIFS(Aut_BlueMe_Sem_Pedido!$J:$J,Aut_BlueMe_Sem_Pedido!$Q:$Q,DRE!N$4,Aut_BlueMe_Sem_Pedido!$H:$H,DRE!$A211)-SUMIFS(Aut_Descontos!$G:$G,Aut_Descontos!$H:$H,$A211,Aut_Descontos!$L:$L,DRE!N$4)+SUMIFS(Aut_Ajustes_Manuais!$G:$G,Aut_Ajustes_Manuais!$I:$I,DRE!N$4,Aut_Ajustes_Manuais!$F:$F,"  -  Alimentação Funcionário")-CMV_Manual!F15</f>
        <v/>
      </c>
      <c r="Q211" s="241" t="n"/>
      <c r="R211" s="27">
        <f>-SUMIFS(T_ORCAMENTOS!$E:$E,T_ORCAMENTOS!$C:$C,"  -  Alimentação Funcionário",T_ORCAMENTOS!$H:$H,"4/2026")</f>
        <v/>
      </c>
      <c r="S211" s="28">
        <f>SUMIFS(Aut_BlueMe_Sem_Pedido!$J:$J,Aut_BlueMe_Sem_Pedido!$Q:$Q,DRE!Q$4,Aut_BlueMe_Sem_Pedido!$H:$H,DRE!$A211)-SUMIFS(Aut_Descontos!$G:$G,Aut_Descontos!$H:$H,$A211,Aut_Descontos!$L:$L,DRE!Q$4)+SUMIFS(Aut_Ajustes_Manuais!$G:$G,Aut_Ajustes_Manuais!$I:$I,DRE!Q$4,Aut_Ajustes_Manuais!$F:$F,"  -  Alimentação Funcionário")-CMV_Manual!G15</f>
        <v/>
      </c>
      <c r="T211" s="241" t="n"/>
      <c r="U211" s="27">
        <f>-SUMIFS(T_ORCAMENTOS!$E:$E,T_ORCAMENTOS!$C:$C,"  -  Alimentação Funcionário",T_ORCAMENTOS!$H:$H,"5/2026")</f>
        <v/>
      </c>
      <c r="V211" s="28">
        <f>SUMIFS(Aut_BlueMe_Sem_Pedido!$J:$J,Aut_BlueMe_Sem_Pedido!$Q:$Q,DRE!T$4,Aut_BlueMe_Sem_Pedido!$H:$H,DRE!$A211)-SUMIFS(Aut_Descontos!$G:$G,Aut_Descontos!$H:$H,$A211,Aut_Descontos!$L:$L,DRE!T$4)+SUMIFS(Aut_Ajustes_Manuais!$G:$G,Aut_Ajustes_Manuais!$I:$I,DRE!T$4,Aut_Ajustes_Manuais!$F:$F,"  -  Alimentação Funcionário")-CMV_Manual!H15</f>
        <v/>
      </c>
      <c r="W211" s="241" t="n"/>
      <c r="X211" s="27">
        <f>-SUMIFS(T_ORCAMENTOS!$E:$E,T_ORCAMENTOS!$C:$C,"  -  Alimentação Funcionário",T_ORCAMENTOS!$H:$H,"6/2026")</f>
        <v/>
      </c>
      <c r="Y211" s="28">
        <f>SUMIFS(Aut_BlueMe_Sem_Pedido!$J:$J,Aut_BlueMe_Sem_Pedido!$Q:$Q,DRE!W$4,Aut_BlueMe_Sem_Pedido!$H:$H,DRE!$A211)-SUMIFS(Aut_Descontos!$G:$G,Aut_Descontos!$H:$H,$A211,Aut_Descontos!$L:$L,DRE!W$4)+SUMIFS(Aut_Ajustes_Manuais!$G:$G,Aut_Ajustes_Manuais!$I:$I,DRE!W$4,Aut_Ajustes_Manuais!$F:$F,"  -  Alimentação Funcionário")-CMV_Manual!I15</f>
        <v/>
      </c>
      <c r="Z211" s="241" t="n"/>
      <c r="AA211" s="27">
        <f>-SUMIFS(T_ORCAMENTOS!$E:$E,T_ORCAMENTOS!$C:$C,"  -  Alimentação Funcionário",T_ORCAMENTOS!$H:$H,"7/2026")</f>
        <v/>
      </c>
      <c r="AB211" s="28">
        <f>SUMIFS(Aut_BlueMe_Sem_Pedido!$J:$J,Aut_BlueMe_Sem_Pedido!$Q:$Q,DRE!Z$4,Aut_BlueMe_Sem_Pedido!$H:$H,DRE!$A211)-SUMIFS(Aut_Descontos!$G:$G,Aut_Descontos!$H:$H,$A211,Aut_Descontos!$L:$L,DRE!Z$4)+SUMIFS(Aut_Ajustes_Manuais!$G:$G,Aut_Ajustes_Manuais!$I:$I,DRE!Z$4,Aut_Ajustes_Manuais!$F:$F,"  -  Alimentação Funcionário")-CMV_Manual!J15</f>
        <v/>
      </c>
      <c r="AC211" s="241" t="n"/>
      <c r="AD211" s="27">
        <f>-SUMIFS(T_ORCAMENTOS!$E:$E,T_ORCAMENTOS!$C:$C,"  -  Alimentação Funcionário",T_ORCAMENTOS!$H:$H,"8/2026")</f>
        <v/>
      </c>
      <c r="AE211" s="28">
        <f>SUMIFS(Aut_BlueMe_Sem_Pedido!$J:$J,Aut_BlueMe_Sem_Pedido!$Q:$Q,DRE!AC$4,Aut_BlueMe_Sem_Pedido!$H:$H,DRE!$A211)-SUMIFS(Aut_Descontos!$G:$G,Aut_Descontos!$H:$H,$A211,Aut_Descontos!$L:$L,DRE!AC$4)+SUMIFS(Aut_Ajustes_Manuais!$G:$G,Aut_Ajustes_Manuais!$I:$I,DRE!AC$4,Aut_Ajustes_Manuais!$F:$F,"  -  Alimentação Funcionário")-CMV_Manual!K15</f>
        <v/>
      </c>
      <c r="AF211" s="241" t="n"/>
      <c r="AG211" s="27">
        <f>-SUMIFS(T_ORCAMENTOS!$E:$E,T_ORCAMENTOS!$C:$C,"  -  Alimentação Funcionário",T_ORCAMENTOS!$H:$H,"9/2026")</f>
        <v/>
      </c>
      <c r="AH211" s="28">
        <f>SUMIFS(Aut_BlueMe_Sem_Pedido!$J:$J,Aut_BlueMe_Sem_Pedido!$Q:$Q,DRE!AF$4,Aut_BlueMe_Sem_Pedido!$H:$H,DRE!$A211)-SUMIFS(Aut_Descontos!$G:$G,Aut_Descontos!$H:$H,$A211,Aut_Descontos!$L:$L,DRE!AF$4)+SUMIFS(Aut_Ajustes_Manuais!$G:$G,Aut_Ajustes_Manuais!$I:$I,DRE!AF$4,Aut_Ajustes_Manuais!$F:$F,"  -  Alimentação Funcionário")-CMV_Manual!L15</f>
        <v/>
      </c>
      <c r="AI211" s="241" t="n"/>
      <c r="AJ211" s="27">
        <f>-SUMIFS(T_ORCAMENTOS!$E:$E,T_ORCAMENTOS!$C:$C,"  -  Alimentação Funcionário",T_ORCAMENTOS!$H:$H,"10/2026")</f>
        <v/>
      </c>
      <c r="AK211" s="28">
        <f>SUMIFS(Aut_BlueMe_Sem_Pedido!$J:$J,Aut_BlueMe_Sem_Pedido!$Q:$Q,DRE!AI$4,Aut_BlueMe_Sem_Pedido!$H:$H,DRE!$A211)-SUMIFS(Aut_Descontos!$G:$G,Aut_Descontos!$H:$H,$A211,Aut_Descontos!$L:$L,DRE!AI$4)+SUMIFS(Aut_Ajustes_Manuais!$G:$G,Aut_Ajustes_Manuais!$I:$I,DRE!AI$4,Aut_Ajustes_Manuais!$F:$F,"  -  Alimentação Funcionário")-CMV_Manual!M15</f>
        <v/>
      </c>
      <c r="AL211" s="241" t="n"/>
      <c r="AM211" s="27">
        <f>-SUMIFS(T_ORCAMENTOS!$E:$E,T_ORCAMENTOS!$C:$C,"  -  Alimentação Funcionário",T_ORCAMENTOS!$H:$H,"11/2026")</f>
        <v/>
      </c>
      <c r="AN211" s="28">
        <f>SUMIFS(Aut_BlueMe_Sem_Pedido!$J:$J,Aut_BlueMe_Sem_Pedido!$Q:$Q,DRE!AL$4,Aut_BlueMe_Sem_Pedido!$H:$H,DRE!$A211)-SUMIFS(Aut_Descontos!$G:$G,Aut_Descontos!$H:$H,$A211,Aut_Descontos!$L:$L,DRE!AL$4)+SUMIFS(Aut_Ajustes_Manuais!$G:$G,Aut_Ajustes_Manuais!$I:$I,DRE!AL$4,Aut_Ajustes_Manuais!$F:$F,"  -  Alimentação Funcionário")-CMV_Manual!N15</f>
        <v/>
      </c>
      <c r="AO211" s="241" t="n"/>
      <c r="AP211" s="27">
        <f>-SUMIFS(T_ORCAMENTOS!$E:$E,T_ORCAMENTOS!$C:$C,"  -  Alimentação Funcionário",T_ORCAMENTOS!$H:$H,"12/2026")</f>
        <v/>
      </c>
      <c r="AQ211" s="28">
        <f>SUMIFS(Aut_BlueMe_Sem_Pedido!$J:$J,Aut_BlueMe_Sem_Pedido!$Q:$Q,DRE!AO$4,Aut_BlueMe_Sem_Pedido!$H:$H,DRE!$A211)-SUMIFS(Aut_Descontos!$G:$G,Aut_Descontos!$H:$H,$A211,Aut_Descontos!$L:$L,DRE!AO$4)+SUMIFS(Aut_Ajustes_Manuais!$G:$G,Aut_Ajustes_Manuais!$I:$I,DRE!AO$4,Aut_Ajustes_Manuais!$F:$F,"  -  Alimentação Funcionário")-CMV_Manual!O15</f>
        <v/>
      </c>
      <c r="AR211" s="241">
        <f>SUMIFS($H211:$AO211,$H$5:$AO$5,"&lt;"&amp;MONTH(TODAY()),$H$6:$AO$6,"REAL 25")</f>
        <v/>
      </c>
      <c r="AS211" s="27">
        <f>SUMIFS($I211:$AP211,$I$5:$AP$5,"&lt;"&amp;MONTH(TODAY()),$I$6:$AP$6,"ORÇADO ")</f>
        <v/>
      </c>
      <c r="AT211" s="28">
        <f>SUMIFS($J211:$AQ211,$J$5:$AQ$5,"&lt;"&amp;MONTH(TODAY()),$J$6:$AQ$6,"REAL 26")</f>
        <v/>
      </c>
      <c r="AU211" s="241">
        <f>SUM(H211,K211,N211,Q211,T211,W211,Z211,AC211,AF211,AI211,AL211,AO211)</f>
        <v/>
      </c>
      <c r="AV211" s="27">
        <f>SUM(I211,L211,O211,R211,U211,X211,AA211,AD211,AG211,AJ211,AM211,AP211)</f>
        <v/>
      </c>
      <c r="AW211" s="28">
        <f>SUM(J211,M211,P211,S211,V211,Y211,AB211,AE211,AH211,AK211,AN211,AQ211)</f>
        <v/>
      </c>
      <c r="AX211" s="241">
        <f>SUM(H211,K211,N211)</f>
        <v/>
      </c>
      <c r="AY211" s="27">
        <f>SUM(I211,L211,O211)</f>
        <v/>
      </c>
      <c r="AZ211" s="28">
        <f>SUM(J211,M211,P211)</f>
        <v/>
      </c>
      <c r="BA211" s="241">
        <f>SUM(Q211,T211,W211)</f>
        <v/>
      </c>
      <c r="BB211" s="27">
        <f>SUM(R211,U211,X211)</f>
        <v/>
      </c>
      <c r="BC211" s="28">
        <f>SUM(S211,V211,Y211)</f>
        <v/>
      </c>
      <c r="BD211" s="241">
        <f>SUM(Z211,AC211,AF211)</f>
        <v/>
      </c>
      <c r="BE211" s="27">
        <f>SUM(AA211,AD211,AG211)</f>
        <v/>
      </c>
      <c r="BF211" s="28">
        <f>SUM(AB211,AE211,AH211)</f>
        <v/>
      </c>
      <c r="BG211" s="241">
        <f>SUM(AI211,AL211,AO211)</f>
        <v/>
      </c>
      <c r="BH211" s="27">
        <f>SUM(AJ211,AM211,AP211)</f>
        <v/>
      </c>
      <c r="BI211" s="28">
        <f>SUM(AK211,AN211,AQ211)</f>
        <v/>
      </c>
    </row>
    <row r="212" outlineLevel="2" customFormat="1" s="498">
      <c r="A212" s="22" t="inlineStr">
        <is>
          <t xml:space="preserve">  -  Pro Labore</t>
        </is>
      </c>
      <c r="B212" s="488" t="n"/>
      <c r="C212" s="24" t="n"/>
      <c r="D212" s="55" t="n"/>
      <c r="E212" s="509" t="n"/>
      <c r="F212" s="41" t="n"/>
      <c r="G212" s="33" t="n"/>
      <c r="H212" s="241" t="n"/>
      <c r="I212" s="27">
        <f>-SUMIFS(T_ORCAMENTOS!$E:$E,T_ORCAMENTOS!$C:$C,"  -  Pro Labore",T_ORCAMENTOS!$H:$H,"1/2026")</f>
        <v/>
      </c>
      <c r="J212" s="28">
        <f>SUMIFS(Aut_BlueMe_Sem_Pedido!$J:$J,Aut_BlueMe_Sem_Pedido!$Q:$Q,DRE!H$4,Aut_BlueMe_Sem_Pedido!$H:$H,DRE!$A212)+SUMIFS(Aut_Ajustes_Manuais!$G:$G,Aut_Ajustes_Manuais!$I:$I,DRE!H$4,Aut_Ajustes_Manuais!$F:$F,"  -  Pro Labore")</f>
        <v/>
      </c>
      <c r="K212" s="241" t="n"/>
      <c r="L212" s="27">
        <f>-SUMIFS(T_ORCAMENTOS!$E:$E,T_ORCAMENTOS!$C:$C,"  -  Pro Labore",T_ORCAMENTOS!$H:$H,"2/2026")</f>
        <v/>
      </c>
      <c r="M212" s="28">
        <f>SUMIFS(Aut_BlueMe_Sem_Pedido!$J:$J,Aut_BlueMe_Sem_Pedido!$Q:$Q,DRE!K$4,Aut_BlueMe_Sem_Pedido!$H:$H,DRE!$A212)+SUMIFS(Aut_Ajustes_Manuais!$G:$G,Aut_Ajustes_Manuais!$I:$I,DRE!K$4,Aut_Ajustes_Manuais!$F:$F,"  -  Pro Labore")</f>
        <v/>
      </c>
      <c r="N212" s="241" t="n"/>
      <c r="O212" s="27">
        <f>-SUMIFS(T_ORCAMENTOS!$E:$E,T_ORCAMENTOS!$C:$C,"  -  Pro Labore",T_ORCAMENTOS!$H:$H,"3/2026")</f>
        <v/>
      </c>
      <c r="P212" s="28">
        <f>SUMIFS(Aut_BlueMe_Sem_Pedido!$J:$J,Aut_BlueMe_Sem_Pedido!$Q:$Q,DRE!N$4,Aut_BlueMe_Sem_Pedido!$H:$H,DRE!$A212)+SUMIFS(Aut_Ajustes_Manuais!$G:$G,Aut_Ajustes_Manuais!$I:$I,DRE!N$4,Aut_Ajustes_Manuais!$F:$F,"  -  Pro Labore")</f>
        <v/>
      </c>
      <c r="Q212" s="241" t="n"/>
      <c r="R212" s="27">
        <f>-SUMIFS(T_ORCAMENTOS!$E:$E,T_ORCAMENTOS!$C:$C,"  -  Pro Labore",T_ORCAMENTOS!$H:$H,"4/2026")</f>
        <v/>
      </c>
      <c r="S212" s="28">
        <f>SUMIFS(Aut_BlueMe_Sem_Pedido!$J:$J,Aut_BlueMe_Sem_Pedido!$Q:$Q,DRE!Q$4,Aut_BlueMe_Sem_Pedido!$H:$H,DRE!$A212)+SUMIFS(Aut_Ajustes_Manuais!$G:$G,Aut_Ajustes_Manuais!$I:$I,DRE!Q$4,Aut_Ajustes_Manuais!$F:$F,"  -  Pro Labore")</f>
        <v/>
      </c>
      <c r="T212" s="241" t="n"/>
      <c r="U212" s="27">
        <f>-SUMIFS(T_ORCAMENTOS!$E:$E,T_ORCAMENTOS!$C:$C,"  -  Pro Labore",T_ORCAMENTOS!$H:$H,"5/2026")</f>
        <v/>
      </c>
      <c r="V212" s="28">
        <f>SUMIFS(Aut_BlueMe_Sem_Pedido!$J:$J,Aut_BlueMe_Sem_Pedido!$Q:$Q,DRE!T$4,Aut_BlueMe_Sem_Pedido!$H:$H,DRE!$A212)+SUMIFS(Aut_Ajustes_Manuais!$G:$G,Aut_Ajustes_Manuais!$I:$I,DRE!T$4,Aut_Ajustes_Manuais!$F:$F,"  -  Pro Labore")</f>
        <v/>
      </c>
      <c r="W212" s="241" t="n"/>
      <c r="X212" s="27">
        <f>-SUMIFS(T_ORCAMENTOS!$E:$E,T_ORCAMENTOS!$C:$C,"  -  Pro Labore",T_ORCAMENTOS!$H:$H,"6/2026")</f>
        <v/>
      </c>
      <c r="Y212" s="28">
        <f>SUMIFS(Aut_BlueMe_Sem_Pedido!$J:$J,Aut_BlueMe_Sem_Pedido!$Q:$Q,DRE!W$4,Aut_BlueMe_Sem_Pedido!$H:$H,DRE!$A212)+SUMIFS(Aut_Ajustes_Manuais!$G:$G,Aut_Ajustes_Manuais!$I:$I,DRE!W$4,Aut_Ajustes_Manuais!$F:$F,"  -  Pro Labore")</f>
        <v/>
      </c>
      <c r="Z212" s="241" t="n"/>
      <c r="AA212" s="27">
        <f>-SUMIFS(T_ORCAMENTOS!$E:$E,T_ORCAMENTOS!$C:$C,"  -  Pro Labore",T_ORCAMENTOS!$H:$H,"7/2026")</f>
        <v/>
      </c>
      <c r="AB212" s="28">
        <f>SUMIFS(Aut_BlueMe_Sem_Pedido!$J:$J,Aut_BlueMe_Sem_Pedido!$Q:$Q,DRE!Z$4,Aut_BlueMe_Sem_Pedido!$H:$H,DRE!$A212)+SUMIFS(Aut_Ajustes_Manuais!$G:$G,Aut_Ajustes_Manuais!$I:$I,DRE!Z$4,Aut_Ajustes_Manuais!$F:$F,"  -  Pro Labore")</f>
        <v/>
      </c>
      <c r="AC212" s="241" t="n"/>
      <c r="AD212" s="27">
        <f>-SUMIFS(T_ORCAMENTOS!$E:$E,T_ORCAMENTOS!$C:$C,"  -  Pro Labore",T_ORCAMENTOS!$H:$H,"8/2026")</f>
        <v/>
      </c>
      <c r="AE212" s="28">
        <f>SUMIFS(Aut_BlueMe_Sem_Pedido!$J:$J,Aut_BlueMe_Sem_Pedido!$Q:$Q,DRE!AC$4,Aut_BlueMe_Sem_Pedido!$H:$H,DRE!$A212)+SUMIFS(Aut_Ajustes_Manuais!$G:$G,Aut_Ajustes_Manuais!$I:$I,DRE!AC$4,Aut_Ajustes_Manuais!$F:$F,"  -  Pro Labore")</f>
        <v/>
      </c>
      <c r="AF212" s="241" t="n"/>
      <c r="AG212" s="27">
        <f>-SUMIFS(T_ORCAMENTOS!$E:$E,T_ORCAMENTOS!$C:$C,"  -  Pro Labore",T_ORCAMENTOS!$H:$H,"9/2026")</f>
        <v/>
      </c>
      <c r="AH212" s="28">
        <f>SUMIFS(Aut_BlueMe_Sem_Pedido!$J:$J,Aut_BlueMe_Sem_Pedido!$Q:$Q,DRE!AF$4,Aut_BlueMe_Sem_Pedido!$H:$H,DRE!$A212)+SUMIFS(Aut_Ajustes_Manuais!$G:$G,Aut_Ajustes_Manuais!$I:$I,DRE!AF$4,Aut_Ajustes_Manuais!$F:$F,"  -  Pro Labore")</f>
        <v/>
      </c>
      <c r="AI212" s="241" t="n"/>
      <c r="AJ212" s="27">
        <f>-SUMIFS(T_ORCAMENTOS!$E:$E,T_ORCAMENTOS!$C:$C,"  -  Pro Labore",T_ORCAMENTOS!$H:$H,"10/2026")</f>
        <v/>
      </c>
      <c r="AK212" s="28">
        <f>SUMIFS(Aut_BlueMe_Sem_Pedido!$J:$J,Aut_BlueMe_Sem_Pedido!$Q:$Q,DRE!AI$4,Aut_BlueMe_Sem_Pedido!$H:$H,DRE!$A212)+SUMIFS(Aut_Ajustes_Manuais!$G:$G,Aut_Ajustes_Manuais!$I:$I,DRE!AI$4,Aut_Ajustes_Manuais!$F:$F,"  -  Pro Labore")</f>
        <v/>
      </c>
      <c r="AL212" s="241" t="n"/>
      <c r="AM212" s="27">
        <f>-SUMIFS(T_ORCAMENTOS!$E:$E,T_ORCAMENTOS!$C:$C,"  -  Pro Labore",T_ORCAMENTOS!$H:$H,"11/2026")</f>
        <v/>
      </c>
      <c r="AN212" s="28">
        <f>SUMIFS(Aut_BlueMe_Sem_Pedido!$J:$J,Aut_BlueMe_Sem_Pedido!$Q:$Q,DRE!AL$4,Aut_BlueMe_Sem_Pedido!$H:$H,DRE!$A212)+SUMIFS(Aut_Ajustes_Manuais!$G:$G,Aut_Ajustes_Manuais!$I:$I,DRE!AL$4,Aut_Ajustes_Manuais!$F:$F,"  -  Pro Labore")</f>
        <v/>
      </c>
      <c r="AO212" s="241" t="n"/>
      <c r="AP212" s="27">
        <f>-SUMIFS(T_ORCAMENTOS!$E:$E,T_ORCAMENTOS!$C:$C,"  -  Pro Labore",T_ORCAMENTOS!$H:$H,"12/2026")</f>
        <v/>
      </c>
      <c r="AQ212" s="28">
        <f>SUMIFS(Aut_BlueMe_Sem_Pedido!$J:$J,Aut_BlueMe_Sem_Pedido!$Q:$Q,DRE!AO$4,Aut_BlueMe_Sem_Pedido!$H:$H,DRE!$A212)+SUMIFS(Aut_Ajustes_Manuais!$G:$G,Aut_Ajustes_Manuais!$I:$I,DRE!AO$4,Aut_Ajustes_Manuais!$F:$F,"  -  Pro Labore")</f>
        <v/>
      </c>
      <c r="AR212" s="241">
        <f>SUMIFS($H212:$AO212,$H$5:$AO$5,"&lt;"&amp;MONTH(TODAY()),$H$6:$AO$6,"REAL 25")</f>
        <v/>
      </c>
      <c r="AS212" s="27">
        <f>SUMIFS($I212:$AP212,$I$5:$AP$5,"&lt;"&amp;MONTH(TODAY()),$I$6:$AP$6,"ORÇADO ")</f>
        <v/>
      </c>
      <c r="AT212" s="28">
        <f>SUMIFS($J212:$AQ212,$J$5:$AQ$5,"&lt;"&amp;MONTH(TODAY()),$J$6:$AQ$6,"REAL 26")</f>
        <v/>
      </c>
      <c r="AU212" s="241">
        <f>SUM(H212,K212,N212,Q212,T212,W212,Z212,AC212,AF212,AI212,AL212,AO212)</f>
        <v/>
      </c>
      <c r="AV212" s="27">
        <f>SUM(I212,L212,O212,R212,U212,X212,AA212,AD212,AG212,AJ212,AM212,AP212)</f>
        <v/>
      </c>
      <c r="AW212" s="28">
        <f>SUM(J212,M212,P212,S212,V212,Y212,AB212,AE212,AH212,AK212,AN212,AQ212)</f>
        <v/>
      </c>
      <c r="AX212" s="241">
        <f>SUM(H212,K212,N212)</f>
        <v/>
      </c>
      <c r="AY212" s="27">
        <f>SUM(I212,L212,O212)</f>
        <v/>
      </c>
      <c r="AZ212" s="28">
        <f>SUM(J212,M212,P212)</f>
        <v/>
      </c>
      <c r="BA212" s="241">
        <f>SUM(Q212,T212,W212)</f>
        <v/>
      </c>
      <c r="BB212" s="27">
        <f>SUM(R212,U212,X212)</f>
        <v/>
      </c>
      <c r="BC212" s="28">
        <f>SUM(S212,V212,Y212)</f>
        <v/>
      </c>
      <c r="BD212" s="241">
        <f>SUM(Z212,AC212,AF212)</f>
        <v/>
      </c>
      <c r="BE212" s="27">
        <f>SUM(AA212,AD212,AG212)</f>
        <v/>
      </c>
      <c r="BF212" s="28">
        <f>SUM(AB212,AE212,AH212)</f>
        <v/>
      </c>
      <c r="BG212" s="241">
        <f>SUM(AI212,AL212,AO212)</f>
        <v/>
      </c>
      <c r="BH212" s="27">
        <f>SUM(AJ212,AM212,AP212)</f>
        <v/>
      </c>
      <c r="BI212" s="28">
        <f>SUM(AK212,AN212,AQ212)</f>
        <v/>
      </c>
    </row>
    <row r="213">
      <c r="A213" s="71" t="inlineStr">
        <is>
          <t>% sobre Receita c/ Squad</t>
        </is>
      </c>
      <c r="B213" s="59" t="n"/>
      <c r="C213" s="24" t="n"/>
      <c r="D213" s="55" t="n"/>
      <c r="E213" s="87" t="n"/>
      <c r="F213" s="63" t="n"/>
      <c r="G213" s="59" t="n"/>
      <c r="H213" s="245" t="n"/>
      <c r="I213" s="50">
        <f>IFERROR(I106/I8,0)</f>
        <v/>
      </c>
      <c r="J213" s="50">
        <f>IFERROR(J106/J8,0)+SUMIFS(Aut_Ajustes_Manuais!$G:$G,Aut_Ajustes_Manuais!$I:$I,DRE!H$4,Aut_Ajustes_Manuais!$F:$F,"% sobre Receita c/ Squad")</f>
        <v/>
      </c>
      <c r="K213" s="245" t="n"/>
      <c r="L213" s="50">
        <f>IFERROR(L106/L8,0)</f>
        <v/>
      </c>
      <c r="M213" s="50">
        <f>IFERROR(M106/M8,0)+SUMIFS(Aut_Ajustes_Manuais!$G:$G,Aut_Ajustes_Manuais!$I:$I,DRE!K$4,Aut_Ajustes_Manuais!$F:$F,"% sobre Receita c/ Squad")</f>
        <v/>
      </c>
      <c r="N213" s="245" t="n"/>
      <c r="O213" s="50">
        <f>IFERROR(O106/O8,0)</f>
        <v/>
      </c>
      <c r="P213" s="50">
        <f>IFERROR(P106/P8,0)+SUMIFS(Aut_Ajustes_Manuais!$G:$G,Aut_Ajustes_Manuais!$I:$I,DRE!N$4,Aut_Ajustes_Manuais!$F:$F,"% sobre Receita c/ Squad")</f>
        <v/>
      </c>
      <c r="Q213" s="245" t="n"/>
      <c r="R213" s="50">
        <f>IFERROR(R106/R8,0)</f>
        <v/>
      </c>
      <c r="S213" s="51">
        <f>IFERROR(S106/S8,0)+SUMIFS(Aut_Ajustes_Manuais!$G:$G,Aut_Ajustes_Manuais!$I:$I,DRE!Q$4,Aut_Ajustes_Manuais!$F:$F,"% sobre Receita c/ Squad")</f>
        <v/>
      </c>
      <c r="T213" s="245" t="n"/>
      <c r="U213" s="50">
        <f>IFERROR(U106/U8,0)</f>
        <v/>
      </c>
      <c r="V213" s="51">
        <f>IFERROR(V106/V8,0)+SUMIFS(Aut_Ajustes_Manuais!$G:$G,Aut_Ajustes_Manuais!$I:$I,DRE!T$4,Aut_Ajustes_Manuais!$F:$F,"% sobre Receita c/ Squad")</f>
        <v/>
      </c>
      <c r="W213" s="245" t="n"/>
      <c r="X213" s="50">
        <f>IFERROR(X106/X8,0)</f>
        <v/>
      </c>
      <c r="Y213" s="51">
        <f>IFERROR(Y106/Y8,0)+SUMIFS(Aut_Ajustes_Manuais!$G:$G,Aut_Ajustes_Manuais!$I:$I,DRE!W$4,Aut_Ajustes_Manuais!$F:$F,"% sobre Receita c/ Squad")</f>
        <v/>
      </c>
      <c r="Z213" s="245" t="n"/>
      <c r="AA213" s="50">
        <f>IFERROR(AA106/AA8,0)</f>
        <v/>
      </c>
      <c r="AB213" s="51">
        <f>IFERROR(AB106/AB8,0)+SUMIFS(Aut_Ajustes_Manuais!$G:$G,Aut_Ajustes_Manuais!$I:$I,DRE!Z$4,Aut_Ajustes_Manuais!$F:$F,"% sobre Receita c/ Squad")</f>
        <v/>
      </c>
      <c r="AC213" s="245" t="n"/>
      <c r="AD213" s="50">
        <f>IFERROR(AD106/AD8,0)</f>
        <v/>
      </c>
      <c r="AE213" s="51">
        <f>IFERROR(AE106/AE8,0)+SUMIFS(Aut_Ajustes_Manuais!$G:$G,Aut_Ajustes_Manuais!$I:$I,DRE!AC$4,Aut_Ajustes_Manuais!$F:$F,"% sobre Receita c/ Squad")</f>
        <v/>
      </c>
      <c r="AF213" s="245" t="n"/>
      <c r="AG213" s="50">
        <f>IFERROR(AG106/AG8,0)</f>
        <v/>
      </c>
      <c r="AH213" s="51">
        <f>IFERROR(AH106/AH8,0)+SUMIFS(Aut_Ajustes_Manuais!$G:$G,Aut_Ajustes_Manuais!$I:$I,DRE!AF$4,Aut_Ajustes_Manuais!$F:$F,"% sobre Receita c/ Squad")</f>
        <v/>
      </c>
      <c r="AI213" s="245" t="n"/>
      <c r="AJ213" s="50">
        <f>IFERROR(AJ106/AJ8,0)</f>
        <v/>
      </c>
      <c r="AK213" s="51">
        <f>IFERROR(AK106/AK8,0)+SUMIFS(Aut_Ajustes_Manuais!$G:$G,Aut_Ajustes_Manuais!$I:$I,DRE!AI$4,Aut_Ajustes_Manuais!$F:$F,"% sobre Receita c/ Squad")</f>
        <v/>
      </c>
      <c r="AL213" s="245" t="n"/>
      <c r="AM213" s="50">
        <f>IFERROR(AM106/AM8,0)</f>
        <v/>
      </c>
      <c r="AN213" s="51">
        <f>IFERROR(AN106/AN8,0)+SUMIFS(Aut_Ajustes_Manuais!$G:$G,Aut_Ajustes_Manuais!$I:$I,DRE!AL$4,Aut_Ajustes_Manuais!$F:$F,"% sobre Receita c/ Squad")</f>
        <v/>
      </c>
      <c r="AO213" s="245" t="n"/>
      <c r="AP213" s="50">
        <f>IFERROR(AP106/AP8,0)</f>
        <v/>
      </c>
      <c r="AQ213" s="51">
        <f>IFERROR(AQ106/AQ8,0)+SUMIFS(Aut_Ajustes_Manuais!$G:$G,Aut_Ajustes_Manuais!$I:$I,DRE!AO$4,Aut_Ajustes_Manuais!$F:$F,"% sobre Receita c/ Squad")</f>
        <v/>
      </c>
      <c r="AR213" s="245">
        <f>IFERROR(AR106/AR8,0)</f>
        <v/>
      </c>
      <c r="AS213" s="50">
        <f>IFERROR(AS106/AS8,0)</f>
        <v/>
      </c>
      <c r="AT213" s="51">
        <f>IFERROR(AT106/AT8,0)</f>
        <v/>
      </c>
      <c r="AU213" s="245">
        <f>IFERROR(AU106/AU8,0)</f>
        <v/>
      </c>
      <c r="AV213" s="50">
        <f>IFERROR(AV106/AV8,0)</f>
        <v/>
      </c>
      <c r="AW213" s="51">
        <f>IFERROR(AW106/AW8,0)</f>
        <v/>
      </c>
      <c r="AX213" s="245">
        <f>IFERROR(AX106/AX8,0)</f>
        <v/>
      </c>
      <c r="AY213" s="50">
        <f>IFERROR(AY106/AY8,0)</f>
        <v/>
      </c>
      <c r="AZ213" s="51">
        <f>IFERROR(AZ106/AZ8,0)</f>
        <v/>
      </c>
      <c r="BA213" s="245">
        <f>IFERROR(BA106/BA8,0)</f>
        <v/>
      </c>
      <c r="BB213" s="50">
        <f>IFERROR(BB106/BB8,0)</f>
        <v/>
      </c>
      <c r="BC213" s="51">
        <f>IFERROR(BC106/BC8,0)</f>
        <v/>
      </c>
      <c r="BD213" s="245">
        <f>IFERROR(BD106/BD8,0)</f>
        <v/>
      </c>
      <c r="BE213" s="50">
        <f>IFERROR(BE106/BE8,0)</f>
        <v/>
      </c>
      <c r="BF213" s="51">
        <f>IFERROR(BF106/BF8,0)</f>
        <v/>
      </c>
      <c r="BG213" s="245">
        <f>IFERROR(BG106/BG8,0)</f>
        <v/>
      </c>
      <c r="BH213" s="50">
        <f>IFERROR(BH106/BH8,0)</f>
        <v/>
      </c>
      <c r="BI213" s="51">
        <f>IFERROR(BI106/BI8,0)</f>
        <v/>
      </c>
    </row>
    <row r="214">
      <c r="A214" s="71" t="inlineStr">
        <is>
          <t>% sobre Receita s/ Squad</t>
        </is>
      </c>
      <c r="B214" s="59" t="n"/>
      <c r="C214" s="24" t="n"/>
      <c r="D214" s="55" t="n"/>
      <c r="E214" s="87" t="n"/>
      <c r="F214" s="63" t="n"/>
      <c r="G214" s="59" t="n"/>
      <c r="H214" s="245" t="n"/>
      <c r="I214" s="50">
        <f>IFERROR((I106-I108)/I8,0)</f>
        <v/>
      </c>
      <c r="J214" s="50">
        <f>IFERROR((J106-J108)/J8,0)+SUMIFS(Aut_Ajustes_Manuais!$G:$G,Aut_Ajustes_Manuais!$I:$I,DRE!H$4,Aut_Ajustes_Manuais!$F:$F,"% sobre Receita s/ Squad")</f>
        <v/>
      </c>
      <c r="K214" s="245" t="n"/>
      <c r="L214" s="50">
        <f>IFERROR((L106-L108)/L8,0)</f>
        <v/>
      </c>
      <c r="M214" s="50">
        <f>IFERROR((M106-M108)/M8,0)+SUMIFS(Aut_Ajustes_Manuais!$G:$G,Aut_Ajustes_Manuais!$I:$I,DRE!K$4,Aut_Ajustes_Manuais!$F:$F,"% sobre Receita s/ Squad")</f>
        <v/>
      </c>
      <c r="N214" s="245" t="n"/>
      <c r="O214" s="50">
        <f>IFERROR((O106-O108)/O8,0)</f>
        <v/>
      </c>
      <c r="P214" s="50">
        <f>IFERROR((P106-P108)/P8,0)+SUMIFS(Aut_Ajustes_Manuais!$G:$G,Aut_Ajustes_Manuais!$I:$I,DRE!N$4,Aut_Ajustes_Manuais!$F:$F,"% sobre Receita s/ Squad")</f>
        <v/>
      </c>
      <c r="Q214" s="245" t="n"/>
      <c r="R214" s="50">
        <f>IFERROR((R106-R108)/R8,0)</f>
        <v/>
      </c>
      <c r="S214" s="51">
        <f>IFERROR((S106-S108)/S8,0)+SUMIFS(Aut_Ajustes_Manuais!$G:$G,Aut_Ajustes_Manuais!$I:$I,DRE!Q$4,Aut_Ajustes_Manuais!$F:$F,"% sobre Receita s/ Squad")</f>
        <v/>
      </c>
      <c r="T214" s="245" t="n"/>
      <c r="U214" s="50">
        <f>IFERROR((U106-U108)/U8,0)</f>
        <v/>
      </c>
      <c r="V214" s="51">
        <f>IFERROR((V106-V108)/V8,0)+SUMIFS(Aut_Ajustes_Manuais!$G:$G,Aut_Ajustes_Manuais!$I:$I,DRE!T$4,Aut_Ajustes_Manuais!$F:$F,"% sobre Receita s/ Squad")</f>
        <v/>
      </c>
      <c r="W214" s="245" t="n"/>
      <c r="X214" s="50">
        <f>IFERROR((X106-X108)/X8,0)</f>
        <v/>
      </c>
      <c r="Y214" s="51">
        <f>IFERROR((Y106-Y108)/Y8,0)+SUMIFS(Aut_Ajustes_Manuais!$G:$G,Aut_Ajustes_Manuais!$I:$I,DRE!W$4,Aut_Ajustes_Manuais!$F:$F,"% sobre Receita s/ Squad")</f>
        <v/>
      </c>
      <c r="Z214" s="245" t="n"/>
      <c r="AA214" s="50">
        <f>IFERROR((AA106-AA108)/AA8,0)</f>
        <v/>
      </c>
      <c r="AB214" s="51">
        <f>IFERROR((AB106-AB108)/AB8,0)+SUMIFS(Aut_Ajustes_Manuais!$G:$G,Aut_Ajustes_Manuais!$I:$I,DRE!Z$4,Aut_Ajustes_Manuais!$F:$F,"% sobre Receita s/ Squad")</f>
        <v/>
      </c>
      <c r="AC214" s="245" t="n"/>
      <c r="AD214" s="50">
        <f>IFERROR((AD106-AD108)/AD8,0)</f>
        <v/>
      </c>
      <c r="AE214" s="51">
        <f>IFERROR((AE106-AE108)/AE8,0)+SUMIFS(Aut_Ajustes_Manuais!$G:$G,Aut_Ajustes_Manuais!$I:$I,DRE!AC$4,Aut_Ajustes_Manuais!$F:$F,"% sobre Receita s/ Squad")</f>
        <v/>
      </c>
      <c r="AF214" s="245" t="n"/>
      <c r="AG214" s="50">
        <f>IFERROR((AG106-AG108)/AG8,0)</f>
        <v/>
      </c>
      <c r="AH214" s="51">
        <f>IFERROR((AH106-AH108)/AH8,0)+SUMIFS(Aut_Ajustes_Manuais!$G:$G,Aut_Ajustes_Manuais!$I:$I,DRE!AF$4,Aut_Ajustes_Manuais!$F:$F,"% sobre Receita s/ Squad")</f>
        <v/>
      </c>
      <c r="AI214" s="245" t="n"/>
      <c r="AJ214" s="50">
        <f>IFERROR((AJ106-AJ108)/AJ8,0)</f>
        <v/>
      </c>
      <c r="AK214" s="51">
        <f>IFERROR((AK106-AK108)/AK8,0)+SUMIFS(Aut_Ajustes_Manuais!$G:$G,Aut_Ajustes_Manuais!$I:$I,DRE!AI$4,Aut_Ajustes_Manuais!$F:$F,"% sobre Receita s/ Squad")</f>
        <v/>
      </c>
      <c r="AL214" s="245" t="n"/>
      <c r="AM214" s="50">
        <f>IFERROR((AM106-AM108)/AM8,0)</f>
        <v/>
      </c>
      <c r="AN214" s="51">
        <f>IFERROR((AN106-AN108)/AN8,0)+SUMIFS(Aut_Ajustes_Manuais!$G:$G,Aut_Ajustes_Manuais!$I:$I,DRE!AL$4,Aut_Ajustes_Manuais!$F:$F,"% sobre Receita s/ Squad")</f>
        <v/>
      </c>
      <c r="AO214" s="245" t="n"/>
      <c r="AP214" s="50">
        <f>IFERROR((AP106-AP108)/AP8,0)</f>
        <v/>
      </c>
      <c r="AQ214" s="51">
        <f>IFERROR((AQ106-AQ108)/AQ8,0)+SUMIFS(Aut_Ajustes_Manuais!$G:$G,Aut_Ajustes_Manuais!$I:$I,DRE!AO$4,Aut_Ajustes_Manuais!$F:$F,"% sobre Receita s/ Squad")</f>
        <v/>
      </c>
      <c r="AR214" s="245">
        <f>IFERROR((AR106-AR108)/AR8,0)</f>
        <v/>
      </c>
      <c r="AS214" s="50">
        <f>IFERROR((AS106-AS108)/AS8,0)</f>
        <v/>
      </c>
      <c r="AT214" s="51">
        <f>IFERROR((AT106-AT108)/AT8,0)</f>
        <v/>
      </c>
      <c r="AU214" s="245">
        <f>IFERROR((AU106-AU108)/AU8,0)</f>
        <v/>
      </c>
      <c r="AV214" s="50">
        <f>IFERROR((AV106-AV108)/AV8,0)</f>
        <v/>
      </c>
      <c r="AW214" s="51">
        <f>IFERROR((AW106-AW108)/AW8,0)</f>
        <v/>
      </c>
      <c r="AX214" s="245">
        <f>IFERROR((AX106-AX108)/AX8,0)</f>
        <v/>
      </c>
      <c r="AY214" s="50">
        <f>IFERROR((AY106-AY108)/AY8,0)</f>
        <v/>
      </c>
      <c r="AZ214" s="51">
        <f>IFERROR((AZ106-AZ108)/AZ8,0)</f>
        <v/>
      </c>
      <c r="BA214" s="245">
        <f>IFERROR((BA106-BA108)/BA8,0)</f>
        <v/>
      </c>
      <c r="BB214" s="50">
        <f>IFERROR((BB106-BB108)/BB8,0)</f>
        <v/>
      </c>
      <c r="BC214" s="51">
        <f>IFERROR((BC106-BC108)/BC8,0)</f>
        <v/>
      </c>
      <c r="BD214" s="245">
        <f>IFERROR((BD106-BD108)/BD8,0)</f>
        <v/>
      </c>
      <c r="BE214" s="50">
        <f>IFERROR((BE106-BE108)/BE8,0)</f>
        <v/>
      </c>
      <c r="BF214" s="51">
        <f>IFERROR((BF106-BF108)/BF8,0)</f>
        <v/>
      </c>
      <c r="BG214" s="245">
        <f>IFERROR((BG106-BG108)/BG8,0)</f>
        <v/>
      </c>
      <c r="BH214" s="50">
        <f>IFERROR((BH106-BH108)/BH8,0)</f>
        <v/>
      </c>
      <c r="BI214" s="51" t="n"/>
    </row>
    <row r="215">
      <c r="A215" s="18" t="n"/>
      <c r="E215" s="16" t="n"/>
      <c r="F215" s="17" t="n"/>
      <c r="H215" s="259" t="n"/>
      <c r="I215" s="108" t="n"/>
      <c r="J215" s="260" t="n"/>
      <c r="K215" s="259" t="n"/>
      <c r="L215" s="108" t="n"/>
      <c r="M215" s="260" t="n"/>
      <c r="N215" s="259" t="n"/>
      <c r="O215" s="108" t="n"/>
      <c r="P215" s="260" t="n"/>
      <c r="Q215" s="259" t="n"/>
      <c r="R215" s="108" t="n"/>
      <c r="S215" s="260" t="n"/>
      <c r="T215" s="259" t="n"/>
      <c r="U215" s="108" t="n"/>
      <c r="V215" s="260" t="n"/>
      <c r="W215" s="259" t="n"/>
      <c r="X215" s="108" t="n"/>
      <c r="Y215" s="260" t="n"/>
      <c r="Z215" s="259" t="n"/>
      <c r="AA215" s="108" t="n"/>
      <c r="AB215" s="260" t="n"/>
      <c r="AC215" s="259" t="n"/>
      <c r="AD215" s="108" t="n"/>
      <c r="AE215" s="260" t="n"/>
      <c r="AF215" s="259" t="n"/>
      <c r="AG215" s="108" t="n"/>
      <c r="AH215" s="260" t="n"/>
      <c r="AI215" s="259" t="n"/>
      <c r="AJ215" s="108" t="n"/>
      <c r="AK215" s="260" t="n"/>
      <c r="AL215" s="259" t="n"/>
      <c r="AM215" s="108" t="n"/>
      <c r="AN215" s="260" t="n"/>
      <c r="AO215" s="259" t="n"/>
      <c r="AP215" s="108" t="n"/>
      <c r="AQ215" s="260" t="n"/>
      <c r="AR215" s="259" t="n"/>
      <c r="AS215" s="6" t="n"/>
      <c r="AT215" s="467" t="n"/>
      <c r="AU215" s="444" t="n"/>
      <c r="AV215" s="108" t="n"/>
      <c r="AW215" s="260" t="n"/>
      <c r="AX215" s="259" t="n"/>
      <c r="AY215" s="108" t="n"/>
      <c r="AZ215" s="260" t="n"/>
      <c r="BA215" s="259" t="n"/>
      <c r="BB215" s="108" t="n"/>
      <c r="BC215" s="260" t="n"/>
      <c r="BD215" s="259" t="n"/>
      <c r="BE215" s="108" t="n"/>
      <c r="BF215" s="260" t="n"/>
      <c r="BG215" s="259" t="n"/>
      <c r="BH215" s="108" t="n"/>
      <c r="BI215" s="260" t="n"/>
    </row>
    <row r="216">
      <c r="A216" s="39" t="inlineStr">
        <is>
          <t>Custo de Ocupação</t>
        </is>
      </c>
      <c r="C216" s="40" t="inlineStr">
        <is>
          <t>Premissas</t>
        </is>
      </c>
      <c r="D216" s="40" t="inlineStr">
        <is>
          <t>Valores</t>
        </is>
      </c>
      <c r="E216" s="40" t="inlineStr">
        <is>
          <t>Acréscimo</t>
        </is>
      </c>
      <c r="F216" s="41" t="n"/>
      <c r="H216" s="244" t="n"/>
      <c r="I216" s="42">
        <f>SUM(I217:I223)</f>
        <v/>
      </c>
      <c r="J216" s="43">
        <f>SUM(J217:J223)+SUMIFS(Aut_Ajustes_Manuais!$G:$G,Aut_Ajustes_Manuais!$I:$I,DRE!H$4,Aut_Ajustes_Manuais!$F:$F,"Custo de Ocupação")</f>
        <v/>
      </c>
      <c r="K216" s="244" t="n"/>
      <c r="L216" s="42">
        <f>SUM(L217:L223)</f>
        <v/>
      </c>
      <c r="M216" s="43">
        <f>SUM(M217:M223)+SUMIFS(Aut_Ajustes_Manuais!$G:$G,Aut_Ajustes_Manuais!$I:$I,DRE!K$4,Aut_Ajustes_Manuais!$F:$F,"Custo de Ocupação")</f>
        <v/>
      </c>
      <c r="N216" s="244" t="n"/>
      <c r="O216" s="42">
        <f>SUM(O217:O223)</f>
        <v/>
      </c>
      <c r="P216" s="43">
        <f>SUM(P217:P223)+SUMIFS(Aut_Ajustes_Manuais!$G:$G,Aut_Ajustes_Manuais!$I:$I,DRE!N$4,Aut_Ajustes_Manuais!$F:$F,"Custo de Ocupação")</f>
        <v/>
      </c>
      <c r="Q216" s="244" t="n"/>
      <c r="R216" s="42">
        <f>SUM(R217:R223)</f>
        <v/>
      </c>
      <c r="S216" s="43">
        <f>SUM(S217:S223)+SUMIFS(Aut_Ajustes_Manuais!$G:$G,Aut_Ajustes_Manuais!$I:$I,DRE!Q$4,Aut_Ajustes_Manuais!$F:$F,"Custo de Ocupação")</f>
        <v/>
      </c>
      <c r="T216" s="244" t="n"/>
      <c r="U216" s="42">
        <f>SUM(U217:U223)</f>
        <v/>
      </c>
      <c r="V216" s="43">
        <f>SUM(V217:V223)+SUMIFS(Aut_Ajustes_Manuais!$G:$G,Aut_Ajustes_Manuais!$I:$I,DRE!T$4,Aut_Ajustes_Manuais!$F:$F,"Custo de Ocupação")</f>
        <v/>
      </c>
      <c r="W216" s="244" t="n"/>
      <c r="X216" s="42">
        <f>SUM(X217:X223)</f>
        <v/>
      </c>
      <c r="Y216" s="43">
        <f>SUM(Y217:Y223)+SUMIFS(Aut_Ajustes_Manuais!$G:$G,Aut_Ajustes_Manuais!$I:$I,DRE!W$4,Aut_Ajustes_Manuais!$F:$F,"Custo de Ocupação")</f>
        <v/>
      </c>
      <c r="Z216" s="244" t="n"/>
      <c r="AA216" s="42">
        <f>SUM(AA217:AA223)</f>
        <v/>
      </c>
      <c r="AB216" s="43">
        <f>SUM(AB217:AB223)+SUMIFS(Aut_Ajustes_Manuais!$G:$G,Aut_Ajustes_Manuais!$I:$I,DRE!Z$4,Aut_Ajustes_Manuais!$F:$F,"Custo de Ocupação")</f>
        <v/>
      </c>
      <c r="AC216" s="244" t="n"/>
      <c r="AD216" s="42">
        <f>SUM(AD217:AD223)</f>
        <v/>
      </c>
      <c r="AE216" s="43">
        <f>SUM(AE217:AE223)+SUMIFS(Aut_Ajustes_Manuais!$G:$G,Aut_Ajustes_Manuais!$I:$I,DRE!AC$4,Aut_Ajustes_Manuais!$F:$F,"Custo de Ocupação")</f>
        <v/>
      </c>
      <c r="AF216" s="244" t="n"/>
      <c r="AG216" s="42">
        <f>SUM(AG217:AG223)</f>
        <v/>
      </c>
      <c r="AH216" s="43">
        <f>SUM(AH217:AH223)+SUMIFS(Aut_Ajustes_Manuais!$G:$G,Aut_Ajustes_Manuais!$I:$I,DRE!AF$4,Aut_Ajustes_Manuais!$F:$F,"Custo de Ocupação")</f>
        <v/>
      </c>
      <c r="AI216" s="244" t="n"/>
      <c r="AJ216" s="42">
        <f>SUM(AJ217:AJ223)</f>
        <v/>
      </c>
      <c r="AK216" s="43">
        <f>SUM(AK217:AK223)+SUMIFS(Aut_Ajustes_Manuais!$G:$G,Aut_Ajustes_Manuais!$I:$I,DRE!AI$4,Aut_Ajustes_Manuais!$F:$F,"Custo de Ocupação")</f>
        <v/>
      </c>
      <c r="AL216" s="244" t="n"/>
      <c r="AM216" s="42">
        <f>SUM(AM217:AM223)</f>
        <v/>
      </c>
      <c r="AN216" s="43">
        <f>SUM(AN217:AN223)+SUMIFS(Aut_Ajustes_Manuais!$G:$G,Aut_Ajustes_Manuais!$I:$I,DRE!AL$4,Aut_Ajustes_Manuais!$F:$F,"Custo de Ocupação")</f>
        <v/>
      </c>
      <c r="AO216" s="244" t="n"/>
      <c r="AP216" s="42">
        <f>SUM(AP217:AP223)</f>
        <v/>
      </c>
      <c r="AQ216" s="43">
        <f>SUM(AQ217:AQ223)+SUMIFS(Aut_Ajustes_Manuais!$G:$G,Aut_Ajustes_Manuais!$I:$I,DRE!AO$4,Aut_Ajustes_Manuais!$F:$F,"Custo de Ocupação")</f>
        <v/>
      </c>
      <c r="AR216" s="244">
        <f>SUM(AR217:AR223)</f>
        <v/>
      </c>
      <c r="AS216" s="42">
        <f>SUM(AS217:AS223)</f>
        <v/>
      </c>
      <c r="AT216" s="43">
        <f>SUM(AT217:AT223)</f>
        <v/>
      </c>
      <c r="AU216" s="244">
        <f>SUM(AU217:AU223)</f>
        <v/>
      </c>
      <c r="AV216" s="42">
        <f>SUM(AV217:AV223)</f>
        <v/>
      </c>
      <c r="AW216" s="43">
        <f>SUM(AW217:AW223)</f>
        <v/>
      </c>
      <c r="AX216" s="244">
        <f>SUM(AX217:AX223)</f>
        <v/>
      </c>
      <c r="AY216" s="42">
        <f>SUM(AY217:AY223)</f>
        <v/>
      </c>
      <c r="AZ216" s="43">
        <f>SUM(AZ217:AZ223)</f>
        <v/>
      </c>
      <c r="BA216" s="244">
        <f>SUM(BA217:BA223)</f>
        <v/>
      </c>
      <c r="BB216" s="42">
        <f>SUM(BB217:BB223)</f>
        <v/>
      </c>
      <c r="BC216" s="43">
        <f>SUM(BC217:BC223)</f>
        <v/>
      </c>
      <c r="BD216" s="244">
        <f>SUM(BD217:BD223)</f>
        <v/>
      </c>
      <c r="BE216" s="42">
        <f>SUM(BE217:BE223)</f>
        <v/>
      </c>
      <c r="BF216" s="43">
        <f>SUM(BF217:BF223)</f>
        <v/>
      </c>
      <c r="BG216" s="244">
        <f>SUM(BG217:BG223)</f>
        <v/>
      </c>
      <c r="BH216" s="42">
        <f>SUM(BH217:BH223)</f>
        <v/>
      </c>
      <c r="BI216" s="43">
        <f>SUM(BI217:BI223)</f>
        <v/>
      </c>
    </row>
    <row r="217" hidden="1" outlineLevel="1" customFormat="1" s="498">
      <c r="A217" s="22" t="inlineStr">
        <is>
          <t>Aluguel de Imoveis</t>
        </is>
      </c>
      <c r="B217" s="488" t="n"/>
      <c r="C217" s="24" t="inlineStr">
        <is>
          <t>Contr/Prov</t>
        </is>
      </c>
      <c r="D217" s="484" t="n"/>
      <c r="E217" s="25" t="n"/>
      <c r="F217" s="41" t="n"/>
      <c r="G217" s="33" t="n"/>
      <c r="H217" s="241" t="n"/>
      <c r="I217" s="27">
        <f>-SUMIFS(T_ORCAMENTOS!$E:$E,T_ORCAMENTOS!$C:$C,"Aluguel de Imoveis",T_ORCAMENTOS!$H:$H,"1/2026")</f>
        <v/>
      </c>
      <c r="J217" s="28">
        <f>SUMIFS(Aut_BlueMe_Sem_Pedido!$J:$J,Aut_BlueMe_Sem_Pedido!$Q:$Q,DRE!H$4,Aut_BlueMe_Sem_Pedido!$H:$H,DRE!$A217)+SUMIFS(Aut_Ajustes_Manuais!$G:$G,Aut_Ajustes_Manuais!$I:$I,DRE!H$4,Aut_Ajustes_Manuais!$F:$F,"Aluguel de Imoveis")</f>
        <v/>
      </c>
      <c r="K217" s="241" t="n"/>
      <c r="L217" s="27">
        <f>-SUMIFS(T_ORCAMENTOS!$E:$E,T_ORCAMENTOS!$C:$C,"Aluguel de Imoveis",T_ORCAMENTOS!$H:$H,"2/2026")</f>
        <v/>
      </c>
      <c r="M217" s="28">
        <f>SUMIFS(Aut_BlueMe_Sem_Pedido!$J:$J,Aut_BlueMe_Sem_Pedido!$Q:$Q,DRE!K$4,Aut_BlueMe_Sem_Pedido!$H:$H,DRE!$A217)+SUMIFS(Aut_Ajustes_Manuais!$G:$G,Aut_Ajustes_Manuais!$I:$I,DRE!K$4,Aut_Ajustes_Manuais!$F:$F,"Aluguel de Imoveis")</f>
        <v/>
      </c>
      <c r="N217" s="241" t="n"/>
      <c r="O217" s="27">
        <f>-SUMIFS(T_ORCAMENTOS!$E:$E,T_ORCAMENTOS!$C:$C,"Aluguel de Imoveis",T_ORCAMENTOS!$H:$H,"3/2026")</f>
        <v/>
      </c>
      <c r="P217" s="28">
        <f>SUMIFS(Aut_BlueMe_Sem_Pedido!$J:$J,Aut_BlueMe_Sem_Pedido!$Q:$Q,DRE!N$4,Aut_BlueMe_Sem_Pedido!$H:$H,DRE!$A217)+SUMIFS(Aut_Ajustes_Manuais!$G:$G,Aut_Ajustes_Manuais!$I:$I,DRE!N$4,Aut_Ajustes_Manuais!$F:$F,"Aluguel de Imoveis")</f>
        <v/>
      </c>
      <c r="Q217" s="241" t="n"/>
      <c r="R217" s="27">
        <f>-SUMIFS(T_ORCAMENTOS!$E:$E,T_ORCAMENTOS!$C:$C,"Aluguel de Imoveis",T_ORCAMENTOS!$H:$H,"4/2026")</f>
        <v/>
      </c>
      <c r="S217" s="28">
        <f>SUMIFS(Aut_BlueMe_Sem_Pedido!$J:$J,Aut_BlueMe_Sem_Pedido!$Q:$Q,DRE!Q$4,Aut_BlueMe_Sem_Pedido!$H:$H,DRE!$A217)+SUMIFS(Aut_Ajustes_Manuais!$G:$G,Aut_Ajustes_Manuais!$I:$I,DRE!Q$4,Aut_Ajustes_Manuais!$F:$F,"Aluguel de Imoveis")</f>
        <v/>
      </c>
      <c r="T217" s="241" t="n"/>
      <c r="U217" s="27">
        <f>-SUMIFS(T_ORCAMENTOS!$E:$E,T_ORCAMENTOS!$C:$C,"Aluguel de Imoveis",T_ORCAMENTOS!$H:$H,"5/2026")</f>
        <v/>
      </c>
      <c r="V217" s="28">
        <f>SUMIFS(Aut_BlueMe_Sem_Pedido!$J:$J,Aut_BlueMe_Sem_Pedido!$Q:$Q,DRE!T$4,Aut_BlueMe_Sem_Pedido!$H:$H,DRE!$A217)+SUMIFS(Aut_Ajustes_Manuais!$G:$G,Aut_Ajustes_Manuais!$I:$I,DRE!T$4,Aut_Ajustes_Manuais!$F:$F,"Aluguel de Imoveis")</f>
        <v/>
      </c>
      <c r="W217" s="241" t="n"/>
      <c r="X217" s="27">
        <f>-SUMIFS(T_ORCAMENTOS!$E:$E,T_ORCAMENTOS!$C:$C,"Aluguel de Imoveis",T_ORCAMENTOS!$H:$H,"6/2026")</f>
        <v/>
      </c>
      <c r="Y217" s="28">
        <f>SUMIFS(Aut_BlueMe_Sem_Pedido!$J:$J,Aut_BlueMe_Sem_Pedido!$Q:$Q,DRE!W$4,Aut_BlueMe_Sem_Pedido!$H:$H,DRE!$A217)+SUMIFS(Aut_Ajustes_Manuais!$G:$G,Aut_Ajustes_Manuais!$I:$I,DRE!W$4,Aut_Ajustes_Manuais!$F:$F,"Aluguel de Imoveis")</f>
        <v/>
      </c>
      <c r="Z217" s="241" t="n"/>
      <c r="AA217" s="27">
        <f>-SUMIFS(T_ORCAMENTOS!$E:$E,T_ORCAMENTOS!$C:$C,"Aluguel de Imoveis",T_ORCAMENTOS!$H:$H,"7/2026")</f>
        <v/>
      </c>
      <c r="AB217" s="28">
        <f>SUMIFS(Aut_BlueMe_Sem_Pedido!$J:$J,Aut_BlueMe_Sem_Pedido!$Q:$Q,DRE!Z$4,Aut_BlueMe_Sem_Pedido!$H:$H,DRE!$A217)+SUMIFS(Aut_Ajustes_Manuais!$G:$G,Aut_Ajustes_Manuais!$I:$I,DRE!Z$4,Aut_Ajustes_Manuais!$F:$F,"Aluguel de Imoveis")</f>
        <v/>
      </c>
      <c r="AC217" s="241" t="n"/>
      <c r="AD217" s="27">
        <f>-SUMIFS(T_ORCAMENTOS!$E:$E,T_ORCAMENTOS!$C:$C,"Aluguel de Imoveis",T_ORCAMENTOS!$H:$H,"8/2026")</f>
        <v/>
      </c>
      <c r="AE217" s="28">
        <f>SUMIFS(Aut_BlueMe_Sem_Pedido!$J:$J,Aut_BlueMe_Sem_Pedido!$Q:$Q,DRE!AC$4,Aut_BlueMe_Sem_Pedido!$H:$H,DRE!$A217)+SUMIFS(Aut_Ajustes_Manuais!$G:$G,Aut_Ajustes_Manuais!$I:$I,DRE!AC$4,Aut_Ajustes_Manuais!$F:$F,"Aluguel de Imoveis")</f>
        <v/>
      </c>
      <c r="AF217" s="241" t="n"/>
      <c r="AG217" s="27">
        <f>-SUMIFS(T_ORCAMENTOS!$E:$E,T_ORCAMENTOS!$C:$C,"Aluguel de Imoveis",T_ORCAMENTOS!$H:$H,"9/2026")</f>
        <v/>
      </c>
      <c r="AH217" s="28">
        <f>SUMIFS(Aut_BlueMe_Sem_Pedido!$J:$J,Aut_BlueMe_Sem_Pedido!$Q:$Q,DRE!AF$4,Aut_BlueMe_Sem_Pedido!$H:$H,DRE!$A217)+SUMIFS(Aut_Ajustes_Manuais!$G:$G,Aut_Ajustes_Manuais!$I:$I,DRE!AF$4,Aut_Ajustes_Manuais!$F:$F,"Aluguel de Imoveis")</f>
        <v/>
      </c>
      <c r="AI217" s="241" t="n"/>
      <c r="AJ217" s="27">
        <f>-SUMIFS(T_ORCAMENTOS!$E:$E,T_ORCAMENTOS!$C:$C,"Aluguel de Imoveis",T_ORCAMENTOS!$H:$H,"10/2026")</f>
        <v/>
      </c>
      <c r="AK217" s="28">
        <f>SUMIFS(Aut_BlueMe_Sem_Pedido!$J:$J,Aut_BlueMe_Sem_Pedido!$Q:$Q,DRE!AI$4,Aut_BlueMe_Sem_Pedido!$H:$H,DRE!$A217)+SUMIFS(Aut_Ajustes_Manuais!$G:$G,Aut_Ajustes_Manuais!$I:$I,DRE!AI$4,Aut_Ajustes_Manuais!$F:$F,"Aluguel de Imoveis")</f>
        <v/>
      </c>
      <c r="AL217" s="241" t="n"/>
      <c r="AM217" s="27">
        <f>-SUMIFS(T_ORCAMENTOS!$E:$E,T_ORCAMENTOS!$C:$C,"Aluguel de Imoveis",T_ORCAMENTOS!$H:$H,"11/2026")</f>
        <v/>
      </c>
      <c r="AN217" s="28">
        <f>SUMIFS(Aut_BlueMe_Sem_Pedido!$J:$J,Aut_BlueMe_Sem_Pedido!$Q:$Q,DRE!AL$4,Aut_BlueMe_Sem_Pedido!$H:$H,DRE!$A217)+SUMIFS(Aut_Ajustes_Manuais!$G:$G,Aut_Ajustes_Manuais!$I:$I,DRE!AL$4,Aut_Ajustes_Manuais!$F:$F,"Aluguel de Imoveis")</f>
        <v/>
      </c>
      <c r="AO217" s="241" t="n"/>
      <c r="AP217" s="27">
        <f>-SUMIFS(T_ORCAMENTOS!$E:$E,T_ORCAMENTOS!$C:$C,"Aluguel de Imoveis",T_ORCAMENTOS!$H:$H,"12/2026")</f>
        <v/>
      </c>
      <c r="AQ217" s="28">
        <f>SUMIFS(Aut_BlueMe_Sem_Pedido!$J:$J,Aut_BlueMe_Sem_Pedido!$Q:$Q,DRE!AO$4,Aut_BlueMe_Sem_Pedido!$H:$H,DRE!$A217)+SUMIFS(Aut_Ajustes_Manuais!$G:$G,Aut_Ajustes_Manuais!$I:$I,DRE!AO$4,Aut_Ajustes_Manuais!$F:$F,"Aluguel de Imoveis")</f>
        <v/>
      </c>
      <c r="AR217" s="241">
        <f>SUMIFS($H217:$AO217,$H$5:$AO$5,"&lt;"&amp;MONTH(TODAY()),$H$6:$AO$6,"REAL 25")</f>
        <v/>
      </c>
      <c r="AS217" s="27">
        <f>SUMIFS($I217:$AP217,$I$5:$AP$5,"&lt;"&amp;MONTH(TODAY()),$I$6:$AP$6,"ORÇADO ")</f>
        <v/>
      </c>
      <c r="AT217" s="28">
        <f>SUMIFS($J217:$AQ217,$J$5:$AQ$5,"&lt;"&amp;MONTH(TODAY()),$J$6:$AQ$6,"REAL 26")</f>
        <v/>
      </c>
      <c r="AU217" s="241">
        <f>SUM(H217,K217,N217,Q217,T217,W217,Z217,AC217,AF217,AI217,AL217,AO217)</f>
        <v/>
      </c>
      <c r="AV217" s="27">
        <f>SUM(I217,L217,O217,R217,U217,X217,AA217,AD217,AG217,AJ217,AM217,AP217)</f>
        <v/>
      </c>
      <c r="AW217" s="28">
        <f>SUM(J217,M217,P217,S217,V217,Y217,AB217,AE217,AH217,AK217,AN217,AQ217)</f>
        <v/>
      </c>
      <c r="AX217" s="241">
        <f>SUM(H217,K217,N217)</f>
        <v/>
      </c>
      <c r="AY217" s="27">
        <f>SUM(I217,L217,O217)</f>
        <v/>
      </c>
      <c r="AZ217" s="28">
        <f>SUM(J217,M217,P217)</f>
        <v/>
      </c>
      <c r="BA217" s="241">
        <f>SUM(Q217,T217,W217)</f>
        <v/>
      </c>
      <c r="BB217" s="27">
        <f>SUM(R217,U217,X217)</f>
        <v/>
      </c>
      <c r="BC217" s="28">
        <f>SUM(S217,V217,Y217)</f>
        <v/>
      </c>
      <c r="BD217" s="241">
        <f>SUM(Z217,AC217,AF217)</f>
        <v/>
      </c>
      <c r="BE217" s="27">
        <f>SUM(AA217,AD217,AG217)</f>
        <v/>
      </c>
      <c r="BF217" s="28">
        <f>SUM(AB217,AE217,AH217)</f>
        <v/>
      </c>
      <c r="BG217" s="241">
        <f>SUM(AI217,AL217,AO217)</f>
        <v/>
      </c>
      <c r="BH217" s="27">
        <f>SUM(AJ217,AM217,AP217)</f>
        <v/>
      </c>
      <c r="BI217" s="28">
        <f>SUM(AK217,AN217,AQ217)</f>
        <v/>
      </c>
    </row>
    <row r="218" hidden="1" outlineLevel="1" customFormat="1" s="498">
      <c r="A218" s="22" t="inlineStr">
        <is>
          <t>Condominio</t>
        </is>
      </c>
      <c r="B218" s="488" t="n"/>
      <c r="C218" s="24" t="inlineStr">
        <is>
          <t>Contr/Prov</t>
        </is>
      </c>
      <c r="D218" s="484" t="n"/>
      <c r="E218" s="25" t="n"/>
      <c r="F218" s="41" t="n"/>
      <c r="G218" s="33" t="n"/>
      <c r="H218" s="241" t="n"/>
      <c r="I218" s="27">
        <f>-SUMIFS(T_ORCAMENTOS!$E:$E,T_ORCAMENTOS!$C:$C,"Condominio",T_ORCAMENTOS!$H:$H,"1/2026")</f>
        <v/>
      </c>
      <c r="J218" s="28">
        <f>SUMIFS(Aut_BlueMe_Sem_Pedido!$J:$J,Aut_BlueMe_Sem_Pedido!$Q:$Q,DRE!H$4,Aut_BlueMe_Sem_Pedido!$H:$H,DRE!$A218)+SUMIFS(Aut_Ajustes_Manuais!$G:$G,Aut_Ajustes_Manuais!$I:$I,DRE!H$4,Aut_Ajustes_Manuais!$F:$F,"Condominio")</f>
        <v/>
      </c>
      <c r="K218" s="241" t="n"/>
      <c r="L218" s="27">
        <f>-SUMIFS(T_ORCAMENTOS!$E:$E,T_ORCAMENTOS!$C:$C,"Condominio",T_ORCAMENTOS!$H:$H,"2/2026")</f>
        <v/>
      </c>
      <c r="M218" s="28">
        <f>SUMIFS(Aut_BlueMe_Sem_Pedido!$J:$J,Aut_BlueMe_Sem_Pedido!$Q:$Q,DRE!K$4,Aut_BlueMe_Sem_Pedido!$H:$H,DRE!$A218)+SUMIFS(Aut_Ajustes_Manuais!$G:$G,Aut_Ajustes_Manuais!$I:$I,DRE!K$4,Aut_Ajustes_Manuais!$F:$F,"Condominio")</f>
        <v/>
      </c>
      <c r="N218" s="241" t="n"/>
      <c r="O218" s="27">
        <f>-SUMIFS(T_ORCAMENTOS!$E:$E,T_ORCAMENTOS!$C:$C,"Condominio",T_ORCAMENTOS!$H:$H,"3/2026")</f>
        <v/>
      </c>
      <c r="P218" s="28">
        <f>SUMIFS(Aut_BlueMe_Sem_Pedido!$J:$J,Aut_BlueMe_Sem_Pedido!$Q:$Q,DRE!N$4,Aut_BlueMe_Sem_Pedido!$H:$H,DRE!$A218)+SUMIFS(Aut_Ajustes_Manuais!$G:$G,Aut_Ajustes_Manuais!$I:$I,DRE!N$4,Aut_Ajustes_Manuais!$F:$F,"Condominio")</f>
        <v/>
      </c>
      <c r="Q218" s="241" t="n"/>
      <c r="R218" s="27">
        <f>-SUMIFS(T_ORCAMENTOS!$E:$E,T_ORCAMENTOS!$C:$C,"Condominio",T_ORCAMENTOS!$H:$H,"4/2026")</f>
        <v/>
      </c>
      <c r="S218" s="28">
        <f>SUMIFS(Aut_BlueMe_Sem_Pedido!$J:$J,Aut_BlueMe_Sem_Pedido!$Q:$Q,DRE!Q$4,Aut_BlueMe_Sem_Pedido!$H:$H,DRE!$A218)+SUMIFS(Aut_Ajustes_Manuais!$G:$G,Aut_Ajustes_Manuais!$I:$I,DRE!Q$4,Aut_Ajustes_Manuais!$F:$F,"Condominio")</f>
        <v/>
      </c>
      <c r="T218" s="241" t="n"/>
      <c r="U218" s="27">
        <f>-SUMIFS(T_ORCAMENTOS!$E:$E,T_ORCAMENTOS!$C:$C,"Condominio",T_ORCAMENTOS!$H:$H,"5/2026")</f>
        <v/>
      </c>
      <c r="V218" s="28">
        <f>SUMIFS(Aut_BlueMe_Sem_Pedido!$J:$J,Aut_BlueMe_Sem_Pedido!$Q:$Q,DRE!T$4,Aut_BlueMe_Sem_Pedido!$H:$H,DRE!$A218)+SUMIFS(Aut_Ajustes_Manuais!$G:$G,Aut_Ajustes_Manuais!$I:$I,DRE!T$4,Aut_Ajustes_Manuais!$F:$F,"Condominio")</f>
        <v/>
      </c>
      <c r="W218" s="241" t="n"/>
      <c r="X218" s="27">
        <f>-SUMIFS(T_ORCAMENTOS!$E:$E,T_ORCAMENTOS!$C:$C,"Condominio",T_ORCAMENTOS!$H:$H,"6/2026")</f>
        <v/>
      </c>
      <c r="Y218" s="28">
        <f>SUMIFS(Aut_BlueMe_Sem_Pedido!$J:$J,Aut_BlueMe_Sem_Pedido!$Q:$Q,DRE!W$4,Aut_BlueMe_Sem_Pedido!$H:$H,DRE!$A218)+SUMIFS(Aut_Ajustes_Manuais!$G:$G,Aut_Ajustes_Manuais!$I:$I,DRE!W$4,Aut_Ajustes_Manuais!$F:$F,"Condominio")</f>
        <v/>
      </c>
      <c r="Z218" s="241" t="n"/>
      <c r="AA218" s="27">
        <f>-SUMIFS(T_ORCAMENTOS!$E:$E,T_ORCAMENTOS!$C:$C,"Condominio",T_ORCAMENTOS!$H:$H,"7/2026")</f>
        <v/>
      </c>
      <c r="AB218" s="28">
        <f>SUMIFS(Aut_BlueMe_Sem_Pedido!$J:$J,Aut_BlueMe_Sem_Pedido!$Q:$Q,DRE!Z$4,Aut_BlueMe_Sem_Pedido!$H:$H,DRE!$A218)+SUMIFS(Aut_Ajustes_Manuais!$G:$G,Aut_Ajustes_Manuais!$I:$I,DRE!Z$4,Aut_Ajustes_Manuais!$F:$F,"Condominio")</f>
        <v/>
      </c>
      <c r="AC218" s="241" t="n"/>
      <c r="AD218" s="27">
        <f>-SUMIFS(T_ORCAMENTOS!$E:$E,T_ORCAMENTOS!$C:$C,"Condominio",T_ORCAMENTOS!$H:$H,"8/2026")</f>
        <v/>
      </c>
      <c r="AE218" s="28">
        <f>SUMIFS(Aut_BlueMe_Sem_Pedido!$J:$J,Aut_BlueMe_Sem_Pedido!$Q:$Q,DRE!AC$4,Aut_BlueMe_Sem_Pedido!$H:$H,DRE!$A218)+SUMIFS(Aut_Ajustes_Manuais!$G:$G,Aut_Ajustes_Manuais!$I:$I,DRE!AC$4,Aut_Ajustes_Manuais!$F:$F,"Condominio")</f>
        <v/>
      </c>
      <c r="AF218" s="241" t="n"/>
      <c r="AG218" s="27">
        <f>-SUMIFS(T_ORCAMENTOS!$E:$E,T_ORCAMENTOS!$C:$C,"Condominio",T_ORCAMENTOS!$H:$H,"9/2026")</f>
        <v/>
      </c>
      <c r="AH218" s="28">
        <f>SUMIFS(Aut_BlueMe_Sem_Pedido!$J:$J,Aut_BlueMe_Sem_Pedido!$Q:$Q,DRE!AF$4,Aut_BlueMe_Sem_Pedido!$H:$H,DRE!$A218)+SUMIFS(Aut_Ajustes_Manuais!$G:$G,Aut_Ajustes_Manuais!$I:$I,DRE!AF$4,Aut_Ajustes_Manuais!$F:$F,"Condominio")</f>
        <v/>
      </c>
      <c r="AI218" s="241" t="n"/>
      <c r="AJ218" s="27">
        <f>-SUMIFS(T_ORCAMENTOS!$E:$E,T_ORCAMENTOS!$C:$C,"Condominio",T_ORCAMENTOS!$H:$H,"10/2026")</f>
        <v/>
      </c>
      <c r="AK218" s="28">
        <f>SUMIFS(Aut_BlueMe_Sem_Pedido!$J:$J,Aut_BlueMe_Sem_Pedido!$Q:$Q,DRE!AI$4,Aut_BlueMe_Sem_Pedido!$H:$H,DRE!$A218)+SUMIFS(Aut_Ajustes_Manuais!$G:$G,Aut_Ajustes_Manuais!$I:$I,DRE!AI$4,Aut_Ajustes_Manuais!$F:$F,"Condominio")</f>
        <v/>
      </c>
      <c r="AL218" s="241" t="n"/>
      <c r="AM218" s="27">
        <f>-SUMIFS(T_ORCAMENTOS!$E:$E,T_ORCAMENTOS!$C:$C,"Condominio",T_ORCAMENTOS!$H:$H,"11/2026")</f>
        <v/>
      </c>
      <c r="AN218" s="28">
        <f>SUMIFS(Aut_BlueMe_Sem_Pedido!$J:$J,Aut_BlueMe_Sem_Pedido!$Q:$Q,DRE!AL$4,Aut_BlueMe_Sem_Pedido!$H:$H,DRE!$A218)+SUMIFS(Aut_Ajustes_Manuais!$G:$G,Aut_Ajustes_Manuais!$I:$I,DRE!AL$4,Aut_Ajustes_Manuais!$F:$F,"Condominio")</f>
        <v/>
      </c>
      <c r="AO218" s="241" t="n"/>
      <c r="AP218" s="27">
        <f>-SUMIFS(T_ORCAMENTOS!$E:$E,T_ORCAMENTOS!$C:$C,"Condominio",T_ORCAMENTOS!$H:$H,"12/2026")</f>
        <v/>
      </c>
      <c r="AQ218" s="28">
        <f>SUMIFS(Aut_BlueMe_Sem_Pedido!$J:$J,Aut_BlueMe_Sem_Pedido!$Q:$Q,DRE!AO$4,Aut_BlueMe_Sem_Pedido!$H:$H,DRE!$A218)+SUMIFS(Aut_Ajustes_Manuais!$G:$G,Aut_Ajustes_Manuais!$I:$I,DRE!AO$4,Aut_Ajustes_Manuais!$F:$F,"Condominio")</f>
        <v/>
      </c>
      <c r="AR218" s="241">
        <f>SUMIFS($H218:$AO218,$H$5:$AO$5,"&lt;"&amp;MONTH(TODAY()),$H$6:$AO$6,"REAL 25")</f>
        <v/>
      </c>
      <c r="AS218" s="27">
        <f>SUMIFS($I218:$AP218,$I$5:$AP$5,"&lt;"&amp;MONTH(TODAY()),$I$6:$AP$6,"ORÇADO ")</f>
        <v/>
      </c>
      <c r="AT218" s="28">
        <f>SUMIFS($J218:$AQ218,$J$5:$AQ$5,"&lt;"&amp;MONTH(TODAY()),$J$6:$AQ$6,"REAL 26")</f>
        <v/>
      </c>
      <c r="AU218" s="241">
        <f>SUM(H218,K218,N218,Q218,T218,W218,Z218,AC218,AF218,AI218,AL218,AO218)</f>
        <v/>
      </c>
      <c r="AV218" s="27">
        <f>SUM(I218,L218,O218,R218,U218,X218,AA218,AD218,AG218,AJ218,AM218,AP218)</f>
        <v/>
      </c>
      <c r="AW218" s="28">
        <f>SUM(J218,M218,P218,S218,V218,Y218,AB218,AE218,AH218,AK218,AN218,AQ218)</f>
        <v/>
      </c>
      <c r="AX218" s="241">
        <f>SUM(H218,K218,N218)</f>
        <v/>
      </c>
      <c r="AY218" s="27">
        <f>SUM(I218,L218,O218)</f>
        <v/>
      </c>
      <c r="AZ218" s="28">
        <f>SUM(J218,M218,P218)</f>
        <v/>
      </c>
      <c r="BA218" s="241">
        <f>SUM(Q218,T218,W218)</f>
        <v/>
      </c>
      <c r="BB218" s="27">
        <f>SUM(R218,U218,X218)</f>
        <v/>
      </c>
      <c r="BC218" s="28">
        <f>SUM(S218,V218,Y218)</f>
        <v/>
      </c>
      <c r="BD218" s="241">
        <f>SUM(Z218,AC218,AF218)</f>
        <v/>
      </c>
      <c r="BE218" s="27">
        <f>SUM(AA218,AD218,AG218)</f>
        <v/>
      </c>
      <c r="BF218" s="28">
        <f>SUM(AB218,AE218,AH218)</f>
        <v/>
      </c>
      <c r="BG218" s="241">
        <f>SUM(AI218,AL218,AO218)</f>
        <v/>
      </c>
      <c r="BH218" s="27">
        <f>SUM(AJ218,AM218,AP218)</f>
        <v/>
      </c>
      <c r="BI218" s="28">
        <f>SUM(AK218,AN218,AQ218)</f>
        <v/>
      </c>
    </row>
    <row r="219" hidden="1" outlineLevel="1" customFormat="1" s="498">
      <c r="A219" s="22" t="inlineStr">
        <is>
          <t>IPTU</t>
        </is>
      </c>
      <c r="B219" s="488" t="n"/>
      <c r="C219" s="24" t="inlineStr">
        <is>
          <t>Contr/Prov</t>
        </is>
      </c>
      <c r="D219" s="25" t="n"/>
      <c r="E219" s="25" t="n"/>
      <c r="F219" s="41" t="n"/>
      <c r="G219" s="33" t="n"/>
      <c r="H219" s="241" t="n"/>
      <c r="I219" s="27">
        <f>-SUMIFS(T_ORCAMENTOS!$E:$E,T_ORCAMENTOS!$C:$C,"IPTU",T_ORCAMENTOS!$H:$H,"1/2026")</f>
        <v/>
      </c>
      <c r="J219" s="27">
        <f>SUMIFS(Aut_BlueMe_Sem_Pedido!$J:$J,Aut_BlueMe_Sem_Pedido!$Q:$Q,DRE!H$4,Aut_BlueMe_Sem_Pedido!$H:$H,DRE!$A219)+SUMIFS(Aut_Ajustes_Manuais!$G:$G,Aut_Ajustes_Manuais!$I:$I,DRE!H$4,Aut_Ajustes_Manuais!$F:$F,"IPTU")</f>
        <v/>
      </c>
      <c r="K219" s="241" t="n"/>
      <c r="L219" s="27">
        <f>-SUMIFS(T_ORCAMENTOS!$E:$E,T_ORCAMENTOS!$C:$C,"IPTU",T_ORCAMENTOS!$H:$H,"2/2026")</f>
        <v/>
      </c>
      <c r="M219" s="27">
        <f>SUMIFS(Aut_BlueMe_Sem_Pedido!$J:$J,Aut_BlueMe_Sem_Pedido!$Q:$Q,DRE!K$4,Aut_BlueMe_Sem_Pedido!$H:$H,DRE!$A219)+SUMIFS(Aut_Ajustes_Manuais!$G:$G,Aut_Ajustes_Manuais!$I:$I,DRE!K$4,Aut_Ajustes_Manuais!$F:$F,"IPTU")</f>
        <v/>
      </c>
      <c r="N219" s="241" t="n"/>
      <c r="O219" s="27">
        <f>-SUMIFS(T_ORCAMENTOS!$E:$E,T_ORCAMENTOS!$C:$C,"IPTU",T_ORCAMENTOS!$H:$H,"3/2026")</f>
        <v/>
      </c>
      <c r="P219" s="27">
        <f>SUMIFS(Aut_BlueMe_Sem_Pedido!$J:$J,Aut_BlueMe_Sem_Pedido!$Q:$Q,DRE!N$4,Aut_BlueMe_Sem_Pedido!$H:$H,DRE!$A219)+SUMIFS(Aut_Ajustes_Manuais!$G:$G,Aut_Ajustes_Manuais!$I:$I,DRE!N$4,Aut_Ajustes_Manuais!$F:$F,"IPTU")</f>
        <v/>
      </c>
      <c r="Q219" s="241" t="n"/>
      <c r="R219" s="27">
        <f>-SUMIFS(T_ORCAMENTOS!$E:$E,T_ORCAMENTOS!$C:$C,"IPTU",T_ORCAMENTOS!$H:$H,"4/2026")</f>
        <v/>
      </c>
      <c r="S219" s="27">
        <f>SUMIFS(Aut_BlueMe_Sem_Pedido!$J:$J,Aut_BlueMe_Sem_Pedido!$Q:$Q,DRE!Q$4,Aut_BlueMe_Sem_Pedido!$H:$H,DRE!$A219)+SUMIFS(Aut_Ajustes_Manuais!$G:$G,Aut_Ajustes_Manuais!$I:$I,DRE!Q$4,Aut_Ajustes_Manuais!$F:$F,"IPTU")</f>
        <v/>
      </c>
      <c r="T219" s="241" t="n"/>
      <c r="U219" s="27">
        <f>-SUMIFS(T_ORCAMENTOS!$E:$E,T_ORCAMENTOS!$C:$C,"IPTU",T_ORCAMENTOS!$H:$H,"5/2026")</f>
        <v/>
      </c>
      <c r="V219" s="27">
        <f>SUMIFS(Aut_BlueMe_Sem_Pedido!$J:$J,Aut_BlueMe_Sem_Pedido!$Q:$Q,DRE!T$4,Aut_BlueMe_Sem_Pedido!$H:$H,DRE!$A219)+SUMIFS(Aut_Ajustes_Manuais!$G:$G,Aut_Ajustes_Manuais!$I:$I,DRE!T$4,Aut_Ajustes_Manuais!$F:$F,"IPTU")</f>
        <v/>
      </c>
      <c r="W219" s="241" t="n"/>
      <c r="X219" s="27">
        <f>-SUMIFS(T_ORCAMENTOS!$E:$E,T_ORCAMENTOS!$C:$C,"IPTU",T_ORCAMENTOS!$H:$H,"6/2026")</f>
        <v/>
      </c>
      <c r="Y219" s="28">
        <f>SUMIFS(Aut_BlueMe_Sem_Pedido!$J:$J,Aut_BlueMe_Sem_Pedido!$Q:$Q,DRE!W$4,Aut_BlueMe_Sem_Pedido!$H:$H,DRE!$A219)+SUMIFS(Aut_Ajustes_Manuais!$G:$G,Aut_Ajustes_Manuais!$I:$I,DRE!W$4,Aut_Ajustes_Manuais!$F:$F,"IPTU")</f>
        <v/>
      </c>
      <c r="Z219" s="241" t="n"/>
      <c r="AA219" s="27">
        <f>-SUMIFS(T_ORCAMENTOS!$E:$E,T_ORCAMENTOS!$C:$C,"IPTU",T_ORCAMENTOS!$H:$H,"7/2026")</f>
        <v/>
      </c>
      <c r="AB219" s="28">
        <f>SUMIFS(Aut_BlueMe_Sem_Pedido!$J:$J,Aut_BlueMe_Sem_Pedido!$Q:$Q,DRE!Z$4,Aut_BlueMe_Sem_Pedido!$H:$H,DRE!$A219)+SUMIFS(Aut_Ajustes_Manuais!$G:$G,Aut_Ajustes_Manuais!$I:$I,DRE!Z$4,Aut_Ajustes_Manuais!$F:$F,"IPTU")</f>
        <v/>
      </c>
      <c r="AC219" s="241" t="n"/>
      <c r="AD219" s="27">
        <f>-SUMIFS(T_ORCAMENTOS!$E:$E,T_ORCAMENTOS!$C:$C,"IPTU",T_ORCAMENTOS!$H:$H,"8/2026")</f>
        <v/>
      </c>
      <c r="AE219" s="28">
        <f>SUMIFS(Aut_BlueMe_Sem_Pedido!$J:$J,Aut_BlueMe_Sem_Pedido!$Q:$Q,DRE!AC$4,Aut_BlueMe_Sem_Pedido!$H:$H,DRE!$A219)+SUMIFS(Aut_Ajustes_Manuais!$G:$G,Aut_Ajustes_Manuais!$I:$I,DRE!AC$4,Aut_Ajustes_Manuais!$F:$F,"IPTU")</f>
        <v/>
      </c>
      <c r="AF219" s="241" t="n"/>
      <c r="AG219" s="27">
        <f>-SUMIFS(T_ORCAMENTOS!$E:$E,T_ORCAMENTOS!$C:$C,"IPTU",T_ORCAMENTOS!$H:$H,"9/2026")</f>
        <v/>
      </c>
      <c r="AH219" s="28">
        <f>SUMIFS(Aut_BlueMe_Sem_Pedido!$J:$J,Aut_BlueMe_Sem_Pedido!$Q:$Q,DRE!AF$4,Aut_BlueMe_Sem_Pedido!$H:$H,DRE!$A219)+SUMIFS(Aut_Ajustes_Manuais!$G:$G,Aut_Ajustes_Manuais!$I:$I,DRE!AF$4,Aut_Ajustes_Manuais!$F:$F,"IPTU")</f>
        <v/>
      </c>
      <c r="AI219" s="241" t="n"/>
      <c r="AJ219" s="27">
        <f>-SUMIFS(T_ORCAMENTOS!$E:$E,T_ORCAMENTOS!$C:$C,"IPTU",T_ORCAMENTOS!$H:$H,"10/2026")</f>
        <v/>
      </c>
      <c r="AK219" s="28">
        <f>SUMIFS(Aut_BlueMe_Sem_Pedido!$J:$J,Aut_BlueMe_Sem_Pedido!$Q:$Q,DRE!AI$4,Aut_BlueMe_Sem_Pedido!$H:$H,DRE!$A219)+SUMIFS(Aut_Ajustes_Manuais!$G:$G,Aut_Ajustes_Manuais!$I:$I,DRE!AI$4,Aut_Ajustes_Manuais!$F:$F,"IPTU")</f>
        <v/>
      </c>
      <c r="AL219" s="241" t="n"/>
      <c r="AM219" s="27">
        <f>-SUMIFS(T_ORCAMENTOS!$E:$E,T_ORCAMENTOS!$C:$C,"IPTU",T_ORCAMENTOS!$H:$H,"11/2026")</f>
        <v/>
      </c>
      <c r="AN219" s="28">
        <f>SUMIFS(Aut_BlueMe_Sem_Pedido!$J:$J,Aut_BlueMe_Sem_Pedido!$Q:$Q,DRE!AL$4,Aut_BlueMe_Sem_Pedido!$H:$H,DRE!$A219)+SUMIFS(Aut_Ajustes_Manuais!$G:$G,Aut_Ajustes_Manuais!$I:$I,DRE!AL$4,Aut_Ajustes_Manuais!$F:$F,"IPTU")</f>
        <v/>
      </c>
      <c r="AO219" s="241" t="n"/>
      <c r="AP219" s="27">
        <f>-SUMIFS(T_ORCAMENTOS!$E:$E,T_ORCAMENTOS!$C:$C,"IPTU",T_ORCAMENTOS!$H:$H,"12/2026")</f>
        <v/>
      </c>
      <c r="AQ219" s="28">
        <f>SUMIFS(Aut_BlueMe_Sem_Pedido!$J:$J,Aut_BlueMe_Sem_Pedido!$Q:$Q,DRE!AO$4,Aut_BlueMe_Sem_Pedido!$H:$H,DRE!$A219)+SUMIFS(Aut_Ajustes_Manuais!$G:$G,Aut_Ajustes_Manuais!$I:$I,DRE!AO$4,Aut_Ajustes_Manuais!$F:$F,"IPTU")</f>
        <v/>
      </c>
      <c r="AR219" s="241">
        <f>SUMIFS($H219:$AO219,$H$5:$AO$5,"&lt;"&amp;MONTH(TODAY()),$H$6:$AO$6,"REAL 25")</f>
        <v/>
      </c>
      <c r="AS219" s="27">
        <f>SUMIFS($I219:$AP219,$I$5:$AP$5,"&lt;"&amp;MONTH(TODAY()),$I$6:$AP$6,"ORÇADO ")</f>
        <v/>
      </c>
      <c r="AT219" s="28">
        <f>SUMIFS($J219:$AQ219,$J$5:$AQ$5,"&lt;"&amp;MONTH(TODAY()),$J$6:$AQ$6,"REAL 26")</f>
        <v/>
      </c>
      <c r="AU219" s="241">
        <f>SUM(H219,K219,N219,Q219,T219,W219,Z219,AC219,AF219,AI219,AL219,AO219)</f>
        <v/>
      </c>
      <c r="AV219" s="27">
        <f>SUM(I219,L219,O219,R219,U219,X219,AA219,AD219,AG219,AJ219,AM219,AP219)</f>
        <v/>
      </c>
      <c r="AW219" s="28">
        <f>SUM(J219,M219,P219,S219,V219,Y219,AB219,AE219,AH219,AK219,AN219,AQ219)</f>
        <v/>
      </c>
      <c r="AX219" s="241">
        <f>SUM(H219,K219,N219)</f>
        <v/>
      </c>
      <c r="AY219" s="27">
        <f>SUM(I219,L219,O219)</f>
        <v/>
      </c>
      <c r="AZ219" s="28">
        <f>SUM(J219,M219,P219)</f>
        <v/>
      </c>
      <c r="BA219" s="241">
        <f>SUM(Q219,T219,W219)</f>
        <v/>
      </c>
      <c r="BB219" s="27">
        <f>SUM(R219,U219,X219)</f>
        <v/>
      </c>
      <c r="BC219" s="28">
        <f>SUM(S219,V219,Y219)</f>
        <v/>
      </c>
      <c r="BD219" s="241">
        <f>SUM(Z219,AC219,AF219)</f>
        <v/>
      </c>
      <c r="BE219" s="27">
        <f>SUM(AA219,AD219,AG219)</f>
        <v/>
      </c>
      <c r="BF219" s="28">
        <f>SUM(AB219,AE219,AH219)</f>
        <v/>
      </c>
      <c r="BG219" s="241">
        <f>SUM(AI219,AL219,AO219)</f>
        <v/>
      </c>
      <c r="BH219" s="27">
        <f>SUM(AJ219,AM219,AP219)</f>
        <v/>
      </c>
      <c r="BI219" s="28">
        <f>SUM(AK219,AN219,AQ219)</f>
        <v/>
      </c>
    </row>
    <row r="220" hidden="1" outlineLevel="1" customFormat="1" s="498">
      <c r="A220" s="22" t="inlineStr">
        <is>
          <t>Fundo de Promoção</t>
        </is>
      </c>
      <c r="B220" s="488" t="n"/>
      <c r="C220" s="24" t="inlineStr">
        <is>
          <t>Contr/Prov</t>
        </is>
      </c>
      <c r="D220" s="25" t="n"/>
      <c r="E220" s="25" t="n"/>
      <c r="F220" s="41" t="n"/>
      <c r="G220" s="33" t="n"/>
      <c r="H220" s="241" t="n"/>
      <c r="I220" s="27">
        <f>-SUMIFS(T_ORCAMENTOS!$E:$E,T_ORCAMENTOS!$C:$C,"Fundo de Promoção",T_ORCAMENTOS!$H:$H,"1/2026")</f>
        <v/>
      </c>
      <c r="J220" s="28">
        <f>SUMIFS(Aut_BlueMe_Sem_Pedido!$J:$J,Aut_BlueMe_Sem_Pedido!$Q:$Q,DRE!H$4,Aut_BlueMe_Sem_Pedido!$H:$H,DRE!$A220)+SUMIFS(Aut_Ajustes_Manuais!$G:$G,Aut_Ajustes_Manuais!$I:$I,DRE!H$4,Aut_Ajustes_Manuais!$F:$F,"Fundo de Promoção")</f>
        <v/>
      </c>
      <c r="K220" s="241" t="n"/>
      <c r="L220" s="27">
        <f>-SUMIFS(T_ORCAMENTOS!$E:$E,T_ORCAMENTOS!$C:$C,"Fundo de Promoção",T_ORCAMENTOS!$H:$H,"2/2026")</f>
        <v/>
      </c>
      <c r="M220" s="28">
        <f>SUMIFS(Aut_BlueMe_Sem_Pedido!$J:$J,Aut_BlueMe_Sem_Pedido!$Q:$Q,DRE!K$4,Aut_BlueMe_Sem_Pedido!$H:$H,DRE!$A220)+SUMIFS(Aut_Ajustes_Manuais!$G:$G,Aut_Ajustes_Manuais!$I:$I,DRE!K$4,Aut_Ajustes_Manuais!$F:$F,"Fundo de Promoção")</f>
        <v/>
      </c>
      <c r="N220" s="241" t="n"/>
      <c r="O220" s="27">
        <f>-SUMIFS(T_ORCAMENTOS!$E:$E,T_ORCAMENTOS!$C:$C,"Fundo de Promoção",T_ORCAMENTOS!$H:$H,"3/2026")</f>
        <v/>
      </c>
      <c r="P220" s="28">
        <f>SUMIFS(Aut_BlueMe_Sem_Pedido!$J:$J,Aut_BlueMe_Sem_Pedido!$Q:$Q,DRE!N$4,Aut_BlueMe_Sem_Pedido!$H:$H,DRE!$A220)+SUMIFS(Aut_Ajustes_Manuais!$G:$G,Aut_Ajustes_Manuais!$I:$I,DRE!N$4,Aut_Ajustes_Manuais!$F:$F,"Fundo de Promoção")</f>
        <v/>
      </c>
      <c r="Q220" s="241" t="n"/>
      <c r="R220" s="27">
        <f>-SUMIFS(T_ORCAMENTOS!$E:$E,T_ORCAMENTOS!$C:$C,"Fundo de Promoção",T_ORCAMENTOS!$H:$H,"4/2026")</f>
        <v/>
      </c>
      <c r="S220" s="28">
        <f>SUMIFS(Aut_BlueMe_Sem_Pedido!$J:$J,Aut_BlueMe_Sem_Pedido!$Q:$Q,DRE!Q$4,Aut_BlueMe_Sem_Pedido!$H:$H,DRE!$A220)+SUMIFS(Aut_Ajustes_Manuais!$G:$G,Aut_Ajustes_Manuais!$I:$I,DRE!Q$4,Aut_Ajustes_Manuais!$F:$F,"Fundo de Promoção")</f>
        <v/>
      </c>
      <c r="T220" s="241" t="n"/>
      <c r="U220" s="27">
        <f>-SUMIFS(T_ORCAMENTOS!$E:$E,T_ORCAMENTOS!$C:$C,"Fundo de Promoção",T_ORCAMENTOS!$H:$H,"5/2026")</f>
        <v/>
      </c>
      <c r="V220" s="28">
        <f>SUMIFS(Aut_BlueMe_Sem_Pedido!$J:$J,Aut_BlueMe_Sem_Pedido!$Q:$Q,DRE!T$4,Aut_BlueMe_Sem_Pedido!$H:$H,DRE!$A220)+SUMIFS(Aut_Ajustes_Manuais!$G:$G,Aut_Ajustes_Manuais!$I:$I,DRE!T$4,Aut_Ajustes_Manuais!$F:$F,"Fundo de Promoção")</f>
        <v/>
      </c>
      <c r="W220" s="241" t="n"/>
      <c r="X220" s="27">
        <f>-SUMIFS(T_ORCAMENTOS!$E:$E,T_ORCAMENTOS!$C:$C,"Fundo de Promoção",T_ORCAMENTOS!$H:$H,"6/2026")</f>
        <v/>
      </c>
      <c r="Y220" s="28">
        <f>SUMIFS(Aut_BlueMe_Sem_Pedido!$J:$J,Aut_BlueMe_Sem_Pedido!$Q:$Q,DRE!W$4,Aut_BlueMe_Sem_Pedido!$H:$H,DRE!$A220)+SUMIFS(Aut_Ajustes_Manuais!$G:$G,Aut_Ajustes_Manuais!$I:$I,DRE!W$4,Aut_Ajustes_Manuais!$F:$F,"Fundo de Promoção")</f>
        <v/>
      </c>
      <c r="Z220" s="241" t="n"/>
      <c r="AA220" s="27">
        <f>-SUMIFS(T_ORCAMENTOS!$E:$E,T_ORCAMENTOS!$C:$C,"Fundo de Promoção",T_ORCAMENTOS!$H:$H,"7/2026")</f>
        <v/>
      </c>
      <c r="AB220" s="28">
        <f>SUMIFS(Aut_BlueMe_Sem_Pedido!$J:$J,Aut_BlueMe_Sem_Pedido!$Q:$Q,DRE!Z$4,Aut_BlueMe_Sem_Pedido!$H:$H,DRE!$A220)+SUMIFS(Aut_Ajustes_Manuais!$G:$G,Aut_Ajustes_Manuais!$I:$I,DRE!Z$4,Aut_Ajustes_Manuais!$F:$F,"Fundo de Promoção")</f>
        <v/>
      </c>
      <c r="AC220" s="241" t="n"/>
      <c r="AD220" s="27">
        <f>-SUMIFS(T_ORCAMENTOS!$E:$E,T_ORCAMENTOS!$C:$C,"Fundo de Promoção",T_ORCAMENTOS!$H:$H,"8/2026")</f>
        <v/>
      </c>
      <c r="AE220" s="28">
        <f>SUMIFS(Aut_BlueMe_Sem_Pedido!$J:$J,Aut_BlueMe_Sem_Pedido!$Q:$Q,DRE!AC$4,Aut_BlueMe_Sem_Pedido!$H:$H,DRE!$A220)+SUMIFS(Aut_Ajustes_Manuais!$G:$G,Aut_Ajustes_Manuais!$I:$I,DRE!AC$4,Aut_Ajustes_Manuais!$F:$F,"Fundo de Promoção")</f>
        <v/>
      </c>
      <c r="AF220" s="241" t="n"/>
      <c r="AG220" s="27">
        <f>-SUMIFS(T_ORCAMENTOS!$E:$E,T_ORCAMENTOS!$C:$C,"Fundo de Promoção",T_ORCAMENTOS!$H:$H,"9/2026")</f>
        <v/>
      </c>
      <c r="AH220" s="28">
        <f>SUMIFS(Aut_BlueMe_Sem_Pedido!$J:$J,Aut_BlueMe_Sem_Pedido!$Q:$Q,DRE!AF$4,Aut_BlueMe_Sem_Pedido!$H:$H,DRE!$A220)+SUMIFS(Aut_Ajustes_Manuais!$G:$G,Aut_Ajustes_Manuais!$I:$I,DRE!AF$4,Aut_Ajustes_Manuais!$F:$F,"Fundo de Promoção")</f>
        <v/>
      </c>
      <c r="AI220" s="241" t="n"/>
      <c r="AJ220" s="27">
        <f>-SUMIFS(T_ORCAMENTOS!$E:$E,T_ORCAMENTOS!$C:$C,"Fundo de Promoção",T_ORCAMENTOS!$H:$H,"10/2026")</f>
        <v/>
      </c>
      <c r="AK220" s="28">
        <f>SUMIFS(Aut_BlueMe_Sem_Pedido!$J:$J,Aut_BlueMe_Sem_Pedido!$Q:$Q,DRE!AI$4,Aut_BlueMe_Sem_Pedido!$H:$H,DRE!$A220)+SUMIFS(Aut_Ajustes_Manuais!$G:$G,Aut_Ajustes_Manuais!$I:$I,DRE!AI$4,Aut_Ajustes_Manuais!$F:$F,"Fundo de Promoção")</f>
        <v/>
      </c>
      <c r="AL220" s="241" t="n"/>
      <c r="AM220" s="27">
        <f>-SUMIFS(T_ORCAMENTOS!$E:$E,T_ORCAMENTOS!$C:$C,"Fundo de Promoção",T_ORCAMENTOS!$H:$H,"11/2026")</f>
        <v/>
      </c>
      <c r="AN220" s="28">
        <f>SUMIFS(Aut_BlueMe_Sem_Pedido!$J:$J,Aut_BlueMe_Sem_Pedido!$Q:$Q,DRE!AL$4,Aut_BlueMe_Sem_Pedido!$H:$H,DRE!$A220)+SUMIFS(Aut_Ajustes_Manuais!$G:$G,Aut_Ajustes_Manuais!$I:$I,DRE!AL$4,Aut_Ajustes_Manuais!$F:$F,"Fundo de Promoção")</f>
        <v/>
      </c>
      <c r="AO220" s="241" t="n"/>
      <c r="AP220" s="27">
        <f>-SUMIFS(T_ORCAMENTOS!$E:$E,T_ORCAMENTOS!$C:$C,"Fundo de Promoção",T_ORCAMENTOS!$H:$H,"12/2026")</f>
        <v/>
      </c>
      <c r="AQ220" s="28">
        <f>SUMIFS(Aut_BlueMe_Sem_Pedido!$J:$J,Aut_BlueMe_Sem_Pedido!$Q:$Q,DRE!AO$4,Aut_BlueMe_Sem_Pedido!$H:$H,DRE!$A220)+SUMIFS(Aut_Ajustes_Manuais!$G:$G,Aut_Ajustes_Manuais!$I:$I,DRE!AO$4,Aut_Ajustes_Manuais!$F:$F,"Fundo de Promoção")</f>
        <v/>
      </c>
      <c r="AR220" s="241">
        <f>SUMIFS($H220:$AO220,$H$5:$AO$5,"&lt;"&amp;MONTH(TODAY()),$H$6:$AO$6,"REAL 25")</f>
        <v/>
      </c>
      <c r="AS220" s="27">
        <f>SUMIFS($I220:$AP220,$I$5:$AP$5,"&lt;"&amp;MONTH(TODAY()),$I$6:$AP$6,"ORÇADO ")</f>
        <v/>
      </c>
      <c r="AT220" s="28">
        <f>SUMIFS($J220:$AQ220,$J$5:$AQ$5,"&lt;"&amp;MONTH(TODAY()),$J$6:$AQ$6,"REAL 26")</f>
        <v/>
      </c>
      <c r="AU220" s="241">
        <f>SUM(H220,K220,N220,Q220,T220,W220,Z220,AC220,AF220,AI220,AL220,AO220)</f>
        <v/>
      </c>
      <c r="AV220" s="27">
        <f>SUM(I220,L220,O220,R220,U220,X220,AA220,AD220,AG220,AJ220,AM220,AP220)</f>
        <v/>
      </c>
      <c r="AW220" s="28">
        <f>SUM(J220,M220,P220,S220,V220,Y220,AB220,AE220,AH220,AK220,AN220,AQ220)</f>
        <v/>
      </c>
      <c r="AX220" s="241">
        <f>SUM(H220,K220,N220)</f>
        <v/>
      </c>
      <c r="AY220" s="27">
        <f>SUM(I220,L220,O220)</f>
        <v/>
      </c>
      <c r="AZ220" s="28">
        <f>SUM(J220,M220,P220)</f>
        <v/>
      </c>
      <c r="BA220" s="241">
        <f>SUM(Q220,T220,W220)</f>
        <v/>
      </c>
      <c r="BB220" s="27">
        <f>SUM(R220,U220,X220)</f>
        <v/>
      </c>
      <c r="BC220" s="28">
        <f>SUM(S220,V220,Y220)</f>
        <v/>
      </c>
      <c r="BD220" s="241">
        <f>SUM(Z220,AC220,AF220)</f>
        <v/>
      </c>
      <c r="BE220" s="27">
        <f>SUM(AA220,AD220,AG220)</f>
        <v/>
      </c>
      <c r="BF220" s="28">
        <f>SUM(AB220,AE220,AH220)</f>
        <v/>
      </c>
      <c r="BG220" s="241">
        <f>SUM(AI220,AL220,AO220)</f>
        <v/>
      </c>
      <c r="BH220" s="27">
        <f>SUM(AJ220,AM220,AP220)</f>
        <v/>
      </c>
      <c r="BI220" s="28">
        <f>SUM(AK220,AN220,AQ220)</f>
        <v/>
      </c>
    </row>
    <row r="221" hidden="1" outlineLevel="1" customFormat="1" s="498">
      <c r="A221" s="22" t="inlineStr">
        <is>
          <t>Seguro Patrimonial</t>
        </is>
      </c>
      <c r="B221" s="488" t="n"/>
      <c r="C221" s="24" t="inlineStr">
        <is>
          <t>Estim. Mensal</t>
        </is>
      </c>
      <c r="D221" s="25" t="n"/>
      <c r="E221" s="25" t="n"/>
      <c r="F221" s="41" t="n"/>
      <c r="G221" s="33" t="n"/>
      <c r="H221" s="241" t="n"/>
      <c r="I221" s="27">
        <f>-SUMIFS(T_ORCAMENTOS!$E:$E,T_ORCAMENTOS!$C:$C,"Seguro Patrimonial",T_ORCAMENTOS!$H:$H,"1/2026")</f>
        <v/>
      </c>
      <c r="J221" s="28">
        <f>SUMIFS(Aut_BlueMe_Sem_Pedido!$J:$J,Aut_BlueMe_Sem_Pedido!$Q:$Q,DRE!H$4,Aut_BlueMe_Sem_Pedido!$H:$H,DRE!$A221)+SUMIFS(Aut_Ajustes_Manuais!$G:$G,Aut_Ajustes_Manuais!$I:$I,DRE!H$4,Aut_Ajustes_Manuais!$F:$F,"Seguro Patrimonial")</f>
        <v/>
      </c>
      <c r="K221" s="241" t="n"/>
      <c r="L221" s="27">
        <f>-SUMIFS(T_ORCAMENTOS!$E:$E,T_ORCAMENTOS!$C:$C,"Seguro Patrimonial",T_ORCAMENTOS!$H:$H,"2/2026")</f>
        <v/>
      </c>
      <c r="M221" s="28">
        <f>SUMIFS(Aut_BlueMe_Sem_Pedido!$J:$J,Aut_BlueMe_Sem_Pedido!$Q:$Q,DRE!K$4,Aut_BlueMe_Sem_Pedido!$H:$H,DRE!$A221)+SUMIFS(Aut_Ajustes_Manuais!$G:$G,Aut_Ajustes_Manuais!$I:$I,DRE!K$4,Aut_Ajustes_Manuais!$F:$F,"Seguro Patrimonial")</f>
        <v/>
      </c>
      <c r="N221" s="241" t="n"/>
      <c r="O221" s="27">
        <f>-SUMIFS(T_ORCAMENTOS!$E:$E,T_ORCAMENTOS!$C:$C,"Seguro Patrimonial",T_ORCAMENTOS!$H:$H,"3/2026")</f>
        <v/>
      </c>
      <c r="P221" s="28">
        <f>SUMIFS(Aut_BlueMe_Sem_Pedido!$J:$J,Aut_BlueMe_Sem_Pedido!$Q:$Q,DRE!N$4,Aut_BlueMe_Sem_Pedido!$H:$H,DRE!$A221)+SUMIFS(Aut_Ajustes_Manuais!$G:$G,Aut_Ajustes_Manuais!$I:$I,DRE!N$4,Aut_Ajustes_Manuais!$F:$F,"Seguro Patrimonial")</f>
        <v/>
      </c>
      <c r="Q221" s="241" t="n"/>
      <c r="R221" s="27">
        <f>-SUMIFS(T_ORCAMENTOS!$E:$E,T_ORCAMENTOS!$C:$C,"Seguro Patrimonial",T_ORCAMENTOS!$H:$H,"4/2026")</f>
        <v/>
      </c>
      <c r="S221" s="28">
        <f>SUMIFS(Aut_BlueMe_Sem_Pedido!$J:$J,Aut_BlueMe_Sem_Pedido!$Q:$Q,DRE!Q$4,Aut_BlueMe_Sem_Pedido!$H:$H,DRE!$A221)+SUMIFS(Aut_Ajustes_Manuais!$G:$G,Aut_Ajustes_Manuais!$I:$I,DRE!Q$4,Aut_Ajustes_Manuais!$F:$F,"Seguro Patrimonial")</f>
        <v/>
      </c>
      <c r="T221" s="241" t="n"/>
      <c r="U221" s="27">
        <f>-SUMIFS(T_ORCAMENTOS!$E:$E,T_ORCAMENTOS!$C:$C,"Seguro Patrimonial",T_ORCAMENTOS!$H:$H,"5/2026")</f>
        <v/>
      </c>
      <c r="V221" s="28">
        <f>SUMIFS(Aut_BlueMe_Sem_Pedido!$J:$J,Aut_BlueMe_Sem_Pedido!$Q:$Q,DRE!T$4,Aut_BlueMe_Sem_Pedido!$H:$H,DRE!$A221)+SUMIFS(Aut_Ajustes_Manuais!$G:$G,Aut_Ajustes_Manuais!$I:$I,DRE!T$4,Aut_Ajustes_Manuais!$F:$F,"Seguro Patrimonial")</f>
        <v/>
      </c>
      <c r="W221" s="241" t="n"/>
      <c r="X221" s="27">
        <f>-SUMIFS(T_ORCAMENTOS!$E:$E,T_ORCAMENTOS!$C:$C,"Seguro Patrimonial",T_ORCAMENTOS!$H:$H,"6/2026")</f>
        <v/>
      </c>
      <c r="Y221" s="28">
        <f>SUMIFS(Aut_BlueMe_Sem_Pedido!$J:$J,Aut_BlueMe_Sem_Pedido!$Q:$Q,DRE!W$4,Aut_BlueMe_Sem_Pedido!$H:$H,DRE!$A221)+SUMIFS(Aut_Ajustes_Manuais!$G:$G,Aut_Ajustes_Manuais!$I:$I,DRE!W$4,Aut_Ajustes_Manuais!$F:$F,"Seguro Patrimonial")</f>
        <v/>
      </c>
      <c r="Z221" s="241" t="n"/>
      <c r="AA221" s="27">
        <f>-SUMIFS(T_ORCAMENTOS!$E:$E,T_ORCAMENTOS!$C:$C,"Seguro Patrimonial",T_ORCAMENTOS!$H:$H,"7/2026")</f>
        <v/>
      </c>
      <c r="AB221" s="28">
        <f>SUMIFS(Aut_BlueMe_Sem_Pedido!$J:$J,Aut_BlueMe_Sem_Pedido!$Q:$Q,DRE!Z$4,Aut_BlueMe_Sem_Pedido!$H:$H,DRE!$A221)+SUMIFS(Aut_Ajustes_Manuais!$G:$G,Aut_Ajustes_Manuais!$I:$I,DRE!Z$4,Aut_Ajustes_Manuais!$F:$F,"Seguro Patrimonial")</f>
        <v/>
      </c>
      <c r="AC221" s="241" t="n"/>
      <c r="AD221" s="27">
        <f>-SUMIFS(T_ORCAMENTOS!$E:$E,T_ORCAMENTOS!$C:$C,"Seguro Patrimonial",T_ORCAMENTOS!$H:$H,"8/2026")</f>
        <v/>
      </c>
      <c r="AE221" s="28">
        <f>SUMIFS(Aut_BlueMe_Sem_Pedido!$J:$J,Aut_BlueMe_Sem_Pedido!$Q:$Q,DRE!AC$4,Aut_BlueMe_Sem_Pedido!$H:$H,DRE!$A221)+SUMIFS(Aut_Ajustes_Manuais!$G:$G,Aut_Ajustes_Manuais!$I:$I,DRE!AC$4,Aut_Ajustes_Manuais!$F:$F,"Seguro Patrimonial")</f>
        <v/>
      </c>
      <c r="AF221" s="241" t="n"/>
      <c r="AG221" s="27">
        <f>-SUMIFS(T_ORCAMENTOS!$E:$E,T_ORCAMENTOS!$C:$C,"Seguro Patrimonial",T_ORCAMENTOS!$H:$H,"9/2026")</f>
        <v/>
      </c>
      <c r="AH221" s="28">
        <f>SUMIFS(Aut_BlueMe_Sem_Pedido!$J:$J,Aut_BlueMe_Sem_Pedido!$Q:$Q,DRE!AF$4,Aut_BlueMe_Sem_Pedido!$H:$H,DRE!$A221)+SUMIFS(Aut_Ajustes_Manuais!$G:$G,Aut_Ajustes_Manuais!$I:$I,DRE!AF$4,Aut_Ajustes_Manuais!$F:$F,"Seguro Patrimonial")</f>
        <v/>
      </c>
      <c r="AI221" s="241" t="n"/>
      <c r="AJ221" s="27">
        <f>-SUMIFS(T_ORCAMENTOS!$E:$E,T_ORCAMENTOS!$C:$C,"Seguro Patrimonial",T_ORCAMENTOS!$H:$H,"10/2026")</f>
        <v/>
      </c>
      <c r="AK221" s="28">
        <f>SUMIFS(Aut_BlueMe_Sem_Pedido!$J:$J,Aut_BlueMe_Sem_Pedido!$Q:$Q,DRE!AI$4,Aut_BlueMe_Sem_Pedido!$H:$H,DRE!$A221)+SUMIFS(Aut_Ajustes_Manuais!$G:$G,Aut_Ajustes_Manuais!$I:$I,DRE!AI$4,Aut_Ajustes_Manuais!$F:$F,"Seguro Patrimonial")</f>
        <v/>
      </c>
      <c r="AL221" s="241" t="n"/>
      <c r="AM221" s="27">
        <f>-SUMIFS(T_ORCAMENTOS!$E:$E,T_ORCAMENTOS!$C:$C,"Seguro Patrimonial",T_ORCAMENTOS!$H:$H,"11/2026")</f>
        <v/>
      </c>
      <c r="AN221" s="28">
        <f>SUMIFS(Aut_BlueMe_Sem_Pedido!$J:$J,Aut_BlueMe_Sem_Pedido!$Q:$Q,DRE!AL$4,Aut_BlueMe_Sem_Pedido!$H:$H,DRE!$A221)+SUMIFS(Aut_Ajustes_Manuais!$G:$G,Aut_Ajustes_Manuais!$I:$I,DRE!AL$4,Aut_Ajustes_Manuais!$F:$F,"Seguro Patrimonial")</f>
        <v/>
      </c>
      <c r="AO221" s="241" t="n"/>
      <c r="AP221" s="27">
        <f>-SUMIFS(T_ORCAMENTOS!$E:$E,T_ORCAMENTOS!$C:$C,"Seguro Patrimonial",T_ORCAMENTOS!$H:$H,"12/2026")</f>
        <v/>
      </c>
      <c r="AQ221" s="28">
        <f>SUMIFS(Aut_BlueMe_Sem_Pedido!$J:$J,Aut_BlueMe_Sem_Pedido!$Q:$Q,DRE!AO$4,Aut_BlueMe_Sem_Pedido!$H:$H,DRE!$A221)+SUMIFS(Aut_Ajustes_Manuais!$G:$G,Aut_Ajustes_Manuais!$I:$I,DRE!AO$4,Aut_Ajustes_Manuais!$F:$F,"Seguro Patrimonial")</f>
        <v/>
      </c>
      <c r="AR221" s="241">
        <f>SUMIFS($H221:$AO221,$H$5:$AO$5,"&lt;"&amp;MONTH(TODAY()),$H$6:$AO$6,"REAL 25")</f>
        <v/>
      </c>
      <c r="AS221" s="27">
        <f>SUMIFS($I221:$AP221,$I$5:$AP$5,"&lt;"&amp;MONTH(TODAY()),$I$6:$AP$6,"ORÇADO ")</f>
        <v/>
      </c>
      <c r="AT221" s="28">
        <f>SUMIFS($J221:$AQ221,$J$5:$AQ$5,"&lt;"&amp;MONTH(TODAY()),$J$6:$AQ$6,"REAL 26")</f>
        <v/>
      </c>
      <c r="AU221" s="241">
        <f>SUM(H221,K221,N221,Q221,T221,W221,Z221,AC221,AF221,AI221,AL221,AO221)</f>
        <v/>
      </c>
      <c r="AV221" s="27">
        <f>SUM(I221,L221,O221,R221,U221,X221,AA221,AD221,AG221,AJ221,AM221,AP221)</f>
        <v/>
      </c>
      <c r="AW221" s="28">
        <f>SUM(J221,M221,P221,S221,V221,Y221,AB221,AE221,AH221,AK221,AN221,AQ221)</f>
        <v/>
      </c>
      <c r="AX221" s="241">
        <f>SUM(H221,K221,N221)</f>
        <v/>
      </c>
      <c r="AY221" s="27">
        <f>SUM(I221,L221,O221)</f>
        <v/>
      </c>
      <c r="AZ221" s="28">
        <f>SUM(J221,M221,P221)</f>
        <v/>
      </c>
      <c r="BA221" s="241">
        <f>SUM(Q221,T221,W221)</f>
        <v/>
      </c>
      <c r="BB221" s="27">
        <f>SUM(R221,U221,X221)</f>
        <v/>
      </c>
      <c r="BC221" s="28">
        <f>SUM(S221,V221,Y221)</f>
        <v/>
      </c>
      <c r="BD221" s="241">
        <f>SUM(Z221,AC221,AF221)</f>
        <v/>
      </c>
      <c r="BE221" s="27">
        <f>SUM(AA221,AD221,AG221)</f>
        <v/>
      </c>
      <c r="BF221" s="28">
        <f>SUM(AB221,AE221,AH221)</f>
        <v/>
      </c>
      <c r="BG221" s="241">
        <f>SUM(AI221,AL221,AO221)</f>
        <v/>
      </c>
      <c r="BH221" s="27">
        <f>SUM(AJ221,AM221,AP221)</f>
        <v/>
      </c>
      <c r="BI221" s="28">
        <f>SUM(AK221,AN221,AQ221)</f>
        <v/>
      </c>
    </row>
    <row r="222" hidden="1" outlineLevel="1" ht="16.2" customFormat="1" customHeight="1" s="498">
      <c r="A222" s="22" t="inlineStr">
        <is>
          <t>Arrendamento</t>
        </is>
      </c>
      <c r="B222" s="488" t="n"/>
      <c r="C222" s="24" t="inlineStr">
        <is>
          <t>Estim. Mensal</t>
        </is>
      </c>
      <c r="D222" s="25" t="n"/>
      <c r="E222" s="55" t="n"/>
      <c r="F222" s="41" t="n"/>
      <c r="G222" s="33" t="n"/>
      <c r="H222" s="241" t="n"/>
      <c r="I222" s="27">
        <f>-SUMIFS(T_ORCAMENTOS!$E:$E,T_ORCAMENTOS!$C:$C,"Arrendamento",T_ORCAMENTOS!$H:$H,"1/2026")</f>
        <v/>
      </c>
      <c r="J222" s="28">
        <f>SUMIFS(Aut_BlueMe_Sem_Pedido!$J:$J,Aut_BlueMe_Sem_Pedido!$Q:$Q,DRE!H$4,Aut_BlueMe_Sem_Pedido!$H:$H,DRE!$A222)+SUMIFS(Aut_Ajustes_Manuais!$G:$G,Aut_Ajustes_Manuais!$I:$I,DRE!H$4,Aut_Ajustes_Manuais!$F:$F,"Arrendamento")</f>
        <v/>
      </c>
      <c r="K222" s="241" t="n"/>
      <c r="L222" s="27">
        <f>-SUMIFS(T_ORCAMENTOS!$E:$E,T_ORCAMENTOS!$C:$C,"Arrendamento",T_ORCAMENTOS!$H:$H,"2/2026")</f>
        <v/>
      </c>
      <c r="M222" s="28">
        <f>SUMIFS(Aut_BlueMe_Sem_Pedido!$J:$J,Aut_BlueMe_Sem_Pedido!$Q:$Q,DRE!K$4,Aut_BlueMe_Sem_Pedido!$H:$H,DRE!$A222)+SUMIFS(Aut_Ajustes_Manuais!$G:$G,Aut_Ajustes_Manuais!$I:$I,DRE!K$4,Aut_Ajustes_Manuais!$F:$F,"Arrendamento")</f>
        <v/>
      </c>
      <c r="N222" s="241" t="n"/>
      <c r="O222" s="27">
        <f>-SUMIFS(T_ORCAMENTOS!$E:$E,T_ORCAMENTOS!$C:$C,"Arrendamento",T_ORCAMENTOS!$H:$H,"3/2026")</f>
        <v/>
      </c>
      <c r="P222" s="28">
        <f>SUMIFS(Aut_BlueMe_Sem_Pedido!$J:$J,Aut_BlueMe_Sem_Pedido!$Q:$Q,DRE!N$4,Aut_BlueMe_Sem_Pedido!$H:$H,DRE!$A222)+SUMIFS(Aut_Ajustes_Manuais!$G:$G,Aut_Ajustes_Manuais!$I:$I,DRE!N$4,Aut_Ajustes_Manuais!$F:$F,"Arrendamento")</f>
        <v/>
      </c>
      <c r="Q222" s="241" t="n"/>
      <c r="R222" s="27">
        <f>-SUMIFS(T_ORCAMENTOS!$E:$E,T_ORCAMENTOS!$C:$C,"Arrendamento",T_ORCAMENTOS!$H:$H,"4/2026")</f>
        <v/>
      </c>
      <c r="S222" s="28">
        <f>SUMIFS(Aut_BlueMe_Sem_Pedido!$J:$J,Aut_BlueMe_Sem_Pedido!$Q:$Q,DRE!Q$4,Aut_BlueMe_Sem_Pedido!$H:$H,DRE!$A222)+SUMIFS(Aut_Ajustes_Manuais!$G:$G,Aut_Ajustes_Manuais!$I:$I,DRE!Q$4,Aut_Ajustes_Manuais!$F:$F,"Arrendamento")</f>
        <v/>
      </c>
      <c r="T222" s="241" t="n"/>
      <c r="U222" s="27">
        <f>-SUMIFS(T_ORCAMENTOS!$E:$E,T_ORCAMENTOS!$C:$C,"Arrendamento",T_ORCAMENTOS!$H:$H,"5/2026")</f>
        <v/>
      </c>
      <c r="V222" s="28">
        <f>SUMIFS(Aut_BlueMe_Sem_Pedido!$J:$J,Aut_BlueMe_Sem_Pedido!$Q:$Q,DRE!T$4,Aut_BlueMe_Sem_Pedido!$H:$H,DRE!$A222)+SUMIFS(Aut_Ajustes_Manuais!$G:$G,Aut_Ajustes_Manuais!$I:$I,DRE!T$4,Aut_Ajustes_Manuais!$F:$F,"Arrendamento")</f>
        <v/>
      </c>
      <c r="W222" s="241" t="n"/>
      <c r="X222" s="27">
        <f>-SUMIFS(T_ORCAMENTOS!$E:$E,T_ORCAMENTOS!$C:$C,"Arrendamento",T_ORCAMENTOS!$H:$H,"6/2026")</f>
        <v/>
      </c>
      <c r="Y222" s="28">
        <f>SUMIFS(Aut_BlueMe_Sem_Pedido!$J:$J,Aut_BlueMe_Sem_Pedido!$Q:$Q,DRE!W$4,Aut_BlueMe_Sem_Pedido!$H:$H,DRE!$A222)+SUMIFS(Aut_Ajustes_Manuais!$G:$G,Aut_Ajustes_Manuais!$I:$I,DRE!W$4,Aut_Ajustes_Manuais!$F:$F,"Arrendamento")</f>
        <v/>
      </c>
      <c r="Z222" s="241" t="n"/>
      <c r="AA222" s="27">
        <f>-SUMIFS(T_ORCAMENTOS!$E:$E,T_ORCAMENTOS!$C:$C,"Arrendamento",T_ORCAMENTOS!$H:$H,"7/2026")</f>
        <v/>
      </c>
      <c r="AB222" s="28">
        <f>SUMIFS(Aut_BlueMe_Sem_Pedido!$J:$J,Aut_BlueMe_Sem_Pedido!$Q:$Q,DRE!Z$4,Aut_BlueMe_Sem_Pedido!$H:$H,DRE!$A222)+SUMIFS(Aut_Ajustes_Manuais!$G:$G,Aut_Ajustes_Manuais!$I:$I,DRE!Z$4,Aut_Ajustes_Manuais!$F:$F,"Arrendamento")</f>
        <v/>
      </c>
      <c r="AC222" s="241" t="n"/>
      <c r="AD222" s="27">
        <f>-SUMIFS(T_ORCAMENTOS!$E:$E,T_ORCAMENTOS!$C:$C,"Arrendamento",T_ORCAMENTOS!$H:$H,"8/2026")</f>
        <v/>
      </c>
      <c r="AE222" s="28">
        <f>SUMIFS(Aut_BlueMe_Sem_Pedido!$J:$J,Aut_BlueMe_Sem_Pedido!$Q:$Q,DRE!AC$4,Aut_BlueMe_Sem_Pedido!$H:$H,DRE!$A222)+SUMIFS(Aut_Ajustes_Manuais!$G:$G,Aut_Ajustes_Manuais!$I:$I,DRE!AC$4,Aut_Ajustes_Manuais!$F:$F,"Arrendamento")</f>
        <v/>
      </c>
      <c r="AF222" s="241" t="n"/>
      <c r="AG222" s="27">
        <f>-SUMIFS(T_ORCAMENTOS!$E:$E,T_ORCAMENTOS!$C:$C,"Arrendamento",T_ORCAMENTOS!$H:$H,"9/2026")</f>
        <v/>
      </c>
      <c r="AH222" s="28">
        <f>SUMIFS(Aut_BlueMe_Sem_Pedido!$J:$J,Aut_BlueMe_Sem_Pedido!$Q:$Q,DRE!AF$4,Aut_BlueMe_Sem_Pedido!$H:$H,DRE!$A222)+SUMIFS(Aut_Ajustes_Manuais!$G:$G,Aut_Ajustes_Manuais!$I:$I,DRE!AF$4,Aut_Ajustes_Manuais!$F:$F,"Arrendamento")</f>
        <v/>
      </c>
      <c r="AI222" s="241" t="n"/>
      <c r="AJ222" s="27">
        <f>-SUMIFS(T_ORCAMENTOS!$E:$E,T_ORCAMENTOS!$C:$C,"Arrendamento",T_ORCAMENTOS!$H:$H,"10/2026")</f>
        <v/>
      </c>
      <c r="AK222" s="28">
        <f>SUMIFS(Aut_BlueMe_Sem_Pedido!$J:$J,Aut_BlueMe_Sem_Pedido!$Q:$Q,DRE!AI$4,Aut_BlueMe_Sem_Pedido!$H:$H,DRE!$A222)+SUMIFS(Aut_Ajustes_Manuais!$G:$G,Aut_Ajustes_Manuais!$I:$I,DRE!AI$4,Aut_Ajustes_Manuais!$F:$F,"Arrendamento")</f>
        <v/>
      </c>
      <c r="AL222" s="241" t="n"/>
      <c r="AM222" s="27">
        <f>-SUMIFS(T_ORCAMENTOS!$E:$E,T_ORCAMENTOS!$C:$C,"Arrendamento",T_ORCAMENTOS!$H:$H,"11/2026")</f>
        <v/>
      </c>
      <c r="AN222" s="28">
        <f>SUMIFS(Aut_BlueMe_Sem_Pedido!$J:$J,Aut_BlueMe_Sem_Pedido!$Q:$Q,DRE!AL$4,Aut_BlueMe_Sem_Pedido!$H:$H,DRE!$A222)+SUMIFS(Aut_Ajustes_Manuais!$G:$G,Aut_Ajustes_Manuais!$I:$I,DRE!AL$4,Aut_Ajustes_Manuais!$F:$F,"Arrendamento")</f>
        <v/>
      </c>
      <c r="AO222" s="241" t="n"/>
      <c r="AP222" s="27">
        <f>-SUMIFS(T_ORCAMENTOS!$E:$E,T_ORCAMENTOS!$C:$C,"Arrendamento",T_ORCAMENTOS!$H:$H,"12/2026")</f>
        <v/>
      </c>
      <c r="AQ222" s="28">
        <f>SUMIFS(Aut_BlueMe_Sem_Pedido!$J:$J,Aut_BlueMe_Sem_Pedido!$Q:$Q,DRE!AO$4,Aut_BlueMe_Sem_Pedido!$H:$H,DRE!$A222)+SUMIFS(Aut_Ajustes_Manuais!$G:$G,Aut_Ajustes_Manuais!$I:$I,DRE!AO$4,Aut_Ajustes_Manuais!$F:$F,"Arrendamento")</f>
        <v/>
      </c>
      <c r="AR222" s="241">
        <f>SUMIFS($H222:$AO222,$H$5:$AO$5,"&lt;"&amp;MONTH(TODAY()),$H$6:$AO$6,"REAL 25")</f>
        <v/>
      </c>
      <c r="AS222" s="27">
        <f>SUMIFS($I222:$AP222,$I$5:$AP$5,"&lt;"&amp;MONTH(TODAY()),$I$6:$AP$6,"ORÇADO ")</f>
        <v/>
      </c>
      <c r="AT222" s="28">
        <f>SUMIFS($J222:$AQ222,$J$5:$AQ$5,"&lt;"&amp;MONTH(TODAY()),$J$6:$AQ$6,"REAL 26")</f>
        <v/>
      </c>
      <c r="AU222" s="241">
        <f>SUM(H222,K222,N222,Q222,T222,W222,Z222,AC222,AF222,AI222,AL222,AO222)</f>
        <v/>
      </c>
      <c r="AV222" s="27">
        <f>SUM(I222,L222,O222,R222,U222,X222,AA222,AD222,AG222,AJ222,AM222,AP222)</f>
        <v/>
      </c>
      <c r="AW222" s="28">
        <f>SUM(J222,M222,P222,S222,V222,Y222,AB222,AE222,AH222,AK222,AN222,AQ222)</f>
        <v/>
      </c>
      <c r="AX222" s="241">
        <f>SUM(H222,K222,N222)</f>
        <v/>
      </c>
      <c r="AY222" s="27">
        <f>SUM(I222,L222,O222)</f>
        <v/>
      </c>
      <c r="AZ222" s="28">
        <f>SUM(J222,M222,P222)</f>
        <v/>
      </c>
      <c r="BA222" s="241">
        <f>SUM(Q222,T222,W222)</f>
        <v/>
      </c>
      <c r="BB222" s="27">
        <f>SUM(R222,U222,X222)</f>
        <v/>
      </c>
      <c r="BC222" s="28">
        <f>SUM(S222,V222,Y222)</f>
        <v/>
      </c>
      <c r="BD222" s="241">
        <f>SUM(Z222,AC222,AF222)</f>
        <v/>
      </c>
      <c r="BE222" s="27">
        <f>SUM(AA222,AD222,AG222)</f>
        <v/>
      </c>
      <c r="BF222" s="28">
        <f>SUM(AB222,AE222,AH222)</f>
        <v/>
      </c>
      <c r="BG222" s="241">
        <f>SUM(AI222,AL222,AO222)</f>
        <v/>
      </c>
      <c r="BH222" s="27">
        <f>SUM(AJ222,AM222,AP222)</f>
        <v/>
      </c>
      <c r="BI222" s="28">
        <f>SUM(AK222,AN222,AQ222)</f>
        <v/>
      </c>
    </row>
    <row r="223" hidden="1" outlineLevel="1" customFormat="1" s="498">
      <c r="A223" s="22" t="inlineStr">
        <is>
          <t>Taxas publicas administrativas - Ocupação</t>
        </is>
      </c>
      <c r="B223" s="488" t="n"/>
      <c r="C223" s="24" t="inlineStr">
        <is>
          <t>Estim. Mensal</t>
        </is>
      </c>
      <c r="D223" s="111" t="n"/>
      <c r="E223" s="55" t="n"/>
      <c r="F223" s="41" t="n"/>
      <c r="G223" s="33" t="n"/>
      <c r="H223" s="241" t="n"/>
      <c r="I223" s="27">
        <f>-SUMIFS(T_ORCAMENTOS!$E:$E,T_ORCAMENTOS!$C:$C,"Taxas publicas administrativas - Ocupação",T_ORCAMENTOS!$H:$H,"1/2026")</f>
        <v/>
      </c>
      <c r="J223" s="28">
        <f>SUMIFS(Aut_BlueMe_Sem_Pedido!$J:$J,Aut_BlueMe_Sem_Pedido!$Q:$Q,DRE!H$4,Aut_BlueMe_Sem_Pedido!$H:$H,DRE!$A223)+SUMIFS(Aut_Ajustes_Manuais!$G:$G,Aut_Ajustes_Manuais!$I:$I,DRE!H$4,Aut_Ajustes_Manuais!$F:$F,"Taxas publicas administrativas - Ocupação")</f>
        <v/>
      </c>
      <c r="K223" s="241" t="n"/>
      <c r="L223" s="27">
        <f>-SUMIFS(T_ORCAMENTOS!$E:$E,T_ORCAMENTOS!$C:$C,"Taxas publicas administrativas - Ocupação",T_ORCAMENTOS!$H:$H,"2/2026")</f>
        <v/>
      </c>
      <c r="M223" s="28">
        <f>SUMIFS(Aut_BlueMe_Sem_Pedido!$J:$J,Aut_BlueMe_Sem_Pedido!$Q:$Q,DRE!K$4,Aut_BlueMe_Sem_Pedido!$H:$H,DRE!$A223)+SUMIFS(Aut_Ajustes_Manuais!$G:$G,Aut_Ajustes_Manuais!$I:$I,DRE!K$4,Aut_Ajustes_Manuais!$F:$F,"Taxas publicas administrativas - Ocupação")</f>
        <v/>
      </c>
      <c r="N223" s="241" t="n"/>
      <c r="O223" s="27">
        <f>-SUMIFS(T_ORCAMENTOS!$E:$E,T_ORCAMENTOS!$C:$C,"Taxas publicas administrativas - Ocupação",T_ORCAMENTOS!$H:$H,"3/2026")</f>
        <v/>
      </c>
      <c r="P223" s="28">
        <f>SUMIFS(Aut_BlueMe_Sem_Pedido!$J:$J,Aut_BlueMe_Sem_Pedido!$Q:$Q,DRE!N$4,Aut_BlueMe_Sem_Pedido!$H:$H,DRE!$A223)+SUMIFS(Aut_Ajustes_Manuais!$G:$G,Aut_Ajustes_Manuais!$I:$I,DRE!N$4,Aut_Ajustes_Manuais!$F:$F,"Taxas publicas administrativas - Ocupação")</f>
        <v/>
      </c>
      <c r="Q223" s="241" t="n"/>
      <c r="R223" s="27">
        <f>-SUMIFS(T_ORCAMENTOS!$E:$E,T_ORCAMENTOS!$C:$C,"Taxas publicas administrativas - Ocupação",T_ORCAMENTOS!$H:$H,"4/2026")</f>
        <v/>
      </c>
      <c r="S223" s="28">
        <f>SUMIFS(Aut_BlueMe_Sem_Pedido!$J:$J,Aut_BlueMe_Sem_Pedido!$Q:$Q,DRE!Q$4,Aut_BlueMe_Sem_Pedido!$H:$H,DRE!$A223)+SUMIFS(Aut_Ajustes_Manuais!$G:$G,Aut_Ajustes_Manuais!$I:$I,DRE!Q$4,Aut_Ajustes_Manuais!$F:$F,"Taxas publicas administrativas - Ocupação")</f>
        <v/>
      </c>
      <c r="T223" s="241" t="n"/>
      <c r="U223" s="27">
        <f>-SUMIFS(T_ORCAMENTOS!$E:$E,T_ORCAMENTOS!$C:$C,"Taxas publicas administrativas - Ocupação",T_ORCAMENTOS!$H:$H,"5/2026")</f>
        <v/>
      </c>
      <c r="V223" s="28">
        <f>SUMIFS(Aut_BlueMe_Sem_Pedido!$J:$J,Aut_BlueMe_Sem_Pedido!$Q:$Q,DRE!T$4,Aut_BlueMe_Sem_Pedido!$H:$H,DRE!$A223)+SUMIFS(Aut_Ajustes_Manuais!$G:$G,Aut_Ajustes_Manuais!$I:$I,DRE!T$4,Aut_Ajustes_Manuais!$F:$F,"Taxas publicas administrativas - Ocupação")</f>
        <v/>
      </c>
      <c r="W223" s="241" t="n"/>
      <c r="X223" s="27">
        <f>-SUMIFS(T_ORCAMENTOS!$E:$E,T_ORCAMENTOS!$C:$C,"Taxas publicas administrativas - Ocupação",T_ORCAMENTOS!$H:$H,"6/2026")</f>
        <v/>
      </c>
      <c r="Y223" s="28">
        <f>SUMIFS(Aut_BlueMe_Sem_Pedido!$J:$J,Aut_BlueMe_Sem_Pedido!$Q:$Q,DRE!W$4,Aut_BlueMe_Sem_Pedido!$H:$H,DRE!$A223)+SUMIFS(Aut_Ajustes_Manuais!$G:$G,Aut_Ajustes_Manuais!$I:$I,DRE!W$4,Aut_Ajustes_Manuais!$F:$F,"Taxas publicas administrativas - Ocupação")</f>
        <v/>
      </c>
      <c r="Z223" s="241" t="n"/>
      <c r="AA223" s="27">
        <f>-SUMIFS(T_ORCAMENTOS!$E:$E,T_ORCAMENTOS!$C:$C,"Taxas publicas administrativas - Ocupação",T_ORCAMENTOS!$H:$H,"7/2026")</f>
        <v/>
      </c>
      <c r="AB223" s="28">
        <f>SUMIFS(Aut_BlueMe_Sem_Pedido!$J:$J,Aut_BlueMe_Sem_Pedido!$Q:$Q,DRE!Z$4,Aut_BlueMe_Sem_Pedido!$H:$H,DRE!$A223)+SUMIFS(Aut_Ajustes_Manuais!$G:$G,Aut_Ajustes_Manuais!$I:$I,DRE!Z$4,Aut_Ajustes_Manuais!$F:$F,"Taxas publicas administrativas - Ocupação")</f>
        <v/>
      </c>
      <c r="AC223" s="241" t="n"/>
      <c r="AD223" s="27">
        <f>-SUMIFS(T_ORCAMENTOS!$E:$E,T_ORCAMENTOS!$C:$C,"Taxas publicas administrativas - Ocupação",T_ORCAMENTOS!$H:$H,"8/2026")</f>
        <v/>
      </c>
      <c r="AE223" s="28">
        <f>SUMIFS(Aut_BlueMe_Sem_Pedido!$J:$J,Aut_BlueMe_Sem_Pedido!$Q:$Q,DRE!AC$4,Aut_BlueMe_Sem_Pedido!$H:$H,DRE!$A223)+SUMIFS(Aut_Ajustes_Manuais!$G:$G,Aut_Ajustes_Manuais!$I:$I,DRE!AC$4,Aut_Ajustes_Manuais!$F:$F,"Taxas publicas administrativas - Ocupação")</f>
        <v/>
      </c>
      <c r="AF223" s="241" t="n"/>
      <c r="AG223" s="27">
        <f>-SUMIFS(T_ORCAMENTOS!$E:$E,T_ORCAMENTOS!$C:$C,"Taxas publicas administrativas - Ocupação",T_ORCAMENTOS!$H:$H,"9/2026")</f>
        <v/>
      </c>
      <c r="AH223" s="28">
        <f>SUMIFS(Aut_BlueMe_Sem_Pedido!$J:$J,Aut_BlueMe_Sem_Pedido!$Q:$Q,DRE!AF$4,Aut_BlueMe_Sem_Pedido!$H:$H,DRE!$A223)+SUMIFS(Aut_Ajustes_Manuais!$G:$G,Aut_Ajustes_Manuais!$I:$I,DRE!AF$4,Aut_Ajustes_Manuais!$F:$F,"Taxas publicas administrativas - Ocupação")</f>
        <v/>
      </c>
      <c r="AI223" s="241" t="n"/>
      <c r="AJ223" s="27">
        <f>-SUMIFS(T_ORCAMENTOS!$E:$E,T_ORCAMENTOS!$C:$C,"Taxas publicas administrativas - Ocupação",T_ORCAMENTOS!$H:$H,"10/2026")</f>
        <v/>
      </c>
      <c r="AK223" s="28">
        <f>SUMIFS(Aut_BlueMe_Sem_Pedido!$J:$J,Aut_BlueMe_Sem_Pedido!$Q:$Q,DRE!AI$4,Aut_BlueMe_Sem_Pedido!$H:$H,DRE!$A223)+SUMIFS(Aut_Ajustes_Manuais!$G:$G,Aut_Ajustes_Manuais!$I:$I,DRE!AI$4,Aut_Ajustes_Manuais!$F:$F,"Taxas publicas administrativas - Ocupação")</f>
        <v/>
      </c>
      <c r="AL223" s="241" t="n"/>
      <c r="AM223" s="27">
        <f>-SUMIFS(T_ORCAMENTOS!$E:$E,T_ORCAMENTOS!$C:$C,"Taxas publicas administrativas - Ocupação",T_ORCAMENTOS!$H:$H,"11/2026")</f>
        <v/>
      </c>
      <c r="AN223" s="28">
        <f>SUMIFS(Aut_BlueMe_Sem_Pedido!$J:$J,Aut_BlueMe_Sem_Pedido!$Q:$Q,DRE!AL$4,Aut_BlueMe_Sem_Pedido!$H:$H,DRE!$A223)+SUMIFS(Aut_Ajustes_Manuais!$G:$G,Aut_Ajustes_Manuais!$I:$I,DRE!AL$4,Aut_Ajustes_Manuais!$F:$F,"Taxas publicas administrativas - Ocupação")</f>
        <v/>
      </c>
      <c r="AO223" s="241" t="n"/>
      <c r="AP223" s="27">
        <f>-SUMIFS(T_ORCAMENTOS!$E:$E,T_ORCAMENTOS!$C:$C,"Taxas publicas administrativas - Ocupação",T_ORCAMENTOS!$H:$H,"12/2026")</f>
        <v/>
      </c>
      <c r="AQ223" s="28">
        <f>SUMIFS(Aut_BlueMe_Sem_Pedido!$J:$J,Aut_BlueMe_Sem_Pedido!$Q:$Q,DRE!AO$4,Aut_BlueMe_Sem_Pedido!$H:$H,DRE!$A223)+SUMIFS(Aut_Ajustes_Manuais!$G:$G,Aut_Ajustes_Manuais!$I:$I,DRE!AO$4,Aut_Ajustes_Manuais!$F:$F,"Taxas publicas administrativas - Ocupação")</f>
        <v/>
      </c>
      <c r="AR223" s="241">
        <f>SUMIFS($H223:$AO223,$H$5:$AO$5,"&lt;"&amp;MONTH(TODAY()),$H$6:$AO$6,"REAL 25")</f>
        <v/>
      </c>
      <c r="AS223" s="27">
        <f>SUMIFS($I223:$AP223,$I$5:$AP$5,"&lt;"&amp;MONTH(TODAY()),$I$6:$AP$6,"ORÇADO ")</f>
        <v/>
      </c>
      <c r="AT223" s="28">
        <f>SUMIFS($J223:$AQ223,$J$5:$AQ$5,"&lt;"&amp;MONTH(TODAY()),$J$6:$AQ$6,"REAL 26")</f>
        <v/>
      </c>
      <c r="AU223" s="241">
        <f>SUM(H223,K223,N223,Q223,T223,W223,Z223,AC223,AF223,AI223,AL223,AO223)</f>
        <v/>
      </c>
      <c r="AV223" s="27">
        <f>SUM(I223,L223,O223,R223,U223,X223,AA223,AD223,AG223,AJ223,AM223,AP223)</f>
        <v/>
      </c>
      <c r="AW223" s="28">
        <f>SUM(J223,M223,P223,S223,V223,Y223,AB223,AE223,AH223,AK223,AN223,AQ223)</f>
        <v/>
      </c>
      <c r="AX223" s="241">
        <f>SUM(H223,K223,N223)</f>
        <v/>
      </c>
      <c r="AY223" s="27">
        <f>SUM(I223,L223,O223)</f>
        <v/>
      </c>
      <c r="AZ223" s="28">
        <f>SUM(J223,M223,P223)</f>
        <v/>
      </c>
      <c r="BA223" s="241">
        <f>SUM(Q223,T223,W223)</f>
        <v/>
      </c>
      <c r="BB223" s="27">
        <f>SUM(R223,U223,X223)</f>
        <v/>
      </c>
      <c r="BC223" s="28">
        <f>SUM(S223,V223,Y223)</f>
        <v/>
      </c>
      <c r="BD223" s="241">
        <f>SUM(Z223,AC223,AF223)</f>
        <v/>
      </c>
      <c r="BE223" s="27">
        <f>SUM(AA223,AD223,AG223)</f>
        <v/>
      </c>
      <c r="BF223" s="28">
        <f>SUM(AB223,AE223,AH223)</f>
        <v/>
      </c>
      <c r="BG223" s="241">
        <f>SUM(AI223,AL223,AO223)</f>
        <v/>
      </c>
      <c r="BH223" s="27">
        <f>SUM(AJ223,AM223,AP223)</f>
        <v/>
      </c>
      <c r="BI223" s="28">
        <f>SUM(AK223,AN223,AQ223)</f>
        <v/>
      </c>
    </row>
    <row r="224" collapsed="1">
      <c r="A224" s="71" t="inlineStr">
        <is>
          <t>% sobre Receita Bruta</t>
        </is>
      </c>
      <c r="B224" s="59" t="n"/>
      <c r="C224" s="60" t="n"/>
      <c r="D224" s="61" t="n"/>
      <c r="E224" s="62" t="n"/>
      <c r="F224" s="63" t="n"/>
      <c r="G224" s="47" t="n"/>
      <c r="H224" s="245" t="n"/>
      <c r="I224" s="50">
        <f>IFERROR(I216/I8,0)</f>
        <v/>
      </c>
      <c r="J224" s="51">
        <f>IFERROR(J216/J8,0)+SUMIFS(Aut_Ajustes_Manuais!$G:$G,Aut_Ajustes_Manuais!$I:$I,DRE!H$4,Aut_Ajustes_Manuais!$F:$F,"% sobre Receita Bruta")</f>
        <v/>
      </c>
      <c r="K224" s="245" t="n"/>
      <c r="L224" s="50">
        <f>IFERROR(L216/L8,0)</f>
        <v/>
      </c>
      <c r="M224" s="51">
        <f>IFERROR(M216/M8,0)+SUMIFS(Aut_Ajustes_Manuais!$G:$G,Aut_Ajustes_Manuais!$I:$I,DRE!K$4,Aut_Ajustes_Manuais!$F:$F,"% sobre Receita Bruta")</f>
        <v/>
      </c>
      <c r="N224" s="245" t="n"/>
      <c r="O224" s="50">
        <f>IFERROR(O216/O8,0)</f>
        <v/>
      </c>
      <c r="P224" s="51">
        <f>IFERROR(P216/P8,0)+SUMIFS(Aut_Ajustes_Manuais!$G:$G,Aut_Ajustes_Manuais!$I:$I,DRE!N$4,Aut_Ajustes_Manuais!$F:$F,"% sobre Receita Bruta")</f>
        <v/>
      </c>
      <c r="Q224" s="245" t="n"/>
      <c r="R224" s="50">
        <f>IFERROR(R216/R8,0)</f>
        <v/>
      </c>
      <c r="S224" s="51">
        <f>IFERROR(S216/S8,0)+SUMIFS(Aut_Ajustes_Manuais!$G:$G,Aut_Ajustes_Manuais!$I:$I,DRE!Q$4,Aut_Ajustes_Manuais!$F:$F,"% sobre Receita Bruta")</f>
        <v/>
      </c>
      <c r="T224" s="245" t="n"/>
      <c r="U224" s="50">
        <f>IFERROR(U216/U8,0)</f>
        <v/>
      </c>
      <c r="V224" s="51">
        <f>IFERROR(V216/V8,0)+SUMIFS(Aut_Ajustes_Manuais!$G:$G,Aut_Ajustes_Manuais!$I:$I,DRE!T$4,Aut_Ajustes_Manuais!$F:$F,"% sobre Receita Bruta")</f>
        <v/>
      </c>
      <c r="W224" s="245" t="n"/>
      <c r="X224" s="50">
        <f>IFERROR(X216/X8,0)</f>
        <v/>
      </c>
      <c r="Y224" s="51">
        <f>IFERROR(Y216/Y8,0)+SUMIFS(Aut_Ajustes_Manuais!$G:$G,Aut_Ajustes_Manuais!$I:$I,DRE!W$4,Aut_Ajustes_Manuais!$F:$F,"% sobre Receita Bruta")</f>
        <v/>
      </c>
      <c r="Z224" s="245" t="n"/>
      <c r="AA224" s="50">
        <f>IFERROR(AA216/AA8,0)</f>
        <v/>
      </c>
      <c r="AB224" s="51">
        <f>IFERROR(AB216/AB8,0)+SUMIFS(Aut_Ajustes_Manuais!$G:$G,Aut_Ajustes_Manuais!$I:$I,DRE!Z$4,Aut_Ajustes_Manuais!$F:$F,"% sobre Receita Bruta")</f>
        <v/>
      </c>
      <c r="AC224" s="245" t="n"/>
      <c r="AD224" s="50">
        <f>IFERROR(AD216/AD8,0)</f>
        <v/>
      </c>
      <c r="AE224" s="51">
        <f>IFERROR(AE216/AE8,0)+SUMIFS(Aut_Ajustes_Manuais!$G:$G,Aut_Ajustes_Manuais!$I:$I,DRE!AC$4,Aut_Ajustes_Manuais!$F:$F,"% sobre Receita Bruta")</f>
        <v/>
      </c>
      <c r="AF224" s="245" t="n"/>
      <c r="AG224" s="50">
        <f>IFERROR(AG216/AG8,0)</f>
        <v/>
      </c>
      <c r="AH224" s="51">
        <f>IFERROR(AH216/AH8,0)+SUMIFS(Aut_Ajustes_Manuais!$G:$G,Aut_Ajustes_Manuais!$I:$I,DRE!AF$4,Aut_Ajustes_Manuais!$F:$F,"% sobre Receita Bruta")</f>
        <v/>
      </c>
      <c r="AI224" s="245" t="n"/>
      <c r="AJ224" s="50">
        <f>IFERROR(AJ216/AJ8,0)</f>
        <v/>
      </c>
      <c r="AK224" s="51">
        <f>IFERROR(AK216/AK8,0)+SUMIFS(Aut_Ajustes_Manuais!$G:$G,Aut_Ajustes_Manuais!$I:$I,DRE!AI$4,Aut_Ajustes_Manuais!$F:$F,"% sobre Receita Bruta")</f>
        <v/>
      </c>
      <c r="AL224" s="245" t="n"/>
      <c r="AM224" s="50">
        <f>IFERROR(AM216/AM8,0)</f>
        <v/>
      </c>
      <c r="AN224" s="51">
        <f>IFERROR(AN216/AN8,0)+SUMIFS(Aut_Ajustes_Manuais!$G:$G,Aut_Ajustes_Manuais!$I:$I,DRE!AL$4,Aut_Ajustes_Manuais!$F:$F,"% sobre Receita Bruta")</f>
        <v/>
      </c>
      <c r="AO224" s="245" t="n"/>
      <c r="AP224" s="50">
        <f>IFERROR(AP216/AP8,0)</f>
        <v/>
      </c>
      <c r="AQ224" s="51">
        <f>IFERROR(AQ216/AQ8,0)+SUMIFS(Aut_Ajustes_Manuais!$G:$G,Aut_Ajustes_Manuais!$I:$I,DRE!AO$4,Aut_Ajustes_Manuais!$F:$F,"% sobre Receita Bruta")</f>
        <v/>
      </c>
      <c r="AR224" s="245">
        <f>IFERROR(AR216/AR8,0)</f>
        <v/>
      </c>
      <c r="AS224" s="50">
        <f>IFERROR(AS216/AS8,0)</f>
        <v/>
      </c>
      <c r="AT224" s="51">
        <f>IFERROR(AT216/AT8,0)</f>
        <v/>
      </c>
      <c r="AU224" s="245">
        <f>IFERROR(AU216/AU8,0)</f>
        <v/>
      </c>
      <c r="AV224" s="50">
        <f>IFERROR(AV216/AV8,0)</f>
        <v/>
      </c>
      <c r="AW224" s="51">
        <f>IFERROR(AW216/AW8,0)</f>
        <v/>
      </c>
      <c r="AX224" s="245">
        <f>IFERROR(AX216/AX8,0)</f>
        <v/>
      </c>
      <c r="AY224" s="50">
        <f>IFERROR(AY216/AY8,0)</f>
        <v/>
      </c>
      <c r="AZ224" s="51">
        <f>IFERROR(AZ216/AZ8,0)</f>
        <v/>
      </c>
      <c r="BA224" s="245">
        <f>IFERROR(BA216/BA8,0)</f>
        <v/>
      </c>
      <c r="BB224" s="50">
        <f>IFERROR(BB216/BB8,0)</f>
        <v/>
      </c>
      <c r="BC224" s="51">
        <f>IFERROR(BC216/BC8,0)</f>
        <v/>
      </c>
      <c r="BD224" s="245">
        <f>IFERROR(BD216/BD8,0)</f>
        <v/>
      </c>
      <c r="BE224" s="50">
        <f>IFERROR(BE216/BE8,0)</f>
        <v/>
      </c>
      <c r="BF224" s="51">
        <f>IFERROR(BF216/BF8,0)</f>
        <v/>
      </c>
      <c r="BG224" s="245">
        <f>IFERROR(BG216/BG8,0)</f>
        <v/>
      </c>
      <c r="BH224" s="50">
        <f>IFERROR(BH216/BH8,0)</f>
        <v/>
      </c>
      <c r="BI224" s="51">
        <f>IFERROR(BI216/BI8,0)</f>
        <v/>
      </c>
    </row>
    <row r="225">
      <c r="A225" s="18" t="n"/>
      <c r="E225" s="16" t="n"/>
      <c r="F225" s="17" t="n"/>
      <c r="H225" s="261" t="n"/>
      <c r="I225" s="434" t="n"/>
      <c r="J225" s="514" t="n"/>
      <c r="K225" s="515" t="n"/>
      <c r="L225" s="233" t="n"/>
      <c r="M225" s="112" t="n"/>
      <c r="N225" s="261" t="n"/>
      <c r="O225" s="233" t="n"/>
      <c r="P225" s="112" t="n"/>
      <c r="Q225" s="261" t="n"/>
      <c r="R225" s="233" t="n"/>
      <c r="S225" s="112" t="n"/>
      <c r="T225" s="261" t="n"/>
      <c r="U225" s="233" t="n"/>
      <c r="V225" s="112" t="n"/>
      <c r="W225" s="261" t="n"/>
      <c r="X225" s="233" t="n"/>
      <c r="Y225" s="112" t="n"/>
      <c r="Z225" s="261" t="n"/>
      <c r="AA225" s="233" t="n"/>
      <c r="AB225" s="112" t="n"/>
      <c r="AC225" s="261" t="n"/>
      <c r="AD225" s="233" t="n"/>
      <c r="AE225" s="112" t="n"/>
      <c r="AF225" s="261" t="n"/>
      <c r="AG225" s="233" t="n"/>
      <c r="AH225" s="112" t="n"/>
      <c r="AI225" s="261" t="n"/>
      <c r="AJ225" s="233" t="n"/>
      <c r="AK225" s="112" t="n"/>
      <c r="AL225" s="261" t="n"/>
      <c r="AM225" s="233" t="n"/>
      <c r="AN225" s="112" t="n"/>
      <c r="AO225" s="261" t="n"/>
      <c r="AP225" s="233" t="n"/>
      <c r="AQ225" s="112" t="n"/>
      <c r="AR225" s="261" t="n"/>
      <c r="AS225" s="233" t="n"/>
      <c r="AT225" s="112" t="n"/>
      <c r="AU225" s="261" t="n"/>
      <c r="AV225" s="233" t="n"/>
      <c r="AW225" s="112" t="n"/>
      <c r="AX225" s="261" t="n"/>
      <c r="AY225" s="233" t="n"/>
      <c r="AZ225" s="112" t="n"/>
      <c r="BA225" s="261" t="n"/>
      <c r="BB225" s="233" t="n"/>
      <c r="BC225" s="112" t="n"/>
      <c r="BD225" s="261" t="n"/>
      <c r="BE225" s="233" t="n"/>
      <c r="BF225" s="112" t="n"/>
      <c r="BG225" s="261" t="n"/>
      <c r="BH225" s="233" t="n"/>
      <c r="BI225" s="112" t="n"/>
    </row>
    <row r="226">
      <c r="A226" s="39" t="inlineStr">
        <is>
          <t>Utilidades</t>
        </is>
      </c>
      <c r="C226" s="40" t="inlineStr">
        <is>
          <t>Premissas</t>
        </is>
      </c>
      <c r="D226" s="40" t="inlineStr">
        <is>
          <t>Valores</t>
        </is>
      </c>
      <c r="E226" s="40" t="inlineStr">
        <is>
          <t>Acréscimo</t>
        </is>
      </c>
      <c r="F226" s="41" t="n"/>
      <c r="H226" s="244" t="n"/>
      <c r="I226" s="42">
        <f>SUM(I227:I240)</f>
        <v/>
      </c>
      <c r="J226" s="67">
        <f>SUM(J227:J240)+SUMIFS(Aut_Ajustes_Manuais!$G:$G,Aut_Ajustes_Manuais!$I:$I,DRE!H$4,Aut_Ajustes_Manuais!$F:$F,"Utilidades")</f>
        <v/>
      </c>
      <c r="K226" s="244" t="n"/>
      <c r="L226" s="42">
        <f>SUM(L227:L240)</f>
        <v/>
      </c>
      <c r="M226" s="67">
        <f>SUM(M227:M240)+SUMIFS(Aut_Ajustes_Manuais!$G:$G,Aut_Ajustes_Manuais!$I:$I,DRE!K$4,Aut_Ajustes_Manuais!$F:$F,"Utilidades")</f>
        <v/>
      </c>
      <c r="N226" s="244" t="n"/>
      <c r="O226" s="42">
        <f>SUM(O227:O240)</f>
        <v/>
      </c>
      <c r="P226" s="42">
        <f>SUM(P227:P240)+SUMIFS(Aut_Ajustes_Manuais!$G:$G,Aut_Ajustes_Manuais!$I:$I,DRE!N$4,Aut_Ajustes_Manuais!$F:$F,"Utilidades")</f>
        <v/>
      </c>
      <c r="Q226" s="244" t="n"/>
      <c r="R226" s="42">
        <f>SUM(R227:R240)</f>
        <v/>
      </c>
      <c r="S226" s="42">
        <f>SUM(S227:S240)+SUMIFS(Aut_Ajustes_Manuais!$G:$G,Aut_Ajustes_Manuais!$I:$I,DRE!Q$4,Aut_Ajustes_Manuais!$F:$F,"Utilidades")</f>
        <v/>
      </c>
      <c r="T226" s="244" t="n"/>
      <c r="U226" s="42">
        <f>SUM(U227:U240)</f>
        <v/>
      </c>
      <c r="V226" s="43">
        <f>SUM(V227:V240)+SUMIFS(Aut_Ajustes_Manuais!$G:$G,Aut_Ajustes_Manuais!$I:$I,DRE!T$4,Aut_Ajustes_Manuais!$F:$F,"Utilidades")</f>
        <v/>
      </c>
      <c r="W226" s="244" t="n"/>
      <c r="X226" s="42">
        <f>SUM(X227:X240)</f>
        <v/>
      </c>
      <c r="Y226" s="43">
        <f>SUM(Y227:Y240)+SUMIFS(Aut_Ajustes_Manuais!$G:$G,Aut_Ajustes_Manuais!$I:$I,DRE!W$4,Aut_Ajustes_Manuais!$F:$F,"Utilidades")</f>
        <v/>
      </c>
      <c r="Z226" s="244" t="n"/>
      <c r="AA226" s="42">
        <f>SUM(AA227:AA240)</f>
        <v/>
      </c>
      <c r="AB226" s="43">
        <f>SUM(AB227:AB240)+SUMIFS(Aut_Ajustes_Manuais!$G:$G,Aut_Ajustes_Manuais!$I:$I,DRE!Z$4,Aut_Ajustes_Manuais!$F:$F,"Utilidades")</f>
        <v/>
      </c>
      <c r="AC226" s="244" t="n"/>
      <c r="AD226" s="42">
        <f>SUM(AD227:AD240)</f>
        <v/>
      </c>
      <c r="AE226" s="43">
        <f>SUM(AE227:AE240)+SUMIFS(Aut_Ajustes_Manuais!$G:$G,Aut_Ajustes_Manuais!$I:$I,DRE!AC$4,Aut_Ajustes_Manuais!$F:$F,"Utilidades")</f>
        <v/>
      </c>
      <c r="AF226" s="244" t="n"/>
      <c r="AG226" s="42">
        <f>SUM(AG227:AG240)</f>
        <v/>
      </c>
      <c r="AH226" s="43">
        <f>SUM(AH227:AH240)+SUMIFS(Aut_Ajustes_Manuais!$G:$G,Aut_Ajustes_Manuais!$I:$I,DRE!AF$4,Aut_Ajustes_Manuais!$F:$F,"Utilidades")</f>
        <v/>
      </c>
      <c r="AI226" s="244" t="n"/>
      <c r="AJ226" s="42">
        <f>SUM(AJ227:AJ240)</f>
        <v/>
      </c>
      <c r="AK226" s="43">
        <f>SUM(AK227:AK240)+SUMIFS(Aut_Ajustes_Manuais!$G:$G,Aut_Ajustes_Manuais!$I:$I,DRE!AI$4,Aut_Ajustes_Manuais!$F:$F,"Utilidades")</f>
        <v/>
      </c>
      <c r="AL226" s="244" t="n"/>
      <c r="AM226" s="42">
        <f>SUM(AM227:AM240)</f>
        <v/>
      </c>
      <c r="AN226" s="43">
        <f>SUM(AN227:AN240)+SUMIFS(Aut_Ajustes_Manuais!$G:$G,Aut_Ajustes_Manuais!$I:$I,DRE!AL$4,Aut_Ajustes_Manuais!$F:$F,"Utilidades")</f>
        <v/>
      </c>
      <c r="AO226" s="244" t="n"/>
      <c r="AP226" s="42">
        <f>SUM(AP227:AP240)</f>
        <v/>
      </c>
      <c r="AQ226" s="43">
        <f>SUM(AQ227:AQ240)+SUMIFS(Aut_Ajustes_Manuais!$G:$G,Aut_Ajustes_Manuais!$I:$I,DRE!AO$4,Aut_Ajustes_Manuais!$F:$F,"Utilidades")</f>
        <v/>
      </c>
      <c r="AR226" s="244">
        <f>SUM(AR227:AR240)</f>
        <v/>
      </c>
      <c r="AS226" s="42">
        <f>SUM(AS227:AS240)</f>
        <v/>
      </c>
      <c r="AT226" s="43">
        <f>SUM(AT227:AT240)</f>
        <v/>
      </c>
      <c r="AU226" s="244">
        <f>SUM(AU227:AU240)</f>
        <v/>
      </c>
      <c r="AV226" s="42">
        <f>SUM(AV227:AV240)</f>
        <v/>
      </c>
      <c r="AW226" s="43">
        <f>SUM(AW227:AW240)</f>
        <v/>
      </c>
      <c r="AX226" s="244">
        <f>SUM(AX227:AX240)</f>
        <v/>
      </c>
      <c r="AY226" s="42">
        <f>SUM(AY227:AY240)</f>
        <v/>
      </c>
      <c r="AZ226" s="43">
        <f>SUM(AZ227:AZ240)</f>
        <v/>
      </c>
      <c r="BA226" s="244">
        <f>SUM(BA227:BA240)</f>
        <v/>
      </c>
      <c r="BB226" s="42">
        <f>SUM(BB227:BB240)</f>
        <v/>
      </c>
      <c r="BC226" s="43">
        <f>SUM(BC227:BC240)</f>
        <v/>
      </c>
      <c r="BD226" s="244">
        <f>SUM(BD227:BD240)</f>
        <v/>
      </c>
      <c r="BE226" s="42">
        <f>SUM(BE227:BE240)</f>
        <v/>
      </c>
      <c r="BF226" s="43">
        <f>SUM(BF227:BF240)</f>
        <v/>
      </c>
      <c r="BG226" s="244">
        <f>SUM(BG227:BG240)</f>
        <v/>
      </c>
      <c r="BH226" s="42">
        <f>SUM(BH227:BH240)</f>
        <v/>
      </c>
      <c r="BI226" s="43">
        <f>SUM(BI227:BI240)</f>
        <v/>
      </c>
    </row>
    <row r="227" hidden="1" outlineLevel="1" customFormat="1" s="498">
      <c r="A227" s="22" t="inlineStr">
        <is>
          <t>Agua/Esgoto</t>
        </is>
      </c>
      <c r="B227" s="23" t="n"/>
      <c r="C227" s="24" t="inlineStr">
        <is>
          <t>Estim. Mensal</t>
        </is>
      </c>
      <c r="D227" s="113" t="n">
        <v>-14800</v>
      </c>
      <c r="E227" s="114" t="n">
        <v>-0.0008</v>
      </c>
      <c r="F227" s="56" t="n"/>
      <c r="G227" s="33" t="n"/>
      <c r="H227" s="241" t="n"/>
      <c r="I227" s="27">
        <f>-SUMIFS(T_ORCAMENTOS!$E:$E,T_ORCAMENTOS!$C:$C,"Agua/Esgoto",T_ORCAMENTOS!$H:$H,"1/2026")</f>
        <v/>
      </c>
      <c r="J227" s="28">
        <f>SUMIFS(Aut_BlueMe_Sem_Pedido!$J:$J,Aut_BlueMe_Sem_Pedido!$Q:$Q,DRE!H$4,Aut_BlueMe_Sem_Pedido!$H:$H,DRE!$A227)+SUMIFS(Aut_Ajustes_Manuais!$G:$G,Aut_Ajustes_Manuais!$I:$I,DRE!H$4,Aut_Ajustes_Manuais!$F:$F,"Agua/Esgoto")</f>
        <v/>
      </c>
      <c r="K227" s="241" t="n"/>
      <c r="L227" s="27">
        <f>-SUMIFS(T_ORCAMENTOS!$E:$E,T_ORCAMENTOS!$C:$C,"Agua/Esgoto",T_ORCAMENTOS!$H:$H,"2/2026")</f>
        <v/>
      </c>
      <c r="M227" s="28">
        <f>SUMIFS(Aut_BlueMe_Sem_Pedido!$J:$J,Aut_BlueMe_Sem_Pedido!$Q:$Q,DRE!K$4,Aut_BlueMe_Sem_Pedido!$H:$H,DRE!$A227)+SUMIFS(Aut_Ajustes_Manuais!$G:$G,Aut_Ajustes_Manuais!$I:$I,DRE!K$4,Aut_Ajustes_Manuais!$F:$F,"Agua/Esgoto")</f>
        <v/>
      </c>
      <c r="N227" s="241" t="n"/>
      <c r="O227" s="27">
        <f>-SUMIFS(T_ORCAMENTOS!$E:$E,T_ORCAMENTOS!$C:$C,"Agua/Esgoto",T_ORCAMENTOS!$H:$H,"3/2026")</f>
        <v/>
      </c>
      <c r="P227" s="27">
        <f>SUMIFS(Aut_BlueMe_Sem_Pedido!$J:$J,Aut_BlueMe_Sem_Pedido!$Q:$Q,DRE!N$4,Aut_BlueMe_Sem_Pedido!$H:$H,DRE!$A227)+SUMIFS(Aut_Ajustes_Manuais!$G:$G,Aut_Ajustes_Manuais!$I:$I,DRE!N$4,Aut_Ajustes_Manuais!$F:$F,"Agua/Esgoto")</f>
        <v/>
      </c>
      <c r="Q227" s="241" t="n"/>
      <c r="R227" s="27">
        <f>-SUMIFS(T_ORCAMENTOS!$E:$E,T_ORCAMENTOS!$C:$C,"Agua/Esgoto",T_ORCAMENTOS!$H:$H,"4/2026")</f>
        <v/>
      </c>
      <c r="S227" s="27">
        <f>SUMIFS(Aut_BlueMe_Sem_Pedido!$J:$J,Aut_BlueMe_Sem_Pedido!$Q:$Q,DRE!Q$4,Aut_BlueMe_Sem_Pedido!$H:$H,DRE!$A227)+SUMIFS(Aut_Ajustes_Manuais!$G:$G,Aut_Ajustes_Manuais!$I:$I,DRE!Q$4,Aut_Ajustes_Manuais!$F:$F,"Agua/Esgoto")</f>
        <v/>
      </c>
      <c r="T227" s="241" t="n"/>
      <c r="U227" s="27">
        <f>-SUMIFS(T_ORCAMENTOS!$E:$E,T_ORCAMENTOS!$C:$C,"Agua/Esgoto",T_ORCAMENTOS!$H:$H,"5/2026")</f>
        <v/>
      </c>
      <c r="V227" s="28">
        <f>SUMIFS(Aut_BlueMe_Sem_Pedido!$J:$J,Aut_BlueMe_Sem_Pedido!$Q:$Q,DRE!T$4,Aut_BlueMe_Sem_Pedido!$H:$H,DRE!$A227)+SUMIFS(Aut_Ajustes_Manuais!$G:$G,Aut_Ajustes_Manuais!$I:$I,DRE!T$4,Aut_Ajustes_Manuais!$F:$F,"Agua/Esgoto")</f>
        <v/>
      </c>
      <c r="W227" s="241" t="n"/>
      <c r="X227" s="27">
        <f>-SUMIFS(T_ORCAMENTOS!$E:$E,T_ORCAMENTOS!$C:$C,"Agua/Esgoto",T_ORCAMENTOS!$H:$H,"6/2026")</f>
        <v/>
      </c>
      <c r="Y227" s="28">
        <f>SUMIFS(Aut_BlueMe_Sem_Pedido!$J:$J,Aut_BlueMe_Sem_Pedido!$Q:$Q,DRE!W$4,Aut_BlueMe_Sem_Pedido!$H:$H,DRE!$A227)+SUMIFS(Aut_Ajustes_Manuais!$G:$G,Aut_Ajustes_Manuais!$I:$I,DRE!W$4,Aut_Ajustes_Manuais!$F:$F,"Agua/Esgoto")</f>
        <v/>
      </c>
      <c r="Z227" s="241" t="n"/>
      <c r="AA227" s="27">
        <f>-SUMIFS(T_ORCAMENTOS!$E:$E,T_ORCAMENTOS!$C:$C,"Agua/Esgoto",T_ORCAMENTOS!$H:$H,"7/2026")</f>
        <v/>
      </c>
      <c r="AB227" s="28">
        <f>SUMIFS(Aut_BlueMe_Sem_Pedido!$J:$J,Aut_BlueMe_Sem_Pedido!$Q:$Q,DRE!Z$4,Aut_BlueMe_Sem_Pedido!$H:$H,DRE!$A227)+SUMIFS(Aut_Ajustes_Manuais!$G:$G,Aut_Ajustes_Manuais!$I:$I,DRE!Z$4,Aut_Ajustes_Manuais!$F:$F,"Agua/Esgoto")</f>
        <v/>
      </c>
      <c r="AC227" s="241" t="n"/>
      <c r="AD227" s="27">
        <f>-SUMIFS(T_ORCAMENTOS!$E:$E,T_ORCAMENTOS!$C:$C,"Agua/Esgoto",T_ORCAMENTOS!$H:$H,"8/2026")</f>
        <v/>
      </c>
      <c r="AE227" s="28">
        <f>SUMIFS(Aut_BlueMe_Sem_Pedido!$J:$J,Aut_BlueMe_Sem_Pedido!$Q:$Q,DRE!AC$4,Aut_BlueMe_Sem_Pedido!$H:$H,DRE!$A227)+SUMIFS(Aut_Ajustes_Manuais!$G:$G,Aut_Ajustes_Manuais!$I:$I,DRE!AC$4,Aut_Ajustes_Manuais!$F:$F,"Agua/Esgoto")</f>
        <v/>
      </c>
      <c r="AF227" s="241" t="n"/>
      <c r="AG227" s="27">
        <f>-SUMIFS(T_ORCAMENTOS!$E:$E,T_ORCAMENTOS!$C:$C,"Agua/Esgoto",T_ORCAMENTOS!$H:$H,"9/2026")</f>
        <v/>
      </c>
      <c r="AH227" s="28">
        <f>SUMIFS(Aut_BlueMe_Sem_Pedido!$J:$J,Aut_BlueMe_Sem_Pedido!$Q:$Q,DRE!AF$4,Aut_BlueMe_Sem_Pedido!$H:$H,DRE!$A227)+SUMIFS(Aut_Ajustes_Manuais!$G:$G,Aut_Ajustes_Manuais!$I:$I,DRE!AF$4,Aut_Ajustes_Manuais!$F:$F,"Agua/Esgoto")</f>
        <v/>
      </c>
      <c r="AI227" s="241" t="n"/>
      <c r="AJ227" s="27">
        <f>-SUMIFS(T_ORCAMENTOS!$E:$E,T_ORCAMENTOS!$C:$C,"Agua/Esgoto",T_ORCAMENTOS!$H:$H,"10/2026")</f>
        <v/>
      </c>
      <c r="AK227" s="28">
        <f>SUMIFS(Aut_BlueMe_Sem_Pedido!$J:$J,Aut_BlueMe_Sem_Pedido!$Q:$Q,DRE!AI$4,Aut_BlueMe_Sem_Pedido!$H:$H,DRE!$A227)+SUMIFS(Aut_Ajustes_Manuais!$G:$G,Aut_Ajustes_Manuais!$I:$I,DRE!AI$4,Aut_Ajustes_Manuais!$F:$F,"Agua/Esgoto")</f>
        <v/>
      </c>
      <c r="AL227" s="241" t="n"/>
      <c r="AM227" s="27">
        <f>-SUMIFS(T_ORCAMENTOS!$E:$E,T_ORCAMENTOS!$C:$C,"Agua/Esgoto",T_ORCAMENTOS!$H:$H,"11/2026")</f>
        <v/>
      </c>
      <c r="AN227" s="28">
        <f>SUMIFS(Aut_BlueMe_Sem_Pedido!$J:$J,Aut_BlueMe_Sem_Pedido!$Q:$Q,DRE!AL$4,Aut_BlueMe_Sem_Pedido!$H:$H,DRE!$A227)+SUMIFS(Aut_Ajustes_Manuais!$G:$G,Aut_Ajustes_Manuais!$I:$I,DRE!AL$4,Aut_Ajustes_Manuais!$F:$F,"Agua/Esgoto")</f>
        <v/>
      </c>
      <c r="AO227" s="241" t="n"/>
      <c r="AP227" s="27">
        <f>-SUMIFS(T_ORCAMENTOS!$E:$E,T_ORCAMENTOS!$C:$C,"Agua/Esgoto",T_ORCAMENTOS!$H:$H,"12/2026")</f>
        <v/>
      </c>
      <c r="AQ227" s="28">
        <f>SUMIFS(Aut_BlueMe_Sem_Pedido!$J:$J,Aut_BlueMe_Sem_Pedido!$Q:$Q,DRE!AO$4,Aut_BlueMe_Sem_Pedido!$H:$H,DRE!$A227)+SUMIFS(Aut_Ajustes_Manuais!$G:$G,Aut_Ajustes_Manuais!$I:$I,DRE!AO$4,Aut_Ajustes_Manuais!$F:$F,"Agua/Esgoto")</f>
        <v/>
      </c>
      <c r="AR227" s="241">
        <f>SUMIFS($H227:$AO227,$H$5:$AO$5,"&lt;"&amp;MONTH(TODAY()),$H$6:$AO$6,"REAL 25")</f>
        <v/>
      </c>
      <c r="AS227" s="27">
        <f>SUMIFS($I227:$AP227,$I$5:$AP$5,"&lt;"&amp;MONTH(TODAY()),$I$6:$AP$6,"ORÇADO ")</f>
        <v/>
      </c>
      <c r="AT227" s="28">
        <f>SUMIFS($J227:$AQ227,$J$5:$AQ$5,"&lt;"&amp;MONTH(TODAY()),$J$6:$AQ$6,"REAL 26")</f>
        <v/>
      </c>
      <c r="AU227" s="241">
        <f>SUM(H227,K227,N227,Q227,T227,W227,Z227,AC227,AF227,AI227,AL227,AO227)</f>
        <v/>
      </c>
      <c r="AV227" s="27">
        <f>SUM(I227,L227,O227,R227,U227,X227,AA227,AD227,AG227,AJ227,AM227,AP227)</f>
        <v/>
      </c>
      <c r="AW227" s="28">
        <f>SUM(J227,M227,P227,S227,V227,Y227,AB227,AE227,AH227,AK227,AN227,AQ227)</f>
        <v/>
      </c>
      <c r="AX227" s="241">
        <f>SUM(H227,K227,N227)</f>
        <v/>
      </c>
      <c r="AY227" s="27">
        <f>SUM(I227,L227,O227)</f>
        <v/>
      </c>
      <c r="AZ227" s="28">
        <f>SUM(J227,M227,P227)</f>
        <v/>
      </c>
      <c r="BA227" s="241">
        <f>SUM(Q227,T227,W227)</f>
        <v/>
      </c>
      <c r="BB227" s="27">
        <f>SUM(R227,U227,X227)</f>
        <v/>
      </c>
      <c r="BC227" s="28">
        <f>SUM(S227,V227,Y227)</f>
        <v/>
      </c>
      <c r="BD227" s="241">
        <f>SUM(Z227,AC227,AF227)</f>
        <v/>
      </c>
      <c r="BE227" s="27">
        <f>SUM(AA227,AD227,AG227)</f>
        <v/>
      </c>
      <c r="BF227" s="28">
        <f>SUM(AB227,AE227,AH227)</f>
        <v/>
      </c>
      <c r="BG227" s="241">
        <f>SUM(AI227,AL227,AO227)</f>
        <v/>
      </c>
      <c r="BH227" s="27">
        <f>SUM(AJ227,AM227,AP227)</f>
        <v/>
      </c>
      <c r="BI227" s="28">
        <f>SUM(AK227,AN227,AQ227)</f>
        <v/>
      </c>
    </row>
    <row r="228" hidden="1" outlineLevel="1" customFormat="1" s="498">
      <c r="A228" s="22" t="inlineStr">
        <is>
          <t>Energia Eletrica</t>
        </is>
      </c>
      <c r="B228" s="23" t="n"/>
      <c r="C228" s="24" t="inlineStr">
        <is>
          <t>Estim. Mensal</t>
        </is>
      </c>
      <c r="D228" s="113" t="n">
        <v>-6600</v>
      </c>
      <c r="E228" s="114" t="n"/>
      <c r="F228" s="56" t="n"/>
      <c r="G228" s="33" t="n"/>
      <c r="H228" s="241" t="n"/>
      <c r="I228" s="27">
        <f>-SUMIFS(T_ORCAMENTOS!$E:$E,T_ORCAMENTOS!$C:$C,"Energia Eletrica",T_ORCAMENTOS!$H:$H,"1/2026")</f>
        <v/>
      </c>
      <c r="J228" s="27">
        <f>SUMIFS(Aut_BlueMe_Sem_Pedido!$J:$J,Aut_BlueMe_Sem_Pedido!$Q:$Q,DRE!H$4,Aut_BlueMe_Sem_Pedido!$H:$H,DRE!$A228)+SUMIFS(Aut_Ajustes_Manuais!$G:$G,Aut_Ajustes_Manuais!$I:$I,DRE!H$4,Aut_Ajustes_Manuais!$F:$F,"Energia Eletrica")</f>
        <v/>
      </c>
      <c r="K228" s="241" t="n"/>
      <c r="L228" s="27">
        <f>-SUMIFS(T_ORCAMENTOS!$E:$E,T_ORCAMENTOS!$C:$C,"Energia Eletrica",T_ORCAMENTOS!$H:$H,"2/2026")</f>
        <v/>
      </c>
      <c r="M228" s="27">
        <f>SUMIFS(Aut_BlueMe_Sem_Pedido!$J:$J,Aut_BlueMe_Sem_Pedido!$Q:$Q,DRE!K$4,Aut_BlueMe_Sem_Pedido!$H:$H,DRE!$A228)+SUMIFS(Aut_Ajustes_Manuais!$G:$G,Aut_Ajustes_Manuais!$I:$I,DRE!K$4,Aut_Ajustes_Manuais!$F:$F,"Energia Eletrica")</f>
        <v/>
      </c>
      <c r="N228" s="241" t="n"/>
      <c r="O228" s="27">
        <f>-SUMIFS(T_ORCAMENTOS!$E:$E,T_ORCAMENTOS!$C:$C,"Energia Eletrica",T_ORCAMENTOS!$H:$H,"3/2026")</f>
        <v/>
      </c>
      <c r="P228" s="27">
        <f>SUMIFS(Aut_BlueMe_Sem_Pedido!$J:$J,Aut_BlueMe_Sem_Pedido!$Q:$Q,DRE!N$4,Aut_BlueMe_Sem_Pedido!$H:$H,DRE!$A228)+SUMIFS(Aut_Ajustes_Manuais!$G:$G,Aut_Ajustes_Manuais!$I:$I,DRE!N$4,Aut_Ajustes_Manuais!$F:$F,"Energia Eletrica")</f>
        <v/>
      </c>
      <c r="Q228" s="241" t="n"/>
      <c r="R228" s="27">
        <f>-SUMIFS(T_ORCAMENTOS!$E:$E,T_ORCAMENTOS!$C:$C,"Energia Eletrica",T_ORCAMENTOS!$H:$H,"4/2026")</f>
        <v/>
      </c>
      <c r="S228" s="27">
        <f>SUMIFS(Aut_BlueMe_Sem_Pedido!$J:$J,Aut_BlueMe_Sem_Pedido!$Q:$Q,DRE!Q$4,Aut_BlueMe_Sem_Pedido!$H:$H,DRE!$A228)+SUMIFS(Aut_Ajustes_Manuais!$G:$G,Aut_Ajustes_Manuais!$I:$I,DRE!Q$4,Aut_Ajustes_Manuais!$F:$F,"Energia Eletrica")</f>
        <v/>
      </c>
      <c r="T228" s="241" t="n"/>
      <c r="U228" s="27">
        <f>-SUMIFS(T_ORCAMENTOS!$E:$E,T_ORCAMENTOS!$C:$C,"Energia Eletrica",T_ORCAMENTOS!$H:$H,"5/2026")</f>
        <v/>
      </c>
      <c r="V228" s="28">
        <f>SUMIFS(Aut_BlueMe_Sem_Pedido!$J:$J,Aut_BlueMe_Sem_Pedido!$Q:$Q,DRE!T$4,Aut_BlueMe_Sem_Pedido!$H:$H,DRE!$A228)+SUMIFS(Aut_Ajustes_Manuais!$G:$G,Aut_Ajustes_Manuais!$I:$I,DRE!T$4,Aut_Ajustes_Manuais!$F:$F,"Energia Eletrica")</f>
        <v/>
      </c>
      <c r="W228" s="241" t="n"/>
      <c r="X228" s="27">
        <f>-SUMIFS(T_ORCAMENTOS!$E:$E,T_ORCAMENTOS!$C:$C,"Energia Eletrica",T_ORCAMENTOS!$H:$H,"6/2026")</f>
        <v/>
      </c>
      <c r="Y228" s="28">
        <f>SUMIFS(Aut_BlueMe_Sem_Pedido!$J:$J,Aut_BlueMe_Sem_Pedido!$Q:$Q,DRE!W$4,Aut_BlueMe_Sem_Pedido!$H:$H,DRE!$A228)+SUMIFS(Aut_Ajustes_Manuais!$G:$G,Aut_Ajustes_Manuais!$I:$I,DRE!W$4,Aut_Ajustes_Manuais!$F:$F,"Energia Eletrica")</f>
        <v/>
      </c>
      <c r="Z228" s="241" t="n"/>
      <c r="AA228" s="27">
        <f>-SUMIFS(T_ORCAMENTOS!$E:$E,T_ORCAMENTOS!$C:$C,"Energia Eletrica",T_ORCAMENTOS!$H:$H,"7/2026")</f>
        <v/>
      </c>
      <c r="AB228" s="28">
        <f>SUMIFS(Aut_BlueMe_Sem_Pedido!$J:$J,Aut_BlueMe_Sem_Pedido!$Q:$Q,DRE!Z$4,Aut_BlueMe_Sem_Pedido!$H:$H,DRE!$A228)+SUMIFS(Aut_Ajustes_Manuais!$G:$G,Aut_Ajustes_Manuais!$I:$I,DRE!Z$4,Aut_Ajustes_Manuais!$F:$F,"Energia Eletrica")</f>
        <v/>
      </c>
      <c r="AC228" s="241" t="n"/>
      <c r="AD228" s="27">
        <f>-SUMIFS(T_ORCAMENTOS!$E:$E,T_ORCAMENTOS!$C:$C,"Energia Eletrica",T_ORCAMENTOS!$H:$H,"8/2026")</f>
        <v/>
      </c>
      <c r="AE228" s="28">
        <f>SUMIFS(Aut_BlueMe_Sem_Pedido!$J:$J,Aut_BlueMe_Sem_Pedido!$Q:$Q,DRE!AC$4,Aut_BlueMe_Sem_Pedido!$H:$H,DRE!$A228)+SUMIFS(Aut_Ajustes_Manuais!$G:$G,Aut_Ajustes_Manuais!$I:$I,DRE!AC$4,Aut_Ajustes_Manuais!$F:$F,"Energia Eletrica")</f>
        <v/>
      </c>
      <c r="AF228" s="241" t="n"/>
      <c r="AG228" s="27">
        <f>-SUMIFS(T_ORCAMENTOS!$E:$E,T_ORCAMENTOS!$C:$C,"Energia Eletrica",T_ORCAMENTOS!$H:$H,"9/2026")</f>
        <v/>
      </c>
      <c r="AH228" s="28">
        <f>SUMIFS(Aut_BlueMe_Sem_Pedido!$J:$J,Aut_BlueMe_Sem_Pedido!$Q:$Q,DRE!AF$4,Aut_BlueMe_Sem_Pedido!$H:$H,DRE!$A228)+SUMIFS(Aut_Ajustes_Manuais!$G:$G,Aut_Ajustes_Manuais!$I:$I,DRE!AF$4,Aut_Ajustes_Manuais!$F:$F,"Energia Eletrica")</f>
        <v/>
      </c>
      <c r="AI228" s="241" t="n"/>
      <c r="AJ228" s="27">
        <f>-SUMIFS(T_ORCAMENTOS!$E:$E,T_ORCAMENTOS!$C:$C,"Energia Eletrica",T_ORCAMENTOS!$H:$H,"10/2026")</f>
        <v/>
      </c>
      <c r="AK228" s="28">
        <f>SUMIFS(Aut_BlueMe_Sem_Pedido!$J:$J,Aut_BlueMe_Sem_Pedido!$Q:$Q,DRE!AI$4,Aut_BlueMe_Sem_Pedido!$H:$H,DRE!$A228)+SUMIFS(Aut_Ajustes_Manuais!$G:$G,Aut_Ajustes_Manuais!$I:$I,DRE!AI$4,Aut_Ajustes_Manuais!$F:$F,"Energia Eletrica")</f>
        <v/>
      </c>
      <c r="AL228" s="241" t="n"/>
      <c r="AM228" s="27">
        <f>-SUMIFS(T_ORCAMENTOS!$E:$E,T_ORCAMENTOS!$C:$C,"Energia Eletrica",T_ORCAMENTOS!$H:$H,"11/2026")</f>
        <v/>
      </c>
      <c r="AN228" s="28">
        <f>SUMIFS(Aut_BlueMe_Sem_Pedido!$J:$J,Aut_BlueMe_Sem_Pedido!$Q:$Q,DRE!AL$4,Aut_BlueMe_Sem_Pedido!$H:$H,DRE!$A228)+SUMIFS(Aut_Ajustes_Manuais!$G:$G,Aut_Ajustes_Manuais!$I:$I,DRE!AL$4,Aut_Ajustes_Manuais!$F:$F,"Energia Eletrica")</f>
        <v/>
      </c>
      <c r="AO228" s="241" t="n"/>
      <c r="AP228" s="27">
        <f>-SUMIFS(T_ORCAMENTOS!$E:$E,T_ORCAMENTOS!$C:$C,"Energia Eletrica",T_ORCAMENTOS!$H:$H,"12/2026")</f>
        <v/>
      </c>
      <c r="AQ228" s="28">
        <f>SUMIFS(Aut_BlueMe_Sem_Pedido!$J:$J,Aut_BlueMe_Sem_Pedido!$Q:$Q,DRE!AO$4,Aut_BlueMe_Sem_Pedido!$H:$H,DRE!$A228)+SUMIFS(Aut_Ajustes_Manuais!$G:$G,Aut_Ajustes_Manuais!$I:$I,DRE!AO$4,Aut_Ajustes_Manuais!$F:$F,"Energia Eletrica")</f>
        <v/>
      </c>
      <c r="AR228" s="241">
        <f>SUMIFS($H228:$AO228,$H$5:$AO$5,"&lt;"&amp;MONTH(TODAY()),$H$6:$AO$6,"REAL 25")</f>
        <v/>
      </c>
      <c r="AS228" s="27">
        <f>SUMIFS($I228:$AP228,$I$5:$AP$5,"&lt;"&amp;MONTH(TODAY()),$I$6:$AP$6,"ORÇADO ")</f>
        <v/>
      </c>
      <c r="AT228" s="28">
        <f>SUMIFS($J228:$AQ228,$J$5:$AQ$5,"&lt;"&amp;MONTH(TODAY()),$J$6:$AQ$6,"REAL 26")</f>
        <v/>
      </c>
      <c r="AU228" s="241">
        <f>SUM(H228,K228,N228,Q228,T228,W228,Z228,AC228,AF228,AI228,AL228,AO228)</f>
        <v/>
      </c>
      <c r="AV228" s="27">
        <f>SUM(I228,L228,O228,R228,U228,X228,AA228,AD228,AG228,AJ228,AM228,AP228)</f>
        <v/>
      </c>
      <c r="AW228" s="28">
        <f>SUM(J228,M228,P228,S228,V228,Y228,AB228,AE228,AH228,AK228,AN228,AQ228)</f>
        <v/>
      </c>
      <c r="AX228" s="241">
        <f>SUM(H228,K228,N228)</f>
        <v/>
      </c>
      <c r="AY228" s="27">
        <f>SUM(I228,L228,O228)</f>
        <v/>
      </c>
      <c r="AZ228" s="28">
        <f>SUM(J228,M228,P228)</f>
        <v/>
      </c>
      <c r="BA228" s="241">
        <f>SUM(Q228,T228,W228)</f>
        <v/>
      </c>
      <c r="BB228" s="27">
        <f>SUM(R228,U228,X228)</f>
        <v/>
      </c>
      <c r="BC228" s="28">
        <f>SUM(S228,V228,Y228)</f>
        <v/>
      </c>
      <c r="BD228" s="241">
        <f>SUM(Z228,AC228,AF228)</f>
        <v/>
      </c>
      <c r="BE228" s="27">
        <f>SUM(AA228,AD228,AG228)</f>
        <v/>
      </c>
      <c r="BF228" s="28">
        <f>SUM(AB228,AE228,AH228)</f>
        <v/>
      </c>
      <c r="BG228" s="241">
        <f>SUM(AI228,AL228,AO228)</f>
        <v/>
      </c>
      <c r="BH228" s="27">
        <f>SUM(AJ228,AM228,AP228)</f>
        <v/>
      </c>
      <c r="BI228" s="28">
        <f>SUM(AK228,AN228,AQ228)</f>
        <v/>
      </c>
    </row>
    <row r="229" hidden="1" outlineLevel="1" customFormat="1" s="498">
      <c r="A229" s="22" t="inlineStr">
        <is>
          <t>Gas de Cozinha</t>
        </is>
      </c>
      <c r="B229" s="23" t="n"/>
      <c r="C229" s="24" t="inlineStr">
        <is>
          <t>Estim. Mensal</t>
        </is>
      </c>
      <c r="D229" s="113" t="n">
        <v>-6300</v>
      </c>
      <c r="E229" s="114" t="n">
        <v>-0.0008</v>
      </c>
      <c r="F229" s="56" t="n"/>
      <c r="G229" s="33" t="n"/>
      <c r="H229" s="241" t="n"/>
      <c r="I229" s="27">
        <f>-SUMIFS(T_ORCAMENTOS!$E:$E,T_ORCAMENTOS!$C:$C,"Gas de Cozinha",T_ORCAMENTOS!$H:$H,"1/2026")</f>
        <v/>
      </c>
      <c r="J229" s="28">
        <f>SUMIFS(Aut_BlueMe_Sem_Pedido!$J:$J,Aut_BlueMe_Sem_Pedido!$Q:$Q,DRE!H$4,Aut_BlueMe_Sem_Pedido!$H:$H,DRE!$A229)+SUMIFS(Aut_Ajustes_Manuais!$G:$G,Aut_Ajustes_Manuais!$I:$I,DRE!H$4,Aut_Ajustes_Manuais!$F:$F,"Gas de Cozinha")</f>
        <v/>
      </c>
      <c r="K229" s="241" t="n"/>
      <c r="L229" s="27">
        <f>-SUMIFS(T_ORCAMENTOS!$E:$E,T_ORCAMENTOS!$C:$C,"Gas de Cozinha",T_ORCAMENTOS!$H:$H,"2/2026")</f>
        <v/>
      </c>
      <c r="M229" s="28">
        <f>SUMIFS(Aut_BlueMe_Sem_Pedido!$J:$J,Aut_BlueMe_Sem_Pedido!$Q:$Q,DRE!K$4,Aut_BlueMe_Sem_Pedido!$H:$H,DRE!$A229)+SUMIFS(Aut_Ajustes_Manuais!$G:$G,Aut_Ajustes_Manuais!$I:$I,DRE!K$4,Aut_Ajustes_Manuais!$F:$F,"Gas de Cozinha")</f>
        <v/>
      </c>
      <c r="N229" s="241" t="n"/>
      <c r="O229" s="27">
        <f>-SUMIFS(T_ORCAMENTOS!$E:$E,T_ORCAMENTOS!$C:$C,"Gas de Cozinha",T_ORCAMENTOS!$H:$H,"3/2026")</f>
        <v/>
      </c>
      <c r="P229" s="27">
        <f>SUMIFS(Aut_BlueMe_Sem_Pedido!$J:$J,Aut_BlueMe_Sem_Pedido!$Q:$Q,DRE!N$4,Aut_BlueMe_Sem_Pedido!$H:$H,DRE!$A229)+SUMIFS(Aut_Ajustes_Manuais!$G:$G,Aut_Ajustes_Manuais!$I:$I,DRE!N$4,Aut_Ajustes_Manuais!$F:$F,"Gas de Cozinha")</f>
        <v/>
      </c>
      <c r="Q229" s="241" t="n"/>
      <c r="R229" s="27">
        <f>-SUMIFS(T_ORCAMENTOS!$E:$E,T_ORCAMENTOS!$C:$C,"Gas de Cozinha",T_ORCAMENTOS!$H:$H,"4/2026")</f>
        <v/>
      </c>
      <c r="S229" s="27">
        <f>SUMIFS(Aut_BlueMe_Sem_Pedido!$J:$J,Aut_BlueMe_Sem_Pedido!$Q:$Q,DRE!Q$4,Aut_BlueMe_Sem_Pedido!$H:$H,DRE!$A229)+SUMIFS(Aut_Ajustes_Manuais!$G:$G,Aut_Ajustes_Manuais!$I:$I,DRE!Q$4,Aut_Ajustes_Manuais!$F:$F,"Gas de Cozinha")</f>
        <v/>
      </c>
      <c r="T229" s="241" t="n"/>
      <c r="U229" s="27">
        <f>-SUMIFS(T_ORCAMENTOS!$E:$E,T_ORCAMENTOS!$C:$C,"Gas de Cozinha",T_ORCAMENTOS!$H:$H,"5/2026")</f>
        <v/>
      </c>
      <c r="V229" s="28">
        <f>SUMIFS(Aut_BlueMe_Sem_Pedido!$J:$J,Aut_BlueMe_Sem_Pedido!$Q:$Q,DRE!T$4,Aut_BlueMe_Sem_Pedido!$H:$H,DRE!$A229)+SUMIFS(Aut_Ajustes_Manuais!$G:$G,Aut_Ajustes_Manuais!$I:$I,DRE!T$4,Aut_Ajustes_Manuais!$F:$F,"Gas de Cozinha")</f>
        <v/>
      </c>
      <c r="W229" s="241" t="n"/>
      <c r="X229" s="27">
        <f>-SUMIFS(T_ORCAMENTOS!$E:$E,T_ORCAMENTOS!$C:$C,"Gas de Cozinha",T_ORCAMENTOS!$H:$H,"6/2026")</f>
        <v/>
      </c>
      <c r="Y229" s="28">
        <f>SUMIFS(Aut_BlueMe_Sem_Pedido!$J:$J,Aut_BlueMe_Sem_Pedido!$Q:$Q,DRE!W$4,Aut_BlueMe_Sem_Pedido!$H:$H,DRE!$A229)+SUMIFS(Aut_Ajustes_Manuais!$G:$G,Aut_Ajustes_Manuais!$I:$I,DRE!W$4,Aut_Ajustes_Manuais!$F:$F,"Gas de Cozinha")</f>
        <v/>
      </c>
      <c r="Z229" s="241" t="n"/>
      <c r="AA229" s="27">
        <f>-SUMIFS(T_ORCAMENTOS!$E:$E,T_ORCAMENTOS!$C:$C,"Gas de Cozinha",T_ORCAMENTOS!$H:$H,"7/2026")</f>
        <v/>
      </c>
      <c r="AB229" s="28">
        <f>SUMIFS(Aut_BlueMe_Sem_Pedido!$J:$J,Aut_BlueMe_Sem_Pedido!$Q:$Q,DRE!Z$4,Aut_BlueMe_Sem_Pedido!$H:$H,DRE!$A229)+SUMIFS(Aut_Ajustes_Manuais!$G:$G,Aut_Ajustes_Manuais!$I:$I,DRE!Z$4,Aut_Ajustes_Manuais!$F:$F,"Gas de Cozinha")</f>
        <v/>
      </c>
      <c r="AC229" s="241" t="n"/>
      <c r="AD229" s="27">
        <f>-SUMIFS(T_ORCAMENTOS!$E:$E,T_ORCAMENTOS!$C:$C,"Gas de Cozinha",T_ORCAMENTOS!$H:$H,"8/2026")</f>
        <v/>
      </c>
      <c r="AE229" s="28">
        <f>SUMIFS(Aut_BlueMe_Sem_Pedido!$J:$J,Aut_BlueMe_Sem_Pedido!$Q:$Q,DRE!AC$4,Aut_BlueMe_Sem_Pedido!$H:$H,DRE!$A229)+SUMIFS(Aut_Ajustes_Manuais!$G:$G,Aut_Ajustes_Manuais!$I:$I,DRE!AC$4,Aut_Ajustes_Manuais!$F:$F,"Gas de Cozinha")</f>
        <v/>
      </c>
      <c r="AF229" s="241" t="n"/>
      <c r="AG229" s="27">
        <f>-SUMIFS(T_ORCAMENTOS!$E:$E,T_ORCAMENTOS!$C:$C,"Gas de Cozinha",T_ORCAMENTOS!$H:$H,"9/2026")</f>
        <v/>
      </c>
      <c r="AH229" s="28">
        <f>SUMIFS(Aut_BlueMe_Sem_Pedido!$J:$J,Aut_BlueMe_Sem_Pedido!$Q:$Q,DRE!AF$4,Aut_BlueMe_Sem_Pedido!$H:$H,DRE!$A229)+SUMIFS(Aut_Ajustes_Manuais!$G:$G,Aut_Ajustes_Manuais!$I:$I,DRE!AF$4,Aut_Ajustes_Manuais!$F:$F,"Gas de Cozinha")</f>
        <v/>
      </c>
      <c r="AI229" s="241" t="n"/>
      <c r="AJ229" s="27">
        <f>-SUMIFS(T_ORCAMENTOS!$E:$E,T_ORCAMENTOS!$C:$C,"Gas de Cozinha",T_ORCAMENTOS!$H:$H,"10/2026")</f>
        <v/>
      </c>
      <c r="AK229" s="28">
        <f>SUMIFS(Aut_BlueMe_Sem_Pedido!$J:$J,Aut_BlueMe_Sem_Pedido!$Q:$Q,DRE!AI$4,Aut_BlueMe_Sem_Pedido!$H:$H,DRE!$A229)+SUMIFS(Aut_Ajustes_Manuais!$G:$G,Aut_Ajustes_Manuais!$I:$I,DRE!AI$4,Aut_Ajustes_Manuais!$F:$F,"Gas de Cozinha")</f>
        <v/>
      </c>
      <c r="AL229" s="241" t="n"/>
      <c r="AM229" s="27">
        <f>-SUMIFS(T_ORCAMENTOS!$E:$E,T_ORCAMENTOS!$C:$C,"Gas de Cozinha",T_ORCAMENTOS!$H:$H,"11/2026")</f>
        <v/>
      </c>
      <c r="AN229" s="28">
        <f>SUMIFS(Aut_BlueMe_Sem_Pedido!$J:$J,Aut_BlueMe_Sem_Pedido!$Q:$Q,DRE!AL$4,Aut_BlueMe_Sem_Pedido!$H:$H,DRE!$A229)+SUMIFS(Aut_Ajustes_Manuais!$G:$G,Aut_Ajustes_Manuais!$I:$I,DRE!AL$4,Aut_Ajustes_Manuais!$F:$F,"Gas de Cozinha")</f>
        <v/>
      </c>
      <c r="AO229" s="241" t="n"/>
      <c r="AP229" s="27">
        <f>-SUMIFS(T_ORCAMENTOS!$E:$E,T_ORCAMENTOS!$C:$C,"Gas de Cozinha",T_ORCAMENTOS!$H:$H,"12/2026")</f>
        <v/>
      </c>
      <c r="AQ229" s="28">
        <f>SUMIFS(Aut_BlueMe_Sem_Pedido!$J:$J,Aut_BlueMe_Sem_Pedido!$Q:$Q,DRE!AO$4,Aut_BlueMe_Sem_Pedido!$H:$H,DRE!$A229)+SUMIFS(Aut_Ajustes_Manuais!$G:$G,Aut_Ajustes_Manuais!$I:$I,DRE!AO$4,Aut_Ajustes_Manuais!$F:$F,"Gas de Cozinha")</f>
        <v/>
      </c>
      <c r="AR229" s="241">
        <f>SUMIFS($H229:$AO229,$H$5:$AO$5,"&lt;"&amp;MONTH(TODAY()),$H$6:$AO$6,"REAL 25")</f>
        <v/>
      </c>
      <c r="AS229" s="27">
        <f>SUMIFS($I229:$AP229,$I$5:$AP$5,"&lt;"&amp;MONTH(TODAY()),$I$6:$AP$6,"ORÇADO ")</f>
        <v/>
      </c>
      <c r="AT229" s="28">
        <f>SUMIFS($J229:$AQ229,$J$5:$AQ$5,"&lt;"&amp;MONTH(TODAY()),$J$6:$AQ$6,"REAL 26")</f>
        <v/>
      </c>
      <c r="AU229" s="241">
        <f>SUM(H229,K229,N229,Q229,T229,W229,Z229,AC229,AF229,AI229,AL229,AO229)</f>
        <v/>
      </c>
      <c r="AV229" s="27">
        <f>SUM(I229,L229,O229,R229,U229,X229,AA229,AD229,AG229,AJ229,AM229,AP229)</f>
        <v/>
      </c>
      <c r="AW229" s="28">
        <f>SUM(J229,M229,P229,S229,V229,Y229,AB229,AE229,AH229,AK229,AN229,AQ229)</f>
        <v/>
      </c>
      <c r="AX229" s="241">
        <f>SUM(H229,K229,N229)</f>
        <v/>
      </c>
      <c r="AY229" s="27">
        <f>SUM(I229,L229,O229)</f>
        <v/>
      </c>
      <c r="AZ229" s="28">
        <f>SUM(J229,M229,P229)</f>
        <v/>
      </c>
      <c r="BA229" s="241">
        <f>SUM(Q229,T229,W229)</f>
        <v/>
      </c>
      <c r="BB229" s="27">
        <f>SUM(R229,U229,X229)</f>
        <v/>
      </c>
      <c r="BC229" s="28">
        <f>SUM(S229,V229,Y229)</f>
        <v/>
      </c>
      <c r="BD229" s="241">
        <f>SUM(Z229,AC229,AF229)</f>
        <v/>
      </c>
      <c r="BE229" s="27">
        <f>SUM(AA229,AD229,AG229)</f>
        <v/>
      </c>
      <c r="BF229" s="28">
        <f>SUM(AB229,AE229,AH229)</f>
        <v/>
      </c>
      <c r="BG229" s="241">
        <f>SUM(AI229,AL229,AO229)</f>
        <v/>
      </c>
      <c r="BH229" s="27">
        <f>SUM(AJ229,AM229,AP229)</f>
        <v/>
      </c>
      <c r="BI229" s="28">
        <f>SUM(AK229,AN229,AQ229)</f>
        <v/>
      </c>
    </row>
    <row r="230" hidden="1" outlineLevel="1" customFormat="1" s="498">
      <c r="A230" s="22" t="inlineStr">
        <is>
          <t>Higiene e Limpeza</t>
        </is>
      </c>
      <c r="B230" s="23" t="n"/>
      <c r="C230" s="24" t="inlineStr">
        <is>
          <t>Estim. Mensal</t>
        </is>
      </c>
      <c r="D230" s="113" t="n">
        <v>-25500</v>
      </c>
      <c r="E230" s="114" t="n">
        <v>-0.0008</v>
      </c>
      <c r="F230" s="56" t="n"/>
      <c r="G230" s="33" t="n"/>
      <c r="H230" s="241" t="n"/>
      <c r="I230" s="27">
        <f>-SUMIFS(T_ORCAMENTOS!$E:$E,T_ORCAMENTOS!$C:$C,"Higiene e Limpeza",T_ORCAMENTOS!$H:$H,"1/2026")</f>
        <v/>
      </c>
      <c r="J230" s="27">
        <f>SUMIFS(Aut_BlueMe_Sem_Pedido!$J:$J,Aut_BlueMe_Sem_Pedido!$Q:$Q,DRE!H$4,Aut_BlueMe_Sem_Pedido!$H:$H,DRE!$A230)-SUMIFS(Aut_BlueMe_Com_Pedido!$M:$M,Aut_BlueMe_Com_Pedido!$Q:$Q,DRE!H$4)+SUMIFS(Aut_Ajustes_Manuais!$G:$G,Aut_Ajustes_Manuais!$I:$I,DRE!H$4,Aut_Ajustes_Manuais!$F:$F,"Higiene e Limpeza")</f>
        <v/>
      </c>
      <c r="K230" s="241" t="n"/>
      <c r="L230" s="27">
        <f>-SUMIFS(T_ORCAMENTOS!$E:$E,T_ORCAMENTOS!$C:$C,"Higiene e Limpeza",T_ORCAMENTOS!$H:$H,"2/2026")</f>
        <v/>
      </c>
      <c r="M230" s="27">
        <f>SUMIFS(Aut_BlueMe_Sem_Pedido!$J:$J,Aut_BlueMe_Sem_Pedido!$Q:$Q,DRE!K$4,Aut_BlueMe_Sem_Pedido!$H:$H,DRE!$A230)-SUMIFS(Aut_BlueMe_Com_Pedido!$M:$M,Aut_BlueMe_Com_Pedido!$Q:$Q,DRE!K$4)+SUMIFS(Aut_Ajustes_Manuais!$G:$G,Aut_Ajustes_Manuais!$I:$I,DRE!K$4,Aut_Ajustes_Manuais!$F:$F,"Higiene e Limpeza")</f>
        <v/>
      </c>
      <c r="N230" s="241" t="n"/>
      <c r="O230" s="27">
        <f>-SUMIFS(T_ORCAMENTOS!$E:$E,T_ORCAMENTOS!$C:$C,"Higiene e Limpeza",T_ORCAMENTOS!$H:$H,"3/2026")</f>
        <v/>
      </c>
      <c r="P230" s="27">
        <f>SUMIFS(Aut_BlueMe_Sem_Pedido!$J:$J,Aut_BlueMe_Sem_Pedido!$Q:$Q,DRE!N$4,Aut_BlueMe_Sem_Pedido!$H:$H,DRE!$A230)-SUMIFS(Aut_BlueMe_Com_Pedido!$M:$M,Aut_BlueMe_Com_Pedido!$Q:$Q,DRE!N$4)+SUMIFS(Aut_Ajustes_Manuais!$G:$G,Aut_Ajustes_Manuais!$I:$I,DRE!N$4,Aut_Ajustes_Manuais!$F:$F,"Higiene e Limpeza")</f>
        <v/>
      </c>
      <c r="Q230" s="241" t="n"/>
      <c r="R230" s="27">
        <f>-SUMIFS(T_ORCAMENTOS!$E:$E,T_ORCAMENTOS!$C:$C,"Higiene e Limpeza",T_ORCAMENTOS!$H:$H,"4/2026")</f>
        <v/>
      </c>
      <c r="S230" s="27">
        <f>SUMIFS(Aut_BlueMe_Sem_Pedido!$J:$J,Aut_BlueMe_Sem_Pedido!$Q:$Q,DRE!Q$4,Aut_BlueMe_Sem_Pedido!$H:$H,DRE!$A230)-SUMIFS(Aut_BlueMe_Com_Pedido!$M:$M,Aut_BlueMe_Com_Pedido!$Q:$Q,DRE!Q$4)+SUMIFS(Aut_Ajustes_Manuais!$G:$G,Aut_Ajustes_Manuais!$I:$I,DRE!Q$4,Aut_Ajustes_Manuais!$F:$F,"Higiene e Limpeza")</f>
        <v/>
      </c>
      <c r="T230" s="241" t="n"/>
      <c r="U230" s="27">
        <f>-SUMIFS(T_ORCAMENTOS!$E:$E,T_ORCAMENTOS!$C:$C,"Higiene e Limpeza",T_ORCAMENTOS!$H:$H,"5/2026")</f>
        <v/>
      </c>
      <c r="V230" s="28">
        <f>SUMIFS(Aut_BlueMe_Sem_Pedido!$J:$J,Aut_BlueMe_Sem_Pedido!$Q:$Q,DRE!T$4,Aut_BlueMe_Sem_Pedido!$H:$H,DRE!$A230)-SUMIFS(Aut_BlueMe_Com_Pedido!$M:$M,Aut_BlueMe_Com_Pedido!$Q:$Q,DRE!T$4)+SUMIFS(Aut_Ajustes_Manuais!$G:$G,Aut_Ajustes_Manuais!$I:$I,DRE!T$4,Aut_Ajustes_Manuais!$F:$F,"Higiene e Limpeza")</f>
        <v/>
      </c>
      <c r="W230" s="241" t="n"/>
      <c r="X230" s="27">
        <f>-SUMIFS(T_ORCAMENTOS!$E:$E,T_ORCAMENTOS!$C:$C,"Higiene e Limpeza",T_ORCAMENTOS!$H:$H,"6/2026")</f>
        <v/>
      </c>
      <c r="Y230" s="28">
        <f>SUMIFS(Aut_BlueMe_Sem_Pedido!$J:$J,Aut_BlueMe_Sem_Pedido!$Q:$Q,DRE!W$4,Aut_BlueMe_Sem_Pedido!$H:$H,DRE!$A230)-SUMIFS(Aut_BlueMe_Com_Pedido!$M:$M,Aut_BlueMe_Com_Pedido!$Q:$Q,DRE!W$4)+SUMIFS(Aut_Ajustes_Manuais!$G:$G,Aut_Ajustes_Manuais!$I:$I,DRE!W$4,Aut_Ajustes_Manuais!$F:$F,"Higiene e Limpeza")</f>
        <v/>
      </c>
      <c r="Z230" s="241" t="n"/>
      <c r="AA230" s="27">
        <f>-SUMIFS(T_ORCAMENTOS!$E:$E,T_ORCAMENTOS!$C:$C,"Higiene e Limpeza",T_ORCAMENTOS!$H:$H,"7/2026")</f>
        <v/>
      </c>
      <c r="AB230" s="28">
        <f>SUMIFS(Aut_BlueMe_Sem_Pedido!$J:$J,Aut_BlueMe_Sem_Pedido!$Q:$Q,DRE!Z$4,Aut_BlueMe_Sem_Pedido!$H:$H,DRE!$A230)-SUMIFS(Aut_BlueMe_Com_Pedido!$M:$M,Aut_BlueMe_Com_Pedido!$Q:$Q,DRE!Z$4)+SUMIFS(Aut_Ajustes_Manuais!$G:$G,Aut_Ajustes_Manuais!$I:$I,DRE!Z$4,Aut_Ajustes_Manuais!$F:$F,"Higiene e Limpeza")</f>
        <v/>
      </c>
      <c r="AC230" s="241" t="n"/>
      <c r="AD230" s="27">
        <f>-SUMIFS(T_ORCAMENTOS!$E:$E,T_ORCAMENTOS!$C:$C,"Higiene e Limpeza",T_ORCAMENTOS!$H:$H,"8/2026")</f>
        <v/>
      </c>
      <c r="AE230" s="28">
        <f>SUMIFS(Aut_BlueMe_Sem_Pedido!$J:$J,Aut_BlueMe_Sem_Pedido!$Q:$Q,DRE!AC$4,Aut_BlueMe_Sem_Pedido!$H:$H,DRE!$A230)-SUMIFS(Aut_BlueMe_Com_Pedido!$M:$M,Aut_BlueMe_Com_Pedido!$Q:$Q,DRE!AC$4)+SUMIFS(Aut_Ajustes_Manuais!$G:$G,Aut_Ajustes_Manuais!$I:$I,DRE!AC$4,Aut_Ajustes_Manuais!$F:$F,"Higiene e Limpeza")</f>
        <v/>
      </c>
      <c r="AF230" s="241" t="n"/>
      <c r="AG230" s="27">
        <f>-SUMIFS(T_ORCAMENTOS!$E:$E,T_ORCAMENTOS!$C:$C,"Higiene e Limpeza",T_ORCAMENTOS!$H:$H,"9/2026")</f>
        <v/>
      </c>
      <c r="AH230" s="28">
        <f>SUMIFS(Aut_BlueMe_Sem_Pedido!$J:$J,Aut_BlueMe_Sem_Pedido!$Q:$Q,DRE!AF$4,Aut_BlueMe_Sem_Pedido!$H:$H,DRE!$A230)-SUMIFS(Aut_BlueMe_Com_Pedido!$M:$M,Aut_BlueMe_Com_Pedido!$Q:$Q,DRE!AF$4)+SUMIFS(Aut_Ajustes_Manuais!$G:$G,Aut_Ajustes_Manuais!$I:$I,DRE!AF$4,Aut_Ajustes_Manuais!$F:$F,"Higiene e Limpeza")</f>
        <v/>
      </c>
      <c r="AI230" s="241" t="n"/>
      <c r="AJ230" s="27">
        <f>-SUMIFS(T_ORCAMENTOS!$E:$E,T_ORCAMENTOS!$C:$C,"Higiene e Limpeza",T_ORCAMENTOS!$H:$H,"10/2026")</f>
        <v/>
      </c>
      <c r="AK230" s="28">
        <f>SUMIFS(Aut_BlueMe_Sem_Pedido!$J:$J,Aut_BlueMe_Sem_Pedido!$Q:$Q,DRE!AI$4,Aut_BlueMe_Sem_Pedido!$H:$H,DRE!$A230)-SUMIFS(Aut_BlueMe_Com_Pedido!$M:$M,Aut_BlueMe_Com_Pedido!$Q:$Q,DRE!AI$4)+SUMIFS(Aut_Ajustes_Manuais!$G:$G,Aut_Ajustes_Manuais!$I:$I,DRE!AI$4,Aut_Ajustes_Manuais!$F:$F,"Higiene e Limpeza")</f>
        <v/>
      </c>
      <c r="AL230" s="241" t="n"/>
      <c r="AM230" s="27">
        <f>-SUMIFS(T_ORCAMENTOS!$E:$E,T_ORCAMENTOS!$C:$C,"Higiene e Limpeza",T_ORCAMENTOS!$H:$H,"11/2026")</f>
        <v/>
      </c>
      <c r="AN230" s="28">
        <f>SUMIFS(Aut_BlueMe_Sem_Pedido!$J:$J,Aut_BlueMe_Sem_Pedido!$Q:$Q,DRE!AL$4,Aut_BlueMe_Sem_Pedido!$H:$H,DRE!$A230)-SUMIFS(Aut_BlueMe_Com_Pedido!$M:$M,Aut_BlueMe_Com_Pedido!$Q:$Q,DRE!AL$4)+SUMIFS(Aut_Ajustes_Manuais!$G:$G,Aut_Ajustes_Manuais!$I:$I,DRE!AL$4,Aut_Ajustes_Manuais!$F:$F,"Higiene e Limpeza")</f>
        <v/>
      </c>
      <c r="AO230" s="241" t="n"/>
      <c r="AP230" s="27">
        <f>-SUMIFS(T_ORCAMENTOS!$E:$E,T_ORCAMENTOS!$C:$C,"Higiene e Limpeza",T_ORCAMENTOS!$H:$H,"12/2026")</f>
        <v/>
      </c>
      <c r="AQ230" s="28">
        <f>SUMIFS(Aut_BlueMe_Sem_Pedido!$J:$J,Aut_BlueMe_Sem_Pedido!$Q:$Q,DRE!AO$4,Aut_BlueMe_Sem_Pedido!$H:$H,DRE!$A230)-SUMIFS(Aut_BlueMe_Com_Pedido!$M:$M,Aut_BlueMe_Com_Pedido!$Q:$Q,DRE!AO$4)+SUMIFS(Aut_Ajustes_Manuais!$G:$G,Aut_Ajustes_Manuais!$I:$I,DRE!AO$4,Aut_Ajustes_Manuais!$F:$F,"Higiene e Limpeza")</f>
        <v/>
      </c>
      <c r="AR230" s="241">
        <f>SUMIFS($H230:$AO230,$H$5:$AO$5,"&lt;"&amp;MONTH(TODAY()),$H$6:$AO$6,"REAL 25")</f>
        <v/>
      </c>
      <c r="AS230" s="27">
        <f>SUMIFS($I230:$AP230,$I$5:$AP$5,"&lt;"&amp;MONTH(TODAY()),$I$6:$AP$6,"ORÇADO ")</f>
        <v/>
      </c>
      <c r="AT230" s="28">
        <f>SUMIFS($J230:$AQ230,$J$5:$AQ$5,"&lt;"&amp;MONTH(TODAY()),$J$6:$AQ$6,"REAL 26")</f>
        <v/>
      </c>
      <c r="AU230" s="241">
        <f>SUM(H230,K230,N230,Q230,T230,W230,Z230,AC230,AF230,AI230,AL230,AO230)</f>
        <v/>
      </c>
      <c r="AV230" s="27">
        <f>SUM(I230,L230,O230,R230,U230,X230,AA230,AD230,AG230,AJ230,AM230,AP230)</f>
        <v/>
      </c>
      <c r="AW230" s="28">
        <f>SUM(J230,M230,P230,S230,V230,Y230,AB230,AE230,AH230,AK230,AN230,AQ230)</f>
        <v/>
      </c>
      <c r="AX230" s="241">
        <f>SUM(H230,K230,N230)</f>
        <v/>
      </c>
      <c r="AY230" s="27">
        <f>SUM(I230,L230,O230)</f>
        <v/>
      </c>
      <c r="AZ230" s="28">
        <f>SUM(J230,M230,P230)</f>
        <v/>
      </c>
      <c r="BA230" s="241">
        <f>SUM(Q230,T230,W230)</f>
        <v/>
      </c>
      <c r="BB230" s="27">
        <f>SUM(R230,U230,X230)</f>
        <v/>
      </c>
      <c r="BC230" s="28">
        <f>SUM(S230,V230,Y230)</f>
        <v/>
      </c>
      <c r="BD230" s="241">
        <f>SUM(Z230,AC230,AF230)</f>
        <v/>
      </c>
      <c r="BE230" s="27">
        <f>SUM(AA230,AD230,AG230)</f>
        <v/>
      </c>
      <c r="BF230" s="28">
        <f>SUM(AB230,AE230,AH230)</f>
        <v/>
      </c>
      <c r="BG230" s="241">
        <f>SUM(AI230,AL230,AO230)</f>
        <v/>
      </c>
      <c r="BH230" s="27">
        <f>SUM(AJ230,AM230,AP230)</f>
        <v/>
      </c>
      <c r="BI230" s="28">
        <f>SUM(AK230,AN230,AQ230)</f>
        <v/>
      </c>
    </row>
    <row r="231" hidden="1" outlineLevel="1" customFormat="1" s="498">
      <c r="A231" s="22" t="inlineStr">
        <is>
          <t>Descartaveis</t>
        </is>
      </c>
      <c r="B231" s="23" t="n"/>
      <c r="C231" s="24" t="inlineStr">
        <is>
          <t>Estim. Mensal</t>
        </is>
      </c>
      <c r="D231" s="113" t="n"/>
      <c r="E231" s="114" t="n">
        <v>-0.004</v>
      </c>
      <c r="F231" s="56" t="n"/>
      <c r="G231" s="33" t="n"/>
      <c r="H231" s="241" t="n"/>
      <c r="I231" s="27">
        <f>-SUMIFS(T_ORCAMENTOS!$E:$E,T_ORCAMENTOS!$C:$C,"Descartaveis",T_ORCAMENTOS!$H:$H,"1/2026")</f>
        <v/>
      </c>
      <c r="J231" s="28">
        <f>SUMIFS(Aut_BlueMe_Sem_Pedido!$J:$J,Aut_BlueMe_Sem_Pedido!$Q:$Q,DRE!H$4,Aut_BlueMe_Sem_Pedido!$H:$H,DRE!$A231)+SUMIFS(Aut_Ajustes_Manuais!$G:$G,Aut_Ajustes_Manuais!$I:$I,DRE!H$4,Aut_Ajustes_Manuais!$F:$F,"Descartaveis")</f>
        <v/>
      </c>
      <c r="K231" s="241" t="n"/>
      <c r="L231" s="27">
        <f>-SUMIFS(T_ORCAMENTOS!$E:$E,T_ORCAMENTOS!$C:$C,"Descartaveis",T_ORCAMENTOS!$H:$H,"2/2026")</f>
        <v/>
      </c>
      <c r="M231" s="28">
        <f>SUMIFS(Aut_BlueMe_Sem_Pedido!$J:$J,Aut_BlueMe_Sem_Pedido!$Q:$Q,DRE!K$4,Aut_BlueMe_Sem_Pedido!$H:$H,DRE!$A231)+SUMIFS(Aut_Ajustes_Manuais!$G:$G,Aut_Ajustes_Manuais!$I:$I,DRE!K$4,Aut_Ajustes_Manuais!$F:$F,"Descartaveis")</f>
        <v/>
      </c>
      <c r="N231" s="241" t="n"/>
      <c r="O231" s="27">
        <f>-SUMIFS(T_ORCAMENTOS!$E:$E,T_ORCAMENTOS!$C:$C,"Descartaveis",T_ORCAMENTOS!$H:$H,"3/2026")</f>
        <v/>
      </c>
      <c r="P231" s="27">
        <f>SUMIFS(Aut_BlueMe_Sem_Pedido!$J:$J,Aut_BlueMe_Sem_Pedido!$Q:$Q,DRE!N$4,Aut_BlueMe_Sem_Pedido!$H:$H,DRE!$A231)+SUMIFS(Aut_Ajustes_Manuais!$G:$G,Aut_Ajustes_Manuais!$I:$I,DRE!N$4,Aut_Ajustes_Manuais!$F:$F,"Descartaveis")</f>
        <v/>
      </c>
      <c r="Q231" s="241" t="n"/>
      <c r="R231" s="27">
        <f>-SUMIFS(T_ORCAMENTOS!$E:$E,T_ORCAMENTOS!$C:$C,"Descartaveis",T_ORCAMENTOS!$H:$H,"4/2026")</f>
        <v/>
      </c>
      <c r="S231" s="27">
        <f>SUMIFS(Aut_BlueMe_Sem_Pedido!$J:$J,Aut_BlueMe_Sem_Pedido!$Q:$Q,DRE!Q$4,Aut_BlueMe_Sem_Pedido!$H:$H,DRE!$A231)+SUMIFS(Aut_Ajustes_Manuais!$G:$G,Aut_Ajustes_Manuais!$I:$I,DRE!Q$4,Aut_Ajustes_Manuais!$F:$F,"Descartaveis")</f>
        <v/>
      </c>
      <c r="T231" s="241" t="n"/>
      <c r="U231" s="27">
        <f>-SUMIFS(T_ORCAMENTOS!$E:$E,T_ORCAMENTOS!$C:$C,"Descartaveis",T_ORCAMENTOS!$H:$H,"5/2026")</f>
        <v/>
      </c>
      <c r="V231" s="28">
        <f>SUMIFS(Aut_BlueMe_Sem_Pedido!$J:$J,Aut_BlueMe_Sem_Pedido!$Q:$Q,DRE!T$4,Aut_BlueMe_Sem_Pedido!$H:$H,DRE!$A231)+SUMIFS(Aut_Ajustes_Manuais!$G:$G,Aut_Ajustes_Manuais!$I:$I,DRE!T$4,Aut_Ajustes_Manuais!$F:$F,"Descartaveis")</f>
        <v/>
      </c>
      <c r="W231" s="241" t="n"/>
      <c r="X231" s="27">
        <f>-SUMIFS(T_ORCAMENTOS!$E:$E,T_ORCAMENTOS!$C:$C,"Descartaveis",T_ORCAMENTOS!$H:$H,"6/2026")</f>
        <v/>
      </c>
      <c r="Y231" s="28">
        <f>SUMIFS(Aut_BlueMe_Sem_Pedido!$J:$J,Aut_BlueMe_Sem_Pedido!$Q:$Q,DRE!W$4,Aut_BlueMe_Sem_Pedido!$H:$H,DRE!$A231)+SUMIFS(Aut_Ajustes_Manuais!$G:$G,Aut_Ajustes_Manuais!$I:$I,DRE!W$4,Aut_Ajustes_Manuais!$F:$F,"Descartaveis")</f>
        <v/>
      </c>
      <c r="Z231" s="241" t="n"/>
      <c r="AA231" s="27">
        <f>-SUMIFS(T_ORCAMENTOS!$E:$E,T_ORCAMENTOS!$C:$C,"Descartaveis",T_ORCAMENTOS!$H:$H,"7/2026")</f>
        <v/>
      </c>
      <c r="AB231" s="28">
        <f>SUMIFS(Aut_BlueMe_Sem_Pedido!$J:$J,Aut_BlueMe_Sem_Pedido!$Q:$Q,DRE!Z$4,Aut_BlueMe_Sem_Pedido!$H:$H,DRE!$A231)+SUMIFS(Aut_Ajustes_Manuais!$G:$G,Aut_Ajustes_Manuais!$I:$I,DRE!Z$4,Aut_Ajustes_Manuais!$F:$F,"Descartaveis")</f>
        <v/>
      </c>
      <c r="AC231" s="241" t="n"/>
      <c r="AD231" s="27">
        <f>-SUMIFS(T_ORCAMENTOS!$E:$E,T_ORCAMENTOS!$C:$C,"Descartaveis",T_ORCAMENTOS!$H:$H,"8/2026")</f>
        <v/>
      </c>
      <c r="AE231" s="28">
        <f>SUMIFS(Aut_BlueMe_Sem_Pedido!$J:$J,Aut_BlueMe_Sem_Pedido!$Q:$Q,DRE!AC$4,Aut_BlueMe_Sem_Pedido!$H:$H,DRE!$A231)+SUMIFS(Aut_Ajustes_Manuais!$G:$G,Aut_Ajustes_Manuais!$I:$I,DRE!AC$4,Aut_Ajustes_Manuais!$F:$F,"Descartaveis")</f>
        <v/>
      </c>
      <c r="AF231" s="241" t="n"/>
      <c r="AG231" s="27">
        <f>-SUMIFS(T_ORCAMENTOS!$E:$E,T_ORCAMENTOS!$C:$C,"Descartaveis",T_ORCAMENTOS!$H:$H,"9/2026")</f>
        <v/>
      </c>
      <c r="AH231" s="28">
        <f>SUMIFS(Aut_BlueMe_Sem_Pedido!$J:$J,Aut_BlueMe_Sem_Pedido!$Q:$Q,DRE!AF$4,Aut_BlueMe_Sem_Pedido!$H:$H,DRE!$A231)+SUMIFS(Aut_Ajustes_Manuais!$G:$G,Aut_Ajustes_Manuais!$I:$I,DRE!AF$4,Aut_Ajustes_Manuais!$F:$F,"Descartaveis")</f>
        <v/>
      </c>
      <c r="AI231" s="241" t="n"/>
      <c r="AJ231" s="27">
        <f>-SUMIFS(T_ORCAMENTOS!$E:$E,T_ORCAMENTOS!$C:$C,"Descartaveis",T_ORCAMENTOS!$H:$H,"10/2026")</f>
        <v/>
      </c>
      <c r="AK231" s="28">
        <f>SUMIFS(Aut_BlueMe_Sem_Pedido!$J:$J,Aut_BlueMe_Sem_Pedido!$Q:$Q,DRE!AI$4,Aut_BlueMe_Sem_Pedido!$H:$H,DRE!$A231)+SUMIFS(Aut_Ajustes_Manuais!$G:$G,Aut_Ajustes_Manuais!$I:$I,DRE!AI$4,Aut_Ajustes_Manuais!$F:$F,"Descartaveis")</f>
        <v/>
      </c>
      <c r="AL231" s="241" t="n"/>
      <c r="AM231" s="27">
        <f>-SUMIFS(T_ORCAMENTOS!$E:$E,T_ORCAMENTOS!$C:$C,"Descartaveis",T_ORCAMENTOS!$H:$H,"11/2026")</f>
        <v/>
      </c>
      <c r="AN231" s="28">
        <f>SUMIFS(Aut_BlueMe_Sem_Pedido!$J:$J,Aut_BlueMe_Sem_Pedido!$Q:$Q,DRE!AL$4,Aut_BlueMe_Sem_Pedido!$H:$H,DRE!$A231)+SUMIFS(Aut_Ajustes_Manuais!$G:$G,Aut_Ajustes_Manuais!$I:$I,DRE!AL$4,Aut_Ajustes_Manuais!$F:$F,"Descartaveis")</f>
        <v/>
      </c>
      <c r="AO231" s="241" t="n"/>
      <c r="AP231" s="27">
        <f>-SUMIFS(T_ORCAMENTOS!$E:$E,T_ORCAMENTOS!$C:$C,"Descartaveis",T_ORCAMENTOS!$H:$H,"12/2026")</f>
        <v/>
      </c>
      <c r="AQ231" s="28">
        <f>SUMIFS(Aut_BlueMe_Sem_Pedido!$J:$J,Aut_BlueMe_Sem_Pedido!$Q:$Q,DRE!AO$4,Aut_BlueMe_Sem_Pedido!$H:$H,DRE!$A231)+SUMIFS(Aut_Ajustes_Manuais!$G:$G,Aut_Ajustes_Manuais!$I:$I,DRE!AO$4,Aut_Ajustes_Manuais!$F:$F,"Descartaveis")</f>
        <v/>
      </c>
      <c r="AR231" s="241">
        <f>SUMIFS($H231:$AO231,$H$5:$AO$5,"&lt;"&amp;MONTH(TODAY()),$H$6:$AO$6,"REAL 25")</f>
        <v/>
      </c>
      <c r="AS231" s="27">
        <f>SUMIFS($I231:$AP231,$I$5:$AP$5,"&lt;"&amp;MONTH(TODAY()),$I$6:$AP$6,"ORÇADO ")</f>
        <v/>
      </c>
      <c r="AT231" s="28">
        <f>SUMIFS($J231:$AQ231,$J$5:$AQ$5,"&lt;"&amp;MONTH(TODAY()),$J$6:$AQ$6,"REAL 26")</f>
        <v/>
      </c>
      <c r="AU231" s="241">
        <f>SUM(H231,K231,N231,Q231,T231,W231,Z231,AC231,AF231,AI231,AL231,AO231)</f>
        <v/>
      </c>
      <c r="AV231" s="27">
        <f>SUM(I231,L231,O231,R231,U231,X231,AA231,AD231,AG231,AJ231,AM231,AP231)</f>
        <v/>
      </c>
      <c r="AW231" s="28">
        <f>SUM(J231,M231,P231,S231,V231,Y231,AB231,AE231,AH231,AK231,AN231,AQ231)</f>
        <v/>
      </c>
      <c r="AX231" s="241">
        <f>SUM(H231,K231,N231)</f>
        <v/>
      </c>
      <c r="AY231" s="27">
        <f>SUM(I231,L231,O231)</f>
        <v/>
      </c>
      <c r="AZ231" s="28">
        <f>SUM(J231,M231,P231)</f>
        <v/>
      </c>
      <c r="BA231" s="241">
        <f>SUM(Q231,T231,W231)</f>
        <v/>
      </c>
      <c r="BB231" s="27">
        <f>SUM(R231,U231,X231)</f>
        <v/>
      </c>
      <c r="BC231" s="28">
        <f>SUM(S231,V231,Y231)</f>
        <v/>
      </c>
      <c r="BD231" s="241">
        <f>SUM(Z231,AC231,AF231)</f>
        <v/>
      </c>
      <c r="BE231" s="27">
        <f>SUM(AA231,AD231,AG231)</f>
        <v/>
      </c>
      <c r="BF231" s="28">
        <f>SUM(AB231,AE231,AH231)</f>
        <v/>
      </c>
      <c r="BG231" s="241">
        <f>SUM(AI231,AL231,AO231)</f>
        <v/>
      </c>
      <c r="BH231" s="27">
        <f>SUM(AJ231,AM231,AP231)</f>
        <v/>
      </c>
      <c r="BI231" s="28">
        <f>SUM(AK231,AN231,AQ231)</f>
        <v/>
      </c>
    </row>
    <row r="232" hidden="1" outlineLevel="1" customFormat="1" s="498">
      <c r="A232" s="22" t="inlineStr">
        <is>
          <t>Controle de Pragas</t>
        </is>
      </c>
      <c r="B232" s="23" t="n"/>
      <c r="C232" s="24" t="inlineStr">
        <is>
          <t>Contr/Prov</t>
        </is>
      </c>
      <c r="D232" s="81" t="n"/>
      <c r="E232" s="115" t="n"/>
      <c r="F232" s="56" t="n"/>
      <c r="G232" s="33" t="n"/>
      <c r="H232" s="241" t="n"/>
      <c r="I232" s="27">
        <f>-SUMIFS(T_ORCAMENTOS!$E:$E,T_ORCAMENTOS!$C:$C,"Controle de Pragas",T_ORCAMENTOS!$H:$H,"1/2026")</f>
        <v/>
      </c>
      <c r="J232" s="28">
        <f>SUMIFS(Aut_BlueMe_Sem_Pedido!$J:$J,Aut_BlueMe_Sem_Pedido!$Q:$Q,DRE!H$4,Aut_BlueMe_Sem_Pedido!$H:$H,DRE!$A232)+SUMIFS(Aut_Ajustes_Manuais!$G:$G,Aut_Ajustes_Manuais!$I:$I,DRE!H$4,Aut_Ajustes_Manuais!$F:$F,"Controle de Pragas")</f>
        <v/>
      </c>
      <c r="K232" s="241" t="n"/>
      <c r="L232" s="27">
        <f>-SUMIFS(T_ORCAMENTOS!$E:$E,T_ORCAMENTOS!$C:$C,"Controle de Pragas",T_ORCAMENTOS!$H:$H,"2/2026")</f>
        <v/>
      </c>
      <c r="M232" s="28">
        <f>SUMIFS(Aut_BlueMe_Sem_Pedido!$J:$J,Aut_BlueMe_Sem_Pedido!$Q:$Q,DRE!K$4,Aut_BlueMe_Sem_Pedido!$H:$H,DRE!$A232)+SUMIFS(Aut_Ajustes_Manuais!$G:$G,Aut_Ajustes_Manuais!$I:$I,DRE!K$4,Aut_Ajustes_Manuais!$F:$F,"Controle de Pragas")</f>
        <v/>
      </c>
      <c r="N232" s="241" t="n"/>
      <c r="O232" s="27">
        <f>-SUMIFS(T_ORCAMENTOS!$E:$E,T_ORCAMENTOS!$C:$C,"Controle de Pragas",T_ORCAMENTOS!$H:$H,"3/2026")</f>
        <v/>
      </c>
      <c r="P232" s="27">
        <f>SUMIFS(Aut_BlueMe_Sem_Pedido!$J:$J,Aut_BlueMe_Sem_Pedido!$Q:$Q,DRE!N$4,Aut_BlueMe_Sem_Pedido!$H:$H,DRE!$A232)+SUMIFS(Aut_Ajustes_Manuais!$G:$G,Aut_Ajustes_Manuais!$I:$I,DRE!N$4,Aut_Ajustes_Manuais!$F:$F,"Controle de Pragas")</f>
        <v/>
      </c>
      <c r="Q232" s="241" t="n"/>
      <c r="R232" s="27">
        <f>-SUMIFS(T_ORCAMENTOS!$E:$E,T_ORCAMENTOS!$C:$C,"Controle de Pragas",T_ORCAMENTOS!$H:$H,"4/2026")</f>
        <v/>
      </c>
      <c r="S232" s="27">
        <f>SUMIFS(Aut_BlueMe_Sem_Pedido!$J:$J,Aut_BlueMe_Sem_Pedido!$Q:$Q,DRE!Q$4,Aut_BlueMe_Sem_Pedido!$H:$H,DRE!$A232)+SUMIFS(Aut_Ajustes_Manuais!$G:$G,Aut_Ajustes_Manuais!$I:$I,DRE!Q$4,Aut_Ajustes_Manuais!$F:$F,"Controle de Pragas")</f>
        <v/>
      </c>
      <c r="T232" s="241" t="n"/>
      <c r="U232" s="27">
        <f>-SUMIFS(T_ORCAMENTOS!$E:$E,T_ORCAMENTOS!$C:$C,"Controle de Pragas",T_ORCAMENTOS!$H:$H,"5/2026")</f>
        <v/>
      </c>
      <c r="V232" s="28">
        <f>SUMIFS(Aut_BlueMe_Sem_Pedido!$J:$J,Aut_BlueMe_Sem_Pedido!$Q:$Q,DRE!T$4,Aut_BlueMe_Sem_Pedido!$H:$H,DRE!$A232)+SUMIFS(Aut_Ajustes_Manuais!$G:$G,Aut_Ajustes_Manuais!$I:$I,DRE!T$4,Aut_Ajustes_Manuais!$F:$F,"Controle de Pragas")</f>
        <v/>
      </c>
      <c r="W232" s="241" t="n"/>
      <c r="X232" s="27">
        <f>-SUMIFS(T_ORCAMENTOS!$E:$E,T_ORCAMENTOS!$C:$C,"Controle de Pragas",T_ORCAMENTOS!$H:$H,"6/2026")</f>
        <v/>
      </c>
      <c r="Y232" s="28">
        <f>SUMIFS(Aut_BlueMe_Sem_Pedido!$J:$J,Aut_BlueMe_Sem_Pedido!$Q:$Q,DRE!W$4,Aut_BlueMe_Sem_Pedido!$H:$H,DRE!$A232)+SUMIFS(Aut_Ajustes_Manuais!$G:$G,Aut_Ajustes_Manuais!$I:$I,DRE!W$4,Aut_Ajustes_Manuais!$F:$F,"Controle de Pragas")</f>
        <v/>
      </c>
      <c r="Z232" s="241" t="n"/>
      <c r="AA232" s="27">
        <f>-SUMIFS(T_ORCAMENTOS!$E:$E,T_ORCAMENTOS!$C:$C,"Controle de Pragas",T_ORCAMENTOS!$H:$H,"7/2026")</f>
        <v/>
      </c>
      <c r="AB232" s="28">
        <f>SUMIFS(Aut_BlueMe_Sem_Pedido!$J:$J,Aut_BlueMe_Sem_Pedido!$Q:$Q,DRE!Z$4,Aut_BlueMe_Sem_Pedido!$H:$H,DRE!$A232)+SUMIFS(Aut_Ajustes_Manuais!$G:$G,Aut_Ajustes_Manuais!$I:$I,DRE!Z$4,Aut_Ajustes_Manuais!$F:$F,"Controle de Pragas")</f>
        <v/>
      </c>
      <c r="AC232" s="241" t="n"/>
      <c r="AD232" s="27">
        <f>-SUMIFS(T_ORCAMENTOS!$E:$E,T_ORCAMENTOS!$C:$C,"Controle de Pragas",T_ORCAMENTOS!$H:$H,"8/2026")</f>
        <v/>
      </c>
      <c r="AE232" s="28">
        <f>SUMIFS(Aut_BlueMe_Sem_Pedido!$J:$J,Aut_BlueMe_Sem_Pedido!$Q:$Q,DRE!AC$4,Aut_BlueMe_Sem_Pedido!$H:$H,DRE!$A232)+SUMIFS(Aut_Ajustes_Manuais!$G:$G,Aut_Ajustes_Manuais!$I:$I,DRE!AC$4,Aut_Ajustes_Manuais!$F:$F,"Controle de Pragas")</f>
        <v/>
      </c>
      <c r="AF232" s="241" t="n"/>
      <c r="AG232" s="27">
        <f>-SUMIFS(T_ORCAMENTOS!$E:$E,T_ORCAMENTOS!$C:$C,"Controle de Pragas",T_ORCAMENTOS!$H:$H,"9/2026")</f>
        <v/>
      </c>
      <c r="AH232" s="28">
        <f>SUMIFS(Aut_BlueMe_Sem_Pedido!$J:$J,Aut_BlueMe_Sem_Pedido!$Q:$Q,DRE!AF$4,Aut_BlueMe_Sem_Pedido!$H:$H,DRE!$A232)+SUMIFS(Aut_Ajustes_Manuais!$G:$G,Aut_Ajustes_Manuais!$I:$I,DRE!AF$4,Aut_Ajustes_Manuais!$F:$F,"Controle de Pragas")</f>
        <v/>
      </c>
      <c r="AI232" s="241" t="n"/>
      <c r="AJ232" s="27">
        <f>-SUMIFS(T_ORCAMENTOS!$E:$E,T_ORCAMENTOS!$C:$C,"Controle de Pragas",T_ORCAMENTOS!$H:$H,"10/2026")</f>
        <v/>
      </c>
      <c r="AK232" s="28">
        <f>SUMIFS(Aut_BlueMe_Sem_Pedido!$J:$J,Aut_BlueMe_Sem_Pedido!$Q:$Q,DRE!AI$4,Aut_BlueMe_Sem_Pedido!$H:$H,DRE!$A232)+SUMIFS(Aut_Ajustes_Manuais!$G:$G,Aut_Ajustes_Manuais!$I:$I,DRE!AI$4,Aut_Ajustes_Manuais!$F:$F,"Controle de Pragas")</f>
        <v/>
      </c>
      <c r="AL232" s="241" t="n"/>
      <c r="AM232" s="27">
        <f>-SUMIFS(T_ORCAMENTOS!$E:$E,T_ORCAMENTOS!$C:$C,"Controle de Pragas",T_ORCAMENTOS!$H:$H,"11/2026")</f>
        <v/>
      </c>
      <c r="AN232" s="28">
        <f>SUMIFS(Aut_BlueMe_Sem_Pedido!$J:$J,Aut_BlueMe_Sem_Pedido!$Q:$Q,DRE!AL$4,Aut_BlueMe_Sem_Pedido!$H:$H,DRE!$A232)+SUMIFS(Aut_Ajustes_Manuais!$G:$G,Aut_Ajustes_Manuais!$I:$I,DRE!AL$4,Aut_Ajustes_Manuais!$F:$F,"Controle de Pragas")</f>
        <v/>
      </c>
      <c r="AO232" s="241" t="n"/>
      <c r="AP232" s="27">
        <f>-SUMIFS(T_ORCAMENTOS!$E:$E,T_ORCAMENTOS!$C:$C,"Controle de Pragas",T_ORCAMENTOS!$H:$H,"12/2026")</f>
        <v/>
      </c>
      <c r="AQ232" s="28">
        <f>SUMIFS(Aut_BlueMe_Sem_Pedido!$J:$J,Aut_BlueMe_Sem_Pedido!$Q:$Q,DRE!AO$4,Aut_BlueMe_Sem_Pedido!$H:$H,DRE!$A232)+SUMIFS(Aut_Ajustes_Manuais!$G:$G,Aut_Ajustes_Manuais!$I:$I,DRE!AO$4,Aut_Ajustes_Manuais!$F:$F,"Controle de Pragas")</f>
        <v/>
      </c>
      <c r="AR232" s="241">
        <f>SUMIFS($H232:$AO232,$H$5:$AO$5,"&lt;"&amp;MONTH(TODAY()),$H$6:$AO$6,"REAL 25")</f>
        <v/>
      </c>
      <c r="AS232" s="27">
        <f>SUMIFS($I232:$AP232,$I$5:$AP$5,"&lt;"&amp;MONTH(TODAY()),$I$6:$AP$6,"ORÇADO ")</f>
        <v/>
      </c>
      <c r="AT232" s="28">
        <f>SUMIFS($J232:$AQ232,$J$5:$AQ$5,"&lt;"&amp;MONTH(TODAY()),$J$6:$AQ$6,"REAL 26")</f>
        <v/>
      </c>
      <c r="AU232" s="241">
        <f>SUM(H232,K232,N232,Q232,T232,W232,Z232,AC232,AF232,AI232,AL232,AO232)</f>
        <v/>
      </c>
      <c r="AV232" s="27">
        <f>SUM(I232,L232,O232,R232,U232,X232,AA232,AD232,AG232,AJ232,AM232,AP232)</f>
        <v/>
      </c>
      <c r="AW232" s="28">
        <f>SUM(J232,M232,P232,S232,V232,Y232,AB232,AE232,AH232,AK232,AN232,AQ232)</f>
        <v/>
      </c>
      <c r="AX232" s="241">
        <f>SUM(H232,K232,N232)</f>
        <v/>
      </c>
      <c r="AY232" s="27">
        <f>SUM(I232,L232,O232)</f>
        <v/>
      </c>
      <c r="AZ232" s="28">
        <f>SUM(J232,M232,P232)</f>
        <v/>
      </c>
      <c r="BA232" s="241">
        <f>SUM(Q232,T232,W232)</f>
        <v/>
      </c>
      <c r="BB232" s="27">
        <f>SUM(R232,U232,X232)</f>
        <v/>
      </c>
      <c r="BC232" s="28">
        <f>SUM(S232,V232,Y232)</f>
        <v/>
      </c>
      <c r="BD232" s="241">
        <f>SUM(Z232,AC232,AF232)</f>
        <v/>
      </c>
      <c r="BE232" s="27">
        <f>SUM(AA232,AD232,AG232)</f>
        <v/>
      </c>
      <c r="BF232" s="28">
        <f>SUM(AB232,AE232,AH232)</f>
        <v/>
      </c>
      <c r="BG232" s="241">
        <f>SUM(AI232,AL232,AO232)</f>
        <v/>
      </c>
      <c r="BH232" s="27">
        <f>SUM(AJ232,AM232,AP232)</f>
        <v/>
      </c>
      <c r="BI232" s="28">
        <f>SUM(AK232,AN232,AQ232)</f>
        <v/>
      </c>
    </row>
    <row r="233" hidden="1" outlineLevel="1" customFormat="1" s="498">
      <c r="A233" s="22" t="inlineStr">
        <is>
          <t>Coleta de lixo</t>
        </is>
      </c>
      <c r="B233" s="23" t="n"/>
      <c r="C233" s="24" t="inlineStr">
        <is>
          <t>Estim. Mensal</t>
        </is>
      </c>
      <c r="D233" s="113" t="n">
        <v>-4000</v>
      </c>
      <c r="E233" s="114" t="n">
        <v>-0.0008</v>
      </c>
      <c r="F233" s="56" t="n"/>
      <c r="G233" s="33" t="n"/>
      <c r="H233" s="241" t="n"/>
      <c r="I233" s="27">
        <f>-SUMIFS(T_ORCAMENTOS!$E:$E,T_ORCAMENTOS!$C:$C,"Coleta de lixo",T_ORCAMENTOS!$H:$H,"1/2026")</f>
        <v/>
      </c>
      <c r="J233" s="28">
        <f>SUMIFS(Aut_BlueMe_Sem_Pedido!$J:$J,Aut_BlueMe_Sem_Pedido!$Q:$Q,DRE!H$4,Aut_BlueMe_Sem_Pedido!$H:$H,DRE!$A233)+SUMIFS(Aut_Ajustes_Manuais!$G:$G,Aut_Ajustes_Manuais!$I:$I,DRE!H$4,Aut_Ajustes_Manuais!$F:$F,"Coleta de lixo")</f>
        <v/>
      </c>
      <c r="K233" s="241" t="n"/>
      <c r="L233" s="27">
        <f>-SUMIFS(T_ORCAMENTOS!$E:$E,T_ORCAMENTOS!$C:$C,"Coleta de lixo",T_ORCAMENTOS!$H:$H,"2/2026")</f>
        <v/>
      </c>
      <c r="M233" s="28">
        <f>SUMIFS(Aut_BlueMe_Sem_Pedido!$J:$J,Aut_BlueMe_Sem_Pedido!$Q:$Q,DRE!K$4,Aut_BlueMe_Sem_Pedido!$H:$H,DRE!$A233)+SUMIFS(Aut_Ajustes_Manuais!$G:$G,Aut_Ajustes_Manuais!$I:$I,DRE!K$4,Aut_Ajustes_Manuais!$F:$F,"Coleta de lixo")</f>
        <v/>
      </c>
      <c r="N233" s="241" t="n"/>
      <c r="O233" s="27">
        <f>-SUMIFS(T_ORCAMENTOS!$E:$E,T_ORCAMENTOS!$C:$C,"Coleta de lixo",T_ORCAMENTOS!$H:$H,"3/2026")</f>
        <v/>
      </c>
      <c r="P233" s="27">
        <f>SUMIFS(Aut_BlueMe_Sem_Pedido!$J:$J,Aut_BlueMe_Sem_Pedido!$Q:$Q,DRE!N$4,Aut_BlueMe_Sem_Pedido!$H:$H,DRE!$A233)+SUMIFS(Aut_Ajustes_Manuais!$G:$G,Aut_Ajustes_Manuais!$I:$I,DRE!N$4,Aut_Ajustes_Manuais!$F:$F,"Coleta de lixo")</f>
        <v/>
      </c>
      <c r="Q233" s="241" t="n"/>
      <c r="R233" s="27">
        <f>-SUMIFS(T_ORCAMENTOS!$E:$E,T_ORCAMENTOS!$C:$C,"Coleta de lixo",T_ORCAMENTOS!$H:$H,"4/2026")</f>
        <v/>
      </c>
      <c r="S233" s="27">
        <f>SUMIFS(Aut_BlueMe_Sem_Pedido!$J:$J,Aut_BlueMe_Sem_Pedido!$Q:$Q,DRE!Q$4,Aut_BlueMe_Sem_Pedido!$H:$H,DRE!$A233)+SUMIFS(Aut_Ajustes_Manuais!$G:$G,Aut_Ajustes_Manuais!$I:$I,DRE!Q$4,Aut_Ajustes_Manuais!$F:$F,"Coleta de lixo")</f>
        <v/>
      </c>
      <c r="T233" s="241" t="n"/>
      <c r="U233" s="27">
        <f>-SUMIFS(T_ORCAMENTOS!$E:$E,T_ORCAMENTOS!$C:$C,"Coleta de lixo",T_ORCAMENTOS!$H:$H,"5/2026")</f>
        <v/>
      </c>
      <c r="V233" s="28">
        <f>SUMIFS(Aut_BlueMe_Sem_Pedido!$J:$J,Aut_BlueMe_Sem_Pedido!$Q:$Q,DRE!T$4,Aut_BlueMe_Sem_Pedido!$H:$H,DRE!$A233)+SUMIFS(Aut_Ajustes_Manuais!$G:$G,Aut_Ajustes_Manuais!$I:$I,DRE!T$4,Aut_Ajustes_Manuais!$F:$F,"Coleta de lixo")</f>
        <v/>
      </c>
      <c r="W233" s="241" t="n"/>
      <c r="X233" s="27">
        <f>-SUMIFS(T_ORCAMENTOS!$E:$E,T_ORCAMENTOS!$C:$C,"Coleta de lixo",T_ORCAMENTOS!$H:$H,"6/2026")</f>
        <v/>
      </c>
      <c r="Y233" s="28">
        <f>SUMIFS(Aut_BlueMe_Sem_Pedido!$J:$J,Aut_BlueMe_Sem_Pedido!$Q:$Q,DRE!W$4,Aut_BlueMe_Sem_Pedido!$H:$H,DRE!$A233)+SUMIFS(Aut_Ajustes_Manuais!$G:$G,Aut_Ajustes_Manuais!$I:$I,DRE!W$4,Aut_Ajustes_Manuais!$F:$F,"Coleta de lixo")</f>
        <v/>
      </c>
      <c r="Z233" s="241" t="n"/>
      <c r="AA233" s="27">
        <f>-SUMIFS(T_ORCAMENTOS!$E:$E,T_ORCAMENTOS!$C:$C,"Coleta de lixo",T_ORCAMENTOS!$H:$H,"7/2026")</f>
        <v/>
      </c>
      <c r="AB233" s="28">
        <f>SUMIFS(Aut_BlueMe_Sem_Pedido!$J:$J,Aut_BlueMe_Sem_Pedido!$Q:$Q,DRE!Z$4,Aut_BlueMe_Sem_Pedido!$H:$H,DRE!$A233)+SUMIFS(Aut_Ajustes_Manuais!$G:$G,Aut_Ajustes_Manuais!$I:$I,DRE!Z$4,Aut_Ajustes_Manuais!$F:$F,"Coleta de lixo")</f>
        <v/>
      </c>
      <c r="AC233" s="241" t="n"/>
      <c r="AD233" s="27">
        <f>-SUMIFS(T_ORCAMENTOS!$E:$E,T_ORCAMENTOS!$C:$C,"Coleta de lixo",T_ORCAMENTOS!$H:$H,"8/2026")</f>
        <v/>
      </c>
      <c r="AE233" s="28">
        <f>SUMIFS(Aut_BlueMe_Sem_Pedido!$J:$J,Aut_BlueMe_Sem_Pedido!$Q:$Q,DRE!AC$4,Aut_BlueMe_Sem_Pedido!$H:$H,DRE!$A233)+SUMIFS(Aut_Ajustes_Manuais!$G:$G,Aut_Ajustes_Manuais!$I:$I,DRE!AC$4,Aut_Ajustes_Manuais!$F:$F,"Coleta de lixo")</f>
        <v/>
      </c>
      <c r="AF233" s="241" t="n"/>
      <c r="AG233" s="27">
        <f>-SUMIFS(T_ORCAMENTOS!$E:$E,T_ORCAMENTOS!$C:$C,"Coleta de lixo",T_ORCAMENTOS!$H:$H,"9/2026")</f>
        <v/>
      </c>
      <c r="AH233" s="28">
        <f>SUMIFS(Aut_BlueMe_Sem_Pedido!$J:$J,Aut_BlueMe_Sem_Pedido!$Q:$Q,DRE!AF$4,Aut_BlueMe_Sem_Pedido!$H:$H,DRE!$A233)+SUMIFS(Aut_Ajustes_Manuais!$G:$G,Aut_Ajustes_Manuais!$I:$I,DRE!AF$4,Aut_Ajustes_Manuais!$F:$F,"Coleta de lixo")</f>
        <v/>
      </c>
      <c r="AI233" s="241" t="n"/>
      <c r="AJ233" s="27">
        <f>-SUMIFS(T_ORCAMENTOS!$E:$E,T_ORCAMENTOS!$C:$C,"Coleta de lixo",T_ORCAMENTOS!$H:$H,"10/2026")</f>
        <v/>
      </c>
      <c r="AK233" s="28">
        <f>SUMIFS(Aut_BlueMe_Sem_Pedido!$J:$J,Aut_BlueMe_Sem_Pedido!$Q:$Q,DRE!AI$4,Aut_BlueMe_Sem_Pedido!$H:$H,DRE!$A233)+SUMIFS(Aut_Ajustes_Manuais!$G:$G,Aut_Ajustes_Manuais!$I:$I,DRE!AI$4,Aut_Ajustes_Manuais!$F:$F,"Coleta de lixo")</f>
        <v/>
      </c>
      <c r="AL233" s="241" t="n"/>
      <c r="AM233" s="27">
        <f>-SUMIFS(T_ORCAMENTOS!$E:$E,T_ORCAMENTOS!$C:$C,"Coleta de lixo",T_ORCAMENTOS!$H:$H,"11/2026")</f>
        <v/>
      </c>
      <c r="AN233" s="28">
        <f>SUMIFS(Aut_BlueMe_Sem_Pedido!$J:$J,Aut_BlueMe_Sem_Pedido!$Q:$Q,DRE!AL$4,Aut_BlueMe_Sem_Pedido!$H:$H,DRE!$A233)+SUMIFS(Aut_Ajustes_Manuais!$G:$G,Aut_Ajustes_Manuais!$I:$I,DRE!AL$4,Aut_Ajustes_Manuais!$F:$F,"Coleta de lixo")</f>
        <v/>
      </c>
      <c r="AO233" s="241" t="n"/>
      <c r="AP233" s="27">
        <f>-SUMIFS(T_ORCAMENTOS!$E:$E,T_ORCAMENTOS!$C:$C,"Coleta de lixo",T_ORCAMENTOS!$H:$H,"12/2026")</f>
        <v/>
      </c>
      <c r="AQ233" s="28">
        <f>SUMIFS(Aut_BlueMe_Sem_Pedido!$J:$J,Aut_BlueMe_Sem_Pedido!$Q:$Q,DRE!AO$4,Aut_BlueMe_Sem_Pedido!$H:$H,DRE!$A233)+SUMIFS(Aut_Ajustes_Manuais!$G:$G,Aut_Ajustes_Manuais!$I:$I,DRE!AO$4,Aut_Ajustes_Manuais!$F:$F,"Coleta de lixo")</f>
        <v/>
      </c>
      <c r="AR233" s="241">
        <f>SUMIFS($H233:$AO233,$H$5:$AO$5,"&lt;"&amp;MONTH(TODAY()),$H$6:$AO$6,"REAL 25")</f>
        <v/>
      </c>
      <c r="AS233" s="27">
        <f>SUMIFS($I233:$AP233,$I$5:$AP$5,"&lt;"&amp;MONTH(TODAY()),$I$6:$AP$6,"ORÇADO ")</f>
        <v/>
      </c>
      <c r="AT233" s="28">
        <f>SUMIFS($J233:$AQ233,$J$5:$AQ$5,"&lt;"&amp;MONTH(TODAY()),$J$6:$AQ$6,"REAL 26")</f>
        <v/>
      </c>
      <c r="AU233" s="241">
        <f>SUM(H233,K233,N233,Q233,T233,W233,Z233,AC233,AF233,AI233,AL233,AO233)</f>
        <v/>
      </c>
      <c r="AV233" s="27">
        <f>SUM(I233,L233,O233,R233,U233,X233,AA233,AD233,AG233,AJ233,AM233,AP233)</f>
        <v/>
      </c>
      <c r="AW233" s="28">
        <f>SUM(J233,M233,P233,S233,V233,Y233,AB233,AE233,AH233,AK233,AN233,AQ233)</f>
        <v/>
      </c>
      <c r="AX233" s="241">
        <f>SUM(H233,K233,N233)</f>
        <v/>
      </c>
      <c r="AY233" s="27">
        <f>SUM(I233,L233,O233)</f>
        <v/>
      </c>
      <c r="AZ233" s="28">
        <f>SUM(J233,M233,P233)</f>
        <v/>
      </c>
      <c r="BA233" s="241">
        <f>SUM(Q233,T233,W233)</f>
        <v/>
      </c>
      <c r="BB233" s="27">
        <f>SUM(R233,U233,X233)</f>
        <v/>
      </c>
      <c r="BC233" s="28">
        <f>SUM(S233,V233,Y233)</f>
        <v/>
      </c>
      <c r="BD233" s="241">
        <f>SUM(Z233,AC233,AF233)</f>
        <v/>
      </c>
      <c r="BE233" s="27">
        <f>SUM(AA233,AD233,AG233)</f>
        <v/>
      </c>
      <c r="BF233" s="28">
        <f>SUM(AB233,AE233,AH233)</f>
        <v/>
      </c>
      <c r="BG233" s="241">
        <f>SUM(AI233,AL233,AO233)</f>
        <v/>
      </c>
      <c r="BH233" s="27">
        <f>SUM(AJ233,AM233,AP233)</f>
        <v/>
      </c>
      <c r="BI233" s="28">
        <f>SUM(AK233,AN233,AQ233)</f>
        <v/>
      </c>
    </row>
    <row r="234" hidden="1" outlineLevel="1" customFormat="1" s="498">
      <c r="A234" s="22" t="inlineStr">
        <is>
          <t>Utensilios</t>
        </is>
      </c>
      <c r="B234" s="23" t="n"/>
      <c r="C234" s="24" t="inlineStr">
        <is>
          <t>Estim. Mensal</t>
        </is>
      </c>
      <c r="D234" s="113" t="n">
        <v>-6000</v>
      </c>
      <c r="E234" s="114" t="n">
        <v>-0.0008</v>
      </c>
      <c r="F234" s="56" t="n"/>
      <c r="G234" s="33" t="n"/>
      <c r="H234" s="241" t="n"/>
      <c r="I234" s="27">
        <f>-SUMIFS(T_ORCAMENTOS!$E:$E,T_ORCAMENTOS!$C:$C,"Utensilios",T_ORCAMENTOS!$H:$H,"1/2026")</f>
        <v/>
      </c>
      <c r="J234" s="27">
        <f>SUMIFS(Aut_BlueMe_Sem_Pedido!$J:$J,Aut_BlueMe_Sem_Pedido!$Q:$Q,DRE!H$4,Aut_BlueMe_Sem_Pedido!$H:$H,DRE!$A234)-SUMIFS(Aut_BlueMe_Com_Pedido!$O:$O,Aut_BlueMe_Com_Pedido!$Q:$Q,DRE!H$4)+SUMIFS(Aut_Ajustes_Manuais!$G:$G,Aut_Ajustes_Manuais!$I:$I,DRE!H$4,Aut_Ajustes_Manuais!$F:$F,"Utensilios")</f>
        <v/>
      </c>
      <c r="K234" s="241" t="n"/>
      <c r="L234" s="27">
        <f>-SUMIFS(T_ORCAMENTOS!$E:$E,T_ORCAMENTOS!$C:$C,"Utensilios",T_ORCAMENTOS!$H:$H,"2/2026")</f>
        <v/>
      </c>
      <c r="M234" s="27">
        <f>SUMIFS(Aut_BlueMe_Sem_Pedido!$J:$J,Aut_BlueMe_Sem_Pedido!$Q:$Q,DRE!K$4,Aut_BlueMe_Sem_Pedido!$H:$H,DRE!$A234)-SUMIFS(Aut_BlueMe_Com_Pedido!$O:$O,Aut_BlueMe_Com_Pedido!$Q:$Q,DRE!K$4)+SUMIFS(Aut_Ajustes_Manuais!$G:$G,Aut_Ajustes_Manuais!$I:$I,DRE!K$4,Aut_Ajustes_Manuais!$F:$F,"Utensilios")</f>
        <v/>
      </c>
      <c r="N234" s="241" t="n"/>
      <c r="O234" s="27">
        <f>-SUMIFS(T_ORCAMENTOS!$E:$E,T_ORCAMENTOS!$C:$C,"Utensilios",T_ORCAMENTOS!$H:$H,"3/2026")</f>
        <v/>
      </c>
      <c r="P234" s="27">
        <f>SUMIFS(Aut_BlueMe_Sem_Pedido!$J:$J,Aut_BlueMe_Sem_Pedido!$Q:$Q,DRE!N$4,Aut_BlueMe_Sem_Pedido!$H:$H,DRE!$A234)-SUMIFS(Aut_BlueMe_Com_Pedido!$O:$O,Aut_BlueMe_Com_Pedido!$Q:$Q,DRE!N$4)+SUMIFS(Aut_Ajustes_Manuais!$G:$G,Aut_Ajustes_Manuais!$I:$I,DRE!N$4,Aut_Ajustes_Manuais!$F:$F,"Utensilios")</f>
        <v/>
      </c>
      <c r="Q234" s="241" t="n"/>
      <c r="R234" s="27">
        <f>-SUMIFS(T_ORCAMENTOS!$E:$E,T_ORCAMENTOS!$C:$C,"Utensilios",T_ORCAMENTOS!$H:$H,"4/2026")</f>
        <v/>
      </c>
      <c r="S234" s="27">
        <f>SUMIFS(Aut_BlueMe_Sem_Pedido!$J:$J,Aut_BlueMe_Sem_Pedido!$Q:$Q,DRE!Q$4,Aut_BlueMe_Sem_Pedido!$H:$H,DRE!$A234)-SUMIFS(Aut_BlueMe_Com_Pedido!$O:$O,Aut_BlueMe_Com_Pedido!$Q:$Q,DRE!Q$4)+SUMIFS(Aut_Ajustes_Manuais!$G:$G,Aut_Ajustes_Manuais!$I:$I,DRE!Q$4,Aut_Ajustes_Manuais!$F:$F,"Utensilios")</f>
        <v/>
      </c>
      <c r="T234" s="241" t="n"/>
      <c r="U234" s="27">
        <f>-SUMIFS(T_ORCAMENTOS!$E:$E,T_ORCAMENTOS!$C:$C,"Utensilios",T_ORCAMENTOS!$H:$H,"5/2026")</f>
        <v/>
      </c>
      <c r="V234" s="28">
        <f>SUMIFS(Aut_BlueMe_Sem_Pedido!$J:$J,Aut_BlueMe_Sem_Pedido!$Q:$Q,DRE!T$4,Aut_BlueMe_Sem_Pedido!$H:$H,DRE!$A234)-SUMIFS(Aut_BlueMe_Com_Pedido!$O:$O,Aut_BlueMe_Com_Pedido!$Q:$Q,DRE!T$4)+SUMIFS(Aut_Ajustes_Manuais!$G:$G,Aut_Ajustes_Manuais!$I:$I,DRE!T$4,Aut_Ajustes_Manuais!$F:$F,"Utensilios")</f>
        <v/>
      </c>
      <c r="W234" s="241" t="n"/>
      <c r="X234" s="27">
        <f>-SUMIFS(T_ORCAMENTOS!$E:$E,T_ORCAMENTOS!$C:$C,"Utensilios",T_ORCAMENTOS!$H:$H,"6/2026")</f>
        <v/>
      </c>
      <c r="Y234" s="28">
        <f>SUMIFS(Aut_BlueMe_Sem_Pedido!$J:$J,Aut_BlueMe_Sem_Pedido!$Q:$Q,DRE!W$4,Aut_BlueMe_Sem_Pedido!$H:$H,DRE!$A234)-SUMIFS(Aut_BlueMe_Com_Pedido!$O:$O,Aut_BlueMe_Com_Pedido!$Q:$Q,DRE!W$4)+SUMIFS(Aut_Ajustes_Manuais!$G:$G,Aut_Ajustes_Manuais!$I:$I,DRE!W$4,Aut_Ajustes_Manuais!$F:$F,"Utensilios")</f>
        <v/>
      </c>
      <c r="Z234" s="241" t="n"/>
      <c r="AA234" s="27">
        <f>-SUMIFS(T_ORCAMENTOS!$E:$E,T_ORCAMENTOS!$C:$C,"Utensilios",T_ORCAMENTOS!$H:$H,"7/2026")</f>
        <v/>
      </c>
      <c r="AB234" s="28">
        <f>SUMIFS(Aut_BlueMe_Sem_Pedido!$J:$J,Aut_BlueMe_Sem_Pedido!$Q:$Q,DRE!Z$4,Aut_BlueMe_Sem_Pedido!$H:$H,DRE!$A234)-SUMIFS(Aut_BlueMe_Com_Pedido!$O:$O,Aut_BlueMe_Com_Pedido!$Q:$Q,DRE!Z$4)+SUMIFS(Aut_Ajustes_Manuais!$G:$G,Aut_Ajustes_Manuais!$I:$I,DRE!Z$4,Aut_Ajustes_Manuais!$F:$F,"Utensilios")</f>
        <v/>
      </c>
      <c r="AC234" s="241" t="n"/>
      <c r="AD234" s="27">
        <f>-SUMIFS(T_ORCAMENTOS!$E:$E,T_ORCAMENTOS!$C:$C,"Utensilios",T_ORCAMENTOS!$H:$H,"8/2026")</f>
        <v/>
      </c>
      <c r="AE234" s="28">
        <f>SUMIFS(Aut_BlueMe_Sem_Pedido!$J:$J,Aut_BlueMe_Sem_Pedido!$Q:$Q,DRE!AC$4,Aut_BlueMe_Sem_Pedido!$H:$H,DRE!$A234)-SUMIFS(Aut_BlueMe_Com_Pedido!$O:$O,Aut_BlueMe_Com_Pedido!$Q:$Q,DRE!AC$4)+SUMIFS(Aut_Ajustes_Manuais!$G:$G,Aut_Ajustes_Manuais!$I:$I,DRE!AC$4,Aut_Ajustes_Manuais!$F:$F,"Utensilios")</f>
        <v/>
      </c>
      <c r="AF234" s="241" t="n"/>
      <c r="AG234" s="27">
        <f>-SUMIFS(T_ORCAMENTOS!$E:$E,T_ORCAMENTOS!$C:$C,"Utensilios",T_ORCAMENTOS!$H:$H,"9/2026")</f>
        <v/>
      </c>
      <c r="AH234" s="28">
        <f>SUMIFS(Aut_BlueMe_Sem_Pedido!$J:$J,Aut_BlueMe_Sem_Pedido!$Q:$Q,DRE!AF$4,Aut_BlueMe_Sem_Pedido!$H:$H,DRE!$A234)-SUMIFS(Aut_BlueMe_Com_Pedido!$O:$O,Aut_BlueMe_Com_Pedido!$Q:$Q,DRE!AF$4)+SUMIFS(Aut_Ajustes_Manuais!$G:$G,Aut_Ajustes_Manuais!$I:$I,DRE!AF$4,Aut_Ajustes_Manuais!$F:$F,"Utensilios")</f>
        <v/>
      </c>
      <c r="AI234" s="241" t="n"/>
      <c r="AJ234" s="27">
        <f>-SUMIFS(T_ORCAMENTOS!$E:$E,T_ORCAMENTOS!$C:$C,"Utensilios",T_ORCAMENTOS!$H:$H,"10/2026")</f>
        <v/>
      </c>
      <c r="AK234" s="28">
        <f>SUMIFS(Aut_BlueMe_Sem_Pedido!$J:$J,Aut_BlueMe_Sem_Pedido!$Q:$Q,DRE!AI$4,Aut_BlueMe_Sem_Pedido!$H:$H,DRE!$A234)-SUMIFS(Aut_BlueMe_Com_Pedido!$O:$O,Aut_BlueMe_Com_Pedido!$Q:$Q,DRE!AI$4)+SUMIFS(Aut_Ajustes_Manuais!$G:$G,Aut_Ajustes_Manuais!$I:$I,DRE!AI$4,Aut_Ajustes_Manuais!$F:$F,"Utensilios")</f>
        <v/>
      </c>
      <c r="AL234" s="241" t="n"/>
      <c r="AM234" s="27">
        <f>-SUMIFS(T_ORCAMENTOS!$E:$E,T_ORCAMENTOS!$C:$C,"Utensilios",T_ORCAMENTOS!$H:$H,"11/2026")</f>
        <v/>
      </c>
      <c r="AN234" s="28">
        <f>SUMIFS(Aut_BlueMe_Sem_Pedido!$J:$J,Aut_BlueMe_Sem_Pedido!$Q:$Q,DRE!AL$4,Aut_BlueMe_Sem_Pedido!$H:$H,DRE!$A234)-SUMIFS(Aut_BlueMe_Com_Pedido!$O:$O,Aut_BlueMe_Com_Pedido!$Q:$Q,DRE!AL$4)+SUMIFS(Aut_Ajustes_Manuais!$G:$G,Aut_Ajustes_Manuais!$I:$I,DRE!AL$4,Aut_Ajustes_Manuais!$F:$F,"Utensilios")</f>
        <v/>
      </c>
      <c r="AO234" s="241" t="n"/>
      <c r="AP234" s="27">
        <f>-SUMIFS(T_ORCAMENTOS!$E:$E,T_ORCAMENTOS!$C:$C,"Utensilios",T_ORCAMENTOS!$H:$H,"12/2026")</f>
        <v/>
      </c>
      <c r="AQ234" s="28">
        <f>SUMIFS(Aut_BlueMe_Sem_Pedido!$J:$J,Aut_BlueMe_Sem_Pedido!$Q:$Q,DRE!AO$4,Aut_BlueMe_Sem_Pedido!$H:$H,DRE!$A234)-SUMIFS(Aut_BlueMe_Com_Pedido!$O:$O,Aut_BlueMe_Com_Pedido!$Q:$Q,DRE!AO$4)+SUMIFS(Aut_Ajustes_Manuais!$G:$G,Aut_Ajustes_Manuais!$I:$I,DRE!AO$4,Aut_Ajustes_Manuais!$F:$F,"Utensilios")</f>
        <v/>
      </c>
      <c r="AR234" s="241">
        <f>SUMIFS($H234:$AO234,$H$5:$AO$5,"&lt;"&amp;MONTH(TODAY()),$H$6:$AO$6,"REAL 25")</f>
        <v/>
      </c>
      <c r="AS234" s="27">
        <f>SUMIFS($I234:$AP234,$I$5:$AP$5,"&lt;"&amp;MONTH(TODAY()),$I$6:$AP$6,"ORÇADO ")</f>
        <v/>
      </c>
      <c r="AT234" s="28">
        <f>SUMIFS($J234:$AQ234,$J$5:$AQ$5,"&lt;"&amp;MONTH(TODAY()),$J$6:$AQ$6,"REAL 26")</f>
        <v/>
      </c>
      <c r="AU234" s="241">
        <f>SUM(H234,K234,N234,Q234,T234,W234,Z234,AC234,AF234,AI234,AL234,AO234)</f>
        <v/>
      </c>
      <c r="AV234" s="27">
        <f>SUM(I234,L234,O234,R234,U234,X234,AA234,AD234,AG234,AJ234,AM234,AP234)</f>
        <v/>
      </c>
      <c r="AW234" s="28">
        <f>SUM(J234,M234,P234,S234,V234,Y234,AB234,AE234,AH234,AK234,AN234,AQ234)</f>
        <v/>
      </c>
      <c r="AX234" s="241">
        <f>SUM(H234,K234,N234)</f>
        <v/>
      </c>
      <c r="AY234" s="27">
        <f>SUM(I234,L234,O234)</f>
        <v/>
      </c>
      <c r="AZ234" s="28">
        <f>SUM(J234,M234,P234)</f>
        <v/>
      </c>
      <c r="BA234" s="241">
        <f>SUM(Q234,T234,W234)</f>
        <v/>
      </c>
      <c r="BB234" s="27">
        <f>SUM(R234,U234,X234)</f>
        <v/>
      </c>
      <c r="BC234" s="28">
        <f>SUM(S234,V234,Y234)</f>
        <v/>
      </c>
      <c r="BD234" s="241">
        <f>SUM(Z234,AC234,AF234)</f>
        <v/>
      </c>
      <c r="BE234" s="27">
        <f>SUM(AA234,AD234,AG234)</f>
        <v/>
      </c>
      <c r="BF234" s="28">
        <f>SUM(AB234,AE234,AH234)</f>
        <v/>
      </c>
      <c r="BG234" s="241">
        <f>SUM(AI234,AL234,AO234)</f>
        <v/>
      </c>
      <c r="BH234" s="27">
        <f>SUM(AJ234,AM234,AP234)</f>
        <v/>
      </c>
      <c r="BI234" s="28">
        <f>SUM(AK234,AN234,AQ234)</f>
        <v/>
      </c>
    </row>
    <row r="235" hidden="1" outlineLevel="1" customFormat="1" s="498">
      <c r="A235" s="22" t="inlineStr">
        <is>
          <t>Serviços Graficos</t>
        </is>
      </c>
      <c r="B235" s="23" t="n"/>
      <c r="C235" s="24" t="inlineStr">
        <is>
          <t>Estim. Mensal</t>
        </is>
      </c>
      <c r="D235" s="113" t="n">
        <v>-300</v>
      </c>
      <c r="E235" s="114" t="n"/>
      <c r="F235" s="56" t="n"/>
      <c r="G235" s="33" t="n"/>
      <c r="H235" s="241" t="n"/>
      <c r="I235" s="27">
        <f>-SUMIFS(T_ORCAMENTOS!$E:$E,T_ORCAMENTOS!$C:$C,"Serviços Graficos",T_ORCAMENTOS!$H:$H,"1/2026")</f>
        <v/>
      </c>
      <c r="J235" s="28">
        <f>SUMIFS(Aut_BlueMe_Sem_Pedido!$J:$J,Aut_BlueMe_Sem_Pedido!$Q:$Q,DRE!H$4,Aut_BlueMe_Sem_Pedido!$H:$H,DRE!$A235)+SUMIFS(Aut_Ajustes_Manuais!$G:$G,Aut_Ajustes_Manuais!$I:$I,DRE!H$4,Aut_Ajustes_Manuais!$F:$F,"Serviços Graficos")</f>
        <v/>
      </c>
      <c r="K235" s="241" t="n"/>
      <c r="L235" s="27">
        <f>-SUMIFS(T_ORCAMENTOS!$E:$E,T_ORCAMENTOS!$C:$C,"Serviços Graficos",T_ORCAMENTOS!$H:$H,"2/2026")</f>
        <v/>
      </c>
      <c r="M235" s="28">
        <f>SUMIFS(Aut_BlueMe_Sem_Pedido!$J:$J,Aut_BlueMe_Sem_Pedido!$Q:$Q,DRE!K$4,Aut_BlueMe_Sem_Pedido!$H:$H,DRE!$A235)+SUMIFS(Aut_Ajustes_Manuais!$G:$G,Aut_Ajustes_Manuais!$I:$I,DRE!K$4,Aut_Ajustes_Manuais!$F:$F,"Serviços Graficos")</f>
        <v/>
      </c>
      <c r="N235" s="241" t="n"/>
      <c r="O235" s="27">
        <f>-SUMIFS(T_ORCAMENTOS!$E:$E,T_ORCAMENTOS!$C:$C,"Serviços Graficos",T_ORCAMENTOS!$H:$H,"3/2026")</f>
        <v/>
      </c>
      <c r="P235" s="27">
        <f>SUMIFS(Aut_BlueMe_Sem_Pedido!$J:$J,Aut_BlueMe_Sem_Pedido!$Q:$Q,DRE!N$4,Aut_BlueMe_Sem_Pedido!$H:$H,DRE!$A235)+SUMIFS(Aut_Ajustes_Manuais!$G:$G,Aut_Ajustes_Manuais!$I:$I,DRE!N$4,Aut_Ajustes_Manuais!$F:$F,"Serviços Graficos")</f>
        <v/>
      </c>
      <c r="Q235" s="241" t="n"/>
      <c r="R235" s="27">
        <f>-SUMIFS(T_ORCAMENTOS!$E:$E,T_ORCAMENTOS!$C:$C,"Serviços Graficos",T_ORCAMENTOS!$H:$H,"4/2026")</f>
        <v/>
      </c>
      <c r="S235" s="27">
        <f>SUMIFS(Aut_BlueMe_Sem_Pedido!$J:$J,Aut_BlueMe_Sem_Pedido!$Q:$Q,DRE!Q$4,Aut_BlueMe_Sem_Pedido!$H:$H,DRE!$A235)+SUMIFS(Aut_Ajustes_Manuais!$G:$G,Aut_Ajustes_Manuais!$I:$I,DRE!Q$4,Aut_Ajustes_Manuais!$F:$F,"Serviços Graficos")</f>
        <v/>
      </c>
      <c r="T235" s="241" t="n"/>
      <c r="U235" s="27">
        <f>-SUMIFS(T_ORCAMENTOS!$E:$E,T_ORCAMENTOS!$C:$C,"Serviços Graficos",T_ORCAMENTOS!$H:$H,"5/2026")</f>
        <v/>
      </c>
      <c r="V235" s="28">
        <f>SUMIFS(Aut_BlueMe_Sem_Pedido!$J:$J,Aut_BlueMe_Sem_Pedido!$Q:$Q,DRE!T$4,Aut_BlueMe_Sem_Pedido!$H:$H,DRE!$A235)+SUMIFS(Aut_Ajustes_Manuais!$G:$G,Aut_Ajustes_Manuais!$I:$I,DRE!T$4,Aut_Ajustes_Manuais!$F:$F,"Serviços Graficos")</f>
        <v/>
      </c>
      <c r="W235" s="241" t="n"/>
      <c r="X235" s="27">
        <f>-SUMIFS(T_ORCAMENTOS!$E:$E,T_ORCAMENTOS!$C:$C,"Serviços Graficos",T_ORCAMENTOS!$H:$H,"6/2026")</f>
        <v/>
      </c>
      <c r="Y235" s="28">
        <f>SUMIFS(Aut_BlueMe_Sem_Pedido!$J:$J,Aut_BlueMe_Sem_Pedido!$Q:$Q,DRE!W$4,Aut_BlueMe_Sem_Pedido!$H:$H,DRE!$A235)+SUMIFS(Aut_Ajustes_Manuais!$G:$G,Aut_Ajustes_Manuais!$I:$I,DRE!W$4,Aut_Ajustes_Manuais!$F:$F,"Serviços Graficos")</f>
        <v/>
      </c>
      <c r="Z235" s="241" t="n"/>
      <c r="AA235" s="27">
        <f>-SUMIFS(T_ORCAMENTOS!$E:$E,T_ORCAMENTOS!$C:$C,"Serviços Graficos",T_ORCAMENTOS!$H:$H,"7/2026")</f>
        <v/>
      </c>
      <c r="AB235" s="28">
        <f>SUMIFS(Aut_BlueMe_Sem_Pedido!$J:$J,Aut_BlueMe_Sem_Pedido!$Q:$Q,DRE!Z$4,Aut_BlueMe_Sem_Pedido!$H:$H,DRE!$A235)+SUMIFS(Aut_Ajustes_Manuais!$G:$G,Aut_Ajustes_Manuais!$I:$I,DRE!Z$4,Aut_Ajustes_Manuais!$F:$F,"Serviços Graficos")</f>
        <v/>
      </c>
      <c r="AC235" s="241" t="n"/>
      <c r="AD235" s="27">
        <f>-SUMIFS(T_ORCAMENTOS!$E:$E,T_ORCAMENTOS!$C:$C,"Serviços Graficos",T_ORCAMENTOS!$H:$H,"8/2026")</f>
        <v/>
      </c>
      <c r="AE235" s="28">
        <f>SUMIFS(Aut_BlueMe_Sem_Pedido!$J:$J,Aut_BlueMe_Sem_Pedido!$Q:$Q,DRE!AC$4,Aut_BlueMe_Sem_Pedido!$H:$H,DRE!$A235)+SUMIFS(Aut_Ajustes_Manuais!$G:$G,Aut_Ajustes_Manuais!$I:$I,DRE!AC$4,Aut_Ajustes_Manuais!$F:$F,"Serviços Graficos")</f>
        <v/>
      </c>
      <c r="AF235" s="241" t="n"/>
      <c r="AG235" s="27">
        <f>-SUMIFS(T_ORCAMENTOS!$E:$E,T_ORCAMENTOS!$C:$C,"Serviços Graficos",T_ORCAMENTOS!$H:$H,"9/2026")</f>
        <v/>
      </c>
      <c r="AH235" s="28">
        <f>SUMIFS(Aut_BlueMe_Sem_Pedido!$J:$J,Aut_BlueMe_Sem_Pedido!$Q:$Q,DRE!AF$4,Aut_BlueMe_Sem_Pedido!$H:$H,DRE!$A235)+SUMIFS(Aut_Ajustes_Manuais!$G:$G,Aut_Ajustes_Manuais!$I:$I,DRE!AF$4,Aut_Ajustes_Manuais!$F:$F,"Serviços Graficos")</f>
        <v/>
      </c>
      <c r="AI235" s="241" t="n"/>
      <c r="AJ235" s="27">
        <f>-SUMIFS(T_ORCAMENTOS!$E:$E,T_ORCAMENTOS!$C:$C,"Serviços Graficos",T_ORCAMENTOS!$H:$H,"10/2026")</f>
        <v/>
      </c>
      <c r="AK235" s="28">
        <f>SUMIFS(Aut_BlueMe_Sem_Pedido!$J:$J,Aut_BlueMe_Sem_Pedido!$Q:$Q,DRE!AI$4,Aut_BlueMe_Sem_Pedido!$H:$H,DRE!$A235)+SUMIFS(Aut_Ajustes_Manuais!$G:$G,Aut_Ajustes_Manuais!$I:$I,DRE!AI$4,Aut_Ajustes_Manuais!$F:$F,"Serviços Graficos")</f>
        <v/>
      </c>
      <c r="AL235" s="241" t="n"/>
      <c r="AM235" s="27">
        <f>-SUMIFS(T_ORCAMENTOS!$E:$E,T_ORCAMENTOS!$C:$C,"Serviços Graficos",T_ORCAMENTOS!$H:$H,"11/2026")</f>
        <v/>
      </c>
      <c r="AN235" s="28">
        <f>SUMIFS(Aut_BlueMe_Sem_Pedido!$J:$J,Aut_BlueMe_Sem_Pedido!$Q:$Q,DRE!AL$4,Aut_BlueMe_Sem_Pedido!$H:$H,DRE!$A235)+SUMIFS(Aut_Ajustes_Manuais!$G:$G,Aut_Ajustes_Manuais!$I:$I,DRE!AL$4,Aut_Ajustes_Manuais!$F:$F,"Serviços Graficos")</f>
        <v/>
      </c>
      <c r="AO235" s="241" t="n"/>
      <c r="AP235" s="27">
        <f>-SUMIFS(T_ORCAMENTOS!$E:$E,T_ORCAMENTOS!$C:$C,"Serviços Graficos",T_ORCAMENTOS!$H:$H,"12/2026")</f>
        <v/>
      </c>
      <c r="AQ235" s="28">
        <f>SUMIFS(Aut_BlueMe_Sem_Pedido!$J:$J,Aut_BlueMe_Sem_Pedido!$Q:$Q,DRE!AO$4,Aut_BlueMe_Sem_Pedido!$H:$H,DRE!$A235)+SUMIFS(Aut_Ajustes_Manuais!$G:$G,Aut_Ajustes_Manuais!$I:$I,DRE!AO$4,Aut_Ajustes_Manuais!$F:$F,"Serviços Graficos")</f>
        <v/>
      </c>
      <c r="AR235" s="241">
        <f>SUMIFS($H235:$AO235,$H$5:$AO$5,"&lt;"&amp;MONTH(TODAY()),$H$6:$AO$6,"REAL 25")</f>
        <v/>
      </c>
      <c r="AS235" s="27">
        <f>SUMIFS($I235:$AP235,$I$5:$AP$5,"&lt;"&amp;MONTH(TODAY()),$I$6:$AP$6,"ORÇADO ")</f>
        <v/>
      </c>
      <c r="AT235" s="28">
        <f>SUMIFS($J235:$AQ235,$J$5:$AQ$5,"&lt;"&amp;MONTH(TODAY()),$J$6:$AQ$6,"REAL 26")</f>
        <v/>
      </c>
      <c r="AU235" s="241">
        <f>SUM(H235,K235,N235,Q235,T235,W235,Z235,AC235,AF235,AI235,AL235,AO235)</f>
        <v/>
      </c>
      <c r="AV235" s="27">
        <f>SUM(I235,L235,O235,R235,U235,X235,AA235,AD235,AG235,AJ235,AM235,AP235)</f>
        <v/>
      </c>
      <c r="AW235" s="28">
        <f>SUM(J235,M235,P235,S235,V235,Y235,AB235,AE235,AH235,AK235,AN235,AQ235)</f>
        <v/>
      </c>
      <c r="AX235" s="241">
        <f>SUM(H235,K235,N235)</f>
        <v/>
      </c>
      <c r="AY235" s="27">
        <f>SUM(I235,L235,O235)</f>
        <v/>
      </c>
      <c r="AZ235" s="28">
        <f>SUM(J235,M235,P235)</f>
        <v/>
      </c>
      <c r="BA235" s="241">
        <f>SUM(Q235,T235,W235)</f>
        <v/>
      </c>
      <c r="BB235" s="27">
        <f>SUM(R235,U235,X235)</f>
        <v/>
      </c>
      <c r="BC235" s="28">
        <f>SUM(S235,V235,Y235)</f>
        <v/>
      </c>
      <c r="BD235" s="241">
        <f>SUM(Z235,AC235,AF235)</f>
        <v/>
      </c>
      <c r="BE235" s="27">
        <f>SUM(AA235,AD235,AG235)</f>
        <v/>
      </c>
      <c r="BF235" s="28">
        <f>SUM(AB235,AE235,AH235)</f>
        <v/>
      </c>
      <c r="BG235" s="241">
        <f>SUM(AI235,AL235,AO235)</f>
        <v/>
      </c>
      <c r="BH235" s="27">
        <f>SUM(AJ235,AM235,AP235)</f>
        <v/>
      </c>
      <c r="BI235" s="28">
        <f>SUM(AK235,AN235,AQ235)</f>
        <v/>
      </c>
    </row>
    <row r="236" hidden="1" outlineLevel="1" customFormat="1" s="498">
      <c r="A236" s="22" t="inlineStr">
        <is>
          <t>Custas Cartório</t>
        </is>
      </c>
      <c r="B236" s="23" t="n"/>
      <c r="C236" s="24" t="inlineStr">
        <is>
          <t>Estim. Mensal</t>
        </is>
      </c>
      <c r="D236" s="113" t="n">
        <v>-280</v>
      </c>
      <c r="E236" s="114" t="n"/>
      <c r="F236" s="56" t="n"/>
      <c r="G236" s="33" t="n"/>
      <c r="H236" s="241" t="n"/>
      <c r="I236" s="27">
        <f>-SUMIFS(T_ORCAMENTOS!$E:$E,T_ORCAMENTOS!$C:$C,"Custas Cartório / Operação",T_ORCAMENTOS!$H:$H,"1/2026")</f>
        <v/>
      </c>
      <c r="J236" s="28">
        <f>SUMIFS(Aut_BlueMe_Sem_Pedido!$J:$J,Aut_BlueMe_Sem_Pedido!$Q:$Q,DRE!H$4,Aut_BlueMe_Sem_Pedido!$H:$H,DRE!$A236)+SUMIFS(Aut_Ajustes_Manuais!$G:$G,Aut_Ajustes_Manuais!$I:$I,DRE!H$4,Aut_Ajustes_Manuais!$F:$F,"Custas Cartório")</f>
        <v/>
      </c>
      <c r="K236" s="241" t="n"/>
      <c r="L236" s="27">
        <f>-SUMIFS(T_ORCAMENTOS!$E:$E,T_ORCAMENTOS!$C:$C,"Custas Cartório / Operação",T_ORCAMENTOS!$H:$H,"2/2026")</f>
        <v/>
      </c>
      <c r="M236" s="28">
        <f>SUMIFS(Aut_BlueMe_Sem_Pedido!$J:$J,Aut_BlueMe_Sem_Pedido!$Q:$Q,DRE!K$4,Aut_BlueMe_Sem_Pedido!$H:$H,DRE!$A236)+SUMIFS(Aut_Ajustes_Manuais!$G:$G,Aut_Ajustes_Manuais!$I:$I,DRE!K$4,Aut_Ajustes_Manuais!$F:$F,"Custas Cartório")</f>
        <v/>
      </c>
      <c r="N236" s="241" t="n"/>
      <c r="O236" s="27">
        <f>-SUMIFS(T_ORCAMENTOS!$E:$E,T_ORCAMENTOS!$C:$C,"Custas Cartório / Operação",T_ORCAMENTOS!$H:$H,"3/2026")</f>
        <v/>
      </c>
      <c r="P236" s="27">
        <f>SUMIFS(Aut_BlueMe_Sem_Pedido!$J:$J,Aut_BlueMe_Sem_Pedido!$Q:$Q,DRE!N$4,Aut_BlueMe_Sem_Pedido!$H:$H,DRE!$A236)+SUMIFS(Aut_Ajustes_Manuais!$G:$G,Aut_Ajustes_Manuais!$I:$I,DRE!N$4,Aut_Ajustes_Manuais!$F:$F,"Custas Cartório")</f>
        <v/>
      </c>
      <c r="Q236" s="241" t="n"/>
      <c r="R236" s="27">
        <f>-SUMIFS(T_ORCAMENTOS!$E:$E,T_ORCAMENTOS!$C:$C,"Custas Cartório / Operação",T_ORCAMENTOS!$H:$H,"4/2026")</f>
        <v/>
      </c>
      <c r="S236" s="27">
        <f>SUMIFS(Aut_BlueMe_Sem_Pedido!$J:$J,Aut_BlueMe_Sem_Pedido!$Q:$Q,DRE!Q$4,Aut_BlueMe_Sem_Pedido!$H:$H,DRE!$A236)+SUMIFS(Aut_Ajustes_Manuais!$G:$G,Aut_Ajustes_Manuais!$I:$I,DRE!Q$4,Aut_Ajustes_Manuais!$F:$F,"Custas Cartório")</f>
        <v/>
      </c>
      <c r="T236" s="241" t="n"/>
      <c r="U236" s="27">
        <f>-SUMIFS(T_ORCAMENTOS!$E:$E,T_ORCAMENTOS!$C:$C,"Custas Cartório / Operação",T_ORCAMENTOS!$H:$H,"5/2026")</f>
        <v/>
      </c>
      <c r="V236" s="28">
        <f>SUMIFS(Aut_BlueMe_Sem_Pedido!$J:$J,Aut_BlueMe_Sem_Pedido!$Q:$Q,DRE!T$4,Aut_BlueMe_Sem_Pedido!$H:$H,DRE!$A236)+SUMIFS(Aut_Ajustes_Manuais!$G:$G,Aut_Ajustes_Manuais!$I:$I,DRE!T$4,Aut_Ajustes_Manuais!$F:$F,"Custas Cartório")</f>
        <v/>
      </c>
      <c r="W236" s="241" t="n"/>
      <c r="X236" s="27">
        <f>-SUMIFS(T_ORCAMENTOS!$E:$E,T_ORCAMENTOS!$C:$C,"Custas Cartório / Operação",T_ORCAMENTOS!$H:$H,"6/2026")</f>
        <v/>
      </c>
      <c r="Y236" s="28">
        <f>SUMIFS(Aut_BlueMe_Sem_Pedido!$J:$J,Aut_BlueMe_Sem_Pedido!$Q:$Q,DRE!W$4,Aut_BlueMe_Sem_Pedido!$H:$H,DRE!$A236)+SUMIFS(Aut_Ajustes_Manuais!$G:$G,Aut_Ajustes_Manuais!$I:$I,DRE!W$4,Aut_Ajustes_Manuais!$F:$F,"Custas Cartório")</f>
        <v/>
      </c>
      <c r="Z236" s="241" t="n"/>
      <c r="AA236" s="27">
        <f>-SUMIFS(T_ORCAMENTOS!$E:$E,T_ORCAMENTOS!$C:$C,"Custas Cartório / Operação",T_ORCAMENTOS!$H:$H,"7/2026")</f>
        <v/>
      </c>
      <c r="AB236" s="28">
        <f>SUMIFS(Aut_BlueMe_Sem_Pedido!$J:$J,Aut_BlueMe_Sem_Pedido!$Q:$Q,DRE!Z$4,Aut_BlueMe_Sem_Pedido!$H:$H,DRE!$A236)+SUMIFS(Aut_Ajustes_Manuais!$G:$G,Aut_Ajustes_Manuais!$I:$I,DRE!Z$4,Aut_Ajustes_Manuais!$F:$F,"Custas Cartório")</f>
        <v/>
      </c>
      <c r="AC236" s="241" t="n"/>
      <c r="AD236" s="27">
        <f>-SUMIFS(T_ORCAMENTOS!$E:$E,T_ORCAMENTOS!$C:$C,"Custas Cartório / Operação",T_ORCAMENTOS!$H:$H,"8/2026")</f>
        <v/>
      </c>
      <c r="AE236" s="28">
        <f>SUMIFS(Aut_BlueMe_Sem_Pedido!$J:$J,Aut_BlueMe_Sem_Pedido!$Q:$Q,DRE!AC$4,Aut_BlueMe_Sem_Pedido!$H:$H,DRE!$A236)+SUMIFS(Aut_Ajustes_Manuais!$G:$G,Aut_Ajustes_Manuais!$I:$I,DRE!AC$4,Aut_Ajustes_Manuais!$F:$F,"Custas Cartório")</f>
        <v/>
      </c>
      <c r="AF236" s="241" t="n"/>
      <c r="AG236" s="27">
        <f>-SUMIFS(T_ORCAMENTOS!$E:$E,T_ORCAMENTOS!$C:$C,"Custas Cartório / Operação",T_ORCAMENTOS!$H:$H,"9/2026")</f>
        <v/>
      </c>
      <c r="AH236" s="28">
        <f>SUMIFS(Aut_BlueMe_Sem_Pedido!$J:$J,Aut_BlueMe_Sem_Pedido!$Q:$Q,DRE!AF$4,Aut_BlueMe_Sem_Pedido!$H:$H,DRE!$A236)+SUMIFS(Aut_Ajustes_Manuais!$G:$G,Aut_Ajustes_Manuais!$I:$I,DRE!AF$4,Aut_Ajustes_Manuais!$F:$F,"Custas Cartório")</f>
        <v/>
      </c>
      <c r="AI236" s="241" t="n"/>
      <c r="AJ236" s="27">
        <f>-SUMIFS(T_ORCAMENTOS!$E:$E,T_ORCAMENTOS!$C:$C,"Custas Cartório / Operação",T_ORCAMENTOS!$H:$H,"10/2026")</f>
        <v/>
      </c>
      <c r="AK236" s="28">
        <f>SUMIFS(Aut_BlueMe_Sem_Pedido!$J:$J,Aut_BlueMe_Sem_Pedido!$Q:$Q,DRE!AI$4,Aut_BlueMe_Sem_Pedido!$H:$H,DRE!$A236)+SUMIFS(Aut_Ajustes_Manuais!$G:$G,Aut_Ajustes_Manuais!$I:$I,DRE!AI$4,Aut_Ajustes_Manuais!$F:$F,"Custas Cartório")</f>
        <v/>
      </c>
      <c r="AL236" s="241" t="n"/>
      <c r="AM236" s="27">
        <f>-SUMIFS(T_ORCAMENTOS!$E:$E,T_ORCAMENTOS!$C:$C,"Custas Cartório / Operação",T_ORCAMENTOS!$H:$H,"11/2026")</f>
        <v/>
      </c>
      <c r="AN236" s="28">
        <f>SUMIFS(Aut_BlueMe_Sem_Pedido!$J:$J,Aut_BlueMe_Sem_Pedido!$Q:$Q,DRE!AL$4,Aut_BlueMe_Sem_Pedido!$H:$H,DRE!$A236)+SUMIFS(Aut_Ajustes_Manuais!$G:$G,Aut_Ajustes_Manuais!$I:$I,DRE!AL$4,Aut_Ajustes_Manuais!$F:$F,"Custas Cartório")</f>
        <v/>
      </c>
      <c r="AO236" s="241" t="n"/>
      <c r="AP236" s="27">
        <f>-SUMIFS(T_ORCAMENTOS!$E:$E,T_ORCAMENTOS!$C:$C,"Custas Cartório / Operação",T_ORCAMENTOS!$H:$H,"12/2026")</f>
        <v/>
      </c>
      <c r="AQ236" s="28">
        <f>SUMIFS(Aut_BlueMe_Sem_Pedido!$J:$J,Aut_BlueMe_Sem_Pedido!$Q:$Q,DRE!AO$4,Aut_BlueMe_Sem_Pedido!$H:$H,DRE!$A236)+SUMIFS(Aut_Ajustes_Manuais!$G:$G,Aut_Ajustes_Manuais!$I:$I,DRE!AO$4,Aut_Ajustes_Manuais!$F:$F,"Custas Cartório")</f>
        <v/>
      </c>
      <c r="AR236" s="241">
        <f>SUMIFS($H236:$AO236,$H$5:$AO$5,"&lt;"&amp;MONTH(TODAY()),$H$6:$AO$6,"REAL 25")</f>
        <v/>
      </c>
      <c r="AS236" s="27">
        <f>SUMIFS($I236:$AP236,$I$5:$AP$5,"&lt;"&amp;MONTH(TODAY()),$I$6:$AP$6,"ORÇADO ")</f>
        <v/>
      </c>
      <c r="AT236" s="28">
        <f>SUMIFS($J236:$AQ236,$J$5:$AQ$5,"&lt;"&amp;MONTH(TODAY()),$J$6:$AQ$6,"REAL 26")</f>
        <v/>
      </c>
      <c r="AU236" s="241">
        <f>SUM(H236,K236,N236,Q236,T236,W236,Z236,AC236,AF236,AI236,AL236,AO236)</f>
        <v/>
      </c>
      <c r="AV236" s="27">
        <f>SUM(I236,L236,O236,R236,U236,X236,AA236,AD236,AG236,AJ236,AM236,AP236)</f>
        <v/>
      </c>
      <c r="AW236" s="28">
        <f>SUM(J236,M236,P236,S236,V236,Y236,AB236,AE236,AH236,AK236,AN236,AQ236)</f>
        <v/>
      </c>
      <c r="AX236" s="241">
        <f>SUM(H236,K236,N236)</f>
        <v/>
      </c>
      <c r="AY236" s="27">
        <f>SUM(I236,L236,O236)</f>
        <v/>
      </c>
      <c r="AZ236" s="28">
        <f>SUM(J236,M236,P236)</f>
        <v/>
      </c>
      <c r="BA236" s="241">
        <f>SUM(Q236,T236,W236)</f>
        <v/>
      </c>
      <c r="BB236" s="27">
        <f>SUM(R236,U236,X236)</f>
        <v/>
      </c>
      <c r="BC236" s="28">
        <f>SUM(S236,V236,Y236)</f>
        <v/>
      </c>
      <c r="BD236" s="241">
        <f>SUM(Z236,AC236,AF236)</f>
        <v/>
      </c>
      <c r="BE236" s="27">
        <f>SUM(AA236,AD236,AG236)</f>
        <v/>
      </c>
      <c r="BF236" s="28">
        <f>SUM(AB236,AE236,AH236)</f>
        <v/>
      </c>
      <c r="BG236" s="241">
        <f>SUM(AI236,AL236,AO236)</f>
        <v/>
      </c>
      <c r="BH236" s="27">
        <f>SUM(AJ236,AM236,AP236)</f>
        <v/>
      </c>
      <c r="BI236" s="28">
        <f>SUM(AK236,AN236,AQ236)</f>
        <v/>
      </c>
    </row>
    <row r="237" hidden="1" outlineLevel="1" customFormat="1" s="498">
      <c r="A237" s="22" t="inlineStr">
        <is>
          <t>Material de Escritorio</t>
        </is>
      </c>
      <c r="B237" s="23" t="n"/>
      <c r="C237" s="24" t="inlineStr">
        <is>
          <t>Estim. Mensal</t>
        </is>
      </c>
      <c r="D237" s="113" t="n"/>
      <c r="E237" s="114" t="n">
        <v>-0.0007</v>
      </c>
      <c r="F237" s="56" t="n"/>
      <c r="G237" s="33" t="n"/>
      <c r="H237" s="241" t="n"/>
      <c r="I237" s="27">
        <f>-SUMIFS(T_ORCAMENTOS!$E:$E,T_ORCAMENTOS!$C:$C,"Material de Escritorio",T_ORCAMENTOS!$H:$H,"1/2026")</f>
        <v/>
      </c>
      <c r="J237" s="28">
        <f>SUMIFS(Aut_BlueMe_Sem_Pedido!$J:$J,Aut_BlueMe_Sem_Pedido!$Q:$Q,DRE!H$4,Aut_BlueMe_Sem_Pedido!$H:$H,DRE!$A237)-SUMIFS(Aut_BlueMe_Com_Pedido!$P:$P,Aut_BlueMe_Com_Pedido!$Q:$Q,DRE!H$4)+SUMIFS(Aut_Ajustes_Manuais!$G:$G,Aut_Ajustes_Manuais!$I:$I,DRE!H$4,Aut_Ajustes_Manuais!$F:$F,"Material de Escritorio")</f>
        <v/>
      </c>
      <c r="K237" s="241" t="n"/>
      <c r="L237" s="27">
        <f>-SUMIFS(T_ORCAMENTOS!$E:$E,T_ORCAMENTOS!$C:$C,"Material de Escritorio",T_ORCAMENTOS!$H:$H,"2/2026")</f>
        <v/>
      </c>
      <c r="M237" s="28">
        <f>SUMIFS(Aut_BlueMe_Sem_Pedido!$J:$J,Aut_BlueMe_Sem_Pedido!$Q:$Q,DRE!K$4,Aut_BlueMe_Sem_Pedido!$H:$H,DRE!$A237)-SUMIFS(Aut_BlueMe_Com_Pedido!$P:$P,Aut_BlueMe_Com_Pedido!$Q:$Q,DRE!K$4)+SUMIFS(Aut_Ajustes_Manuais!$G:$G,Aut_Ajustes_Manuais!$I:$I,DRE!K$4,Aut_Ajustes_Manuais!$F:$F,"Material de Escritorio")</f>
        <v/>
      </c>
      <c r="N237" s="241" t="n"/>
      <c r="O237" s="27">
        <f>-SUMIFS(T_ORCAMENTOS!$E:$E,T_ORCAMENTOS!$C:$C,"Material de Escritorio",T_ORCAMENTOS!$H:$H,"3/2026")</f>
        <v/>
      </c>
      <c r="P237" s="27">
        <f>SUMIFS(Aut_BlueMe_Sem_Pedido!$J:$J,Aut_BlueMe_Sem_Pedido!$Q:$Q,DRE!N$4,Aut_BlueMe_Sem_Pedido!$H:$H,DRE!$A237)-SUMIFS(Aut_BlueMe_Com_Pedido!$P:$P,Aut_BlueMe_Com_Pedido!$Q:$Q,DRE!N$4)+SUMIFS(Aut_Ajustes_Manuais!$G:$G,Aut_Ajustes_Manuais!$I:$I,DRE!N$4,Aut_Ajustes_Manuais!$F:$F,"Material de Escritorio")</f>
        <v/>
      </c>
      <c r="Q237" s="241" t="n"/>
      <c r="R237" s="27">
        <f>-SUMIFS(T_ORCAMENTOS!$E:$E,T_ORCAMENTOS!$C:$C,"Material de Escritorio",T_ORCAMENTOS!$H:$H,"4/2026")</f>
        <v/>
      </c>
      <c r="S237" s="27">
        <f>SUMIFS(Aut_BlueMe_Sem_Pedido!$J:$J,Aut_BlueMe_Sem_Pedido!$Q:$Q,DRE!Q$4,Aut_BlueMe_Sem_Pedido!$H:$H,DRE!$A237)-SUMIFS(Aut_BlueMe_Com_Pedido!$P:$P,Aut_BlueMe_Com_Pedido!$Q:$Q,DRE!Q$4)+SUMIFS(Aut_Ajustes_Manuais!$G:$G,Aut_Ajustes_Manuais!$I:$I,DRE!Q$4,Aut_Ajustes_Manuais!$F:$F,"Material de Escritorio")</f>
        <v/>
      </c>
      <c r="T237" s="241" t="n"/>
      <c r="U237" s="27">
        <f>-SUMIFS(T_ORCAMENTOS!$E:$E,T_ORCAMENTOS!$C:$C,"Material de Escritorio",T_ORCAMENTOS!$H:$H,"5/2026")</f>
        <v/>
      </c>
      <c r="V237" s="28">
        <f>SUMIFS(Aut_BlueMe_Sem_Pedido!$J:$J,Aut_BlueMe_Sem_Pedido!$Q:$Q,DRE!T$4,Aut_BlueMe_Sem_Pedido!$H:$H,DRE!$A237)-SUMIFS(Aut_BlueMe_Com_Pedido!$P:$P,Aut_BlueMe_Com_Pedido!$Q:$Q,DRE!T$4)+SUMIFS(Aut_Ajustes_Manuais!$G:$G,Aut_Ajustes_Manuais!$I:$I,DRE!T$4,Aut_Ajustes_Manuais!$F:$F,"Material de Escritorio")</f>
        <v/>
      </c>
      <c r="W237" s="241" t="n"/>
      <c r="X237" s="27">
        <f>-SUMIFS(T_ORCAMENTOS!$E:$E,T_ORCAMENTOS!$C:$C,"Material de Escritorio",T_ORCAMENTOS!$H:$H,"6/2026")</f>
        <v/>
      </c>
      <c r="Y237" s="28">
        <f>SUMIFS(Aut_BlueMe_Sem_Pedido!$J:$J,Aut_BlueMe_Sem_Pedido!$Q:$Q,DRE!W$4,Aut_BlueMe_Sem_Pedido!$H:$H,DRE!$A237)-SUMIFS(Aut_BlueMe_Com_Pedido!$P:$P,Aut_BlueMe_Com_Pedido!$Q:$Q,DRE!W$4)+SUMIFS(Aut_Ajustes_Manuais!$G:$G,Aut_Ajustes_Manuais!$I:$I,DRE!W$4,Aut_Ajustes_Manuais!$F:$F,"Material de Escritorio")</f>
        <v/>
      </c>
      <c r="Z237" s="241" t="n"/>
      <c r="AA237" s="27">
        <f>-SUMIFS(T_ORCAMENTOS!$E:$E,T_ORCAMENTOS!$C:$C,"Material de Escritorio",T_ORCAMENTOS!$H:$H,"7/2026")</f>
        <v/>
      </c>
      <c r="AB237" s="28">
        <f>SUMIFS(Aut_BlueMe_Sem_Pedido!$J:$J,Aut_BlueMe_Sem_Pedido!$Q:$Q,DRE!Z$4,Aut_BlueMe_Sem_Pedido!$H:$H,DRE!$A237)-SUMIFS(Aut_BlueMe_Com_Pedido!$P:$P,Aut_BlueMe_Com_Pedido!$Q:$Q,DRE!Z$4)+SUMIFS(Aut_Ajustes_Manuais!$G:$G,Aut_Ajustes_Manuais!$I:$I,DRE!Z$4,Aut_Ajustes_Manuais!$F:$F,"Material de Escritorio")</f>
        <v/>
      </c>
      <c r="AC237" s="241" t="n"/>
      <c r="AD237" s="27">
        <f>-SUMIFS(T_ORCAMENTOS!$E:$E,T_ORCAMENTOS!$C:$C,"Material de Escritorio",T_ORCAMENTOS!$H:$H,"8/2026")</f>
        <v/>
      </c>
      <c r="AE237" s="28">
        <f>SUMIFS(Aut_BlueMe_Sem_Pedido!$J:$J,Aut_BlueMe_Sem_Pedido!$Q:$Q,DRE!AC$4,Aut_BlueMe_Sem_Pedido!$H:$H,DRE!$A237)-SUMIFS(Aut_BlueMe_Com_Pedido!$P:$P,Aut_BlueMe_Com_Pedido!$Q:$Q,DRE!AC$4)+SUMIFS(Aut_Ajustes_Manuais!$G:$G,Aut_Ajustes_Manuais!$I:$I,DRE!AC$4,Aut_Ajustes_Manuais!$F:$F,"Material de Escritorio")</f>
        <v/>
      </c>
      <c r="AF237" s="241" t="n"/>
      <c r="AG237" s="27">
        <f>-SUMIFS(T_ORCAMENTOS!$E:$E,T_ORCAMENTOS!$C:$C,"Material de Escritorio",T_ORCAMENTOS!$H:$H,"9/2026")</f>
        <v/>
      </c>
      <c r="AH237" s="28">
        <f>SUMIFS(Aut_BlueMe_Sem_Pedido!$J:$J,Aut_BlueMe_Sem_Pedido!$Q:$Q,DRE!AF$4,Aut_BlueMe_Sem_Pedido!$H:$H,DRE!$A237)-SUMIFS(Aut_BlueMe_Com_Pedido!$P:$P,Aut_BlueMe_Com_Pedido!$Q:$Q,DRE!AF$4)+SUMIFS(Aut_Ajustes_Manuais!$G:$G,Aut_Ajustes_Manuais!$I:$I,DRE!AF$4,Aut_Ajustes_Manuais!$F:$F,"Material de Escritorio")</f>
        <v/>
      </c>
      <c r="AI237" s="241" t="n"/>
      <c r="AJ237" s="27">
        <f>-SUMIFS(T_ORCAMENTOS!$E:$E,T_ORCAMENTOS!$C:$C,"Material de Escritorio",T_ORCAMENTOS!$H:$H,"10/2026")</f>
        <v/>
      </c>
      <c r="AK237" s="28">
        <f>SUMIFS(Aut_BlueMe_Sem_Pedido!$J:$J,Aut_BlueMe_Sem_Pedido!$Q:$Q,DRE!AI$4,Aut_BlueMe_Sem_Pedido!$H:$H,DRE!$A237)-SUMIFS(Aut_BlueMe_Com_Pedido!$P:$P,Aut_BlueMe_Com_Pedido!$Q:$Q,DRE!AI$4)+SUMIFS(Aut_Ajustes_Manuais!$G:$G,Aut_Ajustes_Manuais!$I:$I,DRE!AI$4,Aut_Ajustes_Manuais!$F:$F,"Material de Escritorio")</f>
        <v/>
      </c>
      <c r="AL237" s="241" t="n"/>
      <c r="AM237" s="27">
        <f>-SUMIFS(T_ORCAMENTOS!$E:$E,T_ORCAMENTOS!$C:$C,"Material de Escritorio",T_ORCAMENTOS!$H:$H,"11/2026")</f>
        <v/>
      </c>
      <c r="AN237" s="28">
        <f>SUMIFS(Aut_BlueMe_Sem_Pedido!$J:$J,Aut_BlueMe_Sem_Pedido!$Q:$Q,DRE!AL$4,Aut_BlueMe_Sem_Pedido!$H:$H,DRE!$A237)-SUMIFS(Aut_BlueMe_Com_Pedido!$P:$P,Aut_BlueMe_Com_Pedido!$Q:$Q,DRE!AL$4)+SUMIFS(Aut_Ajustes_Manuais!$G:$G,Aut_Ajustes_Manuais!$I:$I,DRE!AL$4,Aut_Ajustes_Manuais!$F:$F,"Material de Escritorio")</f>
        <v/>
      </c>
      <c r="AO237" s="241" t="n"/>
      <c r="AP237" s="27">
        <f>-SUMIFS(T_ORCAMENTOS!$E:$E,T_ORCAMENTOS!$C:$C,"Material de Escritorio",T_ORCAMENTOS!$H:$H,"12/2026")</f>
        <v/>
      </c>
      <c r="AQ237" s="28">
        <f>SUMIFS(Aut_BlueMe_Sem_Pedido!$J:$J,Aut_BlueMe_Sem_Pedido!$Q:$Q,DRE!AO$4,Aut_BlueMe_Sem_Pedido!$H:$H,DRE!$A237)-SUMIFS(Aut_BlueMe_Com_Pedido!$P:$P,Aut_BlueMe_Com_Pedido!$Q:$Q,DRE!AO$4)+SUMIFS(Aut_Ajustes_Manuais!$G:$G,Aut_Ajustes_Manuais!$I:$I,DRE!AO$4,Aut_Ajustes_Manuais!$F:$F,"Material de Escritorio")</f>
        <v/>
      </c>
      <c r="AR237" s="241">
        <f>SUMIFS($H237:$AO237,$H$5:$AO$5,"&lt;"&amp;MONTH(TODAY()),$H$6:$AO$6,"REAL 25")</f>
        <v/>
      </c>
      <c r="AS237" s="27">
        <f>SUMIFS($I237:$AP237,$I$5:$AP$5,"&lt;"&amp;MONTH(TODAY()),$I$6:$AP$6,"ORÇADO ")</f>
        <v/>
      </c>
      <c r="AT237" s="28">
        <f>SUMIFS($J237:$AQ237,$J$5:$AQ$5,"&lt;"&amp;MONTH(TODAY()),$J$6:$AQ$6,"REAL 26")</f>
        <v/>
      </c>
      <c r="AU237" s="241">
        <f>SUM(H237,K237,N237,Q237,T237,W237,Z237,AC237,AF237,AI237,AL237,AO237)</f>
        <v/>
      </c>
      <c r="AV237" s="27">
        <f>SUM(I237,L237,O237,R237,U237,X237,AA237,AD237,AG237,AJ237,AM237,AP237)</f>
        <v/>
      </c>
      <c r="AW237" s="28">
        <f>SUM(J237,M237,P237,S237,V237,Y237,AB237,AE237,AH237,AK237,AN237,AQ237)</f>
        <v/>
      </c>
      <c r="AX237" s="241">
        <f>SUM(H237,K237,N237)</f>
        <v/>
      </c>
      <c r="AY237" s="27">
        <f>SUM(I237,L237,O237)</f>
        <v/>
      </c>
      <c r="AZ237" s="28">
        <f>SUM(J237,M237,P237)</f>
        <v/>
      </c>
      <c r="BA237" s="241">
        <f>SUM(Q237,T237,W237)</f>
        <v/>
      </c>
      <c r="BB237" s="27">
        <f>SUM(R237,U237,X237)</f>
        <v/>
      </c>
      <c r="BC237" s="28">
        <f>SUM(S237,V237,Y237)</f>
        <v/>
      </c>
      <c r="BD237" s="241">
        <f>SUM(Z237,AC237,AF237)</f>
        <v/>
      </c>
      <c r="BE237" s="27">
        <f>SUM(AA237,AD237,AG237)</f>
        <v/>
      </c>
      <c r="BF237" s="28">
        <f>SUM(AB237,AE237,AH237)</f>
        <v/>
      </c>
      <c r="BG237" s="241">
        <f>SUM(AI237,AL237,AO237)</f>
        <v/>
      </c>
      <c r="BH237" s="27">
        <f>SUM(AJ237,AM237,AP237)</f>
        <v/>
      </c>
      <c r="BI237" s="28">
        <f>SUM(AK237,AN237,AQ237)</f>
        <v/>
      </c>
    </row>
    <row r="238" hidden="1" outlineLevel="1" customFormat="1" s="498">
      <c r="A238" s="22" t="inlineStr">
        <is>
          <t>Serviços de Limpeza</t>
        </is>
      </c>
      <c r="B238" s="23" t="n"/>
      <c r="C238" s="24" t="inlineStr">
        <is>
          <t>Contr/Prov</t>
        </is>
      </c>
      <c r="D238" s="81" t="n"/>
      <c r="E238" s="115" t="n"/>
      <c r="F238" s="56" t="n"/>
      <c r="G238" s="33" t="n"/>
      <c r="H238" s="241" t="n"/>
      <c r="I238" s="27">
        <f>-SUMIFS(T_ORCAMENTOS!$E:$E,T_ORCAMENTOS!$C:$C,"Serviços de Limpeza",T_ORCAMENTOS!$H:$H,"1/2026")</f>
        <v/>
      </c>
      <c r="J238" s="28">
        <f>SUMIFS(Aut_BlueMe_Sem_Pedido!$J:$J,Aut_BlueMe_Sem_Pedido!$Q:$Q,DRE!H$4,Aut_BlueMe_Sem_Pedido!$H:$H,DRE!$A238)+SUMIFS(Aut_Ajustes_Manuais!$G:$G,Aut_Ajustes_Manuais!$I:$I,DRE!H$4,Aut_Ajustes_Manuais!$F:$F,"Serviços de Limpeza")</f>
        <v/>
      </c>
      <c r="K238" s="241" t="n"/>
      <c r="L238" s="27">
        <f>-SUMIFS(T_ORCAMENTOS!$E:$E,T_ORCAMENTOS!$C:$C,"Serviços de Limpeza",T_ORCAMENTOS!$H:$H,"2/2026")</f>
        <v/>
      </c>
      <c r="M238" s="27">
        <f>SUMIFS(Aut_BlueMe_Sem_Pedido!$J:$J,Aut_BlueMe_Sem_Pedido!$Q:$Q,DRE!K$4,Aut_BlueMe_Sem_Pedido!$H:$H,DRE!$A238)+SUMIFS(Aut_Ajustes_Manuais!$G:$G,Aut_Ajustes_Manuais!$I:$I,DRE!K$4,Aut_Ajustes_Manuais!$F:$F,"Serviços de Limpeza")</f>
        <v/>
      </c>
      <c r="N238" s="241" t="n"/>
      <c r="O238" s="27">
        <f>-SUMIFS(T_ORCAMENTOS!$E:$E,T_ORCAMENTOS!$C:$C,"Serviços de Limpeza",T_ORCAMENTOS!$H:$H,"3/2026")</f>
        <v/>
      </c>
      <c r="P238" s="27">
        <f>SUMIFS(Aut_BlueMe_Sem_Pedido!$J:$J,Aut_BlueMe_Sem_Pedido!$Q:$Q,DRE!N$4,Aut_BlueMe_Sem_Pedido!$H:$H,DRE!$A238)+SUMIFS(Aut_Ajustes_Manuais!$G:$G,Aut_Ajustes_Manuais!$I:$I,DRE!N$4,Aut_Ajustes_Manuais!$F:$F,"Serviços de Limpeza")</f>
        <v/>
      </c>
      <c r="Q238" s="241" t="n"/>
      <c r="R238" s="27">
        <f>-SUMIFS(T_ORCAMENTOS!$E:$E,T_ORCAMENTOS!$C:$C,"Serviços de Limpeza",T_ORCAMENTOS!$H:$H,"4/2026")</f>
        <v/>
      </c>
      <c r="S238" s="27">
        <f>SUMIFS(Aut_BlueMe_Sem_Pedido!$J:$J,Aut_BlueMe_Sem_Pedido!$Q:$Q,DRE!Q$4,Aut_BlueMe_Sem_Pedido!$H:$H,DRE!$A238)+SUMIFS(Aut_Ajustes_Manuais!$G:$G,Aut_Ajustes_Manuais!$I:$I,DRE!Q$4,Aut_Ajustes_Manuais!$F:$F,"Serviços de Limpeza")</f>
        <v/>
      </c>
      <c r="T238" s="241" t="n"/>
      <c r="U238" s="27">
        <f>-SUMIFS(T_ORCAMENTOS!$E:$E,T_ORCAMENTOS!$C:$C,"Serviços de Limpeza",T_ORCAMENTOS!$H:$H,"5/2026")</f>
        <v/>
      </c>
      <c r="V238" s="28">
        <f>SUMIFS(Aut_BlueMe_Sem_Pedido!$J:$J,Aut_BlueMe_Sem_Pedido!$Q:$Q,DRE!T$4,Aut_BlueMe_Sem_Pedido!$H:$H,DRE!$A238)+SUMIFS(Aut_Ajustes_Manuais!$G:$G,Aut_Ajustes_Manuais!$I:$I,DRE!T$4,Aut_Ajustes_Manuais!$F:$F,"Serviços de Limpeza")</f>
        <v/>
      </c>
      <c r="W238" s="241" t="n"/>
      <c r="X238" s="27">
        <f>-SUMIFS(T_ORCAMENTOS!$E:$E,T_ORCAMENTOS!$C:$C,"Serviços de Limpeza",T_ORCAMENTOS!$H:$H,"6/2026")</f>
        <v/>
      </c>
      <c r="Y238" s="28">
        <f>SUMIFS(Aut_BlueMe_Sem_Pedido!$J:$J,Aut_BlueMe_Sem_Pedido!$Q:$Q,DRE!W$4,Aut_BlueMe_Sem_Pedido!$H:$H,DRE!$A238)+SUMIFS(Aut_Ajustes_Manuais!$G:$G,Aut_Ajustes_Manuais!$I:$I,DRE!W$4,Aut_Ajustes_Manuais!$F:$F,"Serviços de Limpeza")</f>
        <v/>
      </c>
      <c r="Z238" s="241" t="n"/>
      <c r="AA238" s="27">
        <f>-SUMIFS(T_ORCAMENTOS!$E:$E,T_ORCAMENTOS!$C:$C,"Serviços de Limpeza",T_ORCAMENTOS!$H:$H,"7/2026")</f>
        <v/>
      </c>
      <c r="AB238" s="28">
        <f>SUMIFS(Aut_BlueMe_Sem_Pedido!$J:$J,Aut_BlueMe_Sem_Pedido!$Q:$Q,DRE!Z$4,Aut_BlueMe_Sem_Pedido!$H:$H,DRE!$A238)+SUMIFS(Aut_Ajustes_Manuais!$G:$G,Aut_Ajustes_Manuais!$I:$I,DRE!Z$4,Aut_Ajustes_Manuais!$F:$F,"Serviços de Limpeza")</f>
        <v/>
      </c>
      <c r="AC238" s="241" t="n"/>
      <c r="AD238" s="27">
        <f>-SUMIFS(T_ORCAMENTOS!$E:$E,T_ORCAMENTOS!$C:$C,"Serviços de Limpeza",T_ORCAMENTOS!$H:$H,"8/2026")</f>
        <v/>
      </c>
      <c r="AE238" s="28">
        <f>SUMIFS(Aut_BlueMe_Sem_Pedido!$J:$J,Aut_BlueMe_Sem_Pedido!$Q:$Q,DRE!AC$4,Aut_BlueMe_Sem_Pedido!$H:$H,DRE!$A238)+SUMIFS(Aut_Ajustes_Manuais!$G:$G,Aut_Ajustes_Manuais!$I:$I,DRE!AC$4,Aut_Ajustes_Manuais!$F:$F,"Serviços de Limpeza")</f>
        <v/>
      </c>
      <c r="AF238" s="241" t="n"/>
      <c r="AG238" s="27">
        <f>-SUMIFS(T_ORCAMENTOS!$E:$E,T_ORCAMENTOS!$C:$C,"Serviços de Limpeza",T_ORCAMENTOS!$H:$H,"9/2026")</f>
        <v/>
      </c>
      <c r="AH238" s="28">
        <f>SUMIFS(Aut_BlueMe_Sem_Pedido!$J:$J,Aut_BlueMe_Sem_Pedido!$Q:$Q,DRE!AF$4,Aut_BlueMe_Sem_Pedido!$H:$H,DRE!$A238)+SUMIFS(Aut_Ajustes_Manuais!$G:$G,Aut_Ajustes_Manuais!$I:$I,DRE!AF$4,Aut_Ajustes_Manuais!$F:$F,"Serviços de Limpeza")</f>
        <v/>
      </c>
      <c r="AI238" s="241" t="n"/>
      <c r="AJ238" s="27">
        <f>-SUMIFS(T_ORCAMENTOS!$E:$E,T_ORCAMENTOS!$C:$C,"Serviços de Limpeza",T_ORCAMENTOS!$H:$H,"10/2026")</f>
        <v/>
      </c>
      <c r="AK238" s="28">
        <f>SUMIFS(Aut_BlueMe_Sem_Pedido!$J:$J,Aut_BlueMe_Sem_Pedido!$Q:$Q,DRE!AI$4,Aut_BlueMe_Sem_Pedido!$H:$H,DRE!$A238)+SUMIFS(Aut_Ajustes_Manuais!$G:$G,Aut_Ajustes_Manuais!$I:$I,DRE!AI$4,Aut_Ajustes_Manuais!$F:$F,"Serviços de Limpeza")</f>
        <v/>
      </c>
      <c r="AL238" s="241" t="n"/>
      <c r="AM238" s="27">
        <f>-SUMIFS(T_ORCAMENTOS!$E:$E,T_ORCAMENTOS!$C:$C,"Serviços de Limpeza",T_ORCAMENTOS!$H:$H,"11/2026")</f>
        <v/>
      </c>
      <c r="AN238" s="28">
        <f>SUMIFS(Aut_BlueMe_Sem_Pedido!$J:$J,Aut_BlueMe_Sem_Pedido!$Q:$Q,DRE!AL$4,Aut_BlueMe_Sem_Pedido!$H:$H,DRE!$A238)+SUMIFS(Aut_Ajustes_Manuais!$G:$G,Aut_Ajustes_Manuais!$I:$I,DRE!AL$4,Aut_Ajustes_Manuais!$F:$F,"Serviços de Limpeza")</f>
        <v/>
      </c>
      <c r="AO238" s="241" t="n"/>
      <c r="AP238" s="27">
        <f>-SUMIFS(T_ORCAMENTOS!$E:$E,T_ORCAMENTOS!$C:$C,"Serviços de Limpeza",T_ORCAMENTOS!$H:$H,"12/2026")</f>
        <v/>
      </c>
      <c r="AQ238" s="28">
        <f>SUMIFS(Aut_BlueMe_Sem_Pedido!$J:$J,Aut_BlueMe_Sem_Pedido!$Q:$Q,DRE!AO$4,Aut_BlueMe_Sem_Pedido!$H:$H,DRE!$A238)+SUMIFS(Aut_Ajustes_Manuais!$G:$G,Aut_Ajustes_Manuais!$I:$I,DRE!AO$4,Aut_Ajustes_Manuais!$F:$F,"Serviços de Limpeza")</f>
        <v/>
      </c>
      <c r="AR238" s="241">
        <f>SUMIFS($H238:$AO238,$H$5:$AO$5,"&lt;"&amp;MONTH(TODAY()),$H$6:$AO$6,"REAL 25")</f>
        <v/>
      </c>
      <c r="AS238" s="27">
        <f>SUMIFS($I238:$AP238,$I$5:$AP$5,"&lt;"&amp;MONTH(TODAY()),$I$6:$AP$6,"ORÇADO ")</f>
        <v/>
      </c>
      <c r="AT238" s="28">
        <f>SUMIFS($J238:$AQ238,$J$5:$AQ$5,"&lt;"&amp;MONTH(TODAY()),$J$6:$AQ$6,"REAL 26")</f>
        <v/>
      </c>
      <c r="AU238" s="241">
        <f>SUM(H238,K238,N238,Q238,T238,W238,Z238,AC238,AF238,AI238,AL238,AO238)</f>
        <v/>
      </c>
      <c r="AV238" s="27">
        <f>SUM(I238,L238,O238,R238,U238,X238,AA238,AD238,AG238,AJ238,AM238,AP238)</f>
        <v/>
      </c>
      <c r="AW238" s="28">
        <f>SUM(J238,M238,P238,S238,V238,Y238,AB238,AE238,AH238,AK238,AN238,AQ238)</f>
        <v/>
      </c>
      <c r="AX238" s="241">
        <f>SUM(H238,K238,N238)</f>
        <v/>
      </c>
      <c r="AY238" s="27">
        <f>SUM(I238,L238,O238)</f>
        <v/>
      </c>
      <c r="AZ238" s="28">
        <f>SUM(J238,M238,P238)</f>
        <v/>
      </c>
      <c r="BA238" s="241">
        <f>SUM(Q238,T238,W238)</f>
        <v/>
      </c>
      <c r="BB238" s="27">
        <f>SUM(R238,U238,X238)</f>
        <v/>
      </c>
      <c r="BC238" s="28">
        <f>SUM(S238,V238,Y238)</f>
        <v/>
      </c>
      <c r="BD238" s="241">
        <f>SUM(Z238,AC238,AF238)</f>
        <v/>
      </c>
      <c r="BE238" s="27">
        <f>SUM(AA238,AD238,AG238)</f>
        <v/>
      </c>
      <c r="BF238" s="28">
        <f>SUM(AB238,AE238,AH238)</f>
        <v/>
      </c>
      <c r="BG238" s="241">
        <f>SUM(AI238,AL238,AO238)</f>
        <v/>
      </c>
      <c r="BH238" s="27">
        <f>SUM(AJ238,AM238,AP238)</f>
        <v/>
      </c>
      <c r="BI238" s="28">
        <f>SUM(AK238,AN238,AQ238)</f>
        <v/>
      </c>
    </row>
    <row r="239" hidden="1" outlineLevel="1" customFormat="1" s="498">
      <c r="A239" s="22" t="inlineStr">
        <is>
          <t>Serviço de Lavanderia</t>
        </is>
      </c>
      <c r="B239" s="23" t="n"/>
      <c r="C239" s="24" t="inlineStr">
        <is>
          <t>Estim. Mensal</t>
        </is>
      </c>
      <c r="D239" s="113" t="n"/>
      <c r="E239" s="114" t="n">
        <v>-0.0005</v>
      </c>
      <c r="F239" s="56" t="n"/>
      <c r="G239" s="33" t="n"/>
      <c r="H239" s="241" t="n"/>
      <c r="I239" s="27">
        <f>-SUMIFS(T_ORCAMENTOS!$E:$E,T_ORCAMENTOS!$C:$C,"Serviço de Lavanderia",T_ORCAMENTOS!$H:$H,"1/2026")</f>
        <v/>
      </c>
      <c r="J239" s="28">
        <f>SUMIFS(Aut_BlueMe_Sem_Pedido!$J:$J,Aut_BlueMe_Sem_Pedido!$Q:$Q,DRE!H$4,Aut_BlueMe_Sem_Pedido!$H:$H,DRE!$A239)+SUMIFS(Aut_Ajustes_Manuais!$G:$G,Aut_Ajustes_Manuais!$I:$I,DRE!H$4,Aut_Ajustes_Manuais!$F:$F,"Serviço de Lavanderia")</f>
        <v/>
      </c>
      <c r="K239" s="241" t="n"/>
      <c r="L239" s="27">
        <f>-SUMIFS(T_ORCAMENTOS!$E:$E,T_ORCAMENTOS!$C:$C,"Serviço de Lavanderia",T_ORCAMENTOS!$H:$H,"2/2026")</f>
        <v/>
      </c>
      <c r="M239" s="28">
        <f>SUMIFS(Aut_BlueMe_Sem_Pedido!$J:$J,Aut_BlueMe_Sem_Pedido!$Q:$Q,DRE!K$4,Aut_BlueMe_Sem_Pedido!$H:$H,DRE!$A239)+SUMIFS(Aut_Ajustes_Manuais!$G:$G,Aut_Ajustes_Manuais!$I:$I,DRE!K$4,Aut_Ajustes_Manuais!$F:$F,"Serviço de Lavanderia")</f>
        <v/>
      </c>
      <c r="N239" s="241" t="n"/>
      <c r="O239" s="27">
        <f>-SUMIFS(T_ORCAMENTOS!$E:$E,T_ORCAMENTOS!$C:$C,"Serviço de Lavanderia",T_ORCAMENTOS!$H:$H,"3/2026")</f>
        <v/>
      </c>
      <c r="P239" s="27">
        <f>SUMIFS(Aut_BlueMe_Sem_Pedido!$J:$J,Aut_BlueMe_Sem_Pedido!$Q:$Q,DRE!N$4,Aut_BlueMe_Sem_Pedido!$H:$H,DRE!$A239)+SUMIFS(Aut_Ajustes_Manuais!$G:$G,Aut_Ajustes_Manuais!$I:$I,DRE!N$4,Aut_Ajustes_Manuais!$F:$F,"Serviço de Lavanderia")</f>
        <v/>
      </c>
      <c r="Q239" s="241" t="n"/>
      <c r="R239" s="27">
        <f>-SUMIFS(T_ORCAMENTOS!$E:$E,T_ORCAMENTOS!$C:$C,"Serviço de Lavanderia",T_ORCAMENTOS!$H:$H,"4/2026")</f>
        <v/>
      </c>
      <c r="S239" s="27">
        <f>SUMIFS(Aut_BlueMe_Sem_Pedido!$J:$J,Aut_BlueMe_Sem_Pedido!$Q:$Q,DRE!Q$4,Aut_BlueMe_Sem_Pedido!$H:$H,DRE!$A239)+SUMIFS(Aut_Ajustes_Manuais!$G:$G,Aut_Ajustes_Manuais!$I:$I,DRE!Q$4,Aut_Ajustes_Manuais!$F:$F,"Serviço de Lavanderia")</f>
        <v/>
      </c>
      <c r="T239" s="241" t="n"/>
      <c r="U239" s="27">
        <f>-SUMIFS(T_ORCAMENTOS!$E:$E,T_ORCAMENTOS!$C:$C,"Serviço de Lavanderia",T_ORCAMENTOS!$H:$H,"5/2026")</f>
        <v/>
      </c>
      <c r="V239" s="28">
        <f>SUMIFS(Aut_BlueMe_Sem_Pedido!$J:$J,Aut_BlueMe_Sem_Pedido!$Q:$Q,DRE!T$4,Aut_BlueMe_Sem_Pedido!$H:$H,DRE!$A239)+SUMIFS(Aut_Ajustes_Manuais!$G:$G,Aut_Ajustes_Manuais!$I:$I,DRE!T$4,Aut_Ajustes_Manuais!$F:$F,"Serviço de Lavanderia")</f>
        <v/>
      </c>
      <c r="W239" s="241" t="n"/>
      <c r="X239" s="27">
        <f>-SUMIFS(T_ORCAMENTOS!$E:$E,T_ORCAMENTOS!$C:$C,"Serviço de Lavanderia",T_ORCAMENTOS!$H:$H,"6/2026")</f>
        <v/>
      </c>
      <c r="Y239" s="28">
        <f>SUMIFS(Aut_BlueMe_Sem_Pedido!$J:$J,Aut_BlueMe_Sem_Pedido!$Q:$Q,DRE!W$4,Aut_BlueMe_Sem_Pedido!$H:$H,DRE!$A239)+SUMIFS(Aut_Ajustes_Manuais!$G:$G,Aut_Ajustes_Manuais!$I:$I,DRE!W$4,Aut_Ajustes_Manuais!$F:$F,"Serviço de Lavanderia")</f>
        <v/>
      </c>
      <c r="Z239" s="241" t="n"/>
      <c r="AA239" s="27">
        <f>-SUMIFS(T_ORCAMENTOS!$E:$E,T_ORCAMENTOS!$C:$C,"Serviço de Lavanderia",T_ORCAMENTOS!$H:$H,"7/2026")</f>
        <v/>
      </c>
      <c r="AB239" s="28">
        <f>SUMIFS(Aut_BlueMe_Sem_Pedido!$J:$J,Aut_BlueMe_Sem_Pedido!$Q:$Q,DRE!Z$4,Aut_BlueMe_Sem_Pedido!$H:$H,DRE!$A239)+SUMIFS(Aut_Ajustes_Manuais!$G:$G,Aut_Ajustes_Manuais!$I:$I,DRE!Z$4,Aut_Ajustes_Manuais!$F:$F,"Serviço de Lavanderia")</f>
        <v/>
      </c>
      <c r="AC239" s="241" t="n"/>
      <c r="AD239" s="27">
        <f>-SUMIFS(T_ORCAMENTOS!$E:$E,T_ORCAMENTOS!$C:$C,"Serviço de Lavanderia",T_ORCAMENTOS!$H:$H,"8/2026")</f>
        <v/>
      </c>
      <c r="AE239" s="28">
        <f>SUMIFS(Aut_BlueMe_Sem_Pedido!$J:$J,Aut_BlueMe_Sem_Pedido!$Q:$Q,DRE!AC$4,Aut_BlueMe_Sem_Pedido!$H:$H,DRE!$A239)+SUMIFS(Aut_Ajustes_Manuais!$G:$G,Aut_Ajustes_Manuais!$I:$I,DRE!AC$4,Aut_Ajustes_Manuais!$F:$F,"Serviço de Lavanderia")</f>
        <v/>
      </c>
      <c r="AF239" s="241" t="n"/>
      <c r="AG239" s="27">
        <f>-SUMIFS(T_ORCAMENTOS!$E:$E,T_ORCAMENTOS!$C:$C,"Serviço de Lavanderia",T_ORCAMENTOS!$H:$H,"9/2026")</f>
        <v/>
      </c>
      <c r="AH239" s="28">
        <f>SUMIFS(Aut_BlueMe_Sem_Pedido!$J:$J,Aut_BlueMe_Sem_Pedido!$Q:$Q,DRE!AF$4,Aut_BlueMe_Sem_Pedido!$H:$H,DRE!$A239)+SUMIFS(Aut_Ajustes_Manuais!$G:$G,Aut_Ajustes_Manuais!$I:$I,DRE!AF$4,Aut_Ajustes_Manuais!$F:$F,"Serviço de Lavanderia")</f>
        <v/>
      </c>
      <c r="AI239" s="241" t="n"/>
      <c r="AJ239" s="27">
        <f>-SUMIFS(T_ORCAMENTOS!$E:$E,T_ORCAMENTOS!$C:$C,"Serviço de Lavanderia",T_ORCAMENTOS!$H:$H,"10/2026")</f>
        <v/>
      </c>
      <c r="AK239" s="28">
        <f>SUMIFS(Aut_BlueMe_Sem_Pedido!$J:$J,Aut_BlueMe_Sem_Pedido!$Q:$Q,DRE!AI$4,Aut_BlueMe_Sem_Pedido!$H:$H,DRE!$A239)+SUMIFS(Aut_Ajustes_Manuais!$G:$G,Aut_Ajustes_Manuais!$I:$I,DRE!AI$4,Aut_Ajustes_Manuais!$F:$F,"Serviço de Lavanderia")</f>
        <v/>
      </c>
      <c r="AL239" s="241" t="n"/>
      <c r="AM239" s="27">
        <f>-SUMIFS(T_ORCAMENTOS!$E:$E,T_ORCAMENTOS!$C:$C,"Serviço de Lavanderia",T_ORCAMENTOS!$H:$H,"11/2026")</f>
        <v/>
      </c>
      <c r="AN239" s="28">
        <f>SUMIFS(Aut_BlueMe_Sem_Pedido!$J:$J,Aut_BlueMe_Sem_Pedido!$Q:$Q,DRE!AL$4,Aut_BlueMe_Sem_Pedido!$H:$H,DRE!$A239)+SUMIFS(Aut_Ajustes_Manuais!$G:$G,Aut_Ajustes_Manuais!$I:$I,DRE!AL$4,Aut_Ajustes_Manuais!$F:$F,"Serviço de Lavanderia")</f>
        <v/>
      </c>
      <c r="AO239" s="241" t="n"/>
      <c r="AP239" s="27">
        <f>-SUMIFS(T_ORCAMENTOS!$E:$E,T_ORCAMENTOS!$C:$C,"Serviço de Lavanderia",T_ORCAMENTOS!$H:$H,"12/2026")</f>
        <v/>
      </c>
      <c r="AQ239" s="28">
        <f>SUMIFS(Aut_BlueMe_Sem_Pedido!$J:$J,Aut_BlueMe_Sem_Pedido!$Q:$Q,DRE!AO$4,Aut_BlueMe_Sem_Pedido!$H:$H,DRE!$A239)+SUMIFS(Aut_Ajustes_Manuais!$G:$G,Aut_Ajustes_Manuais!$I:$I,DRE!AO$4,Aut_Ajustes_Manuais!$F:$F,"Serviço de Lavanderia")</f>
        <v/>
      </c>
      <c r="AR239" s="241">
        <f>SUMIFS($H239:$AO239,$H$5:$AO$5,"&lt;"&amp;MONTH(TODAY()),$H$6:$AO$6,"REAL 25")</f>
        <v/>
      </c>
      <c r="AS239" s="27">
        <f>SUMIFS($I239:$AP239,$I$5:$AP$5,"&lt;"&amp;MONTH(TODAY()),$I$6:$AP$6,"ORÇADO ")</f>
        <v/>
      </c>
      <c r="AT239" s="28">
        <f>SUMIFS($J239:$AQ239,$J$5:$AQ$5,"&lt;"&amp;MONTH(TODAY()),$J$6:$AQ$6,"REAL 26")</f>
        <v/>
      </c>
      <c r="AU239" s="241">
        <f>SUM(H239,K239,N239,Q239,T239,W239,Z239,AC239,AF239,AI239,AL239,AO239)</f>
        <v/>
      </c>
      <c r="AV239" s="27">
        <f>SUM(I239,L239,O239,R239,U239,X239,AA239,AD239,AG239,AJ239,AM239,AP239)</f>
        <v/>
      </c>
      <c r="AW239" s="28">
        <f>SUM(J239,M239,P239,S239,V239,Y239,AB239,AE239,AH239,AK239,AN239,AQ239)</f>
        <v/>
      </c>
      <c r="AX239" s="241">
        <f>SUM(H239,K239,N239)</f>
        <v/>
      </c>
      <c r="AY239" s="27">
        <f>SUM(I239,L239,O239)</f>
        <v/>
      </c>
      <c r="AZ239" s="28">
        <f>SUM(J239,M239,P239)</f>
        <v/>
      </c>
      <c r="BA239" s="241">
        <f>SUM(Q239,T239,W239)</f>
        <v/>
      </c>
      <c r="BB239" s="27">
        <f>SUM(R239,U239,X239)</f>
        <v/>
      </c>
      <c r="BC239" s="28">
        <f>SUM(S239,V239,Y239)</f>
        <v/>
      </c>
      <c r="BD239" s="241">
        <f>SUM(Z239,AC239,AF239)</f>
        <v/>
      </c>
      <c r="BE239" s="27">
        <f>SUM(AA239,AD239,AG239)</f>
        <v/>
      </c>
      <c r="BF239" s="28">
        <f>SUM(AB239,AE239,AH239)</f>
        <v/>
      </c>
      <c r="BG239" s="241">
        <f>SUM(AI239,AL239,AO239)</f>
        <v/>
      </c>
      <c r="BH239" s="27">
        <f>SUM(AJ239,AM239,AP239)</f>
        <v/>
      </c>
      <c r="BI239" s="28">
        <f>SUM(AK239,AN239,AQ239)</f>
        <v/>
      </c>
    </row>
    <row r="240" hidden="1" outlineLevel="1" ht="25.2" customFormat="1" customHeight="1" s="498">
      <c r="A240" s="22" t="inlineStr">
        <is>
          <t>Material de Consumo - Gelo/ Gas CO2/ Carvao /Velas</t>
        </is>
      </c>
      <c r="B240" s="23" t="n"/>
      <c r="C240" s="24" t="inlineStr">
        <is>
          <t>Estim. Mensal</t>
        </is>
      </c>
      <c r="D240" s="113" t="n">
        <v>-550</v>
      </c>
      <c r="E240" s="114" t="n">
        <v>-0.0005</v>
      </c>
      <c r="F240" s="56" t="n"/>
      <c r="G240" s="33" t="n"/>
      <c r="H240" s="241" t="n"/>
      <c r="I240" s="27">
        <f>-SUMIFS(T_ORCAMENTOS!$E:$E,T_ORCAMENTOS!$C:$C,"Material de Consumo - Gelo/ Gas CO2/ Carvao /Velas",T_ORCAMENTOS!$H:$H,"1/2026")</f>
        <v/>
      </c>
      <c r="J240" s="28">
        <f>SUMIFS(Aut_BlueMe_Sem_Pedido!$J:$J,Aut_BlueMe_Sem_Pedido!$Q:$Q,DRE!H$4,Aut_BlueMe_Sem_Pedido!$H:$H,DRE!$A240)-SUMIFS(Aut_BlueMe_Com_Pedido!$N:$N,Aut_BlueMe_Com_Pedido!$Q:$Q,DRE!H$4)+SUMIFS(Aut_Ajustes_Manuais!$G:$G,Aut_Ajustes_Manuais!$I:$I,DRE!H$4,Aut_Ajustes_Manuais!$F:$F,"Material de Consumo - Gelo/ Gas CO2/ Carvao /Velas")</f>
        <v/>
      </c>
      <c r="K240" s="241" t="n"/>
      <c r="L240" s="27">
        <f>-SUMIFS(T_ORCAMENTOS!$E:$E,T_ORCAMENTOS!$C:$C,"Material de Consumo - Gelo/ Gas CO2/ Carvao /Velas",T_ORCAMENTOS!$H:$H,"2/2026")</f>
        <v/>
      </c>
      <c r="M240" s="28">
        <f>SUMIFS(Aut_BlueMe_Sem_Pedido!$J:$J,Aut_BlueMe_Sem_Pedido!$Q:$Q,DRE!K$4,Aut_BlueMe_Sem_Pedido!$H:$H,DRE!$A240)-SUMIFS(Aut_BlueMe_Com_Pedido!$N:$N,Aut_BlueMe_Com_Pedido!$Q:$Q,DRE!K$4)+SUMIFS(Aut_Ajustes_Manuais!$G:$G,Aut_Ajustes_Manuais!$I:$I,DRE!K$4,Aut_Ajustes_Manuais!$F:$F,"Material de Consumo - Gelo/ Gas CO2/ Carvao /Velas")</f>
        <v/>
      </c>
      <c r="N240" s="241" t="n"/>
      <c r="O240" s="27">
        <f>-SUMIFS(T_ORCAMENTOS!$E:$E,T_ORCAMENTOS!$C:$C,"Material de Consumo - Gelo/ Gas CO2/ Carvao /Velas",T_ORCAMENTOS!$H:$H,"3/2026")</f>
        <v/>
      </c>
      <c r="P240" s="27">
        <f>SUMIFS(Aut_BlueMe_Sem_Pedido!$J:$J,Aut_BlueMe_Sem_Pedido!$Q:$Q,DRE!N$4,Aut_BlueMe_Sem_Pedido!$H:$H,DRE!$A240)-SUMIFS(Aut_BlueMe_Com_Pedido!$N:$N,Aut_BlueMe_Com_Pedido!$Q:$Q,DRE!N$4)+SUMIFS(Aut_Ajustes_Manuais!$G:$G,Aut_Ajustes_Manuais!$I:$I,DRE!N$4,Aut_Ajustes_Manuais!$F:$F,"Material de Consumo - Gelo/ Gas CO2/ Carvao /Velas")</f>
        <v/>
      </c>
      <c r="Q240" s="241" t="n"/>
      <c r="R240" s="27">
        <f>-SUMIFS(T_ORCAMENTOS!$E:$E,T_ORCAMENTOS!$C:$C,"Material de Consumo - Gelo/ Gas CO2/ Carvao /Velas",T_ORCAMENTOS!$H:$H,"4/2026")</f>
        <v/>
      </c>
      <c r="S240" s="27">
        <f>SUMIFS(Aut_BlueMe_Sem_Pedido!$J:$J,Aut_BlueMe_Sem_Pedido!$Q:$Q,DRE!Q$4,Aut_BlueMe_Sem_Pedido!$H:$H,DRE!$A240)-SUMIFS(Aut_BlueMe_Com_Pedido!$N:$N,Aut_BlueMe_Com_Pedido!$Q:$Q,DRE!Q$4)+SUMIFS(Aut_Ajustes_Manuais!$G:$G,Aut_Ajustes_Manuais!$I:$I,DRE!Q$4,Aut_Ajustes_Manuais!$F:$F,"Material de Consumo - Gelo/ Gas CO2/ Carvao /Velas")</f>
        <v/>
      </c>
      <c r="T240" s="241" t="n"/>
      <c r="U240" s="27">
        <f>-SUMIFS(T_ORCAMENTOS!$E:$E,T_ORCAMENTOS!$C:$C,"Material de Consumo - Gelo/ Gas CO2/ Carvao /Velas",T_ORCAMENTOS!$H:$H,"5/2026")</f>
        <v/>
      </c>
      <c r="V240" s="28">
        <f>SUMIFS(Aut_BlueMe_Sem_Pedido!$J:$J,Aut_BlueMe_Sem_Pedido!$Q:$Q,DRE!T$4,Aut_BlueMe_Sem_Pedido!$H:$H,DRE!$A240)-SUMIFS(Aut_BlueMe_Com_Pedido!$N:$N,Aut_BlueMe_Com_Pedido!$Q:$Q,DRE!T$4)+SUMIFS(Aut_Ajustes_Manuais!$G:$G,Aut_Ajustes_Manuais!$I:$I,DRE!T$4,Aut_Ajustes_Manuais!$F:$F,"Material de Consumo - Gelo/ Gas CO2/ Carvao /Velas")</f>
        <v/>
      </c>
      <c r="W240" s="241" t="n"/>
      <c r="X240" s="27">
        <f>-SUMIFS(T_ORCAMENTOS!$E:$E,T_ORCAMENTOS!$C:$C,"Material de Consumo - Gelo/ Gas CO2/ Carvao /Velas",T_ORCAMENTOS!$H:$H,"6/2026")</f>
        <v/>
      </c>
      <c r="Y240" s="28">
        <f>SUMIFS(Aut_BlueMe_Sem_Pedido!$J:$J,Aut_BlueMe_Sem_Pedido!$Q:$Q,DRE!W$4,Aut_BlueMe_Sem_Pedido!$H:$H,DRE!$A240)-SUMIFS(Aut_BlueMe_Com_Pedido!$N:$N,Aut_BlueMe_Com_Pedido!$Q:$Q,DRE!W$4)+SUMIFS(Aut_Ajustes_Manuais!$G:$G,Aut_Ajustes_Manuais!$I:$I,DRE!W$4,Aut_Ajustes_Manuais!$F:$F,"Material de Consumo - Gelo/ Gas CO2/ Carvao /Velas")</f>
        <v/>
      </c>
      <c r="Z240" s="241" t="n"/>
      <c r="AA240" s="27">
        <f>-SUMIFS(T_ORCAMENTOS!$E:$E,T_ORCAMENTOS!$C:$C,"Material de Consumo - Gelo/ Gas CO2/ Carvao /Velas",T_ORCAMENTOS!$H:$H,"7/2026")</f>
        <v/>
      </c>
      <c r="AB240" s="28">
        <f>SUMIFS(Aut_BlueMe_Sem_Pedido!$J:$J,Aut_BlueMe_Sem_Pedido!$Q:$Q,DRE!Z$4,Aut_BlueMe_Sem_Pedido!$H:$H,DRE!$A240)-SUMIFS(Aut_BlueMe_Com_Pedido!$N:$N,Aut_BlueMe_Com_Pedido!$Q:$Q,DRE!Z$4)+SUMIFS(Aut_Ajustes_Manuais!$G:$G,Aut_Ajustes_Manuais!$I:$I,DRE!Z$4,Aut_Ajustes_Manuais!$F:$F,"Material de Consumo - Gelo/ Gas CO2/ Carvao /Velas")</f>
        <v/>
      </c>
      <c r="AC240" s="241" t="n"/>
      <c r="AD240" s="27">
        <f>-SUMIFS(T_ORCAMENTOS!$E:$E,T_ORCAMENTOS!$C:$C,"Material de Consumo - Gelo/ Gas CO2/ Carvao /Velas",T_ORCAMENTOS!$H:$H,"8/2026")</f>
        <v/>
      </c>
      <c r="AE240" s="28">
        <f>SUMIFS(Aut_BlueMe_Sem_Pedido!$J:$J,Aut_BlueMe_Sem_Pedido!$Q:$Q,DRE!AC$4,Aut_BlueMe_Sem_Pedido!$H:$H,DRE!$A240)-SUMIFS(Aut_BlueMe_Com_Pedido!$N:$N,Aut_BlueMe_Com_Pedido!$Q:$Q,DRE!AC$4)+SUMIFS(Aut_Ajustes_Manuais!$G:$G,Aut_Ajustes_Manuais!$I:$I,DRE!AC$4,Aut_Ajustes_Manuais!$F:$F,"Material de Consumo - Gelo/ Gas CO2/ Carvao /Velas")</f>
        <v/>
      </c>
      <c r="AF240" s="241" t="n"/>
      <c r="AG240" s="27">
        <f>-SUMIFS(T_ORCAMENTOS!$E:$E,T_ORCAMENTOS!$C:$C,"Material de Consumo - Gelo/ Gas CO2/ Carvao /Velas",T_ORCAMENTOS!$H:$H,"9/2026")</f>
        <v/>
      </c>
      <c r="AH240" s="28">
        <f>SUMIFS(Aut_BlueMe_Sem_Pedido!$J:$J,Aut_BlueMe_Sem_Pedido!$Q:$Q,DRE!AF$4,Aut_BlueMe_Sem_Pedido!$H:$H,DRE!$A240)-SUMIFS(Aut_BlueMe_Com_Pedido!$N:$N,Aut_BlueMe_Com_Pedido!$Q:$Q,DRE!AF$4)+SUMIFS(Aut_Ajustes_Manuais!$G:$G,Aut_Ajustes_Manuais!$I:$I,DRE!AF$4,Aut_Ajustes_Manuais!$F:$F,"Material de Consumo - Gelo/ Gas CO2/ Carvao /Velas")</f>
        <v/>
      </c>
      <c r="AI240" s="241" t="n"/>
      <c r="AJ240" s="27">
        <f>-SUMIFS(T_ORCAMENTOS!$E:$E,T_ORCAMENTOS!$C:$C,"Material de Consumo - Gelo/ Gas CO2/ Carvao /Velas",T_ORCAMENTOS!$H:$H,"10/2026")</f>
        <v/>
      </c>
      <c r="AK240" s="28">
        <f>SUMIFS(Aut_BlueMe_Sem_Pedido!$J:$J,Aut_BlueMe_Sem_Pedido!$Q:$Q,DRE!AI$4,Aut_BlueMe_Sem_Pedido!$H:$H,DRE!$A240)-SUMIFS(Aut_BlueMe_Com_Pedido!$N:$N,Aut_BlueMe_Com_Pedido!$Q:$Q,DRE!AI$4)+SUMIFS(Aut_Ajustes_Manuais!$G:$G,Aut_Ajustes_Manuais!$I:$I,DRE!AI$4,Aut_Ajustes_Manuais!$F:$F,"Material de Consumo - Gelo/ Gas CO2/ Carvao /Velas")</f>
        <v/>
      </c>
      <c r="AL240" s="241" t="n"/>
      <c r="AM240" s="27">
        <f>-SUMIFS(T_ORCAMENTOS!$E:$E,T_ORCAMENTOS!$C:$C,"Material de Consumo - Gelo/ Gas CO2/ Carvao /Velas",T_ORCAMENTOS!$H:$H,"11/2026")</f>
        <v/>
      </c>
      <c r="AN240" s="28">
        <f>SUMIFS(Aut_BlueMe_Sem_Pedido!$J:$J,Aut_BlueMe_Sem_Pedido!$Q:$Q,DRE!AL$4,Aut_BlueMe_Sem_Pedido!$H:$H,DRE!$A240)-SUMIFS(Aut_BlueMe_Com_Pedido!$N:$N,Aut_BlueMe_Com_Pedido!$Q:$Q,DRE!AL$4)+SUMIFS(Aut_Ajustes_Manuais!$G:$G,Aut_Ajustes_Manuais!$I:$I,DRE!AL$4,Aut_Ajustes_Manuais!$F:$F,"Material de Consumo - Gelo/ Gas CO2/ Carvao /Velas")</f>
        <v/>
      </c>
      <c r="AO240" s="241" t="n"/>
      <c r="AP240" s="27">
        <f>-SUMIFS(T_ORCAMENTOS!$E:$E,T_ORCAMENTOS!$C:$C,"Material de Consumo - Gelo/ Gas CO2/ Carvao /Velas",T_ORCAMENTOS!$H:$H,"12/2026")</f>
        <v/>
      </c>
      <c r="AQ240" s="28">
        <f>SUMIFS(Aut_BlueMe_Sem_Pedido!$J:$J,Aut_BlueMe_Sem_Pedido!$Q:$Q,DRE!AO$4,Aut_BlueMe_Sem_Pedido!$H:$H,DRE!$A240)-SUMIFS(Aut_BlueMe_Com_Pedido!$N:$N,Aut_BlueMe_Com_Pedido!$Q:$Q,DRE!AO$4)+SUMIFS(Aut_Ajustes_Manuais!$G:$G,Aut_Ajustes_Manuais!$I:$I,DRE!AO$4,Aut_Ajustes_Manuais!$F:$F,"Material de Consumo - Gelo/ Gas CO2/ Carvao /Velas")</f>
        <v/>
      </c>
      <c r="AR240" s="241">
        <f>SUMIFS($H240:$AO240,$H$5:$AO$5,"&lt;"&amp;MONTH(TODAY()),$H$6:$AO$6,"REAL 25")</f>
        <v/>
      </c>
      <c r="AS240" s="27">
        <f>SUMIFS($I240:$AP240,$I$5:$AP$5,"&lt;"&amp;MONTH(TODAY()),$I$6:$AP$6,"ORÇADO ")</f>
        <v/>
      </c>
      <c r="AT240" s="28">
        <f>SUMIFS($J240:$AQ240,$J$5:$AQ$5,"&lt;"&amp;MONTH(TODAY()),$J$6:$AQ$6,"REAL 26")</f>
        <v/>
      </c>
      <c r="AU240" s="241">
        <f>SUM(H240,K240,N240,Q240,T240,W240,Z240,AC240,AF240,AI240,AL240,AO240)</f>
        <v/>
      </c>
      <c r="AV240" s="27">
        <f>SUM(I240,L240,O240,R240,U240,X240,AA240,AD240,AG240,AJ240,AM240,AP240)</f>
        <v/>
      </c>
      <c r="AW240" s="28">
        <f>SUM(J240,M240,P240,S240,V240,Y240,AB240,AE240,AH240,AK240,AN240,AQ240)</f>
        <v/>
      </c>
      <c r="AX240" s="241">
        <f>SUM(H240,K240,N240)</f>
        <v/>
      </c>
      <c r="AY240" s="27">
        <f>SUM(I240,L240,O240)</f>
        <v/>
      </c>
      <c r="AZ240" s="28">
        <f>SUM(J240,M240,P240)</f>
        <v/>
      </c>
      <c r="BA240" s="241">
        <f>SUM(Q240,T240,W240)</f>
        <v/>
      </c>
      <c r="BB240" s="27">
        <f>SUM(R240,U240,X240)</f>
        <v/>
      </c>
      <c r="BC240" s="28">
        <f>SUM(S240,V240,Y240)</f>
        <v/>
      </c>
      <c r="BD240" s="241">
        <f>SUM(Z240,AC240,AF240)</f>
        <v/>
      </c>
      <c r="BE240" s="27">
        <f>SUM(AA240,AD240,AG240)</f>
        <v/>
      </c>
      <c r="BF240" s="28">
        <f>SUM(AB240,AE240,AH240)</f>
        <v/>
      </c>
      <c r="BG240" s="241">
        <f>SUM(AI240,AL240,AO240)</f>
        <v/>
      </c>
      <c r="BH240" s="27">
        <f>SUM(AJ240,AM240,AP240)</f>
        <v/>
      </c>
      <c r="BI240" s="28">
        <f>SUM(AK240,AN240,AQ240)</f>
        <v/>
      </c>
    </row>
    <row r="241" collapsed="1">
      <c r="A241" s="71" t="inlineStr">
        <is>
          <t>% sobre Receita Bruta</t>
        </is>
      </c>
      <c r="B241" s="59" t="n"/>
      <c r="C241" s="60" t="n"/>
      <c r="D241" s="61" t="n"/>
      <c r="E241" s="62" t="n"/>
      <c r="F241" s="63" t="n"/>
      <c r="G241" s="47" t="n"/>
      <c r="H241" s="245" t="n"/>
      <c r="I241" s="50">
        <f>IFERROR(I226/I8,0)</f>
        <v/>
      </c>
      <c r="J241" s="51">
        <f>IFERROR(J226/J8,0)+SUMIFS(Aut_Ajustes_Manuais!$G:$G,Aut_Ajustes_Manuais!$I:$I,DRE!H$4,Aut_Ajustes_Manuais!$F:$F,"% sobre Receita Bruta")</f>
        <v/>
      </c>
      <c r="K241" s="245" t="n"/>
      <c r="L241" s="50">
        <f>IFERROR(L226/L8,0)</f>
        <v/>
      </c>
      <c r="M241" s="51">
        <f>IFERROR(M226/M8,0)+SUMIFS(Aut_Ajustes_Manuais!$G:$G,Aut_Ajustes_Manuais!$I:$I,DRE!K$4,Aut_Ajustes_Manuais!$F:$F,"% sobre Receita Bruta")</f>
        <v/>
      </c>
      <c r="N241" s="245" t="n"/>
      <c r="O241" s="50">
        <f>IFERROR(O226/O8,0)</f>
        <v/>
      </c>
      <c r="P241" s="51">
        <f>IFERROR(P226/P8,0)+SUMIFS(Aut_Ajustes_Manuais!$G:$G,Aut_Ajustes_Manuais!$I:$I,DRE!N$4,Aut_Ajustes_Manuais!$F:$F,"% sobre Receita Bruta")</f>
        <v/>
      </c>
      <c r="Q241" s="245" t="n"/>
      <c r="R241" s="50">
        <f>IFERROR(R226/R8,0)</f>
        <v/>
      </c>
      <c r="S241" s="51">
        <f>IFERROR(S226/S8,0)+SUMIFS(Aut_Ajustes_Manuais!$G:$G,Aut_Ajustes_Manuais!$I:$I,DRE!Q$4,Aut_Ajustes_Manuais!$F:$F,"% sobre Receita Bruta")</f>
        <v/>
      </c>
      <c r="T241" s="245" t="n"/>
      <c r="U241" s="50">
        <f>IFERROR(U226/U8,0)</f>
        <v/>
      </c>
      <c r="V241" s="51">
        <f>IFERROR(V226/V8,0)+SUMIFS(Aut_Ajustes_Manuais!$G:$G,Aut_Ajustes_Manuais!$I:$I,DRE!T$4,Aut_Ajustes_Manuais!$F:$F,"% sobre Receita Bruta")</f>
        <v/>
      </c>
      <c r="W241" s="245" t="n"/>
      <c r="X241" s="50">
        <f>IFERROR(X226/X8,0)</f>
        <v/>
      </c>
      <c r="Y241" s="51">
        <f>IFERROR(Y226/Y8,0)+SUMIFS(Aut_Ajustes_Manuais!$G:$G,Aut_Ajustes_Manuais!$I:$I,DRE!W$4,Aut_Ajustes_Manuais!$F:$F,"% sobre Receita Bruta")</f>
        <v/>
      </c>
      <c r="Z241" s="245" t="n"/>
      <c r="AA241" s="50">
        <f>IFERROR(AA226/AA8,0)</f>
        <v/>
      </c>
      <c r="AB241" s="51">
        <f>IFERROR(AB226/AB8,0)+SUMIFS(Aut_Ajustes_Manuais!$G:$G,Aut_Ajustes_Manuais!$I:$I,DRE!Z$4,Aut_Ajustes_Manuais!$F:$F,"% sobre Receita Bruta")</f>
        <v/>
      </c>
      <c r="AC241" s="245" t="n"/>
      <c r="AD241" s="50">
        <f>IFERROR(AD226/AD8,0)</f>
        <v/>
      </c>
      <c r="AE241" s="51">
        <f>IFERROR(AE226/AE8,0)+SUMIFS(Aut_Ajustes_Manuais!$G:$G,Aut_Ajustes_Manuais!$I:$I,DRE!AC$4,Aut_Ajustes_Manuais!$F:$F,"% sobre Receita Bruta")</f>
        <v/>
      </c>
      <c r="AF241" s="245" t="n"/>
      <c r="AG241" s="50">
        <f>IFERROR(AG226/AG8,0)</f>
        <v/>
      </c>
      <c r="AH241" s="51">
        <f>IFERROR(AH226/AH8,0)+SUMIFS(Aut_Ajustes_Manuais!$G:$G,Aut_Ajustes_Manuais!$I:$I,DRE!AF$4,Aut_Ajustes_Manuais!$F:$F,"% sobre Receita Bruta")</f>
        <v/>
      </c>
      <c r="AI241" s="245" t="n"/>
      <c r="AJ241" s="50">
        <f>IFERROR(AJ226/AJ8,0)</f>
        <v/>
      </c>
      <c r="AK241" s="51">
        <f>IFERROR(AK226/AK8,0)+SUMIFS(Aut_Ajustes_Manuais!$G:$G,Aut_Ajustes_Manuais!$I:$I,DRE!AI$4,Aut_Ajustes_Manuais!$F:$F,"% sobre Receita Bruta")</f>
        <v/>
      </c>
      <c r="AL241" s="245" t="n"/>
      <c r="AM241" s="50">
        <f>IFERROR(AM226/AM8,0)</f>
        <v/>
      </c>
      <c r="AN241" s="51">
        <f>IFERROR(AN226/AN8,0)+SUMIFS(Aut_Ajustes_Manuais!$G:$G,Aut_Ajustes_Manuais!$I:$I,DRE!AL$4,Aut_Ajustes_Manuais!$F:$F,"% sobre Receita Bruta")</f>
        <v/>
      </c>
      <c r="AO241" s="245" t="n"/>
      <c r="AP241" s="50">
        <f>IFERROR(AP226/AP8,0)</f>
        <v/>
      </c>
      <c r="AQ241" s="51">
        <f>IFERROR(AQ226/AQ8,0)+SUMIFS(Aut_Ajustes_Manuais!$G:$G,Aut_Ajustes_Manuais!$I:$I,DRE!AO$4,Aut_Ajustes_Manuais!$F:$F,"% sobre Receita Bruta")</f>
        <v/>
      </c>
      <c r="AR241" s="245">
        <f>IFERROR(AR226/AR8,0)</f>
        <v/>
      </c>
      <c r="AS241" s="50">
        <f>IFERROR(AS226/AS8,0)</f>
        <v/>
      </c>
      <c r="AT241" s="51">
        <f>IFERROR(AT226/AT8,0)</f>
        <v/>
      </c>
      <c r="AU241" s="245">
        <f>IFERROR(AU226/AU8,0)</f>
        <v/>
      </c>
      <c r="AV241" s="50">
        <f>IFERROR(AV226/AV8,0)</f>
        <v/>
      </c>
      <c r="AW241" s="51">
        <f>IFERROR(AW226/AW8,0)</f>
        <v/>
      </c>
      <c r="AX241" s="245">
        <f>IFERROR(AX226/AX8,0)</f>
        <v/>
      </c>
      <c r="AY241" s="50">
        <f>IFERROR(AY226/AY8,0)</f>
        <v/>
      </c>
      <c r="AZ241" s="51">
        <f>IFERROR(AZ226/AZ8,0)</f>
        <v/>
      </c>
      <c r="BA241" s="245">
        <f>IFERROR(BA226/BA8,0)</f>
        <v/>
      </c>
      <c r="BB241" s="50">
        <f>IFERROR(BB226/BB8,0)</f>
        <v/>
      </c>
      <c r="BC241" s="51">
        <f>IFERROR(BC226/BC8,0)</f>
        <v/>
      </c>
      <c r="BD241" s="245">
        <f>IFERROR(BD226/BD8,0)</f>
        <v/>
      </c>
      <c r="BE241" s="50">
        <f>IFERROR(BE226/BE8,0)</f>
        <v/>
      </c>
      <c r="BF241" s="51">
        <f>IFERROR(BF226/BF8,0)</f>
        <v/>
      </c>
      <c r="BG241" s="245">
        <f>IFERROR(BG226/BG8,0)</f>
        <v/>
      </c>
      <c r="BH241" s="50">
        <f>IFERROR(BH226/BH8,0)</f>
        <v/>
      </c>
      <c r="BI241" s="51">
        <f>IFERROR(BI226/BI8,0)</f>
        <v/>
      </c>
    </row>
    <row r="242">
      <c r="A242" s="18" t="n"/>
      <c r="E242" s="16" t="n"/>
      <c r="F242" s="17" t="n"/>
      <c r="G242" s="47" t="n"/>
      <c r="H242" s="247" t="n"/>
      <c r="I242" s="487" t="n"/>
      <c r="J242" s="487" t="n"/>
      <c r="K242" s="516" t="n"/>
      <c r="L242" s="17" t="n"/>
      <c r="M242" s="57" t="n"/>
      <c r="N242" s="247" t="n"/>
      <c r="O242" s="17" t="n"/>
      <c r="P242" s="57" t="n"/>
      <c r="Q242" s="247" t="n"/>
      <c r="R242" s="17" t="n"/>
      <c r="S242" s="57" t="n"/>
      <c r="T242" s="247" t="n"/>
      <c r="U242" s="17" t="n"/>
      <c r="V242" s="57" t="n"/>
      <c r="W242" s="247" t="n"/>
      <c r="X242" s="17" t="n"/>
      <c r="Y242" s="57" t="n"/>
      <c r="Z242" s="247" t="n"/>
      <c r="AA242" s="17" t="n"/>
      <c r="AB242" s="57" t="n"/>
      <c r="AC242" s="247" t="n"/>
      <c r="AD242" s="17" t="n"/>
      <c r="AE242" s="57" t="n"/>
      <c r="AF242" s="247" t="n"/>
      <c r="AG242" s="17" t="n"/>
      <c r="AH242" s="57" t="n"/>
      <c r="AI242" s="247" t="n"/>
      <c r="AJ242" s="17" t="n"/>
      <c r="AK242" s="57" t="n"/>
      <c r="AL242" s="247" t="n"/>
      <c r="AM242" s="17" t="n"/>
      <c r="AN242" s="57" t="n"/>
      <c r="AO242" s="247" t="n"/>
      <c r="AP242" s="17" t="n"/>
      <c r="AQ242" s="57" t="n"/>
      <c r="AR242" s="247" t="n"/>
      <c r="AS242" s="508" t="n"/>
      <c r="AT242" s="517" t="n"/>
      <c r="AU242" s="444" t="n"/>
      <c r="AV242" s="17" t="n"/>
      <c r="AW242" s="57" t="n"/>
      <c r="AX242" s="247" t="n"/>
      <c r="AY242" s="17" t="n"/>
      <c r="AZ242" s="57" t="n"/>
      <c r="BA242" s="247" t="n"/>
      <c r="BB242" s="17" t="n"/>
      <c r="BC242" s="57" t="n"/>
      <c r="BD242" s="247" t="n"/>
      <c r="BE242" s="17" t="n"/>
      <c r="BF242" s="57" t="n"/>
      <c r="BG242" s="247" t="n"/>
      <c r="BH242" s="17" t="n"/>
      <c r="BI242" s="57" t="n"/>
    </row>
    <row r="243">
      <c r="A243" s="39" t="inlineStr">
        <is>
          <t>Informática e TI</t>
        </is>
      </c>
      <c r="C243" s="40" t="inlineStr">
        <is>
          <t>Premissas</t>
        </is>
      </c>
      <c r="D243" s="40" t="inlineStr">
        <is>
          <t>Valores</t>
        </is>
      </c>
      <c r="E243" s="40" t="inlineStr">
        <is>
          <t>Acréscimo</t>
        </is>
      </c>
      <c r="F243" s="17" t="n"/>
      <c r="G243" s="47" t="n"/>
      <c r="H243" s="244" t="n"/>
      <c r="I243" s="42">
        <f>SUM(I244:I252)</f>
        <v/>
      </c>
      <c r="J243" s="67">
        <f>SUM(J244:J252)+SUMIFS(Aut_Ajustes_Manuais!$G:$G,Aut_Ajustes_Manuais!$I:$I,DRE!H$4,Aut_Ajustes_Manuais!$F:$F,"Informática e TI")</f>
        <v/>
      </c>
      <c r="K243" s="244" t="n"/>
      <c r="L243" s="42">
        <f>SUM(L244:L252)</f>
        <v/>
      </c>
      <c r="M243" s="43">
        <f>SUM(M244:M252)+SUMIFS(Aut_Ajustes_Manuais!$G:$G,Aut_Ajustes_Manuais!$I:$I,DRE!K$4,Aut_Ajustes_Manuais!$F:$F,"Informática e TI")</f>
        <v/>
      </c>
      <c r="N243" s="244" t="n"/>
      <c r="O243" s="42">
        <f>SUM(O244:O252)</f>
        <v/>
      </c>
      <c r="P243" s="43">
        <f>SUM(P244:P252)+SUMIFS(Aut_Ajustes_Manuais!$G:$G,Aut_Ajustes_Manuais!$I:$I,DRE!N$4,Aut_Ajustes_Manuais!$F:$F,"Informática e TI")</f>
        <v/>
      </c>
      <c r="Q243" s="244" t="n"/>
      <c r="R243" s="42">
        <f>SUM(R244:R252)</f>
        <v/>
      </c>
      <c r="S243" s="43">
        <f>SUM(S244:S252)+SUMIFS(Aut_Ajustes_Manuais!$G:$G,Aut_Ajustes_Manuais!$I:$I,DRE!Q$4,Aut_Ajustes_Manuais!$F:$F,"Informática e TI")</f>
        <v/>
      </c>
      <c r="T243" s="244" t="n"/>
      <c r="U243" s="42">
        <f>SUM(U244:U252)</f>
        <v/>
      </c>
      <c r="V243" s="43">
        <f>SUM(V244:V252)+SUMIFS(Aut_Ajustes_Manuais!$G:$G,Aut_Ajustes_Manuais!$I:$I,DRE!T$4,Aut_Ajustes_Manuais!$F:$F,"Informática e TI")</f>
        <v/>
      </c>
      <c r="W243" s="244" t="n"/>
      <c r="X243" s="42">
        <f>SUM(X244:X252)</f>
        <v/>
      </c>
      <c r="Y243" s="43">
        <f>SUM(Y244:Y252)+SUMIFS(Aut_Ajustes_Manuais!$G:$G,Aut_Ajustes_Manuais!$I:$I,DRE!W$4,Aut_Ajustes_Manuais!$F:$F,"Informática e TI")</f>
        <v/>
      </c>
      <c r="Z243" s="244" t="n"/>
      <c r="AA243" s="42">
        <f>SUM(AA244:AA252)</f>
        <v/>
      </c>
      <c r="AB243" s="43">
        <f>SUM(AB244:AB252)+SUMIFS(Aut_Ajustes_Manuais!$G:$G,Aut_Ajustes_Manuais!$I:$I,DRE!Z$4,Aut_Ajustes_Manuais!$F:$F,"Informática e TI")</f>
        <v/>
      </c>
      <c r="AC243" s="244" t="n"/>
      <c r="AD243" s="42">
        <f>SUM(AD244:AD252)</f>
        <v/>
      </c>
      <c r="AE243" s="43">
        <f>SUM(AE244:AE252)+SUMIFS(Aut_Ajustes_Manuais!$G:$G,Aut_Ajustes_Manuais!$I:$I,DRE!AC$4,Aut_Ajustes_Manuais!$F:$F,"Informática e TI")</f>
        <v/>
      </c>
      <c r="AF243" s="244" t="n"/>
      <c r="AG243" s="42">
        <f>SUM(AG244:AG252)</f>
        <v/>
      </c>
      <c r="AH243" s="43">
        <f>SUM(AH244:AH252)+SUMIFS(Aut_Ajustes_Manuais!$G:$G,Aut_Ajustes_Manuais!$I:$I,DRE!AF$4,Aut_Ajustes_Manuais!$F:$F,"Informática e TI")</f>
        <v/>
      </c>
      <c r="AI243" s="244" t="n"/>
      <c r="AJ243" s="42">
        <f>SUM(AJ244:AJ252)</f>
        <v/>
      </c>
      <c r="AK243" s="43">
        <f>SUM(AK244:AK252)+SUMIFS(Aut_Ajustes_Manuais!$G:$G,Aut_Ajustes_Manuais!$I:$I,DRE!AI$4,Aut_Ajustes_Manuais!$F:$F,"Informática e TI")</f>
        <v/>
      </c>
      <c r="AL243" s="244" t="n"/>
      <c r="AM243" s="42">
        <f>SUM(AM244:AM252)</f>
        <v/>
      </c>
      <c r="AN243" s="43">
        <f>SUM(AN244:AN252)+SUMIFS(Aut_Ajustes_Manuais!$G:$G,Aut_Ajustes_Manuais!$I:$I,DRE!AL$4,Aut_Ajustes_Manuais!$F:$F,"Informática e TI")</f>
        <v/>
      </c>
      <c r="AO243" s="244" t="n"/>
      <c r="AP243" s="42">
        <f>SUM(AP244:AP252)</f>
        <v/>
      </c>
      <c r="AQ243" s="43">
        <f>SUM(AQ244:AQ252)+SUMIFS(Aut_Ajustes_Manuais!$G:$G,Aut_Ajustes_Manuais!$I:$I,DRE!AO$4,Aut_Ajustes_Manuais!$F:$F,"Informática e TI")</f>
        <v/>
      </c>
      <c r="AR243" s="244">
        <f>SUM(AR244:AR252)</f>
        <v/>
      </c>
      <c r="AS243" s="42">
        <f>SUM(AS244:AS252)</f>
        <v/>
      </c>
      <c r="AT243" s="43">
        <f>SUM(AT244:AT252)</f>
        <v/>
      </c>
      <c r="AU243" s="244">
        <f>SUM(AU244:AU252)</f>
        <v/>
      </c>
      <c r="AV243" s="42">
        <f>SUM(AV244:AV252)</f>
        <v/>
      </c>
      <c r="AW243" s="43">
        <f>SUM(AW244:AW252)</f>
        <v/>
      </c>
      <c r="AX243" s="244">
        <f>SUM(AX244:AX252)</f>
        <v/>
      </c>
      <c r="AY243" s="42">
        <f>SUM(AY244:AY252)</f>
        <v/>
      </c>
      <c r="AZ243" s="43">
        <f>SUM(AZ244:AZ252)</f>
        <v/>
      </c>
      <c r="BA243" s="244">
        <f>SUM(BA244:BA252)</f>
        <v/>
      </c>
      <c r="BB243" s="42">
        <f>SUM(BB244:BB252)</f>
        <v/>
      </c>
      <c r="BC243" s="43">
        <f>SUM(BC244:BC252)</f>
        <v/>
      </c>
      <c r="BD243" s="244">
        <f>SUM(BD244:BD252)</f>
        <v/>
      </c>
      <c r="BE243" s="42">
        <f>SUM(BE244:BE252)</f>
        <v/>
      </c>
      <c r="BF243" s="43">
        <f>SUM(BF244:BF252)</f>
        <v/>
      </c>
      <c r="BG243" s="244">
        <f>SUM(BG244:BG252)</f>
        <v/>
      </c>
      <c r="BH243" s="42">
        <f>SUM(BH244:BH252)</f>
        <v/>
      </c>
      <c r="BI243" s="43">
        <f>SUM(BI244:BI252)</f>
        <v/>
      </c>
    </row>
    <row r="244" hidden="1" outlineLevel="1" customFormat="1" s="498">
      <c r="A244" s="22" t="inlineStr">
        <is>
          <t>Telefone</t>
        </is>
      </c>
      <c r="B244" s="23" t="n"/>
      <c r="C244" s="24" t="inlineStr">
        <is>
          <t>Contr/Prov</t>
        </is>
      </c>
      <c r="D244" s="116" t="n">
        <v>-90</v>
      </c>
      <c r="E244" s="115" t="n"/>
      <c r="F244" s="117" t="n"/>
      <c r="G244" s="33" t="n"/>
      <c r="H244" s="241" t="n"/>
      <c r="I244" s="27">
        <f>-SUMIFS(T_ORCAMENTOS!$E:$E,T_ORCAMENTOS!$C:$C,"Telefone",T_ORCAMENTOS!$H:$H,"1/2026")</f>
        <v/>
      </c>
      <c r="J244" s="28">
        <f>SUMIFS(Aut_BlueMe_Sem_Pedido!$J:$J,Aut_BlueMe_Sem_Pedido!$Q:$Q,DRE!H$4,Aut_BlueMe_Sem_Pedido!$H:$H,DRE!$A244)+SUMIFS(Aut_Ajustes_Manuais!$G:$G,Aut_Ajustes_Manuais!$I:$I,DRE!H$4,Aut_Ajustes_Manuais!$F:$F,"Telefone")</f>
        <v/>
      </c>
      <c r="K244" s="241" t="n"/>
      <c r="L244" s="27">
        <f>-SUMIFS(T_ORCAMENTOS!$E:$E,T_ORCAMENTOS!$C:$C,"Telefone",T_ORCAMENTOS!$H:$H,"2/2026")</f>
        <v/>
      </c>
      <c r="M244" s="28">
        <f>SUMIFS(Aut_BlueMe_Sem_Pedido!$J:$J,Aut_BlueMe_Sem_Pedido!$Q:$Q,DRE!K$4,Aut_BlueMe_Sem_Pedido!$H:$H,DRE!$A244)+SUMIFS(Aut_Ajustes_Manuais!$G:$G,Aut_Ajustes_Manuais!$I:$I,DRE!K$4,Aut_Ajustes_Manuais!$F:$F,"Telefone")</f>
        <v/>
      </c>
      <c r="N244" s="241" t="n"/>
      <c r="O244" s="27">
        <f>-SUMIFS(T_ORCAMENTOS!$E:$E,T_ORCAMENTOS!$C:$C,"Telefone",T_ORCAMENTOS!$H:$H,"3/2026")</f>
        <v/>
      </c>
      <c r="P244" s="28">
        <f>SUMIFS(Aut_BlueMe_Sem_Pedido!$J:$J,Aut_BlueMe_Sem_Pedido!$Q:$Q,DRE!N$4,Aut_BlueMe_Sem_Pedido!$H:$H,DRE!$A244)+SUMIFS(Aut_Ajustes_Manuais!$G:$G,Aut_Ajustes_Manuais!$I:$I,DRE!N$4,Aut_Ajustes_Manuais!$F:$F,"Telefone")</f>
        <v/>
      </c>
      <c r="Q244" s="241" t="n"/>
      <c r="R244" s="27">
        <f>-SUMIFS(T_ORCAMENTOS!$E:$E,T_ORCAMENTOS!$C:$C,"Telefone",T_ORCAMENTOS!$H:$H,"4/2026")</f>
        <v/>
      </c>
      <c r="S244" s="28">
        <f>SUMIFS(Aut_BlueMe_Sem_Pedido!$J:$J,Aut_BlueMe_Sem_Pedido!$Q:$Q,DRE!Q$4,Aut_BlueMe_Sem_Pedido!$H:$H,DRE!$A244)+SUMIFS(Aut_Ajustes_Manuais!$G:$G,Aut_Ajustes_Manuais!$I:$I,DRE!Q$4,Aut_Ajustes_Manuais!$F:$F,"Telefone")</f>
        <v/>
      </c>
      <c r="T244" s="241" t="n"/>
      <c r="U244" s="27">
        <f>-SUMIFS(T_ORCAMENTOS!$E:$E,T_ORCAMENTOS!$C:$C,"Telefone",T_ORCAMENTOS!$H:$H,"5/2026")</f>
        <v/>
      </c>
      <c r="V244" s="28">
        <f>SUMIFS(Aut_BlueMe_Sem_Pedido!$J:$J,Aut_BlueMe_Sem_Pedido!$Q:$Q,DRE!T$4,Aut_BlueMe_Sem_Pedido!$H:$H,DRE!$A244)+SUMIFS(Aut_Ajustes_Manuais!$G:$G,Aut_Ajustes_Manuais!$I:$I,DRE!T$4,Aut_Ajustes_Manuais!$F:$F,"Telefone")</f>
        <v/>
      </c>
      <c r="W244" s="241" t="n"/>
      <c r="X244" s="27">
        <f>-SUMIFS(T_ORCAMENTOS!$E:$E,T_ORCAMENTOS!$C:$C,"Telefone",T_ORCAMENTOS!$H:$H,"6/2026")</f>
        <v/>
      </c>
      <c r="Y244" s="28">
        <f>SUMIFS(Aut_BlueMe_Sem_Pedido!$J:$J,Aut_BlueMe_Sem_Pedido!$Q:$Q,DRE!W$4,Aut_BlueMe_Sem_Pedido!$H:$H,DRE!$A244)+SUMIFS(Aut_Ajustes_Manuais!$G:$G,Aut_Ajustes_Manuais!$I:$I,DRE!W$4,Aut_Ajustes_Manuais!$F:$F,"Telefone")</f>
        <v/>
      </c>
      <c r="Z244" s="241" t="n"/>
      <c r="AA244" s="27">
        <f>-SUMIFS(T_ORCAMENTOS!$E:$E,T_ORCAMENTOS!$C:$C,"Telefone",T_ORCAMENTOS!$H:$H,"7/2026")</f>
        <v/>
      </c>
      <c r="AB244" s="28">
        <f>SUMIFS(Aut_BlueMe_Sem_Pedido!$J:$J,Aut_BlueMe_Sem_Pedido!$Q:$Q,DRE!Z$4,Aut_BlueMe_Sem_Pedido!$H:$H,DRE!$A244)+SUMIFS(Aut_Ajustes_Manuais!$G:$G,Aut_Ajustes_Manuais!$I:$I,DRE!Z$4,Aut_Ajustes_Manuais!$F:$F,"Telefone")</f>
        <v/>
      </c>
      <c r="AC244" s="241" t="n"/>
      <c r="AD244" s="27">
        <f>-SUMIFS(T_ORCAMENTOS!$E:$E,T_ORCAMENTOS!$C:$C,"Telefone",T_ORCAMENTOS!$H:$H,"8/2026")</f>
        <v/>
      </c>
      <c r="AE244" s="28">
        <f>SUMIFS(Aut_BlueMe_Sem_Pedido!$J:$J,Aut_BlueMe_Sem_Pedido!$Q:$Q,DRE!AC$4,Aut_BlueMe_Sem_Pedido!$H:$H,DRE!$A244)+SUMIFS(Aut_Ajustes_Manuais!$G:$G,Aut_Ajustes_Manuais!$I:$I,DRE!AC$4,Aut_Ajustes_Manuais!$F:$F,"Telefone")</f>
        <v/>
      </c>
      <c r="AF244" s="241" t="n"/>
      <c r="AG244" s="27">
        <f>-SUMIFS(T_ORCAMENTOS!$E:$E,T_ORCAMENTOS!$C:$C,"Telefone",T_ORCAMENTOS!$H:$H,"9/2026")</f>
        <v/>
      </c>
      <c r="AH244" s="28">
        <f>SUMIFS(Aut_BlueMe_Sem_Pedido!$J:$J,Aut_BlueMe_Sem_Pedido!$Q:$Q,DRE!AF$4,Aut_BlueMe_Sem_Pedido!$H:$H,DRE!$A244)+SUMIFS(Aut_Ajustes_Manuais!$G:$G,Aut_Ajustes_Manuais!$I:$I,DRE!AF$4,Aut_Ajustes_Manuais!$F:$F,"Telefone")</f>
        <v/>
      </c>
      <c r="AI244" s="241" t="n"/>
      <c r="AJ244" s="27">
        <f>-SUMIFS(T_ORCAMENTOS!$E:$E,T_ORCAMENTOS!$C:$C,"Telefone",T_ORCAMENTOS!$H:$H,"10/2026")</f>
        <v/>
      </c>
      <c r="AK244" s="28">
        <f>SUMIFS(Aut_BlueMe_Sem_Pedido!$J:$J,Aut_BlueMe_Sem_Pedido!$Q:$Q,DRE!AI$4,Aut_BlueMe_Sem_Pedido!$H:$H,DRE!$A244)+SUMIFS(Aut_Ajustes_Manuais!$G:$G,Aut_Ajustes_Manuais!$I:$I,DRE!AI$4,Aut_Ajustes_Manuais!$F:$F,"Telefone")</f>
        <v/>
      </c>
      <c r="AL244" s="241" t="n"/>
      <c r="AM244" s="27">
        <f>-SUMIFS(T_ORCAMENTOS!$E:$E,T_ORCAMENTOS!$C:$C,"Telefone",T_ORCAMENTOS!$H:$H,"11/2026")</f>
        <v/>
      </c>
      <c r="AN244" s="28">
        <f>SUMIFS(Aut_BlueMe_Sem_Pedido!$J:$J,Aut_BlueMe_Sem_Pedido!$Q:$Q,DRE!AL$4,Aut_BlueMe_Sem_Pedido!$H:$H,DRE!$A244)+SUMIFS(Aut_Ajustes_Manuais!$G:$G,Aut_Ajustes_Manuais!$I:$I,DRE!AL$4,Aut_Ajustes_Manuais!$F:$F,"Telefone")</f>
        <v/>
      </c>
      <c r="AO244" s="241" t="n"/>
      <c r="AP244" s="27">
        <f>-SUMIFS(T_ORCAMENTOS!$E:$E,T_ORCAMENTOS!$C:$C,"Telefone",T_ORCAMENTOS!$H:$H,"12/2026")</f>
        <v/>
      </c>
      <c r="AQ244" s="28">
        <f>SUMIFS(Aut_BlueMe_Sem_Pedido!$J:$J,Aut_BlueMe_Sem_Pedido!$Q:$Q,DRE!AO$4,Aut_BlueMe_Sem_Pedido!$H:$H,DRE!$A244)+SUMIFS(Aut_Ajustes_Manuais!$G:$G,Aut_Ajustes_Manuais!$I:$I,DRE!AO$4,Aut_Ajustes_Manuais!$F:$F,"Telefone")</f>
        <v/>
      </c>
      <c r="AR244" s="241">
        <f>SUMIFS($H244:$AO244,$H$5:$AO$5,"&lt;"&amp;MONTH(TODAY()),$H$6:$AO$6,"REAL 25")</f>
        <v/>
      </c>
      <c r="AS244" s="27">
        <f>SUMIFS($I244:$AP244,$I$5:$AP$5,"&lt;"&amp;MONTH(TODAY()),$I$6:$AP$6,"ORÇADO ")</f>
        <v/>
      </c>
      <c r="AT244" s="28">
        <f>SUMIFS($J244:$AQ244,$J$5:$AQ$5,"&lt;"&amp;MONTH(TODAY()),$J$6:$AQ$6,"REAL 26")</f>
        <v/>
      </c>
      <c r="AU244" s="241">
        <f>SUM(H244,K244,N244,Q244,T244,W244,Z244,AC244,AF244,AI244,AL244,AO244)</f>
        <v/>
      </c>
      <c r="AV244" s="27">
        <f>SUM(I244,L244,O244,R244,U244,X244,AA244,AD244,AG244,AJ244,AM244,AP244)</f>
        <v/>
      </c>
      <c r="AW244" s="28">
        <f>SUM(J244,M244,P244,S244,V244,Y244,AB244,AE244,AH244,AK244,AN244,AQ244)</f>
        <v/>
      </c>
      <c r="AX244" s="241">
        <f>SUM(H244,K244,N244)</f>
        <v/>
      </c>
      <c r="AY244" s="27">
        <f>SUM(I244,L244,O244)</f>
        <v/>
      </c>
      <c r="AZ244" s="28">
        <f>SUM(J244,M244,P244)</f>
        <v/>
      </c>
      <c r="BA244" s="241">
        <f>SUM(Q244,T244,W244)</f>
        <v/>
      </c>
      <c r="BB244" s="27">
        <f>SUM(R244,U244,X244)</f>
        <v/>
      </c>
      <c r="BC244" s="28">
        <f>SUM(S244,V244,Y244)</f>
        <v/>
      </c>
      <c r="BD244" s="241">
        <f>SUM(Z244,AC244,AF244)</f>
        <v/>
      </c>
      <c r="BE244" s="27">
        <f>SUM(AA244,AD244,AG244)</f>
        <v/>
      </c>
      <c r="BF244" s="28">
        <f>SUM(AB244,AE244,AH244)</f>
        <v/>
      </c>
      <c r="BG244" s="241">
        <f>SUM(AI244,AL244,AO244)</f>
        <v/>
      </c>
      <c r="BH244" s="27">
        <f>SUM(AJ244,AM244,AP244)</f>
        <v/>
      </c>
      <c r="BI244" s="28">
        <f>SUM(AK244,AN244,AQ244)</f>
        <v/>
      </c>
    </row>
    <row r="245" hidden="1" outlineLevel="1" customFormat="1" s="498">
      <c r="A245" s="22" t="inlineStr">
        <is>
          <t>Internet</t>
        </is>
      </c>
      <c r="B245" s="23" t="n"/>
      <c r="C245" s="24" t="inlineStr">
        <is>
          <t>Contr/Prov</t>
        </is>
      </c>
      <c r="D245" s="116" t="n"/>
      <c r="E245" s="116" t="n"/>
      <c r="F245" s="117" t="n"/>
      <c r="G245" s="33" t="n"/>
      <c r="H245" s="241" t="n"/>
      <c r="I245" s="27">
        <f>-SUMIFS(T_ORCAMENTOS!$E:$E,T_ORCAMENTOS!$C:$C,"Internet",T_ORCAMENTOS!$H:$H,"1/2026")</f>
        <v/>
      </c>
      <c r="J245" s="28">
        <f>SUMIFS(Aut_BlueMe_Sem_Pedido!$J:$J,Aut_BlueMe_Sem_Pedido!$Q:$Q,DRE!H$4,Aut_BlueMe_Sem_Pedido!$H:$H,DRE!$A245)+SUMIFS(Aut_Ajustes_Manuais!$G:$G,Aut_Ajustes_Manuais!$I:$I,DRE!H$4,Aut_Ajustes_Manuais!$F:$F,"Internet")</f>
        <v/>
      </c>
      <c r="K245" s="241" t="n"/>
      <c r="L245" s="27">
        <f>-SUMIFS(T_ORCAMENTOS!$E:$E,T_ORCAMENTOS!$C:$C,"Internet",T_ORCAMENTOS!$H:$H,"2/2026")</f>
        <v/>
      </c>
      <c r="M245" s="28">
        <f>SUMIFS(Aut_BlueMe_Sem_Pedido!$J:$J,Aut_BlueMe_Sem_Pedido!$Q:$Q,DRE!K$4,Aut_BlueMe_Sem_Pedido!$H:$H,DRE!$A245)+SUMIFS(Aut_Ajustes_Manuais!$G:$G,Aut_Ajustes_Manuais!$I:$I,DRE!K$4,Aut_Ajustes_Manuais!$F:$F,"Internet")</f>
        <v/>
      </c>
      <c r="N245" s="241" t="n"/>
      <c r="O245" s="27">
        <f>-SUMIFS(T_ORCAMENTOS!$E:$E,T_ORCAMENTOS!$C:$C,"Internet",T_ORCAMENTOS!$H:$H,"3/2026")</f>
        <v/>
      </c>
      <c r="P245" s="28">
        <f>SUMIFS(Aut_BlueMe_Sem_Pedido!$J:$J,Aut_BlueMe_Sem_Pedido!$Q:$Q,DRE!N$4,Aut_BlueMe_Sem_Pedido!$H:$H,DRE!$A245)+SUMIFS(Aut_Ajustes_Manuais!$G:$G,Aut_Ajustes_Manuais!$I:$I,DRE!N$4,Aut_Ajustes_Manuais!$F:$F,"Internet")</f>
        <v/>
      </c>
      <c r="Q245" s="241" t="n"/>
      <c r="R245" s="27">
        <f>-SUMIFS(T_ORCAMENTOS!$E:$E,T_ORCAMENTOS!$C:$C,"Internet",T_ORCAMENTOS!$H:$H,"4/2026")</f>
        <v/>
      </c>
      <c r="S245" s="28">
        <f>SUMIFS(Aut_BlueMe_Sem_Pedido!$J:$J,Aut_BlueMe_Sem_Pedido!$Q:$Q,DRE!Q$4,Aut_BlueMe_Sem_Pedido!$H:$H,DRE!$A245)+SUMIFS(Aut_Ajustes_Manuais!$G:$G,Aut_Ajustes_Manuais!$I:$I,DRE!Q$4,Aut_Ajustes_Manuais!$F:$F,"Internet")</f>
        <v/>
      </c>
      <c r="T245" s="241" t="n"/>
      <c r="U245" s="27">
        <f>-SUMIFS(T_ORCAMENTOS!$E:$E,T_ORCAMENTOS!$C:$C,"Internet",T_ORCAMENTOS!$H:$H,"5/2026")</f>
        <v/>
      </c>
      <c r="V245" s="28">
        <f>SUMIFS(Aut_BlueMe_Sem_Pedido!$J:$J,Aut_BlueMe_Sem_Pedido!$Q:$Q,DRE!T$4,Aut_BlueMe_Sem_Pedido!$H:$H,DRE!$A245)+SUMIFS(Aut_Ajustes_Manuais!$G:$G,Aut_Ajustes_Manuais!$I:$I,DRE!T$4,Aut_Ajustes_Manuais!$F:$F,"Internet")</f>
        <v/>
      </c>
      <c r="W245" s="241" t="n"/>
      <c r="X245" s="27">
        <f>-SUMIFS(T_ORCAMENTOS!$E:$E,T_ORCAMENTOS!$C:$C,"Internet",T_ORCAMENTOS!$H:$H,"6/2026")</f>
        <v/>
      </c>
      <c r="Y245" s="28">
        <f>SUMIFS(Aut_BlueMe_Sem_Pedido!$J:$J,Aut_BlueMe_Sem_Pedido!$Q:$Q,DRE!W$4,Aut_BlueMe_Sem_Pedido!$H:$H,DRE!$A245)+SUMIFS(Aut_Ajustes_Manuais!$G:$G,Aut_Ajustes_Manuais!$I:$I,DRE!W$4,Aut_Ajustes_Manuais!$F:$F,"Internet")</f>
        <v/>
      </c>
      <c r="Z245" s="241" t="n"/>
      <c r="AA245" s="27">
        <f>-SUMIFS(T_ORCAMENTOS!$E:$E,T_ORCAMENTOS!$C:$C,"Internet",T_ORCAMENTOS!$H:$H,"7/2026")</f>
        <v/>
      </c>
      <c r="AB245" s="28">
        <f>SUMIFS(Aut_BlueMe_Sem_Pedido!$J:$J,Aut_BlueMe_Sem_Pedido!$Q:$Q,DRE!Z$4,Aut_BlueMe_Sem_Pedido!$H:$H,DRE!$A245)+SUMIFS(Aut_Ajustes_Manuais!$G:$G,Aut_Ajustes_Manuais!$I:$I,DRE!Z$4,Aut_Ajustes_Manuais!$F:$F,"Internet")</f>
        <v/>
      </c>
      <c r="AC245" s="241" t="n"/>
      <c r="AD245" s="27">
        <f>-SUMIFS(T_ORCAMENTOS!$E:$E,T_ORCAMENTOS!$C:$C,"Internet",T_ORCAMENTOS!$H:$H,"8/2026")</f>
        <v/>
      </c>
      <c r="AE245" s="28">
        <f>SUMIFS(Aut_BlueMe_Sem_Pedido!$J:$J,Aut_BlueMe_Sem_Pedido!$Q:$Q,DRE!AC$4,Aut_BlueMe_Sem_Pedido!$H:$H,DRE!$A245)+SUMIFS(Aut_Ajustes_Manuais!$G:$G,Aut_Ajustes_Manuais!$I:$I,DRE!AC$4,Aut_Ajustes_Manuais!$F:$F,"Internet")</f>
        <v/>
      </c>
      <c r="AF245" s="241" t="n"/>
      <c r="AG245" s="27">
        <f>-SUMIFS(T_ORCAMENTOS!$E:$E,T_ORCAMENTOS!$C:$C,"Internet",T_ORCAMENTOS!$H:$H,"9/2026")</f>
        <v/>
      </c>
      <c r="AH245" s="28">
        <f>SUMIFS(Aut_BlueMe_Sem_Pedido!$J:$J,Aut_BlueMe_Sem_Pedido!$Q:$Q,DRE!AF$4,Aut_BlueMe_Sem_Pedido!$H:$H,DRE!$A245)+SUMIFS(Aut_Ajustes_Manuais!$G:$G,Aut_Ajustes_Manuais!$I:$I,DRE!AF$4,Aut_Ajustes_Manuais!$F:$F,"Internet")</f>
        <v/>
      </c>
      <c r="AI245" s="241" t="n"/>
      <c r="AJ245" s="27">
        <f>-SUMIFS(T_ORCAMENTOS!$E:$E,T_ORCAMENTOS!$C:$C,"Internet",T_ORCAMENTOS!$H:$H,"10/2026")</f>
        <v/>
      </c>
      <c r="AK245" s="28">
        <f>SUMIFS(Aut_BlueMe_Sem_Pedido!$J:$J,Aut_BlueMe_Sem_Pedido!$Q:$Q,DRE!AI$4,Aut_BlueMe_Sem_Pedido!$H:$H,DRE!$A245)+SUMIFS(Aut_Ajustes_Manuais!$G:$G,Aut_Ajustes_Manuais!$I:$I,DRE!AI$4,Aut_Ajustes_Manuais!$F:$F,"Internet")</f>
        <v/>
      </c>
      <c r="AL245" s="241" t="n"/>
      <c r="AM245" s="27">
        <f>-SUMIFS(T_ORCAMENTOS!$E:$E,T_ORCAMENTOS!$C:$C,"Internet",T_ORCAMENTOS!$H:$H,"11/2026")</f>
        <v/>
      </c>
      <c r="AN245" s="28">
        <f>SUMIFS(Aut_BlueMe_Sem_Pedido!$J:$J,Aut_BlueMe_Sem_Pedido!$Q:$Q,DRE!AL$4,Aut_BlueMe_Sem_Pedido!$H:$H,DRE!$A245)+SUMIFS(Aut_Ajustes_Manuais!$G:$G,Aut_Ajustes_Manuais!$I:$I,DRE!AL$4,Aut_Ajustes_Manuais!$F:$F,"Internet")</f>
        <v/>
      </c>
      <c r="AO245" s="241" t="n"/>
      <c r="AP245" s="27">
        <f>-SUMIFS(T_ORCAMENTOS!$E:$E,T_ORCAMENTOS!$C:$C,"Internet",T_ORCAMENTOS!$H:$H,"12/2026")</f>
        <v/>
      </c>
      <c r="AQ245" s="28">
        <f>SUMIFS(Aut_BlueMe_Sem_Pedido!$J:$J,Aut_BlueMe_Sem_Pedido!$Q:$Q,DRE!AO$4,Aut_BlueMe_Sem_Pedido!$H:$H,DRE!$A245)+SUMIFS(Aut_Ajustes_Manuais!$G:$G,Aut_Ajustes_Manuais!$I:$I,DRE!AO$4,Aut_Ajustes_Manuais!$F:$F,"Internet")</f>
        <v/>
      </c>
      <c r="AR245" s="241">
        <f>SUMIFS($H245:$AO245,$H$5:$AO$5,"&lt;"&amp;MONTH(TODAY()),$H$6:$AO$6,"REAL 25")</f>
        <v/>
      </c>
      <c r="AS245" s="27">
        <f>SUMIFS($I245:$AP245,$I$5:$AP$5,"&lt;"&amp;MONTH(TODAY()),$I$6:$AP$6,"ORÇADO ")</f>
        <v/>
      </c>
      <c r="AT245" s="28">
        <f>SUMIFS($J245:$AQ245,$J$5:$AQ$5,"&lt;"&amp;MONTH(TODAY()),$J$6:$AQ$6,"REAL 26")</f>
        <v/>
      </c>
      <c r="AU245" s="241">
        <f>SUM(H245,K245,N245,Q245,T245,W245,Z245,AC245,AF245,AI245,AL245,AO245)</f>
        <v/>
      </c>
      <c r="AV245" s="27">
        <f>SUM(I245,L245,O245,R245,U245,X245,AA245,AD245,AG245,AJ245,AM245,AP245)</f>
        <v/>
      </c>
      <c r="AW245" s="28">
        <f>SUM(J245,M245,P245,S245,V245,Y245,AB245,AE245,AH245,AK245,AN245,AQ245)</f>
        <v/>
      </c>
      <c r="AX245" s="241">
        <f>SUM(H245,K245,N245)</f>
        <v/>
      </c>
      <c r="AY245" s="27">
        <f>SUM(I245,L245,O245)</f>
        <v/>
      </c>
      <c r="AZ245" s="28">
        <f>SUM(J245,M245,P245)</f>
        <v/>
      </c>
      <c r="BA245" s="241">
        <f>SUM(Q245,T245,W245)</f>
        <v/>
      </c>
      <c r="BB245" s="27">
        <f>SUM(R245,U245,X245)</f>
        <v/>
      </c>
      <c r="BC245" s="28">
        <f>SUM(S245,V245,Y245)</f>
        <v/>
      </c>
      <c r="BD245" s="241">
        <f>SUM(Z245,AC245,AF245)</f>
        <v/>
      </c>
      <c r="BE245" s="27">
        <f>SUM(AA245,AD245,AG245)</f>
        <v/>
      </c>
      <c r="BF245" s="28">
        <f>SUM(AB245,AE245,AH245)</f>
        <v/>
      </c>
      <c r="BG245" s="241">
        <f>SUM(AI245,AL245,AO245)</f>
        <v/>
      </c>
      <c r="BH245" s="27">
        <f>SUM(AJ245,AM245,AP245)</f>
        <v/>
      </c>
      <c r="BI245" s="28">
        <f>SUM(AK245,AN245,AQ245)</f>
        <v/>
      </c>
    </row>
    <row r="246" hidden="1" outlineLevel="1" customFormat="1" s="498">
      <c r="A246" s="22" t="inlineStr">
        <is>
          <t>TV por assinatura/musica ambiente</t>
        </is>
      </c>
      <c r="B246" s="23" t="n"/>
      <c r="C246" s="24" t="inlineStr">
        <is>
          <t>Contr/Prov</t>
        </is>
      </c>
      <c r="D246" s="116" t="n"/>
      <c r="E246" s="116" t="n"/>
      <c r="F246" s="117" t="n"/>
      <c r="G246" s="33" t="n"/>
      <c r="H246" s="241" t="n"/>
      <c r="I246" s="27">
        <f>-SUMIFS(T_ORCAMENTOS!$E:$E,T_ORCAMENTOS!$C:$C,"TV por assinatura/musica ambiente",T_ORCAMENTOS!$H:$H,"1/2026")</f>
        <v/>
      </c>
      <c r="J246" s="28">
        <f>SUMIFS(Aut_BlueMe_Sem_Pedido!$J:$J,Aut_BlueMe_Sem_Pedido!$Q:$Q,DRE!H$4,Aut_BlueMe_Sem_Pedido!$H:$H,DRE!$A246)+SUMIFS(Aut_Ajustes_Manuais!$G:$G,Aut_Ajustes_Manuais!$I:$I,DRE!H$4,Aut_Ajustes_Manuais!$F:$F,"TV por assinatura/musica ambiente")</f>
        <v/>
      </c>
      <c r="K246" s="241" t="n"/>
      <c r="L246" s="27">
        <f>-SUMIFS(T_ORCAMENTOS!$E:$E,T_ORCAMENTOS!$C:$C,"TV por assinatura/musica ambiente",T_ORCAMENTOS!$H:$H,"2/2026")</f>
        <v/>
      </c>
      <c r="M246" s="28">
        <f>SUMIFS(Aut_BlueMe_Sem_Pedido!$J:$J,Aut_BlueMe_Sem_Pedido!$Q:$Q,DRE!K$4,Aut_BlueMe_Sem_Pedido!$H:$H,DRE!$A246)+SUMIFS(Aut_Ajustes_Manuais!$G:$G,Aut_Ajustes_Manuais!$I:$I,DRE!K$4,Aut_Ajustes_Manuais!$F:$F,"TV por assinatura/musica ambiente")</f>
        <v/>
      </c>
      <c r="N246" s="241" t="n"/>
      <c r="O246" s="27">
        <f>-SUMIFS(T_ORCAMENTOS!$E:$E,T_ORCAMENTOS!$C:$C,"TV por assinatura/musica ambiente",T_ORCAMENTOS!$H:$H,"3/2026")</f>
        <v/>
      </c>
      <c r="P246" s="28">
        <f>SUMIFS(Aut_BlueMe_Sem_Pedido!$J:$J,Aut_BlueMe_Sem_Pedido!$Q:$Q,DRE!N$4,Aut_BlueMe_Sem_Pedido!$H:$H,DRE!$A246)+SUMIFS(Aut_Ajustes_Manuais!$G:$G,Aut_Ajustes_Manuais!$I:$I,DRE!N$4,Aut_Ajustes_Manuais!$F:$F,"TV por assinatura/musica ambiente")</f>
        <v/>
      </c>
      <c r="Q246" s="241" t="n"/>
      <c r="R246" s="27">
        <f>-SUMIFS(T_ORCAMENTOS!$E:$E,T_ORCAMENTOS!$C:$C,"TV por assinatura/musica ambiente",T_ORCAMENTOS!$H:$H,"4/2026")</f>
        <v/>
      </c>
      <c r="S246" s="28">
        <f>SUMIFS(Aut_BlueMe_Sem_Pedido!$J:$J,Aut_BlueMe_Sem_Pedido!$Q:$Q,DRE!Q$4,Aut_BlueMe_Sem_Pedido!$H:$H,DRE!$A246)+SUMIFS(Aut_Ajustes_Manuais!$G:$G,Aut_Ajustes_Manuais!$I:$I,DRE!Q$4,Aut_Ajustes_Manuais!$F:$F,"TV por assinatura/musica ambiente")</f>
        <v/>
      </c>
      <c r="T246" s="241" t="n"/>
      <c r="U246" s="27">
        <f>-SUMIFS(T_ORCAMENTOS!$E:$E,T_ORCAMENTOS!$C:$C,"TV por assinatura/musica ambiente",T_ORCAMENTOS!$H:$H,"5/2026")</f>
        <v/>
      </c>
      <c r="V246" s="28">
        <f>SUMIFS(Aut_BlueMe_Sem_Pedido!$J:$J,Aut_BlueMe_Sem_Pedido!$Q:$Q,DRE!T$4,Aut_BlueMe_Sem_Pedido!$H:$H,DRE!$A246)+SUMIFS(Aut_Ajustes_Manuais!$G:$G,Aut_Ajustes_Manuais!$I:$I,DRE!T$4,Aut_Ajustes_Manuais!$F:$F,"TV por assinatura/musica ambiente")</f>
        <v/>
      </c>
      <c r="W246" s="241" t="n"/>
      <c r="X246" s="27">
        <f>-SUMIFS(T_ORCAMENTOS!$E:$E,T_ORCAMENTOS!$C:$C,"TV por assinatura/musica ambiente",T_ORCAMENTOS!$H:$H,"6/2026")</f>
        <v/>
      </c>
      <c r="Y246" s="28">
        <f>SUMIFS(Aut_BlueMe_Sem_Pedido!$J:$J,Aut_BlueMe_Sem_Pedido!$Q:$Q,DRE!W$4,Aut_BlueMe_Sem_Pedido!$H:$H,DRE!$A246)+SUMIFS(Aut_Ajustes_Manuais!$G:$G,Aut_Ajustes_Manuais!$I:$I,DRE!W$4,Aut_Ajustes_Manuais!$F:$F,"TV por assinatura/musica ambiente")</f>
        <v/>
      </c>
      <c r="Z246" s="241" t="n"/>
      <c r="AA246" s="27">
        <f>-SUMIFS(T_ORCAMENTOS!$E:$E,T_ORCAMENTOS!$C:$C,"TV por assinatura/musica ambiente",T_ORCAMENTOS!$H:$H,"7/2026")</f>
        <v/>
      </c>
      <c r="AB246" s="28">
        <f>SUMIFS(Aut_BlueMe_Sem_Pedido!$J:$J,Aut_BlueMe_Sem_Pedido!$Q:$Q,DRE!Z$4,Aut_BlueMe_Sem_Pedido!$H:$H,DRE!$A246)+SUMIFS(Aut_Ajustes_Manuais!$G:$G,Aut_Ajustes_Manuais!$I:$I,DRE!Z$4,Aut_Ajustes_Manuais!$F:$F,"TV por assinatura/musica ambiente")</f>
        <v/>
      </c>
      <c r="AC246" s="241" t="n"/>
      <c r="AD246" s="27">
        <f>-SUMIFS(T_ORCAMENTOS!$E:$E,T_ORCAMENTOS!$C:$C,"TV por assinatura/musica ambiente",T_ORCAMENTOS!$H:$H,"8/2026")</f>
        <v/>
      </c>
      <c r="AE246" s="28">
        <f>SUMIFS(Aut_BlueMe_Sem_Pedido!$J:$J,Aut_BlueMe_Sem_Pedido!$Q:$Q,DRE!AC$4,Aut_BlueMe_Sem_Pedido!$H:$H,DRE!$A246)+SUMIFS(Aut_Ajustes_Manuais!$G:$G,Aut_Ajustes_Manuais!$I:$I,DRE!AC$4,Aut_Ajustes_Manuais!$F:$F,"TV por assinatura/musica ambiente")</f>
        <v/>
      </c>
      <c r="AF246" s="241" t="n"/>
      <c r="AG246" s="27">
        <f>-SUMIFS(T_ORCAMENTOS!$E:$E,T_ORCAMENTOS!$C:$C,"TV por assinatura/musica ambiente",T_ORCAMENTOS!$H:$H,"9/2026")</f>
        <v/>
      </c>
      <c r="AH246" s="28">
        <f>SUMIFS(Aut_BlueMe_Sem_Pedido!$J:$J,Aut_BlueMe_Sem_Pedido!$Q:$Q,DRE!AF$4,Aut_BlueMe_Sem_Pedido!$H:$H,DRE!$A246)+SUMIFS(Aut_Ajustes_Manuais!$G:$G,Aut_Ajustes_Manuais!$I:$I,DRE!AF$4,Aut_Ajustes_Manuais!$F:$F,"TV por assinatura/musica ambiente")</f>
        <v/>
      </c>
      <c r="AI246" s="241" t="n"/>
      <c r="AJ246" s="27">
        <f>-SUMIFS(T_ORCAMENTOS!$E:$E,T_ORCAMENTOS!$C:$C,"TV por assinatura/musica ambiente",T_ORCAMENTOS!$H:$H,"10/2026")</f>
        <v/>
      </c>
      <c r="AK246" s="28">
        <f>SUMIFS(Aut_BlueMe_Sem_Pedido!$J:$J,Aut_BlueMe_Sem_Pedido!$Q:$Q,DRE!AI$4,Aut_BlueMe_Sem_Pedido!$H:$H,DRE!$A246)+SUMIFS(Aut_Ajustes_Manuais!$G:$G,Aut_Ajustes_Manuais!$I:$I,DRE!AI$4,Aut_Ajustes_Manuais!$F:$F,"TV por assinatura/musica ambiente")</f>
        <v/>
      </c>
      <c r="AL246" s="241" t="n"/>
      <c r="AM246" s="27">
        <f>-SUMIFS(T_ORCAMENTOS!$E:$E,T_ORCAMENTOS!$C:$C,"TV por assinatura/musica ambiente",T_ORCAMENTOS!$H:$H,"11/2026")</f>
        <v/>
      </c>
      <c r="AN246" s="28">
        <f>SUMIFS(Aut_BlueMe_Sem_Pedido!$J:$J,Aut_BlueMe_Sem_Pedido!$Q:$Q,DRE!AL$4,Aut_BlueMe_Sem_Pedido!$H:$H,DRE!$A246)+SUMIFS(Aut_Ajustes_Manuais!$G:$G,Aut_Ajustes_Manuais!$I:$I,DRE!AL$4,Aut_Ajustes_Manuais!$F:$F,"TV por assinatura/musica ambiente")</f>
        <v/>
      </c>
      <c r="AO246" s="241" t="n"/>
      <c r="AP246" s="27">
        <f>-SUMIFS(T_ORCAMENTOS!$E:$E,T_ORCAMENTOS!$C:$C,"TV por assinatura/musica ambiente",T_ORCAMENTOS!$H:$H,"12/2026")</f>
        <v/>
      </c>
      <c r="AQ246" s="28">
        <f>SUMIFS(Aut_BlueMe_Sem_Pedido!$J:$J,Aut_BlueMe_Sem_Pedido!$Q:$Q,DRE!AO$4,Aut_BlueMe_Sem_Pedido!$H:$H,DRE!$A246)+SUMIFS(Aut_Ajustes_Manuais!$G:$G,Aut_Ajustes_Manuais!$I:$I,DRE!AO$4,Aut_Ajustes_Manuais!$F:$F,"TV por assinatura/musica ambiente")</f>
        <v/>
      </c>
      <c r="AR246" s="241">
        <f>SUMIFS($H246:$AO246,$H$5:$AO$5,"&lt;"&amp;MONTH(TODAY()),$H$6:$AO$6,"REAL 25")</f>
        <v/>
      </c>
      <c r="AS246" s="27">
        <f>SUMIFS($I246:$AP246,$I$5:$AP$5,"&lt;"&amp;MONTH(TODAY()),$I$6:$AP$6,"ORÇADO ")</f>
        <v/>
      </c>
      <c r="AT246" s="28">
        <f>SUMIFS($J246:$AQ246,$J$5:$AQ$5,"&lt;"&amp;MONTH(TODAY()),$J$6:$AQ$6,"REAL 26")</f>
        <v/>
      </c>
      <c r="AU246" s="241">
        <f>SUM(H246,K246,N246,Q246,T246,W246,Z246,AC246,AF246,AI246,AL246,AO246)</f>
        <v/>
      </c>
      <c r="AV246" s="27">
        <f>SUM(I246,L246,O246,R246,U246,X246,AA246,AD246,AG246,AJ246,AM246,AP246)</f>
        <v/>
      </c>
      <c r="AW246" s="28">
        <f>SUM(J246,M246,P246,S246,V246,Y246,AB246,AE246,AH246,AK246,AN246,AQ246)</f>
        <v/>
      </c>
      <c r="AX246" s="241">
        <f>SUM(H246,K246,N246)</f>
        <v/>
      </c>
      <c r="AY246" s="27">
        <f>SUM(I246,L246,O246)</f>
        <v/>
      </c>
      <c r="AZ246" s="28">
        <f>SUM(J246,M246,P246)</f>
        <v/>
      </c>
      <c r="BA246" s="241">
        <f>SUM(Q246,T246,W246)</f>
        <v/>
      </c>
      <c r="BB246" s="27">
        <f>SUM(R246,U246,X246)</f>
        <v/>
      </c>
      <c r="BC246" s="28">
        <f>SUM(S246,V246,Y246)</f>
        <v/>
      </c>
      <c r="BD246" s="241">
        <f>SUM(Z246,AC246,AF246)</f>
        <v/>
      </c>
      <c r="BE246" s="27">
        <f>SUM(AA246,AD246,AG246)</f>
        <v/>
      </c>
      <c r="BF246" s="28">
        <f>SUM(AB246,AE246,AH246)</f>
        <v/>
      </c>
      <c r="BG246" s="241">
        <f>SUM(AI246,AL246,AO246)</f>
        <v/>
      </c>
      <c r="BH246" s="27">
        <f>SUM(AJ246,AM246,AP246)</f>
        <v/>
      </c>
      <c r="BI246" s="28">
        <f>SUM(AK246,AN246,AQ246)</f>
        <v/>
      </c>
    </row>
    <row r="247" hidden="1" outlineLevel="1" customFormat="1" s="498">
      <c r="A247" s="22" t="inlineStr">
        <is>
          <t>Sistemas de Segurança e Alarme</t>
        </is>
      </c>
      <c r="B247" s="23" t="n"/>
      <c r="C247" s="24" t="inlineStr">
        <is>
          <t>Contr/Prov</t>
        </is>
      </c>
      <c r="D247" s="116" t="n"/>
      <c r="E247" s="118" t="n"/>
      <c r="F247" s="117" t="n"/>
      <c r="G247" s="33" t="n"/>
      <c r="H247" s="241" t="n"/>
      <c r="I247" s="27">
        <f>-SUMIFS(T_ORCAMENTOS!$E:$E,T_ORCAMENTOS!$C:$C,"Sistemas de Segurança e Alarme",T_ORCAMENTOS!$H:$H,"1/2026")</f>
        <v/>
      </c>
      <c r="J247" s="27">
        <f>SUMIFS(Aut_BlueMe_Sem_Pedido!$J:$J,Aut_BlueMe_Sem_Pedido!$Q:$Q,DRE!H$4,Aut_BlueMe_Sem_Pedido!$H:$H,DRE!$A247)+SUMIFS(Aut_Ajustes_Manuais!$G:$G,Aut_Ajustes_Manuais!$I:$I,DRE!H$4,Aut_Ajustes_Manuais!$F:$F,"Sistemas de Segurança e Alarme")</f>
        <v/>
      </c>
      <c r="K247" s="241" t="n"/>
      <c r="L247" s="27">
        <f>-SUMIFS(T_ORCAMENTOS!$E:$E,T_ORCAMENTOS!$C:$C,"Sistemas de Segurança e Alarme",T_ORCAMENTOS!$H:$H,"2/2026")</f>
        <v/>
      </c>
      <c r="M247" s="28">
        <f>SUMIFS(Aut_BlueMe_Sem_Pedido!$J:$J,Aut_BlueMe_Sem_Pedido!$Q:$Q,DRE!K$4,Aut_BlueMe_Sem_Pedido!$H:$H,DRE!$A247)+SUMIFS(Aut_Ajustes_Manuais!$G:$G,Aut_Ajustes_Manuais!$I:$I,DRE!K$4,Aut_Ajustes_Manuais!$F:$F,"Sistemas de Segurança e Alarme")</f>
        <v/>
      </c>
      <c r="N247" s="241" t="n"/>
      <c r="O247" s="27">
        <f>-SUMIFS(T_ORCAMENTOS!$E:$E,T_ORCAMENTOS!$C:$C,"Sistemas de Segurança e Alarme",T_ORCAMENTOS!$H:$H,"3/2026")</f>
        <v/>
      </c>
      <c r="P247" s="28">
        <f>SUMIFS(Aut_BlueMe_Sem_Pedido!$J:$J,Aut_BlueMe_Sem_Pedido!$Q:$Q,DRE!N$4,Aut_BlueMe_Sem_Pedido!$H:$H,DRE!$A247)+SUMIFS(Aut_Ajustes_Manuais!$G:$G,Aut_Ajustes_Manuais!$I:$I,DRE!N$4,Aut_Ajustes_Manuais!$F:$F,"Sistemas de Segurança e Alarme")</f>
        <v/>
      </c>
      <c r="Q247" s="241" t="n"/>
      <c r="R247" s="27">
        <f>-SUMIFS(T_ORCAMENTOS!$E:$E,T_ORCAMENTOS!$C:$C,"Sistemas de Segurança e Alarme",T_ORCAMENTOS!$H:$H,"4/2026")</f>
        <v/>
      </c>
      <c r="S247" s="28">
        <f>SUMIFS(Aut_BlueMe_Sem_Pedido!$J:$J,Aut_BlueMe_Sem_Pedido!$Q:$Q,DRE!Q$4,Aut_BlueMe_Sem_Pedido!$H:$H,DRE!$A247)+SUMIFS(Aut_Ajustes_Manuais!$G:$G,Aut_Ajustes_Manuais!$I:$I,DRE!Q$4,Aut_Ajustes_Manuais!$F:$F,"Sistemas de Segurança e Alarme")</f>
        <v/>
      </c>
      <c r="T247" s="241" t="n"/>
      <c r="U247" s="27">
        <f>-SUMIFS(T_ORCAMENTOS!$E:$E,T_ORCAMENTOS!$C:$C,"Sistemas de Segurança e Alarme",T_ORCAMENTOS!$H:$H,"5/2026")</f>
        <v/>
      </c>
      <c r="V247" s="28">
        <f>SUMIFS(Aut_BlueMe_Sem_Pedido!$J:$J,Aut_BlueMe_Sem_Pedido!$Q:$Q,DRE!T$4,Aut_BlueMe_Sem_Pedido!$H:$H,DRE!$A247)+SUMIFS(Aut_Ajustes_Manuais!$G:$G,Aut_Ajustes_Manuais!$I:$I,DRE!T$4,Aut_Ajustes_Manuais!$F:$F,"Sistemas de Segurança e Alarme")</f>
        <v/>
      </c>
      <c r="W247" s="241" t="n"/>
      <c r="X247" s="27">
        <f>-SUMIFS(T_ORCAMENTOS!$E:$E,T_ORCAMENTOS!$C:$C,"Sistemas de Segurança e Alarme",T_ORCAMENTOS!$H:$H,"6/2026")</f>
        <v/>
      </c>
      <c r="Y247" s="28">
        <f>SUMIFS(Aut_BlueMe_Sem_Pedido!$J:$J,Aut_BlueMe_Sem_Pedido!$Q:$Q,DRE!W$4,Aut_BlueMe_Sem_Pedido!$H:$H,DRE!$A247)+SUMIFS(Aut_Ajustes_Manuais!$G:$G,Aut_Ajustes_Manuais!$I:$I,DRE!W$4,Aut_Ajustes_Manuais!$F:$F,"Sistemas de Segurança e Alarme")</f>
        <v/>
      </c>
      <c r="Z247" s="241" t="n"/>
      <c r="AA247" s="27">
        <f>-SUMIFS(T_ORCAMENTOS!$E:$E,T_ORCAMENTOS!$C:$C,"Sistemas de Segurança e Alarme",T_ORCAMENTOS!$H:$H,"7/2026")</f>
        <v/>
      </c>
      <c r="AB247" s="28">
        <f>SUMIFS(Aut_BlueMe_Sem_Pedido!$J:$J,Aut_BlueMe_Sem_Pedido!$Q:$Q,DRE!Z$4,Aut_BlueMe_Sem_Pedido!$H:$H,DRE!$A247)+SUMIFS(Aut_Ajustes_Manuais!$G:$G,Aut_Ajustes_Manuais!$I:$I,DRE!Z$4,Aut_Ajustes_Manuais!$F:$F,"Sistemas de Segurança e Alarme")</f>
        <v/>
      </c>
      <c r="AC247" s="241" t="n"/>
      <c r="AD247" s="27">
        <f>-SUMIFS(T_ORCAMENTOS!$E:$E,T_ORCAMENTOS!$C:$C,"Sistemas de Segurança e Alarme",T_ORCAMENTOS!$H:$H,"8/2026")</f>
        <v/>
      </c>
      <c r="AE247" s="28">
        <f>SUMIFS(Aut_BlueMe_Sem_Pedido!$J:$J,Aut_BlueMe_Sem_Pedido!$Q:$Q,DRE!AC$4,Aut_BlueMe_Sem_Pedido!$H:$H,DRE!$A247)+SUMIFS(Aut_Ajustes_Manuais!$G:$G,Aut_Ajustes_Manuais!$I:$I,DRE!AC$4,Aut_Ajustes_Manuais!$F:$F,"Sistemas de Segurança e Alarme")</f>
        <v/>
      </c>
      <c r="AF247" s="241" t="n"/>
      <c r="AG247" s="27">
        <f>-SUMIFS(T_ORCAMENTOS!$E:$E,T_ORCAMENTOS!$C:$C,"Sistemas de Segurança e Alarme",T_ORCAMENTOS!$H:$H,"9/2026")</f>
        <v/>
      </c>
      <c r="AH247" s="28">
        <f>SUMIFS(Aut_BlueMe_Sem_Pedido!$J:$J,Aut_BlueMe_Sem_Pedido!$Q:$Q,DRE!AF$4,Aut_BlueMe_Sem_Pedido!$H:$H,DRE!$A247)+SUMIFS(Aut_Ajustes_Manuais!$G:$G,Aut_Ajustes_Manuais!$I:$I,DRE!AF$4,Aut_Ajustes_Manuais!$F:$F,"Sistemas de Segurança e Alarme")</f>
        <v/>
      </c>
      <c r="AI247" s="241" t="n"/>
      <c r="AJ247" s="27">
        <f>-SUMIFS(T_ORCAMENTOS!$E:$E,T_ORCAMENTOS!$C:$C,"Sistemas de Segurança e Alarme",T_ORCAMENTOS!$H:$H,"10/2026")</f>
        <v/>
      </c>
      <c r="AK247" s="28">
        <f>SUMIFS(Aut_BlueMe_Sem_Pedido!$J:$J,Aut_BlueMe_Sem_Pedido!$Q:$Q,DRE!AI$4,Aut_BlueMe_Sem_Pedido!$H:$H,DRE!$A247)+SUMIFS(Aut_Ajustes_Manuais!$G:$G,Aut_Ajustes_Manuais!$I:$I,DRE!AI$4,Aut_Ajustes_Manuais!$F:$F,"Sistemas de Segurança e Alarme")</f>
        <v/>
      </c>
      <c r="AL247" s="241" t="n"/>
      <c r="AM247" s="27">
        <f>-SUMIFS(T_ORCAMENTOS!$E:$E,T_ORCAMENTOS!$C:$C,"Sistemas de Segurança e Alarme",T_ORCAMENTOS!$H:$H,"11/2026")</f>
        <v/>
      </c>
      <c r="AN247" s="28">
        <f>SUMIFS(Aut_BlueMe_Sem_Pedido!$J:$J,Aut_BlueMe_Sem_Pedido!$Q:$Q,DRE!AL$4,Aut_BlueMe_Sem_Pedido!$H:$H,DRE!$A247)+SUMIFS(Aut_Ajustes_Manuais!$G:$G,Aut_Ajustes_Manuais!$I:$I,DRE!AL$4,Aut_Ajustes_Manuais!$F:$F,"Sistemas de Segurança e Alarme")</f>
        <v/>
      </c>
      <c r="AO247" s="241" t="n"/>
      <c r="AP247" s="27">
        <f>-SUMIFS(T_ORCAMENTOS!$E:$E,T_ORCAMENTOS!$C:$C,"Sistemas de Segurança e Alarme",T_ORCAMENTOS!$H:$H,"12/2026")</f>
        <v/>
      </c>
      <c r="AQ247" s="28">
        <f>SUMIFS(Aut_BlueMe_Sem_Pedido!$J:$J,Aut_BlueMe_Sem_Pedido!$Q:$Q,DRE!AO$4,Aut_BlueMe_Sem_Pedido!$H:$H,DRE!$A247)+SUMIFS(Aut_Ajustes_Manuais!$G:$G,Aut_Ajustes_Manuais!$I:$I,DRE!AO$4,Aut_Ajustes_Manuais!$F:$F,"Sistemas de Segurança e Alarme")</f>
        <v/>
      </c>
      <c r="AR247" s="241">
        <f>SUMIFS($H247:$AO247,$H$5:$AO$5,"&lt;"&amp;MONTH(TODAY()),$H$6:$AO$6,"REAL 25")</f>
        <v/>
      </c>
      <c r="AS247" s="27">
        <f>SUMIFS($I247:$AP247,$I$5:$AP$5,"&lt;"&amp;MONTH(TODAY()),$I$6:$AP$6,"ORÇADO ")</f>
        <v/>
      </c>
      <c r="AT247" s="28">
        <f>SUMIFS($J247:$AQ247,$J$5:$AQ$5,"&lt;"&amp;MONTH(TODAY()),$J$6:$AQ$6,"REAL 26")</f>
        <v/>
      </c>
      <c r="AU247" s="241">
        <f>SUM(H247,K247,N247,Q247,T247,W247,Z247,AC247,AF247,AI247,AL247,AO247)</f>
        <v/>
      </c>
      <c r="AV247" s="27">
        <f>SUM(I247,L247,O247,R247,U247,X247,AA247,AD247,AG247,AJ247,AM247,AP247)</f>
        <v/>
      </c>
      <c r="AW247" s="28">
        <f>SUM(J247,M247,P247,S247,V247,Y247,AB247,AE247,AH247,AK247,AN247,AQ247)</f>
        <v/>
      </c>
      <c r="AX247" s="241">
        <f>SUM(H247,K247,N247)</f>
        <v/>
      </c>
      <c r="AY247" s="27">
        <f>SUM(I247,L247,O247)</f>
        <v/>
      </c>
      <c r="AZ247" s="28">
        <f>SUM(J247,M247,P247)</f>
        <v/>
      </c>
      <c r="BA247" s="241">
        <f>SUM(Q247,T247,W247)</f>
        <v/>
      </c>
      <c r="BB247" s="27">
        <f>SUM(R247,U247,X247)</f>
        <v/>
      </c>
      <c r="BC247" s="28">
        <f>SUM(S247,V247,Y247)</f>
        <v/>
      </c>
      <c r="BD247" s="241">
        <f>SUM(Z247,AC247,AF247)</f>
        <v/>
      </c>
      <c r="BE247" s="27">
        <f>SUM(AA247,AD247,AG247)</f>
        <v/>
      </c>
      <c r="BF247" s="28">
        <f>SUM(AB247,AE247,AH247)</f>
        <v/>
      </c>
      <c r="BG247" s="241">
        <f>SUM(AI247,AL247,AO247)</f>
        <v/>
      </c>
      <c r="BH247" s="27">
        <f>SUM(AJ247,AM247,AP247)</f>
        <v/>
      </c>
      <c r="BI247" s="28">
        <f>SUM(AK247,AN247,AQ247)</f>
        <v/>
      </c>
    </row>
    <row r="248" hidden="1" outlineLevel="1" customFormat="1" s="498">
      <c r="A248" s="22" t="inlineStr">
        <is>
          <t>Sistemas Gerais - Operacionais</t>
        </is>
      </c>
      <c r="B248" s="23" t="n"/>
      <c r="C248" s="24" t="inlineStr">
        <is>
          <t>Contr/Prov</t>
        </is>
      </c>
      <c r="D248" s="25" t="n"/>
      <c r="E248" s="119" t="n"/>
      <c r="F248" s="117" t="n"/>
      <c r="G248" s="33" t="n"/>
      <c r="H248" s="241" t="n"/>
      <c r="I248" s="27">
        <f>-SUMIFS(T_ORCAMENTOS!$E:$E,T_ORCAMENTOS!$C:$C,"Sistemas Gerais - Operacionais",T_ORCAMENTOS!$H:$H,"1/2026")</f>
        <v/>
      </c>
      <c r="J248" s="28">
        <f>SUMIFS(Aut_BlueMe_Sem_Pedido!$J:$J,Aut_BlueMe_Sem_Pedido!$Q:$Q,DRE!H$4,Aut_BlueMe_Sem_Pedido!$H:$H,DRE!$A248)-SUMIFS(Aut_Descontos!$G:$G,Aut_Descontos!$H:$H,A248,Aut_Descontos!$L:$L,H$4)+SUMIFS(Aut_Ajustes_Manuais!$G:$G,Aut_Ajustes_Manuais!$I:$I,DRE!H$4,Aut_Ajustes_Manuais!$F:$F,"Sistemas Gerais - Operacionais")</f>
        <v/>
      </c>
      <c r="K248" s="241" t="n"/>
      <c r="L248" s="27">
        <f>-SUMIFS(T_ORCAMENTOS!$E:$E,T_ORCAMENTOS!$C:$C,"Sistemas Gerais - Operacionais",T_ORCAMENTOS!$H:$H,"2/2026")</f>
        <v/>
      </c>
      <c r="M248" s="28">
        <f>SUMIFS(Aut_BlueMe_Sem_Pedido!$J:$J,Aut_BlueMe_Sem_Pedido!$Q:$Q,DRE!K$4,Aut_BlueMe_Sem_Pedido!$H:$H,DRE!$A248)-SUMIFS(Aut_Descontos!$G:$G,Aut_Descontos!$H:$H,A248,Aut_Descontos!$L:$L,K$4)+SUMIFS(Aut_Ajustes_Manuais!$G:$G,Aut_Ajustes_Manuais!$I:$I,DRE!K$4,Aut_Ajustes_Manuais!$F:$F,"Sistemas Gerais - Operacionais")</f>
        <v/>
      </c>
      <c r="N248" s="241" t="n"/>
      <c r="O248" s="27">
        <f>-SUMIFS(T_ORCAMENTOS!$E:$E,T_ORCAMENTOS!$C:$C,"Sistemas Gerais - Operacionais",T_ORCAMENTOS!$H:$H,"3/2026")</f>
        <v/>
      </c>
      <c r="P248" s="28">
        <f>SUMIFS(Aut_BlueMe_Sem_Pedido!$J:$J,Aut_BlueMe_Sem_Pedido!$Q:$Q,DRE!N$4,Aut_BlueMe_Sem_Pedido!$H:$H,DRE!$A248)-SUMIFS(Aut_Descontos!$G:$G,Aut_Descontos!$H:$H,A248,Aut_Descontos!$L:$L,N$4)+SUMIFS(Aut_Ajustes_Manuais!$G:$G,Aut_Ajustes_Manuais!$I:$I,DRE!N$4,Aut_Ajustes_Manuais!$F:$F,"Sistemas Gerais - Operacionais")</f>
        <v/>
      </c>
      <c r="Q248" s="241" t="n"/>
      <c r="R248" s="27">
        <f>-SUMIFS(T_ORCAMENTOS!$E:$E,T_ORCAMENTOS!$C:$C,"Sistemas Gerais - Operacionais",T_ORCAMENTOS!$H:$H,"4/2026")</f>
        <v/>
      </c>
      <c r="S248" s="28">
        <f>SUMIFS(Aut_BlueMe_Sem_Pedido!$J:$J,Aut_BlueMe_Sem_Pedido!$Q:$Q,DRE!Q$4,Aut_BlueMe_Sem_Pedido!$H:$H,DRE!$A248)-SUMIFS(Aut_Descontos!$G:$G,Aut_Descontos!$H:$H,A248,Aut_Descontos!$L:$L,Q$4)+SUMIFS(Aut_Ajustes_Manuais!$G:$G,Aut_Ajustes_Manuais!$I:$I,DRE!Q$4,Aut_Ajustes_Manuais!$F:$F,"Sistemas Gerais - Operacionais")</f>
        <v/>
      </c>
      <c r="T248" s="241" t="n"/>
      <c r="U248" s="27">
        <f>-SUMIFS(T_ORCAMENTOS!$E:$E,T_ORCAMENTOS!$C:$C,"Sistemas Gerais - Operacionais",T_ORCAMENTOS!$H:$H,"5/2026")</f>
        <v/>
      </c>
      <c r="V248" s="27">
        <f>SUMIFS(Aut_BlueMe_Sem_Pedido!$J:$J,Aut_BlueMe_Sem_Pedido!$Q:$Q,DRE!T$4,Aut_BlueMe_Sem_Pedido!$H:$H,DRE!$A248)-SUMIFS(Aut_Descontos!$G:$G,Aut_Descontos!$H:$H,A248,Aut_Descontos!$L:$L,T$4)+SUMIFS(Aut_Ajustes_Manuais!$G:$G,Aut_Ajustes_Manuais!$I:$I,DRE!T$4,Aut_Ajustes_Manuais!$F:$F,"Sistemas Gerais - Operacionais")</f>
        <v/>
      </c>
      <c r="W248" s="241" t="n"/>
      <c r="X248" s="27">
        <f>-SUMIFS(T_ORCAMENTOS!$E:$E,T_ORCAMENTOS!$C:$C,"Sistemas Gerais - Operacionais",T_ORCAMENTOS!$H:$H,"6/2026")</f>
        <v/>
      </c>
      <c r="Y248" s="28">
        <f>SUMIFS(Aut_BlueMe_Sem_Pedido!$J:$J,Aut_BlueMe_Sem_Pedido!$Q:$Q,DRE!W$4,Aut_BlueMe_Sem_Pedido!$H:$H,DRE!$A248)-SUMIFS(Aut_Descontos!$G:$G,Aut_Descontos!$H:$H,A248,Aut_Descontos!$L:$L,W$4)+SUMIFS(Aut_Ajustes_Manuais!$G:$G,Aut_Ajustes_Manuais!$I:$I,DRE!W$4,Aut_Ajustes_Manuais!$F:$F,"Sistemas Gerais - Operacionais")</f>
        <v/>
      </c>
      <c r="Z248" s="241" t="n"/>
      <c r="AA248" s="27">
        <f>-SUMIFS(T_ORCAMENTOS!$E:$E,T_ORCAMENTOS!$C:$C,"Sistemas Gerais - Operacionais",T_ORCAMENTOS!$H:$H,"7/2026")</f>
        <v/>
      </c>
      <c r="AB248" s="28">
        <f>SUMIFS(Aut_BlueMe_Sem_Pedido!$J:$J,Aut_BlueMe_Sem_Pedido!$Q:$Q,DRE!Z$4,Aut_BlueMe_Sem_Pedido!$H:$H,DRE!$A248)-SUMIFS(Aut_Descontos!$G:$G,Aut_Descontos!$H:$H,A248,Aut_Descontos!$L:$L,Z$4)+SUMIFS(Aut_Ajustes_Manuais!$G:$G,Aut_Ajustes_Manuais!$I:$I,DRE!Z$4,Aut_Ajustes_Manuais!$F:$F,"Sistemas Gerais - Operacionais")</f>
        <v/>
      </c>
      <c r="AC248" s="241" t="n"/>
      <c r="AD248" s="27">
        <f>-SUMIFS(T_ORCAMENTOS!$E:$E,T_ORCAMENTOS!$C:$C,"Sistemas Gerais - Operacionais",T_ORCAMENTOS!$H:$H,"8/2026")</f>
        <v/>
      </c>
      <c r="AE248" s="28">
        <f>SUMIFS(Aut_BlueMe_Sem_Pedido!$J:$J,Aut_BlueMe_Sem_Pedido!$Q:$Q,DRE!AC$4,Aut_BlueMe_Sem_Pedido!$H:$H,DRE!$A248)-SUMIFS(Aut_Descontos!$G:$G,Aut_Descontos!$H:$H,A248,Aut_Descontos!$L:$L,AC$4)+SUMIFS(Aut_Ajustes_Manuais!$G:$G,Aut_Ajustes_Manuais!$I:$I,DRE!AC$4,Aut_Ajustes_Manuais!$F:$F,"Sistemas Gerais - Operacionais")</f>
        <v/>
      </c>
      <c r="AF248" s="241" t="n"/>
      <c r="AG248" s="27">
        <f>-SUMIFS(T_ORCAMENTOS!$E:$E,T_ORCAMENTOS!$C:$C,"Sistemas Gerais - Operacionais",T_ORCAMENTOS!$H:$H,"9/2026")</f>
        <v/>
      </c>
      <c r="AH248" s="28">
        <f>SUMIFS(Aut_BlueMe_Sem_Pedido!$J:$J,Aut_BlueMe_Sem_Pedido!$Q:$Q,DRE!AF$4,Aut_BlueMe_Sem_Pedido!$H:$H,DRE!$A248)-SUMIFS(Aut_Descontos!$G:$G,Aut_Descontos!$H:$H,A248,Aut_Descontos!$L:$L,AF$4)+SUMIFS(Aut_Ajustes_Manuais!$G:$G,Aut_Ajustes_Manuais!$I:$I,DRE!AF$4,Aut_Ajustes_Manuais!$F:$F,"Sistemas Gerais - Operacionais")</f>
        <v/>
      </c>
      <c r="AI248" s="241" t="n"/>
      <c r="AJ248" s="27">
        <f>-SUMIFS(T_ORCAMENTOS!$E:$E,T_ORCAMENTOS!$C:$C,"Sistemas Gerais - Operacionais",T_ORCAMENTOS!$H:$H,"10/2026")</f>
        <v/>
      </c>
      <c r="AK248" s="28">
        <f>SUMIFS(Aut_BlueMe_Sem_Pedido!$J:$J,Aut_BlueMe_Sem_Pedido!$Q:$Q,DRE!AI$4,Aut_BlueMe_Sem_Pedido!$H:$H,DRE!$A248)-SUMIFS(Aut_Descontos!$G:$G,Aut_Descontos!$H:$H,A248,Aut_Descontos!$L:$L,AI$4)+SUMIFS(Aut_Ajustes_Manuais!$G:$G,Aut_Ajustes_Manuais!$I:$I,DRE!AI$4,Aut_Ajustes_Manuais!$F:$F,"Sistemas Gerais - Operacionais")</f>
        <v/>
      </c>
      <c r="AL248" s="241" t="n"/>
      <c r="AM248" s="27">
        <f>-SUMIFS(T_ORCAMENTOS!$E:$E,T_ORCAMENTOS!$C:$C,"Sistemas Gerais - Operacionais",T_ORCAMENTOS!$H:$H,"11/2026")</f>
        <v/>
      </c>
      <c r="AN248" s="28">
        <f>SUMIFS(Aut_BlueMe_Sem_Pedido!$J:$J,Aut_BlueMe_Sem_Pedido!$Q:$Q,DRE!AL$4,Aut_BlueMe_Sem_Pedido!$H:$H,DRE!$A248)-SUMIFS(Aut_Descontos!$G:$G,Aut_Descontos!$H:$H,A248,Aut_Descontos!$L:$L,AL$4)+SUMIFS(Aut_Ajustes_Manuais!$G:$G,Aut_Ajustes_Manuais!$I:$I,DRE!AL$4,Aut_Ajustes_Manuais!$F:$F,"Sistemas Gerais - Operacionais")</f>
        <v/>
      </c>
      <c r="AO248" s="241" t="n"/>
      <c r="AP248" s="27">
        <f>-SUMIFS(T_ORCAMENTOS!$E:$E,T_ORCAMENTOS!$C:$C,"Sistemas Gerais - Operacionais",T_ORCAMENTOS!$H:$H,"12/2026")</f>
        <v/>
      </c>
      <c r="AQ248" s="28">
        <f>SUMIFS(Aut_BlueMe_Sem_Pedido!$J:$J,Aut_BlueMe_Sem_Pedido!$Q:$Q,DRE!AO$4,Aut_BlueMe_Sem_Pedido!$H:$H,DRE!$A248)-SUMIFS(Aut_Descontos!$G:$G,Aut_Descontos!$H:$H,A248,Aut_Descontos!$L:$L,AO$4)+SUMIFS(Aut_Ajustes_Manuais!$G:$G,Aut_Ajustes_Manuais!$I:$I,DRE!AO$4,Aut_Ajustes_Manuais!$F:$F,"Sistemas Gerais - Operacionais")</f>
        <v/>
      </c>
      <c r="AR248" s="241">
        <f>SUMIFS($H248:$AO248,$H$5:$AO$5,"&lt;"&amp;MONTH(TODAY()),$H$6:$AO$6,"REAL 25")</f>
        <v/>
      </c>
      <c r="AS248" s="27">
        <f>SUMIFS($I248:$AP248,$I$5:$AP$5,"&lt;"&amp;MONTH(TODAY()),$I$6:$AP$6,"ORÇADO ")</f>
        <v/>
      </c>
      <c r="AT248" s="28">
        <f>SUMIFS($J248:$AQ248,$J$5:$AQ$5,"&lt;"&amp;MONTH(TODAY()),$J$6:$AQ$6,"REAL 26")</f>
        <v/>
      </c>
      <c r="AU248" s="241">
        <f>SUM(H248,K248,N248,Q248,T248,W248,Z248,AC248,AF248,AI248,AL248,AO248)</f>
        <v/>
      </c>
      <c r="AV248" s="27">
        <f>SUM(I248,L248,O248,R248,U248,X248,AA248,AD248,AG248,AJ248,AM248,AP248)</f>
        <v/>
      </c>
      <c r="AW248" s="28">
        <f>SUM(J248,M248,P248,S248,V248,Y248,AB248,AE248,AH248,AK248,AN248,AQ248)</f>
        <v/>
      </c>
      <c r="AX248" s="241">
        <f>SUM(H248,K248,N248)</f>
        <v/>
      </c>
      <c r="AY248" s="27">
        <f>SUM(I248,L248,O248)</f>
        <v/>
      </c>
      <c r="AZ248" s="28">
        <f>SUM(J248,M248,P248)</f>
        <v/>
      </c>
      <c r="BA248" s="241">
        <f>SUM(Q248,T248,W248)</f>
        <v/>
      </c>
      <c r="BB248" s="27">
        <f>SUM(R248,U248,X248)</f>
        <v/>
      </c>
      <c r="BC248" s="28">
        <f>SUM(S248,V248,Y248)</f>
        <v/>
      </c>
      <c r="BD248" s="241">
        <f>SUM(Z248,AC248,AF248)</f>
        <v/>
      </c>
      <c r="BE248" s="27">
        <f>SUM(AA248,AD248,AG248)</f>
        <v/>
      </c>
      <c r="BF248" s="28">
        <f>SUM(AB248,AE248,AH248)</f>
        <v/>
      </c>
      <c r="BG248" s="241">
        <f>SUM(AI248,AL248,AO248)</f>
        <v/>
      </c>
      <c r="BH248" s="27">
        <f>SUM(AJ248,AM248,AP248)</f>
        <v/>
      </c>
      <c r="BI248" s="28">
        <f>SUM(AK248,AN248,AQ248)</f>
        <v/>
      </c>
    </row>
    <row r="249" hidden="1" outlineLevel="1" customFormat="1" s="498">
      <c r="A249" s="22" t="inlineStr">
        <is>
          <t>Sistemas Gerais - Financeiros</t>
        </is>
      </c>
      <c r="B249" s="23" t="n"/>
      <c r="C249" s="24" t="inlineStr">
        <is>
          <t>Contr/Prov</t>
        </is>
      </c>
      <c r="D249" s="25" t="n"/>
      <c r="E249" s="518" t="n"/>
      <c r="F249" s="117" t="n"/>
      <c r="G249" s="33" t="n"/>
      <c r="H249" s="241" t="n"/>
      <c r="I249" s="27">
        <f>-SUMIFS(T_ORCAMENTOS!$E:$E,T_ORCAMENTOS!$C:$C,"Sistemas Gerais - Financeiros",T_ORCAMENTOS!$H:$H,"1/2026")</f>
        <v/>
      </c>
      <c r="J249" s="28">
        <f>SUMIFS(Aut_BlueMe_Sem_Pedido!$J:$J,Aut_BlueMe_Sem_Pedido!$Q:$Q,DRE!H$4,Aut_BlueMe_Sem_Pedido!$H:$H,DRE!$A249)+SUMIFS(Aut_Ajustes_Manuais!$G:$G,Aut_Ajustes_Manuais!$I:$I,DRE!H$4,Aut_Ajustes_Manuais!$F:$F,"Sistemas Gerais - Financeiros")</f>
        <v/>
      </c>
      <c r="K249" s="241" t="n"/>
      <c r="L249" s="27">
        <f>-SUMIFS(T_ORCAMENTOS!$E:$E,T_ORCAMENTOS!$C:$C,"Sistemas Gerais - Financeiros",T_ORCAMENTOS!$H:$H,"2/2026")</f>
        <v/>
      </c>
      <c r="M249" s="28">
        <f>SUMIFS(Aut_BlueMe_Sem_Pedido!$J:$J,Aut_BlueMe_Sem_Pedido!$Q:$Q,DRE!K$4,Aut_BlueMe_Sem_Pedido!$H:$H,DRE!$A249)+SUMIFS(Aut_Ajustes_Manuais!$G:$G,Aut_Ajustes_Manuais!$I:$I,DRE!K$4,Aut_Ajustes_Manuais!$F:$F,"Sistemas Gerais - Financeiros")</f>
        <v/>
      </c>
      <c r="N249" s="241" t="n"/>
      <c r="O249" s="27">
        <f>-SUMIFS(T_ORCAMENTOS!$E:$E,T_ORCAMENTOS!$C:$C,"Sistemas Gerais - Financeiros",T_ORCAMENTOS!$H:$H,"3/2026")</f>
        <v/>
      </c>
      <c r="P249" s="28">
        <f>SUMIFS(Aut_BlueMe_Sem_Pedido!$J:$J,Aut_BlueMe_Sem_Pedido!$Q:$Q,DRE!N$4,Aut_BlueMe_Sem_Pedido!$H:$H,DRE!$A249)+SUMIFS(Aut_Ajustes_Manuais!$G:$G,Aut_Ajustes_Manuais!$I:$I,DRE!N$4,Aut_Ajustes_Manuais!$F:$F,"Sistemas Gerais - Financeiros")</f>
        <v/>
      </c>
      <c r="Q249" s="241" t="n"/>
      <c r="R249" s="27">
        <f>-SUMIFS(T_ORCAMENTOS!$E:$E,T_ORCAMENTOS!$C:$C,"Sistemas Gerais - Financeiros",T_ORCAMENTOS!$H:$H,"4/2026")</f>
        <v/>
      </c>
      <c r="S249" s="28">
        <f>SUMIFS(Aut_BlueMe_Sem_Pedido!$J:$J,Aut_BlueMe_Sem_Pedido!$Q:$Q,DRE!Q$4,Aut_BlueMe_Sem_Pedido!$H:$H,DRE!$A249)+SUMIFS(Aut_Ajustes_Manuais!$G:$G,Aut_Ajustes_Manuais!$I:$I,DRE!Q$4,Aut_Ajustes_Manuais!$F:$F,"Sistemas Gerais - Financeiros")</f>
        <v/>
      </c>
      <c r="T249" s="241" t="n"/>
      <c r="U249" s="27">
        <f>-SUMIFS(T_ORCAMENTOS!$E:$E,T_ORCAMENTOS!$C:$C,"Sistemas Gerais - Financeiros",T_ORCAMENTOS!$H:$H,"5/2026")</f>
        <v/>
      </c>
      <c r="V249" s="28">
        <f>SUMIFS(Aut_BlueMe_Sem_Pedido!$J:$J,Aut_BlueMe_Sem_Pedido!$Q:$Q,DRE!T$4,Aut_BlueMe_Sem_Pedido!$H:$H,DRE!$A249)+SUMIFS(Aut_Ajustes_Manuais!$G:$G,Aut_Ajustes_Manuais!$I:$I,DRE!T$4,Aut_Ajustes_Manuais!$F:$F,"Sistemas Gerais - Financeiros")</f>
        <v/>
      </c>
      <c r="W249" s="241" t="n"/>
      <c r="X249" s="27">
        <f>-SUMIFS(T_ORCAMENTOS!$E:$E,T_ORCAMENTOS!$C:$C,"Sistemas Gerais - Financeiros",T_ORCAMENTOS!$H:$H,"6/2026")</f>
        <v/>
      </c>
      <c r="Y249" s="28">
        <f>SUMIFS(Aut_BlueMe_Sem_Pedido!$J:$J,Aut_BlueMe_Sem_Pedido!$Q:$Q,DRE!W$4,Aut_BlueMe_Sem_Pedido!$H:$H,DRE!$A249)+SUMIFS(Aut_Ajustes_Manuais!$G:$G,Aut_Ajustes_Manuais!$I:$I,DRE!W$4,Aut_Ajustes_Manuais!$F:$F,"Sistemas Gerais - Financeiros")</f>
        <v/>
      </c>
      <c r="Z249" s="241" t="n"/>
      <c r="AA249" s="27">
        <f>-SUMIFS(T_ORCAMENTOS!$E:$E,T_ORCAMENTOS!$C:$C,"Sistemas Gerais - Financeiros",T_ORCAMENTOS!$H:$H,"7/2026")</f>
        <v/>
      </c>
      <c r="AB249" s="28">
        <f>SUMIFS(Aut_BlueMe_Sem_Pedido!$J:$J,Aut_BlueMe_Sem_Pedido!$Q:$Q,DRE!Z$4,Aut_BlueMe_Sem_Pedido!$H:$H,DRE!$A249)+SUMIFS(Aut_Ajustes_Manuais!$G:$G,Aut_Ajustes_Manuais!$I:$I,DRE!Z$4,Aut_Ajustes_Manuais!$F:$F,"Sistemas Gerais - Financeiros")</f>
        <v/>
      </c>
      <c r="AC249" s="241" t="n"/>
      <c r="AD249" s="27">
        <f>-SUMIFS(T_ORCAMENTOS!$E:$E,T_ORCAMENTOS!$C:$C,"Sistemas Gerais - Financeiros",T_ORCAMENTOS!$H:$H,"8/2026")</f>
        <v/>
      </c>
      <c r="AE249" s="28">
        <f>SUMIFS(Aut_BlueMe_Sem_Pedido!$J:$J,Aut_BlueMe_Sem_Pedido!$Q:$Q,DRE!AC$4,Aut_BlueMe_Sem_Pedido!$H:$H,DRE!$A249)+SUMIFS(Aut_Ajustes_Manuais!$G:$G,Aut_Ajustes_Manuais!$I:$I,DRE!AC$4,Aut_Ajustes_Manuais!$F:$F,"Sistemas Gerais - Financeiros")</f>
        <v/>
      </c>
      <c r="AF249" s="241" t="n"/>
      <c r="AG249" s="27">
        <f>-SUMIFS(T_ORCAMENTOS!$E:$E,T_ORCAMENTOS!$C:$C,"Sistemas Gerais - Financeiros",T_ORCAMENTOS!$H:$H,"9/2026")</f>
        <v/>
      </c>
      <c r="AH249" s="28">
        <f>SUMIFS(Aut_BlueMe_Sem_Pedido!$J:$J,Aut_BlueMe_Sem_Pedido!$Q:$Q,DRE!AF$4,Aut_BlueMe_Sem_Pedido!$H:$H,DRE!$A249)+SUMIFS(Aut_Ajustes_Manuais!$G:$G,Aut_Ajustes_Manuais!$I:$I,DRE!AF$4,Aut_Ajustes_Manuais!$F:$F,"Sistemas Gerais - Financeiros")</f>
        <v/>
      </c>
      <c r="AI249" s="241" t="n"/>
      <c r="AJ249" s="27">
        <f>-SUMIFS(T_ORCAMENTOS!$E:$E,T_ORCAMENTOS!$C:$C,"Sistemas Gerais - Financeiros",T_ORCAMENTOS!$H:$H,"10/2026")</f>
        <v/>
      </c>
      <c r="AK249" s="28">
        <f>SUMIFS(Aut_BlueMe_Sem_Pedido!$J:$J,Aut_BlueMe_Sem_Pedido!$Q:$Q,DRE!AI$4,Aut_BlueMe_Sem_Pedido!$H:$H,DRE!$A249)+SUMIFS(Aut_Ajustes_Manuais!$G:$G,Aut_Ajustes_Manuais!$I:$I,DRE!AI$4,Aut_Ajustes_Manuais!$F:$F,"Sistemas Gerais - Financeiros")</f>
        <v/>
      </c>
      <c r="AL249" s="241" t="n"/>
      <c r="AM249" s="27">
        <f>-SUMIFS(T_ORCAMENTOS!$E:$E,T_ORCAMENTOS!$C:$C,"Sistemas Gerais - Financeiros",T_ORCAMENTOS!$H:$H,"11/2026")</f>
        <v/>
      </c>
      <c r="AN249" s="28">
        <f>SUMIFS(Aut_BlueMe_Sem_Pedido!$J:$J,Aut_BlueMe_Sem_Pedido!$Q:$Q,DRE!AL$4,Aut_BlueMe_Sem_Pedido!$H:$H,DRE!$A249)+SUMIFS(Aut_Ajustes_Manuais!$G:$G,Aut_Ajustes_Manuais!$I:$I,DRE!AL$4,Aut_Ajustes_Manuais!$F:$F,"Sistemas Gerais - Financeiros")</f>
        <v/>
      </c>
      <c r="AO249" s="241" t="n"/>
      <c r="AP249" s="27">
        <f>-SUMIFS(T_ORCAMENTOS!$E:$E,T_ORCAMENTOS!$C:$C,"Sistemas Gerais - Financeiros",T_ORCAMENTOS!$H:$H,"12/2026")</f>
        <v/>
      </c>
      <c r="AQ249" s="28">
        <f>SUMIFS(Aut_BlueMe_Sem_Pedido!$J:$J,Aut_BlueMe_Sem_Pedido!$Q:$Q,DRE!AO$4,Aut_BlueMe_Sem_Pedido!$H:$H,DRE!$A249)+SUMIFS(Aut_Ajustes_Manuais!$G:$G,Aut_Ajustes_Manuais!$I:$I,DRE!AO$4,Aut_Ajustes_Manuais!$F:$F,"Sistemas Gerais - Financeiros")</f>
        <v/>
      </c>
      <c r="AR249" s="241">
        <f>SUMIFS($H249:$AO249,$H$5:$AO$5,"&lt;"&amp;MONTH(TODAY()),$H$6:$AO$6,"REAL 25")</f>
        <v/>
      </c>
      <c r="AS249" s="27">
        <f>SUMIFS($I249:$AP249,$I$5:$AP$5,"&lt;"&amp;MONTH(TODAY()),$I$6:$AP$6,"ORÇADO ")</f>
        <v/>
      </c>
      <c r="AT249" s="28">
        <f>SUMIFS($J249:$AQ249,$J$5:$AQ$5,"&lt;"&amp;MONTH(TODAY()),$J$6:$AQ$6,"REAL 26")</f>
        <v/>
      </c>
      <c r="AU249" s="241">
        <f>SUM(H249,K249,N249,Q249,T249,W249,Z249,AC249,AF249,AI249,AL249,AO249)</f>
        <v/>
      </c>
      <c r="AV249" s="27">
        <f>SUM(I249,L249,O249,R249,U249,X249,AA249,AD249,AG249,AJ249,AM249,AP249)</f>
        <v/>
      </c>
      <c r="AW249" s="28">
        <f>SUM(J249,M249,P249,S249,V249,Y249,AB249,AE249,AH249,AK249,AN249,AQ249)</f>
        <v/>
      </c>
      <c r="AX249" s="241">
        <f>SUM(H249,K249,N249)</f>
        <v/>
      </c>
      <c r="AY249" s="27">
        <f>SUM(I249,L249,O249)</f>
        <v/>
      </c>
      <c r="AZ249" s="28">
        <f>SUM(J249,M249,P249)</f>
        <v/>
      </c>
      <c r="BA249" s="241">
        <f>SUM(Q249,T249,W249)</f>
        <v/>
      </c>
      <c r="BB249" s="27">
        <f>SUM(R249,U249,X249)</f>
        <v/>
      </c>
      <c r="BC249" s="28">
        <f>SUM(S249,V249,Y249)</f>
        <v/>
      </c>
      <c r="BD249" s="241">
        <f>SUM(Z249,AC249,AF249)</f>
        <v/>
      </c>
      <c r="BE249" s="27">
        <f>SUM(AA249,AD249,AG249)</f>
        <v/>
      </c>
      <c r="BF249" s="28">
        <f>SUM(AB249,AE249,AH249)</f>
        <v/>
      </c>
      <c r="BG249" s="241">
        <f>SUM(AI249,AL249,AO249)</f>
        <v/>
      </c>
      <c r="BH249" s="27">
        <f>SUM(AJ249,AM249,AP249)</f>
        <v/>
      </c>
      <c r="BI249" s="28">
        <f>SUM(AK249,AN249,AQ249)</f>
        <v/>
      </c>
    </row>
    <row r="250" hidden="1" outlineLevel="1" customFormat="1" s="498">
      <c r="A250" s="22" t="inlineStr">
        <is>
          <t>Sistemas Gerais - Comunicação e Marketing</t>
        </is>
      </c>
      <c r="B250" s="23" t="n"/>
      <c r="C250" s="24" t="inlineStr">
        <is>
          <t>Contr/Prov</t>
        </is>
      </c>
      <c r="D250" s="25" t="n"/>
      <c r="E250" s="518" t="n"/>
      <c r="F250" s="117" t="n"/>
      <c r="G250" s="33" t="n"/>
      <c r="H250" s="241" t="n"/>
      <c r="I250" s="27">
        <f>-SUMIFS(T_ORCAMENTOS!$E:$E,T_ORCAMENTOS!$C:$C,"Sistemas Gerais - Comunicação e Marketing",T_ORCAMENTOS!$H:$H,"1/2026")</f>
        <v/>
      </c>
      <c r="J250" s="28">
        <f>SUMIFS(Aut_BlueMe_Sem_Pedido!$J:$J,Aut_BlueMe_Sem_Pedido!$Q:$Q,DRE!H$4,Aut_BlueMe_Sem_Pedido!$H:$H,DRE!$A250)+SUMIFS(Aut_Ajustes_Manuais!$G:$G,Aut_Ajustes_Manuais!$I:$I,DRE!H$4,Aut_Ajustes_Manuais!$F:$F,"Sistemas Gerais - Comunicação e Marketing")</f>
        <v/>
      </c>
      <c r="K250" s="241" t="n"/>
      <c r="L250" s="27">
        <f>-SUMIFS(T_ORCAMENTOS!$E:$E,T_ORCAMENTOS!$C:$C,"Sistemas Gerais - Comunicação e Marketing",T_ORCAMENTOS!$H:$H,"2/2026")</f>
        <v/>
      </c>
      <c r="M250" s="28">
        <f>SUMIFS(Aut_BlueMe_Sem_Pedido!$J:$J,Aut_BlueMe_Sem_Pedido!$Q:$Q,DRE!K$4,Aut_BlueMe_Sem_Pedido!$H:$H,DRE!$A250)+SUMIFS(Aut_Ajustes_Manuais!$G:$G,Aut_Ajustes_Manuais!$I:$I,DRE!K$4,Aut_Ajustes_Manuais!$F:$F,"Sistemas Gerais - Comunicação e Marketing")</f>
        <v/>
      </c>
      <c r="N250" s="241" t="n"/>
      <c r="O250" s="27">
        <f>-SUMIFS(T_ORCAMENTOS!$E:$E,T_ORCAMENTOS!$C:$C,"Sistemas Gerais - Comunicação e Marketing",T_ORCAMENTOS!$H:$H,"3/2026")</f>
        <v/>
      </c>
      <c r="P250" s="28">
        <f>SUMIFS(Aut_BlueMe_Sem_Pedido!$J:$J,Aut_BlueMe_Sem_Pedido!$Q:$Q,DRE!N$4,Aut_BlueMe_Sem_Pedido!$H:$H,DRE!$A250)+SUMIFS(Aut_Ajustes_Manuais!$G:$G,Aut_Ajustes_Manuais!$I:$I,DRE!N$4,Aut_Ajustes_Manuais!$F:$F,"Sistemas Gerais - Comunicação e Marketing")</f>
        <v/>
      </c>
      <c r="Q250" s="241" t="n"/>
      <c r="R250" s="27">
        <f>-SUMIFS(T_ORCAMENTOS!$E:$E,T_ORCAMENTOS!$C:$C,"Sistemas Gerais - Comunicação e Marketing",T_ORCAMENTOS!$H:$H,"4/2026")</f>
        <v/>
      </c>
      <c r="S250" s="28">
        <f>SUMIFS(Aut_BlueMe_Sem_Pedido!$J:$J,Aut_BlueMe_Sem_Pedido!$Q:$Q,DRE!Q$4,Aut_BlueMe_Sem_Pedido!$H:$H,DRE!$A250)+SUMIFS(Aut_Ajustes_Manuais!$G:$G,Aut_Ajustes_Manuais!$I:$I,DRE!Q$4,Aut_Ajustes_Manuais!$F:$F,"Sistemas Gerais - Comunicação e Marketing")</f>
        <v/>
      </c>
      <c r="T250" s="241" t="n"/>
      <c r="U250" s="27">
        <f>-SUMIFS(T_ORCAMENTOS!$E:$E,T_ORCAMENTOS!$C:$C,"Sistemas Gerais - Comunicação e Marketing",T_ORCAMENTOS!$H:$H,"5/2026")</f>
        <v/>
      </c>
      <c r="V250" s="28">
        <f>SUMIFS(Aut_BlueMe_Sem_Pedido!$J:$J,Aut_BlueMe_Sem_Pedido!$Q:$Q,DRE!T$4,Aut_BlueMe_Sem_Pedido!$H:$H,DRE!$A250)+SUMIFS(Aut_Ajustes_Manuais!$G:$G,Aut_Ajustes_Manuais!$I:$I,DRE!T$4,Aut_Ajustes_Manuais!$F:$F,"Sistemas Gerais - Comunicação e Marketing")</f>
        <v/>
      </c>
      <c r="W250" s="241" t="n"/>
      <c r="X250" s="27">
        <f>-SUMIFS(T_ORCAMENTOS!$E:$E,T_ORCAMENTOS!$C:$C,"Sistemas Gerais - Comunicação e Marketing",T_ORCAMENTOS!$H:$H,"6/2026")</f>
        <v/>
      </c>
      <c r="Y250" s="28">
        <f>SUMIFS(Aut_BlueMe_Sem_Pedido!$J:$J,Aut_BlueMe_Sem_Pedido!$Q:$Q,DRE!W$4,Aut_BlueMe_Sem_Pedido!$H:$H,DRE!$A250)+SUMIFS(Aut_Ajustes_Manuais!$G:$G,Aut_Ajustes_Manuais!$I:$I,DRE!W$4,Aut_Ajustes_Manuais!$F:$F,"Sistemas Gerais - Comunicação e Marketing")</f>
        <v/>
      </c>
      <c r="Z250" s="241" t="n"/>
      <c r="AA250" s="27">
        <f>-SUMIFS(T_ORCAMENTOS!$E:$E,T_ORCAMENTOS!$C:$C,"Sistemas Gerais - Comunicação e Marketing",T_ORCAMENTOS!$H:$H,"7/2026")</f>
        <v/>
      </c>
      <c r="AB250" s="28">
        <f>SUMIFS(Aut_BlueMe_Sem_Pedido!$J:$J,Aut_BlueMe_Sem_Pedido!$Q:$Q,DRE!Z$4,Aut_BlueMe_Sem_Pedido!$H:$H,DRE!$A250)+SUMIFS(Aut_Ajustes_Manuais!$G:$G,Aut_Ajustes_Manuais!$I:$I,DRE!Z$4,Aut_Ajustes_Manuais!$F:$F,"Sistemas Gerais - Comunicação e Marketing")</f>
        <v/>
      </c>
      <c r="AC250" s="241" t="n"/>
      <c r="AD250" s="27">
        <f>-SUMIFS(T_ORCAMENTOS!$E:$E,T_ORCAMENTOS!$C:$C,"Sistemas Gerais - Comunicação e Marketing",T_ORCAMENTOS!$H:$H,"8/2026")</f>
        <v/>
      </c>
      <c r="AE250" s="28">
        <f>SUMIFS(Aut_BlueMe_Sem_Pedido!$J:$J,Aut_BlueMe_Sem_Pedido!$Q:$Q,DRE!AC$4,Aut_BlueMe_Sem_Pedido!$H:$H,DRE!$A250)+SUMIFS(Aut_Ajustes_Manuais!$G:$G,Aut_Ajustes_Manuais!$I:$I,DRE!AC$4,Aut_Ajustes_Manuais!$F:$F,"Sistemas Gerais - Comunicação e Marketing")</f>
        <v/>
      </c>
      <c r="AF250" s="241" t="n"/>
      <c r="AG250" s="27">
        <f>-SUMIFS(T_ORCAMENTOS!$E:$E,T_ORCAMENTOS!$C:$C,"Sistemas Gerais - Comunicação e Marketing",T_ORCAMENTOS!$H:$H,"9/2026")</f>
        <v/>
      </c>
      <c r="AH250" s="28">
        <f>SUMIFS(Aut_BlueMe_Sem_Pedido!$J:$J,Aut_BlueMe_Sem_Pedido!$Q:$Q,DRE!AF$4,Aut_BlueMe_Sem_Pedido!$H:$H,DRE!$A250)+SUMIFS(Aut_Ajustes_Manuais!$G:$G,Aut_Ajustes_Manuais!$I:$I,DRE!AF$4,Aut_Ajustes_Manuais!$F:$F,"Sistemas Gerais - Comunicação e Marketing")</f>
        <v/>
      </c>
      <c r="AI250" s="241" t="n"/>
      <c r="AJ250" s="27">
        <f>-SUMIFS(T_ORCAMENTOS!$E:$E,T_ORCAMENTOS!$C:$C,"Sistemas Gerais - Comunicação e Marketing",T_ORCAMENTOS!$H:$H,"10/2026")</f>
        <v/>
      </c>
      <c r="AK250" s="28">
        <f>SUMIFS(Aut_BlueMe_Sem_Pedido!$J:$J,Aut_BlueMe_Sem_Pedido!$Q:$Q,DRE!AI$4,Aut_BlueMe_Sem_Pedido!$H:$H,DRE!$A250)+SUMIFS(Aut_Ajustes_Manuais!$G:$G,Aut_Ajustes_Manuais!$I:$I,DRE!AI$4,Aut_Ajustes_Manuais!$F:$F,"Sistemas Gerais - Comunicação e Marketing")</f>
        <v/>
      </c>
      <c r="AL250" s="241" t="n"/>
      <c r="AM250" s="27">
        <f>-SUMIFS(T_ORCAMENTOS!$E:$E,T_ORCAMENTOS!$C:$C,"Sistemas Gerais - Comunicação e Marketing",T_ORCAMENTOS!$H:$H,"11/2026")</f>
        <v/>
      </c>
      <c r="AN250" s="28">
        <f>SUMIFS(Aut_BlueMe_Sem_Pedido!$J:$J,Aut_BlueMe_Sem_Pedido!$Q:$Q,DRE!AL$4,Aut_BlueMe_Sem_Pedido!$H:$H,DRE!$A250)+SUMIFS(Aut_Ajustes_Manuais!$G:$G,Aut_Ajustes_Manuais!$I:$I,DRE!AL$4,Aut_Ajustes_Manuais!$F:$F,"Sistemas Gerais - Comunicação e Marketing")</f>
        <v/>
      </c>
      <c r="AO250" s="241" t="n"/>
      <c r="AP250" s="27">
        <f>-SUMIFS(T_ORCAMENTOS!$E:$E,T_ORCAMENTOS!$C:$C,"Sistemas Gerais - Comunicação e Marketing",T_ORCAMENTOS!$H:$H,"12/2026")</f>
        <v/>
      </c>
      <c r="AQ250" s="28">
        <f>SUMIFS(Aut_BlueMe_Sem_Pedido!$J:$J,Aut_BlueMe_Sem_Pedido!$Q:$Q,DRE!AO$4,Aut_BlueMe_Sem_Pedido!$H:$H,DRE!$A250)+SUMIFS(Aut_Ajustes_Manuais!$G:$G,Aut_Ajustes_Manuais!$I:$I,DRE!AO$4,Aut_Ajustes_Manuais!$F:$F,"Sistemas Gerais - Comunicação e Marketing")</f>
        <v/>
      </c>
      <c r="AR250" s="241">
        <f>SUMIFS($H250:$AO250,$H$5:$AO$5,"&lt;"&amp;MONTH(TODAY()),$H$6:$AO$6,"REAL 25")</f>
        <v/>
      </c>
      <c r="AS250" s="27">
        <f>SUMIFS($I250:$AP250,$I$5:$AP$5,"&lt;"&amp;MONTH(TODAY()),$I$6:$AP$6,"ORÇADO ")</f>
        <v/>
      </c>
      <c r="AT250" s="28">
        <f>SUMIFS($J250:$AQ250,$J$5:$AQ$5,"&lt;"&amp;MONTH(TODAY()),$J$6:$AQ$6,"REAL 26")</f>
        <v/>
      </c>
      <c r="AU250" s="241">
        <f>SUM(H250,K250,N250,Q250,T250,W250,Z250,AC250,AF250,AI250,AL250,AO250)</f>
        <v/>
      </c>
      <c r="AV250" s="27">
        <f>SUM(I250,L250,O250,R250,U250,X250,AA250,AD250,AG250,AJ250,AM250,AP250)</f>
        <v/>
      </c>
      <c r="AW250" s="28">
        <f>SUM(J250,M250,P250,S250,V250,Y250,AB250,AE250,AH250,AK250,AN250,AQ250)</f>
        <v/>
      </c>
      <c r="AX250" s="241">
        <f>SUM(H250,K250,N250)</f>
        <v/>
      </c>
      <c r="AY250" s="27">
        <f>SUM(I250,L250,O250)</f>
        <v/>
      </c>
      <c r="AZ250" s="28">
        <f>SUM(J250,M250,P250)</f>
        <v/>
      </c>
      <c r="BA250" s="241">
        <f>SUM(Q250,T250,W250)</f>
        <v/>
      </c>
      <c r="BB250" s="27">
        <f>SUM(R250,U250,X250)</f>
        <v/>
      </c>
      <c r="BC250" s="28">
        <f>SUM(S250,V250,Y250)</f>
        <v/>
      </c>
      <c r="BD250" s="241">
        <f>SUM(Z250,AC250,AF250)</f>
        <v/>
      </c>
      <c r="BE250" s="27">
        <f>SUM(AA250,AD250,AG250)</f>
        <v/>
      </c>
      <c r="BF250" s="28">
        <f>SUM(AB250,AE250,AH250)</f>
        <v/>
      </c>
      <c r="BG250" s="241">
        <f>SUM(AI250,AL250,AO250)</f>
        <v/>
      </c>
      <c r="BH250" s="27">
        <f>SUM(AJ250,AM250,AP250)</f>
        <v/>
      </c>
      <c r="BI250" s="28">
        <f>SUM(AK250,AN250,AQ250)</f>
        <v/>
      </c>
    </row>
    <row r="251" hidden="1" outlineLevel="1" customFormat="1" s="498">
      <c r="A251" s="22" t="n"/>
      <c r="B251" s="23" t="n"/>
      <c r="C251" s="24" t="n"/>
      <c r="D251" s="116" t="n"/>
      <c r="E251" s="118" t="n"/>
      <c r="F251" s="117" t="n"/>
      <c r="G251" s="33" t="n"/>
      <c r="H251" s="254" t="n"/>
      <c r="I251" s="81" t="n"/>
      <c r="J251" s="82" t="n"/>
      <c r="K251" s="254" t="n"/>
      <c r="L251" s="81" t="n"/>
      <c r="M251" s="82" t="n"/>
      <c r="N251" s="254" t="n"/>
      <c r="O251" s="81" t="n"/>
      <c r="P251" s="82" t="n"/>
      <c r="Q251" s="254" t="n"/>
      <c r="R251" s="81" t="n"/>
      <c r="S251" s="82" t="n"/>
      <c r="T251" s="254" t="n"/>
      <c r="U251" s="81" t="n"/>
      <c r="V251" s="82" t="n"/>
      <c r="W251" s="254" t="n"/>
      <c r="X251" s="81" t="n"/>
      <c r="Y251" s="82" t="n"/>
      <c r="Z251" s="254" t="n"/>
      <c r="AA251" s="81" t="n"/>
      <c r="AB251" s="82" t="n"/>
      <c r="AC251" s="254" t="n"/>
      <c r="AD251" s="81" t="n"/>
      <c r="AE251" s="82" t="n"/>
      <c r="AF251" s="254" t="n"/>
      <c r="AG251" s="81" t="n"/>
      <c r="AH251" s="82" t="n"/>
      <c r="AI251" s="254" t="n"/>
      <c r="AJ251" s="81" t="n"/>
      <c r="AK251" s="82" t="n"/>
      <c r="AL251" s="254" t="n"/>
      <c r="AM251" s="81" t="n"/>
      <c r="AN251" s="82" t="n"/>
      <c r="AO251" s="254" t="n"/>
      <c r="AP251" s="81" t="n"/>
      <c r="AQ251" s="82" t="n"/>
      <c r="AR251" s="241">
        <f>SUMIFS($H251:$AO251,$H$5:$AO$5,"&lt;"&amp;MONTH(TODAY()),$H$6:$AO$6,"REAL 25")</f>
        <v/>
      </c>
      <c r="AS251" s="27">
        <f>SUMIFS($I251:$AP251,$I$5:$AP$5,"&lt;"&amp;MONTH(TODAY()),$I$6:$AP$6,"ORÇADO ")</f>
        <v/>
      </c>
      <c r="AT251" s="82">
        <f>SUMIFS($J251:$AQ251,$J$5:$AQ$5,"&lt;"&amp;MONTH(TODAY()),$J$6:$AQ$6,"REAL 26")</f>
        <v/>
      </c>
      <c r="AU251" s="254" t="n"/>
      <c r="AV251" s="81" t="n"/>
      <c r="AW251" s="82" t="n"/>
      <c r="AX251" s="254" t="n"/>
      <c r="AY251" s="81" t="n">
        <v>0</v>
      </c>
      <c r="AZ251" s="82" t="n"/>
      <c r="BA251" s="254" t="n"/>
      <c r="BB251" s="81" t="n">
        <v>0</v>
      </c>
      <c r="BC251" s="82" t="n"/>
      <c r="BD251" s="254" t="n"/>
      <c r="BE251" s="81" t="n">
        <v>0</v>
      </c>
      <c r="BF251" s="82" t="n"/>
      <c r="BG251" s="254" t="n"/>
      <c r="BH251" s="81" t="n">
        <v>0</v>
      </c>
      <c r="BI251" s="82" t="n"/>
    </row>
    <row r="252" hidden="1" outlineLevel="1" customFormat="1" s="498">
      <c r="A252" s="22" t="n"/>
      <c r="B252" s="23" t="n"/>
      <c r="C252" s="24" t="n"/>
      <c r="D252" s="116" t="n"/>
      <c r="E252" s="518" t="n"/>
      <c r="F252" s="117" t="n"/>
      <c r="G252" s="33" t="n"/>
      <c r="H252" s="254" t="n"/>
      <c r="I252" s="81" t="n"/>
      <c r="J252" s="82" t="n"/>
      <c r="K252" s="254" t="n"/>
      <c r="L252" s="81" t="n"/>
      <c r="M252" s="82" t="n"/>
      <c r="N252" s="254" t="n"/>
      <c r="O252" s="81" t="n"/>
      <c r="P252" s="82" t="n"/>
      <c r="Q252" s="254" t="n"/>
      <c r="R252" s="81" t="n"/>
      <c r="S252" s="82" t="n"/>
      <c r="T252" s="254" t="n"/>
      <c r="U252" s="81" t="n"/>
      <c r="V252" s="82" t="n"/>
      <c r="W252" s="254" t="n"/>
      <c r="X252" s="81" t="n"/>
      <c r="Y252" s="82" t="n"/>
      <c r="Z252" s="254" t="n"/>
      <c r="AA252" s="81" t="n"/>
      <c r="AB252" s="82" t="n"/>
      <c r="AC252" s="254" t="n"/>
      <c r="AD252" s="81" t="n"/>
      <c r="AE252" s="82" t="n"/>
      <c r="AF252" s="254" t="n"/>
      <c r="AG252" s="81" t="n"/>
      <c r="AH252" s="82" t="n"/>
      <c r="AI252" s="254" t="n"/>
      <c r="AJ252" s="81" t="n"/>
      <c r="AK252" s="82" t="n"/>
      <c r="AL252" s="254" t="n"/>
      <c r="AM252" s="81" t="n"/>
      <c r="AN252" s="82" t="n"/>
      <c r="AO252" s="254" t="n"/>
      <c r="AP252" s="81" t="n"/>
      <c r="AQ252" s="82" t="n"/>
      <c r="AR252" s="241">
        <f>SUMIFS($H252:$AO252,$H$5:$AO$5,"&lt;"&amp;MONTH(TODAY()),$H$6:$AO$6,"REAL 25")</f>
        <v/>
      </c>
      <c r="AS252" s="27">
        <f>SUMIFS($I252:$AP252,$I$5:$AP$5,"&lt;"&amp;MONTH(TODAY()),$I$6:$AP$6,"ORÇADO ")</f>
        <v/>
      </c>
      <c r="AT252" s="82">
        <f>SUMIFS($J252:$AQ252,$J$5:$AQ$5,"&lt;"&amp;MONTH(TODAY()),$J$6:$AQ$6,"REAL 26")</f>
        <v/>
      </c>
      <c r="AU252" s="254" t="n"/>
      <c r="AV252" s="81" t="n"/>
      <c r="AW252" s="82" t="n"/>
      <c r="AX252" s="254" t="n"/>
      <c r="AY252" s="81" t="n">
        <v>0</v>
      </c>
      <c r="AZ252" s="82" t="n"/>
      <c r="BA252" s="254" t="n"/>
      <c r="BB252" s="81" t="n">
        <v>0</v>
      </c>
      <c r="BC252" s="82" t="n"/>
      <c r="BD252" s="254" t="n"/>
      <c r="BE252" s="81" t="n">
        <v>0</v>
      </c>
      <c r="BF252" s="82" t="n"/>
      <c r="BG252" s="254" t="n"/>
      <c r="BH252" s="81" t="n">
        <v>0</v>
      </c>
      <c r="BI252" s="82" t="n"/>
    </row>
    <row r="253" collapsed="1">
      <c r="A253" s="71" t="inlineStr">
        <is>
          <t>% sobre Receita Bruta</t>
        </is>
      </c>
      <c r="C253" s="24" t="n"/>
      <c r="D253" s="116" t="n"/>
      <c r="E253" s="518" t="n"/>
      <c r="F253" s="17" t="n"/>
      <c r="G253" s="47" t="n"/>
      <c r="H253" s="245" t="n"/>
      <c r="I253" s="50">
        <f>IFERROR(I243/I8,0)</f>
        <v/>
      </c>
      <c r="J253" s="51">
        <f>IFERROR(J243/J8,0)+SUMIFS(Aut_Ajustes_Manuais!$G:$G,Aut_Ajustes_Manuais!$I:$I,DRE!H$4,Aut_Ajustes_Manuais!$F:$F,"% sobre Receita Bruta")</f>
        <v/>
      </c>
      <c r="K253" s="245" t="n"/>
      <c r="L253" s="50">
        <f>IFERROR(L243/L8,0)</f>
        <v/>
      </c>
      <c r="M253" s="51">
        <f>IFERROR(M243/M8,0)+SUMIFS(Aut_Ajustes_Manuais!$G:$G,Aut_Ajustes_Manuais!$I:$I,DRE!K$4,Aut_Ajustes_Manuais!$F:$F,"% sobre Receita Bruta")</f>
        <v/>
      </c>
      <c r="N253" s="245" t="n"/>
      <c r="O253" s="50">
        <f>IFERROR(O243/O8,0)</f>
        <v/>
      </c>
      <c r="P253" s="51">
        <f>IFERROR(P243/P8,0)+SUMIFS(Aut_Ajustes_Manuais!$G:$G,Aut_Ajustes_Manuais!$I:$I,DRE!N$4,Aut_Ajustes_Manuais!$F:$F,"% sobre Receita Bruta")</f>
        <v/>
      </c>
      <c r="Q253" s="245" t="n"/>
      <c r="R253" s="50">
        <f>IFERROR(R243/R8,0)</f>
        <v/>
      </c>
      <c r="S253" s="51">
        <f>IFERROR(S243/S8,0)+SUMIFS(Aut_Ajustes_Manuais!$G:$G,Aut_Ajustes_Manuais!$I:$I,DRE!Q$4,Aut_Ajustes_Manuais!$F:$F,"% sobre Receita Bruta")</f>
        <v/>
      </c>
      <c r="T253" s="245" t="n"/>
      <c r="U253" s="50">
        <f>IFERROR(U243/U8,0)</f>
        <v/>
      </c>
      <c r="V253" s="51">
        <f>IFERROR(V243/V8,0)+SUMIFS(Aut_Ajustes_Manuais!$G:$G,Aut_Ajustes_Manuais!$I:$I,DRE!T$4,Aut_Ajustes_Manuais!$F:$F,"% sobre Receita Bruta")</f>
        <v/>
      </c>
      <c r="W253" s="245" t="n"/>
      <c r="X253" s="50">
        <f>IFERROR(X243/X8,0)</f>
        <v/>
      </c>
      <c r="Y253" s="51">
        <f>IFERROR(Y243/Y8,0)+SUMIFS(Aut_Ajustes_Manuais!$G:$G,Aut_Ajustes_Manuais!$I:$I,DRE!W$4,Aut_Ajustes_Manuais!$F:$F,"% sobre Receita Bruta")</f>
        <v/>
      </c>
      <c r="Z253" s="245" t="n"/>
      <c r="AA253" s="50">
        <f>IFERROR(AA243/AA8,0)</f>
        <v/>
      </c>
      <c r="AB253" s="51">
        <f>IFERROR(AB243/AB8,0)+SUMIFS(Aut_Ajustes_Manuais!$G:$G,Aut_Ajustes_Manuais!$I:$I,DRE!Z$4,Aut_Ajustes_Manuais!$F:$F,"% sobre Receita Bruta")</f>
        <v/>
      </c>
      <c r="AC253" s="245" t="n"/>
      <c r="AD253" s="50">
        <f>IFERROR(AD243/AD8,0)</f>
        <v/>
      </c>
      <c r="AE253" s="51">
        <f>IFERROR(AE243/AE8,0)+SUMIFS(Aut_Ajustes_Manuais!$G:$G,Aut_Ajustes_Manuais!$I:$I,DRE!AC$4,Aut_Ajustes_Manuais!$F:$F,"% sobre Receita Bruta")</f>
        <v/>
      </c>
      <c r="AF253" s="245" t="n"/>
      <c r="AG253" s="50">
        <f>IFERROR(AG243/AG8,0)</f>
        <v/>
      </c>
      <c r="AH253" s="51">
        <f>IFERROR(AH243/AH8,0)+SUMIFS(Aut_Ajustes_Manuais!$G:$G,Aut_Ajustes_Manuais!$I:$I,DRE!AF$4,Aut_Ajustes_Manuais!$F:$F,"% sobre Receita Bruta")</f>
        <v/>
      </c>
      <c r="AI253" s="245" t="n"/>
      <c r="AJ253" s="50">
        <f>IFERROR(AJ243/AJ8,0)</f>
        <v/>
      </c>
      <c r="AK253" s="51">
        <f>IFERROR(AK243/AK8,0)+SUMIFS(Aut_Ajustes_Manuais!$G:$G,Aut_Ajustes_Manuais!$I:$I,DRE!AI$4,Aut_Ajustes_Manuais!$F:$F,"% sobre Receita Bruta")</f>
        <v/>
      </c>
      <c r="AL253" s="245" t="n"/>
      <c r="AM253" s="50">
        <f>IFERROR(AM243/AM8,0)</f>
        <v/>
      </c>
      <c r="AN253" s="51">
        <f>IFERROR(AN243/AN8,0)+SUMIFS(Aut_Ajustes_Manuais!$G:$G,Aut_Ajustes_Manuais!$I:$I,DRE!AL$4,Aut_Ajustes_Manuais!$F:$F,"% sobre Receita Bruta")</f>
        <v/>
      </c>
      <c r="AO253" s="245" t="n"/>
      <c r="AP253" s="50">
        <f>IFERROR(AP243/AP8,0)</f>
        <v/>
      </c>
      <c r="AQ253" s="51">
        <f>IFERROR(AQ243/AQ8,0)+SUMIFS(Aut_Ajustes_Manuais!$G:$G,Aut_Ajustes_Manuais!$I:$I,DRE!AO$4,Aut_Ajustes_Manuais!$F:$F,"% sobre Receita Bruta")</f>
        <v/>
      </c>
      <c r="AR253" s="245">
        <f>IFERROR(AR243/AR8,0)</f>
        <v/>
      </c>
      <c r="AS253" s="50">
        <f>IFERROR(AS243/AS8,0)</f>
        <v/>
      </c>
      <c r="AT253" s="51">
        <f>IFERROR(AT243/AT8,0)</f>
        <v/>
      </c>
      <c r="AU253" s="245">
        <f>IFERROR(AU243/AU8,0)</f>
        <v/>
      </c>
      <c r="AV253" s="50">
        <f>IFERROR(AV243/AV8,0)</f>
        <v/>
      </c>
      <c r="AW253" s="51">
        <f>IFERROR(AW243/AW8,0)</f>
        <v/>
      </c>
      <c r="AX253" s="245">
        <f>IFERROR(AX243/AX8,0)</f>
        <v/>
      </c>
      <c r="AY253" s="50">
        <f>IFERROR(AY243/AY8,0)</f>
        <v/>
      </c>
      <c r="AZ253" s="51">
        <f>IFERROR(AZ243/AZ8,0)</f>
        <v/>
      </c>
      <c r="BA253" s="245">
        <f>IFERROR(BA243/BA8,0)</f>
        <v/>
      </c>
      <c r="BB253" s="50">
        <f>IFERROR(BB243/BB8,0)</f>
        <v/>
      </c>
      <c r="BC253" s="51">
        <f>IFERROR(BC243/BC8,0)</f>
        <v/>
      </c>
      <c r="BD253" s="245">
        <f>IFERROR(BD243/BD8,0)</f>
        <v/>
      </c>
      <c r="BE253" s="50">
        <f>IFERROR(BE243/BE8,0)</f>
        <v/>
      </c>
      <c r="BF253" s="51">
        <f>IFERROR(BF243/BF8,0)</f>
        <v/>
      </c>
      <c r="BG253" s="245">
        <f>IFERROR(BG243/BG8,0)</f>
        <v/>
      </c>
      <c r="BH253" s="50">
        <f>IFERROR(BH243/BH8,0)</f>
        <v/>
      </c>
      <c r="BI253" s="51">
        <f>IFERROR(BI243/BI8,0)</f>
        <v/>
      </c>
    </row>
    <row r="254">
      <c r="A254" s="18" t="n"/>
      <c r="E254" s="16" t="n"/>
      <c r="F254" s="17" t="n"/>
      <c r="G254" s="47" t="n"/>
      <c r="H254" s="247" t="n"/>
      <c r="I254" s="66" t="n"/>
      <c r="J254" s="66" t="n"/>
      <c r="K254" s="247" t="n"/>
      <c r="L254" s="17" t="n"/>
      <c r="M254" s="57" t="n"/>
      <c r="N254" s="247" t="n"/>
      <c r="O254" s="17" t="n"/>
      <c r="P254" s="57" t="n"/>
      <c r="Q254" s="247" t="n"/>
      <c r="R254" s="17" t="n"/>
      <c r="S254" s="57" t="n"/>
      <c r="T254" s="247" t="n"/>
      <c r="U254" s="17" t="n"/>
      <c r="V254" s="57" t="n"/>
      <c r="W254" s="247" t="n"/>
      <c r="X254" s="17" t="n"/>
      <c r="Y254" s="57" t="n"/>
      <c r="Z254" s="247" t="n"/>
      <c r="AA254" s="17" t="n"/>
      <c r="AB254" s="57" t="n"/>
      <c r="AC254" s="247" t="n"/>
      <c r="AD254" s="17" t="n"/>
      <c r="AE254" s="57" t="n"/>
      <c r="AF254" s="247" t="n"/>
      <c r="AG254" s="17" t="n"/>
      <c r="AH254" s="57" t="n"/>
      <c r="AI254" s="247" t="n"/>
      <c r="AJ254" s="17" t="n"/>
      <c r="AK254" s="57" t="n"/>
      <c r="AL254" s="247" t="n"/>
      <c r="AM254" s="17" t="n"/>
      <c r="AN254" s="57" t="n"/>
      <c r="AO254" s="247" t="n"/>
      <c r="AP254" s="17" t="n"/>
      <c r="AQ254" s="57" t="n"/>
      <c r="AR254" s="247" t="n"/>
      <c r="AS254" s="505" t="n"/>
      <c r="AT254" s="507" t="n"/>
      <c r="AU254" s="247" t="n"/>
      <c r="AV254" s="17" t="n"/>
      <c r="AW254" s="57" t="n"/>
      <c r="AX254" s="247" t="n"/>
      <c r="AY254" s="17" t="n"/>
      <c r="AZ254" s="57" t="n"/>
      <c r="BA254" s="247" t="n"/>
      <c r="BB254" s="17" t="n"/>
      <c r="BC254" s="57" t="n"/>
      <c r="BD254" s="247" t="n"/>
      <c r="BE254" s="17" t="n"/>
      <c r="BF254" s="57" t="n"/>
      <c r="BG254" s="247" t="n"/>
      <c r="BH254" s="17" t="n"/>
      <c r="BI254" s="57" t="n"/>
    </row>
    <row r="255">
      <c r="A255" s="39" t="inlineStr">
        <is>
          <t>Despesas Gerais</t>
        </is>
      </c>
      <c r="C255" s="40" t="inlineStr">
        <is>
          <t>Premissas</t>
        </is>
      </c>
      <c r="D255" s="40" t="inlineStr">
        <is>
          <t>Valores</t>
        </is>
      </c>
      <c r="E255" s="40" t="inlineStr">
        <is>
          <t>Acréscimo</t>
        </is>
      </c>
      <c r="F255" s="17" t="n"/>
      <c r="G255" s="47" t="n"/>
      <c r="H255" s="244" t="n"/>
      <c r="I255" s="42">
        <f>SUM(I256:I263)</f>
        <v/>
      </c>
      <c r="J255" s="67">
        <f>SUM(J256:J263)+SUMIFS(Aut_Ajustes_Manuais!$G:$G,Aut_Ajustes_Manuais!$I:$I,DRE!H$4,Aut_Ajustes_Manuais!$F:$F,"Despesas Gerais")</f>
        <v/>
      </c>
      <c r="K255" s="244" t="n"/>
      <c r="L255" s="42">
        <f>SUM(L256:L263)</f>
        <v/>
      </c>
      <c r="M255" s="67">
        <f>SUM(M256:M263)+SUMIFS(Aut_Ajustes_Manuais!$G:$G,Aut_Ajustes_Manuais!$I:$I,DRE!K$4,Aut_Ajustes_Manuais!$F:$F,"Despesas Gerais")</f>
        <v/>
      </c>
      <c r="N255" s="244" t="n"/>
      <c r="O255" s="42">
        <f>SUM(O256:O263)</f>
        <v/>
      </c>
      <c r="P255" s="42">
        <f>SUM(P256:P263)+SUMIFS(Aut_Ajustes_Manuais!$G:$G,Aut_Ajustes_Manuais!$I:$I,DRE!N$4,Aut_Ajustes_Manuais!$F:$F,"Despesas Gerais")</f>
        <v/>
      </c>
      <c r="Q255" s="244" t="n"/>
      <c r="R255" s="42">
        <f>SUM(R256:R263)</f>
        <v/>
      </c>
      <c r="S255" s="42">
        <f>SUM(S256:S263)+SUMIFS(Aut_Ajustes_Manuais!$G:$G,Aut_Ajustes_Manuais!$I:$I,DRE!Q$4,Aut_Ajustes_Manuais!$F:$F,"Despesas Gerais")</f>
        <v/>
      </c>
      <c r="T255" s="244" t="n"/>
      <c r="U255" s="42">
        <f>SUM(U256:U263)</f>
        <v/>
      </c>
      <c r="V255" s="43">
        <f>SUM(V256:V263)+SUMIFS(Aut_Ajustes_Manuais!$G:$G,Aut_Ajustes_Manuais!$I:$I,DRE!T$4,Aut_Ajustes_Manuais!$F:$F,"Despesas Gerais")</f>
        <v/>
      </c>
      <c r="W255" s="244" t="n"/>
      <c r="X255" s="42">
        <f>SUM(X256:X263)</f>
        <v/>
      </c>
      <c r="Y255" s="43">
        <f>SUM(Y256:Y263)+SUMIFS(Aut_Ajustes_Manuais!$G:$G,Aut_Ajustes_Manuais!$I:$I,DRE!W$4,Aut_Ajustes_Manuais!$F:$F,"Despesas Gerais")</f>
        <v/>
      </c>
      <c r="Z255" s="244" t="n"/>
      <c r="AA255" s="42">
        <f>SUM(AA256:AA263)</f>
        <v/>
      </c>
      <c r="AB255" s="43">
        <f>SUM(AB256:AB263)+SUMIFS(Aut_Ajustes_Manuais!$G:$G,Aut_Ajustes_Manuais!$I:$I,DRE!Z$4,Aut_Ajustes_Manuais!$F:$F,"Despesas Gerais")</f>
        <v/>
      </c>
      <c r="AC255" s="244" t="n"/>
      <c r="AD255" s="42">
        <f>SUM(AD256:AD263)</f>
        <v/>
      </c>
      <c r="AE255" s="43">
        <f>SUM(AE256:AE263)+SUMIFS(Aut_Ajustes_Manuais!$G:$G,Aut_Ajustes_Manuais!$I:$I,DRE!AC$4,Aut_Ajustes_Manuais!$F:$F,"Despesas Gerais")</f>
        <v/>
      </c>
      <c r="AF255" s="244" t="n"/>
      <c r="AG255" s="42">
        <f>SUM(AG256:AG263)</f>
        <v/>
      </c>
      <c r="AH255" s="43">
        <f>SUM(AH256:AH263)+SUMIFS(Aut_Ajustes_Manuais!$G:$G,Aut_Ajustes_Manuais!$I:$I,DRE!AF$4,Aut_Ajustes_Manuais!$F:$F,"Despesas Gerais")</f>
        <v/>
      </c>
      <c r="AI255" s="244" t="n"/>
      <c r="AJ255" s="42">
        <f>SUM(AJ256:AJ263)</f>
        <v/>
      </c>
      <c r="AK255" s="43">
        <f>SUM(AK256:AK263)+SUMIFS(Aut_Ajustes_Manuais!$G:$G,Aut_Ajustes_Manuais!$I:$I,DRE!AI$4,Aut_Ajustes_Manuais!$F:$F,"Despesas Gerais")</f>
        <v/>
      </c>
      <c r="AL255" s="244" t="n"/>
      <c r="AM255" s="42">
        <f>SUM(AM256:AM263)</f>
        <v/>
      </c>
      <c r="AN255" s="43">
        <f>SUM(AN256:AN263)+SUMIFS(Aut_Ajustes_Manuais!$G:$G,Aut_Ajustes_Manuais!$I:$I,DRE!AL$4,Aut_Ajustes_Manuais!$F:$F,"Despesas Gerais")</f>
        <v/>
      </c>
      <c r="AO255" s="244" t="n"/>
      <c r="AP255" s="42">
        <f>SUM(AP256:AP263)</f>
        <v/>
      </c>
      <c r="AQ255" s="43">
        <f>SUM(AQ256:AQ263)+SUMIFS(Aut_Ajustes_Manuais!$G:$G,Aut_Ajustes_Manuais!$I:$I,DRE!AO$4,Aut_Ajustes_Manuais!$F:$F,"Despesas Gerais")</f>
        <v/>
      </c>
      <c r="AR255" s="244">
        <f>SUM(AR256:AR263)</f>
        <v/>
      </c>
      <c r="AS255" s="42">
        <f>SUM(AS256:AS263)</f>
        <v/>
      </c>
      <c r="AT255" s="43">
        <f>SUM(AT256:AT263)</f>
        <v/>
      </c>
      <c r="AU255" s="244">
        <f>SUM(AU256:AU263)</f>
        <v/>
      </c>
      <c r="AV255" s="42">
        <f>SUM(AV256:AV263)</f>
        <v/>
      </c>
      <c r="AW255" s="43">
        <f>SUM(AW256:AW263)</f>
        <v/>
      </c>
      <c r="AX255" s="244">
        <f>SUM(AX256:AX263)</f>
        <v/>
      </c>
      <c r="AY255" s="42">
        <f>SUM(AY256:AY263)</f>
        <v/>
      </c>
      <c r="AZ255" s="43">
        <f>SUM(AZ256:AZ263)</f>
        <v/>
      </c>
      <c r="BA255" s="244">
        <f>SUM(BA256:BA263)</f>
        <v/>
      </c>
      <c r="BB255" s="42">
        <f>SUM(BB256:BB263)</f>
        <v/>
      </c>
      <c r="BC255" s="43">
        <f>SUM(BC256:BC263)</f>
        <v/>
      </c>
      <c r="BD255" s="244">
        <f>SUM(BD256:BD263)</f>
        <v/>
      </c>
      <c r="BE255" s="42">
        <f>SUM(BE256:BE263)</f>
        <v/>
      </c>
      <c r="BF255" s="43">
        <f>SUM(BF256:BF263)</f>
        <v/>
      </c>
      <c r="BG255" s="244">
        <f>SUM(BG256:BG263)</f>
        <v/>
      </c>
      <c r="BH255" s="42">
        <f>SUM(BH256:BH263)</f>
        <v/>
      </c>
      <c r="BI255" s="43">
        <f>SUM(BI256:BI263)</f>
        <v/>
      </c>
    </row>
    <row r="256" hidden="1" outlineLevel="1" customFormat="1" s="498">
      <c r="A256" s="22" t="inlineStr">
        <is>
          <t>Manutenção Predial</t>
        </is>
      </c>
      <c r="B256" s="23" t="n"/>
      <c r="C256" s="24" t="inlineStr">
        <is>
          <t>Estim. Mensal</t>
        </is>
      </c>
      <c r="D256" s="121" t="n">
        <v>-7300</v>
      </c>
      <c r="E256" s="114" t="n"/>
      <c r="F256" s="56" t="n"/>
      <c r="G256" s="33" t="n"/>
      <c r="H256" s="241" t="n"/>
      <c r="I256" s="27">
        <f>-SUMIFS(T_ORCAMENTOS!$E:$E,T_ORCAMENTOS!$C:$C,"Manutenção Predial",T_ORCAMENTOS!$H:$H,"1/2026")</f>
        <v/>
      </c>
      <c r="J256" s="28">
        <f>SUMIFS(Aut_BlueMe_Sem_Pedido!$J:$J,Aut_BlueMe_Sem_Pedido!$Q:$Q,DRE!H$4,Aut_BlueMe_Sem_Pedido!$H:$H,DRE!$A256)+SUMIFS(Aut_Ajustes_Manuais!$G:$G,Aut_Ajustes_Manuais!$I:$I,DRE!H$4,Aut_Ajustes_Manuais!$F:$F,"Manutenção Predial")</f>
        <v/>
      </c>
      <c r="K256" s="241" t="n"/>
      <c r="L256" s="27">
        <f>-SUMIFS(T_ORCAMENTOS!$E:$E,T_ORCAMENTOS!$C:$C,"Manutenção Predial",T_ORCAMENTOS!$H:$H,"2/2026")</f>
        <v/>
      </c>
      <c r="M256" s="28">
        <f>SUMIFS(Aut_BlueMe_Sem_Pedido!$J:$J,Aut_BlueMe_Sem_Pedido!$Q:$Q,DRE!K$4,Aut_BlueMe_Sem_Pedido!$H:$H,DRE!$A256)+SUMIFS(Aut_Ajustes_Manuais!$G:$G,Aut_Ajustes_Manuais!$I:$I,DRE!K$4,Aut_Ajustes_Manuais!$F:$F,"Manutenção Predial")</f>
        <v/>
      </c>
      <c r="N256" s="241" t="n"/>
      <c r="O256" s="27">
        <f>-SUMIFS(T_ORCAMENTOS!$E:$E,T_ORCAMENTOS!$C:$C,"Manutenção Predial",T_ORCAMENTOS!$H:$H,"3/2026")</f>
        <v/>
      </c>
      <c r="P256" s="28">
        <f>SUMIFS(Aut_BlueMe_Sem_Pedido!$J:$J,Aut_BlueMe_Sem_Pedido!$Q:$Q,DRE!N$4,Aut_BlueMe_Sem_Pedido!$H:$H,DRE!$A256)+SUMIFS(Aut_Ajustes_Manuais!$G:$G,Aut_Ajustes_Manuais!$I:$I,DRE!N$4,Aut_Ajustes_Manuais!$F:$F,"Manutenção Predial")</f>
        <v/>
      </c>
      <c r="Q256" s="241" t="n"/>
      <c r="R256" s="27">
        <f>-SUMIFS(T_ORCAMENTOS!$E:$E,T_ORCAMENTOS!$C:$C,"Manutenção Predial",T_ORCAMENTOS!$H:$H,"4/2026")</f>
        <v/>
      </c>
      <c r="S256" s="28">
        <f>SUMIFS(Aut_BlueMe_Sem_Pedido!$J:$J,Aut_BlueMe_Sem_Pedido!$Q:$Q,DRE!Q$4,Aut_BlueMe_Sem_Pedido!$H:$H,DRE!$A256)+SUMIFS(Aut_Ajustes_Manuais!$G:$G,Aut_Ajustes_Manuais!$I:$I,DRE!Q$4,Aut_Ajustes_Manuais!$F:$F,"Manutenção Predial")</f>
        <v/>
      </c>
      <c r="T256" s="241" t="n"/>
      <c r="U256" s="27">
        <f>-SUMIFS(T_ORCAMENTOS!$E:$E,T_ORCAMENTOS!$C:$C,"Manutenção Predial",T_ORCAMENTOS!$H:$H,"5/2026")</f>
        <v/>
      </c>
      <c r="V256" s="27">
        <f>SUMIFS(Aut_BlueMe_Sem_Pedido!$J:$J,Aut_BlueMe_Sem_Pedido!$Q:$Q,DRE!T$4,Aut_BlueMe_Sem_Pedido!$H:$H,DRE!$A256)+SUMIFS(Aut_Ajustes_Manuais!$G:$G,Aut_Ajustes_Manuais!$I:$I,DRE!T$4,Aut_Ajustes_Manuais!$F:$F,"Manutenção Predial")</f>
        <v/>
      </c>
      <c r="W256" s="241" t="n"/>
      <c r="X256" s="27">
        <f>-SUMIFS(T_ORCAMENTOS!$E:$E,T_ORCAMENTOS!$C:$C,"Manutenção Predial",T_ORCAMENTOS!$H:$H,"6/2026")</f>
        <v/>
      </c>
      <c r="Y256" s="28">
        <f>SUMIFS(Aut_BlueMe_Sem_Pedido!$J:$J,Aut_BlueMe_Sem_Pedido!$Q:$Q,DRE!W$4,Aut_BlueMe_Sem_Pedido!$H:$H,DRE!$A256)+SUMIFS(Aut_Ajustes_Manuais!$G:$G,Aut_Ajustes_Manuais!$I:$I,DRE!W$4,Aut_Ajustes_Manuais!$F:$F,"Manutenção Predial")</f>
        <v/>
      </c>
      <c r="Z256" s="241" t="n"/>
      <c r="AA256" s="27">
        <f>-SUMIFS(T_ORCAMENTOS!$E:$E,T_ORCAMENTOS!$C:$C,"Manutenção Predial",T_ORCAMENTOS!$H:$H,"7/2026")</f>
        <v/>
      </c>
      <c r="AB256" s="28">
        <f>SUMIFS(Aut_BlueMe_Sem_Pedido!$J:$J,Aut_BlueMe_Sem_Pedido!$Q:$Q,DRE!Z$4,Aut_BlueMe_Sem_Pedido!$H:$H,DRE!$A256)+SUMIFS(Aut_Ajustes_Manuais!$G:$G,Aut_Ajustes_Manuais!$I:$I,DRE!Z$4,Aut_Ajustes_Manuais!$F:$F,"Manutenção Predial")</f>
        <v/>
      </c>
      <c r="AC256" s="241" t="n"/>
      <c r="AD256" s="27">
        <f>-SUMIFS(T_ORCAMENTOS!$E:$E,T_ORCAMENTOS!$C:$C,"Manutenção Predial",T_ORCAMENTOS!$H:$H,"8/2026")</f>
        <v/>
      </c>
      <c r="AE256" s="28">
        <f>SUMIFS(Aut_BlueMe_Sem_Pedido!$J:$J,Aut_BlueMe_Sem_Pedido!$Q:$Q,DRE!AC$4,Aut_BlueMe_Sem_Pedido!$H:$H,DRE!$A256)+SUMIFS(Aut_Ajustes_Manuais!$G:$G,Aut_Ajustes_Manuais!$I:$I,DRE!AC$4,Aut_Ajustes_Manuais!$F:$F,"Manutenção Predial")</f>
        <v/>
      </c>
      <c r="AF256" s="241" t="n"/>
      <c r="AG256" s="27">
        <f>-SUMIFS(T_ORCAMENTOS!$E:$E,T_ORCAMENTOS!$C:$C,"Manutenção Predial",T_ORCAMENTOS!$H:$H,"9/2026")</f>
        <v/>
      </c>
      <c r="AH256" s="28">
        <f>SUMIFS(Aut_BlueMe_Sem_Pedido!$J:$J,Aut_BlueMe_Sem_Pedido!$Q:$Q,DRE!AF$4,Aut_BlueMe_Sem_Pedido!$H:$H,DRE!$A256)+SUMIFS(Aut_Ajustes_Manuais!$G:$G,Aut_Ajustes_Manuais!$I:$I,DRE!AF$4,Aut_Ajustes_Manuais!$F:$F,"Manutenção Predial")</f>
        <v/>
      </c>
      <c r="AI256" s="241" t="n"/>
      <c r="AJ256" s="27">
        <f>-SUMIFS(T_ORCAMENTOS!$E:$E,T_ORCAMENTOS!$C:$C,"Manutenção Predial",T_ORCAMENTOS!$H:$H,"10/2026")</f>
        <v/>
      </c>
      <c r="AK256" s="28">
        <f>SUMIFS(Aut_BlueMe_Sem_Pedido!$J:$J,Aut_BlueMe_Sem_Pedido!$Q:$Q,DRE!AI$4,Aut_BlueMe_Sem_Pedido!$H:$H,DRE!$A256)+SUMIFS(Aut_Ajustes_Manuais!$G:$G,Aut_Ajustes_Manuais!$I:$I,DRE!AI$4,Aut_Ajustes_Manuais!$F:$F,"Manutenção Predial")</f>
        <v/>
      </c>
      <c r="AL256" s="241" t="n"/>
      <c r="AM256" s="27">
        <f>-SUMIFS(T_ORCAMENTOS!$E:$E,T_ORCAMENTOS!$C:$C,"Manutenção Predial",T_ORCAMENTOS!$H:$H,"11/2026")</f>
        <v/>
      </c>
      <c r="AN256" s="28">
        <f>SUMIFS(Aut_BlueMe_Sem_Pedido!$J:$J,Aut_BlueMe_Sem_Pedido!$Q:$Q,DRE!AL$4,Aut_BlueMe_Sem_Pedido!$H:$H,DRE!$A256)+SUMIFS(Aut_Ajustes_Manuais!$G:$G,Aut_Ajustes_Manuais!$I:$I,DRE!AL$4,Aut_Ajustes_Manuais!$F:$F,"Manutenção Predial")</f>
        <v/>
      </c>
      <c r="AO256" s="241" t="n"/>
      <c r="AP256" s="27">
        <f>-SUMIFS(T_ORCAMENTOS!$E:$E,T_ORCAMENTOS!$C:$C,"Manutenção Predial",T_ORCAMENTOS!$H:$H,"12/2026")</f>
        <v/>
      </c>
      <c r="AQ256" s="28">
        <f>SUMIFS(Aut_BlueMe_Sem_Pedido!$J:$J,Aut_BlueMe_Sem_Pedido!$Q:$Q,DRE!AO$4,Aut_BlueMe_Sem_Pedido!$H:$H,DRE!$A256)+SUMIFS(Aut_Ajustes_Manuais!$G:$G,Aut_Ajustes_Manuais!$I:$I,DRE!AO$4,Aut_Ajustes_Manuais!$F:$F,"Manutenção Predial")</f>
        <v/>
      </c>
      <c r="AR256" s="241">
        <f>SUMIFS($H256:$AO256,$H$5:$AO$5,"&lt;"&amp;MONTH(TODAY()),$H$6:$AO$6,"REAL 25")</f>
        <v/>
      </c>
      <c r="AS256" s="27">
        <f>SUMIFS($I256:$AP256,$I$5:$AP$5,"&lt;"&amp;MONTH(TODAY()),$I$6:$AP$6,"ORÇADO ")</f>
        <v/>
      </c>
      <c r="AT256" s="28">
        <f>SUMIFS($J256:$AQ256,$J$5:$AQ$5,"&lt;"&amp;MONTH(TODAY()),$J$6:$AQ$6,"REAL 26")</f>
        <v/>
      </c>
      <c r="AU256" s="241">
        <f>SUM(H256,K256,N256,Q256,T256,W256,Z256,AC256,AF256,AI256,AL256,AO256)</f>
        <v/>
      </c>
      <c r="AV256" s="27">
        <f>SUM(I256,L256,O256,R256,U256,X256,AA256,AD256,AG256,AJ256,AM256,AP256)</f>
        <v/>
      </c>
      <c r="AW256" s="28">
        <f>SUM(J256,M256,P256,S256,V256,Y256,AB256,AE256,AH256,AK256,AN256,AQ256)</f>
        <v/>
      </c>
      <c r="AX256" s="241">
        <f>SUM(H256,K256,N256)</f>
        <v/>
      </c>
      <c r="AY256" s="27">
        <f>SUM(I256,L256,O256)</f>
        <v/>
      </c>
      <c r="AZ256" s="28">
        <f>SUM(J256,M256,P256)</f>
        <v/>
      </c>
      <c r="BA256" s="241">
        <f>SUM(Q256,T256,W256)</f>
        <v/>
      </c>
      <c r="BB256" s="27">
        <f>SUM(R256,U256,X256)</f>
        <v/>
      </c>
      <c r="BC256" s="28">
        <f>SUM(S256,V256,Y256)</f>
        <v/>
      </c>
      <c r="BD256" s="241">
        <f>SUM(Z256,AC256,AF256)</f>
        <v/>
      </c>
      <c r="BE256" s="27">
        <f>SUM(AA256,AD256,AG256)</f>
        <v/>
      </c>
      <c r="BF256" s="28">
        <f>SUM(AB256,AE256,AH256)</f>
        <v/>
      </c>
      <c r="BG256" s="241">
        <f>SUM(AI256,AL256,AO256)</f>
        <v/>
      </c>
      <c r="BH256" s="27">
        <f>SUM(AJ256,AM256,AP256)</f>
        <v/>
      </c>
      <c r="BI256" s="28">
        <f>SUM(AK256,AN256,AQ256)</f>
        <v/>
      </c>
    </row>
    <row r="257" hidden="1" outlineLevel="1" customFormat="1" s="498">
      <c r="A257" s="22" t="inlineStr">
        <is>
          <t>Manutenção de Equipamentos</t>
        </is>
      </c>
      <c r="B257" s="23" t="n"/>
      <c r="C257" s="24" t="inlineStr">
        <is>
          <t>Estim. Mensal</t>
        </is>
      </c>
      <c r="D257" s="121" t="n"/>
      <c r="E257" s="114" t="n"/>
      <c r="F257" s="56" t="n"/>
      <c r="G257" s="33" t="n"/>
      <c r="H257" s="241" t="n"/>
      <c r="I257" s="27">
        <f>-SUMIFS(T_ORCAMENTOS!$E:$E,T_ORCAMENTOS!$C:$C,"Manutenção de Equipamentos",T_ORCAMENTOS!$H:$H,"1/2026")</f>
        <v/>
      </c>
      <c r="J257" s="27">
        <f>SUMIFS(Aut_BlueMe_Sem_Pedido!$J:$J,Aut_BlueMe_Sem_Pedido!$Q:$Q,DRE!H$4,Aut_BlueMe_Sem_Pedido!$H:$H,DRE!$A257)+SUMIFS(Aut_Ajustes_Manuais!$G:$G,Aut_Ajustes_Manuais!$I:$I,DRE!H$4,Aut_Ajustes_Manuais!$F:$F,"Manutenção de Equipamentos")</f>
        <v/>
      </c>
      <c r="K257" s="241" t="n"/>
      <c r="L257" s="27">
        <f>-SUMIFS(T_ORCAMENTOS!$E:$E,T_ORCAMENTOS!$C:$C,"Manutenção de Equipamentos",T_ORCAMENTOS!$H:$H,"2/2026")</f>
        <v/>
      </c>
      <c r="M257" s="27">
        <f>SUMIFS(Aut_BlueMe_Sem_Pedido!$J:$J,Aut_BlueMe_Sem_Pedido!$Q:$Q,DRE!K$4,Aut_BlueMe_Sem_Pedido!$H:$H,DRE!$A257)+SUMIFS(Aut_Ajustes_Manuais!$G:$G,Aut_Ajustes_Manuais!$I:$I,DRE!K$4,Aut_Ajustes_Manuais!$F:$F,"Manutenção de Equipamentos")</f>
        <v/>
      </c>
      <c r="N257" s="241" t="n"/>
      <c r="O257" s="27">
        <f>-SUMIFS(T_ORCAMENTOS!$E:$E,T_ORCAMENTOS!$C:$C,"Manutenção de Equipamentos",T_ORCAMENTOS!$H:$H,"3/2026")</f>
        <v/>
      </c>
      <c r="P257" s="27">
        <f>SUMIFS(Aut_BlueMe_Sem_Pedido!$J:$J,Aut_BlueMe_Sem_Pedido!$Q:$Q,DRE!N$4,Aut_BlueMe_Sem_Pedido!$H:$H,DRE!$A257)+SUMIFS(Aut_Ajustes_Manuais!$G:$G,Aut_Ajustes_Manuais!$I:$I,DRE!N$4,Aut_Ajustes_Manuais!$F:$F,"Manutenção de Equipamentos")</f>
        <v/>
      </c>
      <c r="Q257" s="241" t="n"/>
      <c r="R257" s="27">
        <f>-SUMIFS(T_ORCAMENTOS!$E:$E,T_ORCAMENTOS!$C:$C,"Manutenção de Equipamentos",T_ORCAMENTOS!$H:$H,"4/2026")</f>
        <v/>
      </c>
      <c r="S257" s="28">
        <f>SUMIFS(Aut_BlueMe_Sem_Pedido!$J:$J,Aut_BlueMe_Sem_Pedido!$Q:$Q,DRE!Q$4,Aut_BlueMe_Sem_Pedido!$H:$H,DRE!$A257)+SUMIFS(Aut_Ajustes_Manuais!$G:$G,Aut_Ajustes_Manuais!$I:$I,DRE!Q$4,Aut_Ajustes_Manuais!$F:$F,"Manutenção de Equipamentos")</f>
        <v/>
      </c>
      <c r="T257" s="241" t="n"/>
      <c r="U257" s="27">
        <f>-SUMIFS(T_ORCAMENTOS!$E:$E,T_ORCAMENTOS!$C:$C,"Manutenção de Equipamentos",T_ORCAMENTOS!$H:$H,"5/2026")</f>
        <v/>
      </c>
      <c r="V257" s="27">
        <f>SUMIFS(Aut_BlueMe_Sem_Pedido!$J:$J,Aut_BlueMe_Sem_Pedido!$Q:$Q,DRE!T$4,Aut_BlueMe_Sem_Pedido!$H:$H,DRE!$A257)+SUMIFS(Aut_Ajustes_Manuais!$G:$G,Aut_Ajustes_Manuais!$I:$I,DRE!T$4,Aut_Ajustes_Manuais!$F:$F,"Manutenção de Equipamentos")</f>
        <v/>
      </c>
      <c r="W257" s="241" t="n"/>
      <c r="X257" s="27">
        <f>-SUMIFS(T_ORCAMENTOS!$E:$E,T_ORCAMENTOS!$C:$C,"Manutenção de Equipamentos",T_ORCAMENTOS!$H:$H,"6/2026")</f>
        <v/>
      </c>
      <c r="Y257" s="28">
        <f>SUMIFS(Aut_BlueMe_Sem_Pedido!$J:$J,Aut_BlueMe_Sem_Pedido!$Q:$Q,DRE!W$4,Aut_BlueMe_Sem_Pedido!$H:$H,DRE!$A257)+SUMIFS(Aut_Ajustes_Manuais!$G:$G,Aut_Ajustes_Manuais!$I:$I,DRE!W$4,Aut_Ajustes_Manuais!$F:$F,"Manutenção de Equipamentos")</f>
        <v/>
      </c>
      <c r="Z257" s="241" t="n"/>
      <c r="AA257" s="27">
        <f>-SUMIFS(T_ORCAMENTOS!$E:$E,T_ORCAMENTOS!$C:$C,"Manutenção de Equipamentos",T_ORCAMENTOS!$H:$H,"7/2026")</f>
        <v/>
      </c>
      <c r="AB257" s="28">
        <f>SUMIFS(Aut_BlueMe_Sem_Pedido!$J:$J,Aut_BlueMe_Sem_Pedido!$Q:$Q,DRE!Z$4,Aut_BlueMe_Sem_Pedido!$H:$H,DRE!$A257)+SUMIFS(Aut_Ajustes_Manuais!$G:$G,Aut_Ajustes_Manuais!$I:$I,DRE!Z$4,Aut_Ajustes_Manuais!$F:$F,"Manutenção de Equipamentos")</f>
        <v/>
      </c>
      <c r="AC257" s="241" t="n"/>
      <c r="AD257" s="27">
        <f>-SUMIFS(T_ORCAMENTOS!$E:$E,T_ORCAMENTOS!$C:$C,"Manutenção de Equipamentos",T_ORCAMENTOS!$H:$H,"8/2026")</f>
        <v/>
      </c>
      <c r="AE257" s="28">
        <f>SUMIFS(Aut_BlueMe_Sem_Pedido!$J:$J,Aut_BlueMe_Sem_Pedido!$Q:$Q,DRE!AC$4,Aut_BlueMe_Sem_Pedido!$H:$H,DRE!$A257)+SUMIFS(Aut_Ajustes_Manuais!$G:$G,Aut_Ajustes_Manuais!$I:$I,DRE!AC$4,Aut_Ajustes_Manuais!$F:$F,"Manutenção de Equipamentos")</f>
        <v/>
      </c>
      <c r="AF257" s="241" t="n"/>
      <c r="AG257" s="27">
        <f>-SUMIFS(T_ORCAMENTOS!$E:$E,T_ORCAMENTOS!$C:$C,"Manutenção de Equipamentos",T_ORCAMENTOS!$H:$H,"9/2026")</f>
        <v/>
      </c>
      <c r="AH257" s="28">
        <f>SUMIFS(Aut_BlueMe_Sem_Pedido!$J:$J,Aut_BlueMe_Sem_Pedido!$Q:$Q,DRE!AF$4,Aut_BlueMe_Sem_Pedido!$H:$H,DRE!$A257)+SUMIFS(Aut_Ajustes_Manuais!$G:$G,Aut_Ajustes_Manuais!$I:$I,DRE!AF$4,Aut_Ajustes_Manuais!$F:$F,"Manutenção de Equipamentos")</f>
        <v/>
      </c>
      <c r="AI257" s="241" t="n"/>
      <c r="AJ257" s="27">
        <f>-SUMIFS(T_ORCAMENTOS!$E:$E,T_ORCAMENTOS!$C:$C,"Manutenção de Equipamentos",T_ORCAMENTOS!$H:$H,"10/2026")</f>
        <v/>
      </c>
      <c r="AK257" s="28">
        <f>SUMIFS(Aut_BlueMe_Sem_Pedido!$J:$J,Aut_BlueMe_Sem_Pedido!$Q:$Q,DRE!AI$4,Aut_BlueMe_Sem_Pedido!$H:$H,DRE!$A257)+SUMIFS(Aut_Ajustes_Manuais!$G:$G,Aut_Ajustes_Manuais!$I:$I,DRE!AI$4,Aut_Ajustes_Manuais!$F:$F,"Manutenção de Equipamentos")</f>
        <v/>
      </c>
      <c r="AL257" s="241" t="n"/>
      <c r="AM257" s="27">
        <f>-SUMIFS(T_ORCAMENTOS!$E:$E,T_ORCAMENTOS!$C:$C,"Manutenção de Equipamentos",T_ORCAMENTOS!$H:$H,"11/2026")</f>
        <v/>
      </c>
      <c r="AN257" s="28">
        <f>SUMIFS(Aut_BlueMe_Sem_Pedido!$J:$J,Aut_BlueMe_Sem_Pedido!$Q:$Q,DRE!AL$4,Aut_BlueMe_Sem_Pedido!$H:$H,DRE!$A257)+SUMIFS(Aut_Ajustes_Manuais!$G:$G,Aut_Ajustes_Manuais!$I:$I,DRE!AL$4,Aut_Ajustes_Manuais!$F:$F,"Manutenção de Equipamentos")</f>
        <v/>
      </c>
      <c r="AO257" s="241" t="n"/>
      <c r="AP257" s="27">
        <f>-SUMIFS(T_ORCAMENTOS!$E:$E,T_ORCAMENTOS!$C:$C,"Manutenção de Equipamentos",T_ORCAMENTOS!$H:$H,"12/2026")</f>
        <v/>
      </c>
      <c r="AQ257" s="28">
        <f>SUMIFS(Aut_BlueMe_Sem_Pedido!$J:$J,Aut_BlueMe_Sem_Pedido!$Q:$Q,DRE!AO$4,Aut_BlueMe_Sem_Pedido!$H:$H,DRE!$A257)+SUMIFS(Aut_Ajustes_Manuais!$G:$G,Aut_Ajustes_Manuais!$I:$I,DRE!AO$4,Aut_Ajustes_Manuais!$F:$F,"Manutenção de Equipamentos")</f>
        <v/>
      </c>
      <c r="AR257" s="241">
        <f>SUMIFS($H257:$AO257,$H$5:$AO$5,"&lt;"&amp;MONTH(TODAY()),$H$6:$AO$6,"REAL 25")</f>
        <v/>
      </c>
      <c r="AS257" s="27">
        <f>SUMIFS($I257:$AP257,$I$5:$AP$5,"&lt;"&amp;MONTH(TODAY()),$I$6:$AP$6,"ORÇADO ")</f>
        <v/>
      </c>
      <c r="AT257" s="28">
        <f>SUMIFS($J257:$AQ257,$J$5:$AQ$5,"&lt;"&amp;MONTH(TODAY()),$J$6:$AQ$6,"REAL 26")</f>
        <v/>
      </c>
      <c r="AU257" s="241">
        <f>SUM(H257,K257,N257,Q257,T257,W257,Z257,AC257,AF257,AI257,AL257,AO257)</f>
        <v/>
      </c>
      <c r="AV257" s="27">
        <f>SUM(I257,L257,O257,R257,U257,X257,AA257,AD257,AG257,AJ257,AM257,AP257)</f>
        <v/>
      </c>
      <c r="AW257" s="28">
        <f>SUM(J257,M257,P257,S257,V257,Y257,AB257,AE257,AH257,AK257,AN257,AQ257)</f>
        <v/>
      </c>
      <c r="AX257" s="241">
        <f>SUM(H257,K257,N257)</f>
        <v/>
      </c>
      <c r="AY257" s="27">
        <f>SUM(I257,L257,O257)</f>
        <v/>
      </c>
      <c r="AZ257" s="28">
        <f>SUM(J257,M257,P257)</f>
        <v/>
      </c>
      <c r="BA257" s="241">
        <f>SUM(Q257,T257,W257)</f>
        <v/>
      </c>
      <c r="BB257" s="27">
        <f>SUM(R257,U257,X257)</f>
        <v/>
      </c>
      <c r="BC257" s="28">
        <f>SUM(S257,V257,Y257)</f>
        <v/>
      </c>
      <c r="BD257" s="241">
        <f>SUM(Z257,AC257,AF257)</f>
        <v/>
      </c>
      <c r="BE257" s="27">
        <f>SUM(AA257,AD257,AG257)</f>
        <v/>
      </c>
      <c r="BF257" s="28">
        <f>SUM(AB257,AE257,AH257)</f>
        <v/>
      </c>
      <c r="BG257" s="241">
        <f>SUM(AI257,AL257,AO257)</f>
        <v/>
      </c>
      <c r="BH257" s="27">
        <f>SUM(AJ257,AM257,AP257)</f>
        <v/>
      </c>
      <c r="BI257" s="28">
        <f>SUM(AK257,AN257,AQ257)</f>
        <v/>
      </c>
    </row>
    <row r="258" hidden="1" outlineLevel="1" customFormat="1" s="498">
      <c r="A258" s="22" t="inlineStr">
        <is>
          <t>Manutenção de Mobiliário</t>
        </is>
      </c>
      <c r="B258" s="23" t="n"/>
      <c r="C258" s="24" t="inlineStr">
        <is>
          <t>Estim. Mensal</t>
        </is>
      </c>
      <c r="D258" s="121" t="n"/>
      <c r="E258" s="114" t="n"/>
      <c r="F258" s="56" t="n"/>
      <c r="G258" s="33" t="n"/>
      <c r="H258" s="241" t="n"/>
      <c r="I258" s="27">
        <f>-SUMIFS(T_ORCAMENTOS!$E:$E,T_ORCAMENTOS!$C:$C,"Manutenção de Mobiliário",T_ORCAMENTOS!$H:$H,"1/2026")</f>
        <v/>
      </c>
      <c r="J258" s="28">
        <f>SUMIFS(Aut_BlueMe_Sem_Pedido!$J:$J,Aut_BlueMe_Sem_Pedido!$Q:$Q,DRE!H$4,Aut_BlueMe_Sem_Pedido!$H:$H,DRE!$A258)+SUMIFS(Aut_Ajustes_Manuais!$G:$G,Aut_Ajustes_Manuais!$I:$I,DRE!H$4,Aut_Ajustes_Manuais!$F:$F,"Manutenção de Mobiliário")</f>
        <v/>
      </c>
      <c r="K258" s="241" t="n"/>
      <c r="L258" s="27">
        <f>-SUMIFS(T_ORCAMENTOS!$E:$E,T_ORCAMENTOS!$C:$C,"Manutenção de Mobiliário",T_ORCAMENTOS!$H:$H,"2/2026")</f>
        <v/>
      </c>
      <c r="M258" s="28">
        <f>SUMIFS(Aut_BlueMe_Sem_Pedido!$J:$J,Aut_BlueMe_Sem_Pedido!$Q:$Q,DRE!K$4,Aut_BlueMe_Sem_Pedido!$H:$H,DRE!$A258)+SUMIFS(Aut_Ajustes_Manuais!$G:$G,Aut_Ajustes_Manuais!$I:$I,DRE!K$4,Aut_Ajustes_Manuais!$F:$F,"Manutenção de Mobiliário")</f>
        <v/>
      </c>
      <c r="N258" s="241" t="n"/>
      <c r="O258" s="27">
        <f>-SUMIFS(T_ORCAMENTOS!$E:$E,T_ORCAMENTOS!$C:$C,"Manutenção de Mobiliário",T_ORCAMENTOS!$H:$H,"3/2026")</f>
        <v/>
      </c>
      <c r="P258" s="28">
        <f>SUMIFS(Aut_BlueMe_Sem_Pedido!$J:$J,Aut_BlueMe_Sem_Pedido!$Q:$Q,DRE!N$4,Aut_BlueMe_Sem_Pedido!$H:$H,DRE!$A258)+SUMIFS(Aut_Ajustes_Manuais!$G:$G,Aut_Ajustes_Manuais!$I:$I,DRE!N$4,Aut_Ajustes_Manuais!$F:$F,"Manutenção de Mobiliário")</f>
        <v/>
      </c>
      <c r="Q258" s="241" t="n"/>
      <c r="R258" s="27">
        <f>-SUMIFS(T_ORCAMENTOS!$E:$E,T_ORCAMENTOS!$C:$C,"Manutenção de Mobiliário",T_ORCAMENTOS!$H:$H,"4/2026")</f>
        <v/>
      </c>
      <c r="S258" s="28">
        <f>SUMIFS(Aut_BlueMe_Sem_Pedido!$J:$J,Aut_BlueMe_Sem_Pedido!$Q:$Q,DRE!Q$4,Aut_BlueMe_Sem_Pedido!$H:$H,DRE!$A258)+SUMIFS(Aut_Ajustes_Manuais!$G:$G,Aut_Ajustes_Manuais!$I:$I,DRE!Q$4,Aut_Ajustes_Manuais!$F:$F,"Manutenção de Mobiliário")</f>
        <v/>
      </c>
      <c r="T258" s="241" t="n"/>
      <c r="U258" s="27">
        <f>-SUMIFS(T_ORCAMENTOS!$E:$E,T_ORCAMENTOS!$C:$C,"Manutenção de Mobiliário",T_ORCAMENTOS!$H:$H,"5/2026")</f>
        <v/>
      </c>
      <c r="V258" s="28">
        <f>SUMIFS(Aut_BlueMe_Sem_Pedido!$J:$J,Aut_BlueMe_Sem_Pedido!$Q:$Q,DRE!T$4,Aut_BlueMe_Sem_Pedido!$H:$H,DRE!$A258)+SUMIFS(Aut_Ajustes_Manuais!$G:$G,Aut_Ajustes_Manuais!$I:$I,DRE!T$4,Aut_Ajustes_Manuais!$F:$F,"Manutenção de Mobiliário")</f>
        <v/>
      </c>
      <c r="W258" s="241" t="n"/>
      <c r="X258" s="27">
        <f>-SUMIFS(T_ORCAMENTOS!$E:$E,T_ORCAMENTOS!$C:$C,"Manutenção de Mobiliário",T_ORCAMENTOS!$H:$H,"6/2026")</f>
        <v/>
      </c>
      <c r="Y258" s="28">
        <f>SUMIFS(Aut_BlueMe_Sem_Pedido!$J:$J,Aut_BlueMe_Sem_Pedido!$Q:$Q,DRE!W$4,Aut_BlueMe_Sem_Pedido!$H:$H,DRE!$A258)+SUMIFS(Aut_Ajustes_Manuais!$G:$G,Aut_Ajustes_Manuais!$I:$I,DRE!W$4,Aut_Ajustes_Manuais!$F:$F,"Manutenção de Mobiliário")</f>
        <v/>
      </c>
      <c r="Z258" s="241" t="n"/>
      <c r="AA258" s="27">
        <f>-SUMIFS(T_ORCAMENTOS!$E:$E,T_ORCAMENTOS!$C:$C,"Manutenção de Mobiliário",T_ORCAMENTOS!$H:$H,"7/2026")</f>
        <v/>
      </c>
      <c r="AB258" s="28">
        <f>SUMIFS(Aut_BlueMe_Sem_Pedido!$J:$J,Aut_BlueMe_Sem_Pedido!$Q:$Q,DRE!Z$4,Aut_BlueMe_Sem_Pedido!$H:$H,DRE!$A258)+SUMIFS(Aut_Ajustes_Manuais!$G:$G,Aut_Ajustes_Manuais!$I:$I,DRE!Z$4,Aut_Ajustes_Manuais!$F:$F,"Manutenção de Mobiliário")</f>
        <v/>
      </c>
      <c r="AC258" s="241" t="n"/>
      <c r="AD258" s="27">
        <f>-SUMIFS(T_ORCAMENTOS!$E:$E,T_ORCAMENTOS!$C:$C,"Manutenção de Mobiliário",T_ORCAMENTOS!$H:$H,"8/2026")</f>
        <v/>
      </c>
      <c r="AE258" s="28">
        <f>SUMIFS(Aut_BlueMe_Sem_Pedido!$J:$J,Aut_BlueMe_Sem_Pedido!$Q:$Q,DRE!AC$4,Aut_BlueMe_Sem_Pedido!$H:$H,DRE!$A258)+SUMIFS(Aut_Ajustes_Manuais!$G:$G,Aut_Ajustes_Manuais!$I:$I,DRE!AC$4,Aut_Ajustes_Manuais!$F:$F,"Manutenção de Mobiliário")</f>
        <v/>
      </c>
      <c r="AF258" s="241" t="n"/>
      <c r="AG258" s="27">
        <f>-SUMIFS(T_ORCAMENTOS!$E:$E,T_ORCAMENTOS!$C:$C,"Manutenção de Mobiliário",T_ORCAMENTOS!$H:$H,"9/2026")</f>
        <v/>
      </c>
      <c r="AH258" s="28">
        <f>SUMIFS(Aut_BlueMe_Sem_Pedido!$J:$J,Aut_BlueMe_Sem_Pedido!$Q:$Q,DRE!AF$4,Aut_BlueMe_Sem_Pedido!$H:$H,DRE!$A258)+SUMIFS(Aut_Ajustes_Manuais!$G:$G,Aut_Ajustes_Manuais!$I:$I,DRE!AF$4,Aut_Ajustes_Manuais!$F:$F,"Manutenção de Mobiliário")</f>
        <v/>
      </c>
      <c r="AI258" s="241" t="n"/>
      <c r="AJ258" s="27">
        <f>-SUMIFS(T_ORCAMENTOS!$E:$E,T_ORCAMENTOS!$C:$C,"Manutenção de Mobiliário",T_ORCAMENTOS!$H:$H,"10/2026")</f>
        <v/>
      </c>
      <c r="AK258" s="28">
        <f>SUMIFS(Aut_BlueMe_Sem_Pedido!$J:$J,Aut_BlueMe_Sem_Pedido!$Q:$Q,DRE!AI$4,Aut_BlueMe_Sem_Pedido!$H:$H,DRE!$A258)+SUMIFS(Aut_Ajustes_Manuais!$G:$G,Aut_Ajustes_Manuais!$I:$I,DRE!AI$4,Aut_Ajustes_Manuais!$F:$F,"Manutenção de Mobiliário")</f>
        <v/>
      </c>
      <c r="AL258" s="241" t="n"/>
      <c r="AM258" s="27">
        <f>-SUMIFS(T_ORCAMENTOS!$E:$E,T_ORCAMENTOS!$C:$C,"Manutenção de Mobiliário",T_ORCAMENTOS!$H:$H,"11/2026")</f>
        <v/>
      </c>
      <c r="AN258" s="28">
        <f>SUMIFS(Aut_BlueMe_Sem_Pedido!$J:$J,Aut_BlueMe_Sem_Pedido!$Q:$Q,DRE!AL$4,Aut_BlueMe_Sem_Pedido!$H:$H,DRE!$A258)+SUMIFS(Aut_Ajustes_Manuais!$G:$G,Aut_Ajustes_Manuais!$I:$I,DRE!AL$4,Aut_Ajustes_Manuais!$F:$F,"Manutenção de Mobiliário")</f>
        <v/>
      </c>
      <c r="AO258" s="241" t="n"/>
      <c r="AP258" s="27">
        <f>-SUMIFS(T_ORCAMENTOS!$E:$E,T_ORCAMENTOS!$C:$C,"Manutenção de Mobiliário",T_ORCAMENTOS!$H:$H,"12/2026")</f>
        <v/>
      </c>
      <c r="AQ258" s="28">
        <f>SUMIFS(Aut_BlueMe_Sem_Pedido!$J:$J,Aut_BlueMe_Sem_Pedido!$Q:$Q,DRE!AO$4,Aut_BlueMe_Sem_Pedido!$H:$H,DRE!$A258)+SUMIFS(Aut_Ajustes_Manuais!$G:$G,Aut_Ajustes_Manuais!$I:$I,DRE!AO$4,Aut_Ajustes_Manuais!$F:$F,"Manutenção de Mobiliário")</f>
        <v/>
      </c>
      <c r="AR258" s="241">
        <f>SUMIFS($H258:$AO258,$H$5:$AO$5,"&lt;"&amp;MONTH(TODAY()),$H$6:$AO$6,"REAL 25")</f>
        <v/>
      </c>
      <c r="AS258" s="27">
        <f>SUMIFS($I258:$AP258,$I$5:$AP$5,"&lt;"&amp;MONTH(TODAY()),$I$6:$AP$6,"ORÇADO ")</f>
        <v/>
      </c>
      <c r="AT258" s="28">
        <f>SUMIFS($J258:$AQ258,$J$5:$AQ$5,"&lt;"&amp;MONTH(TODAY()),$J$6:$AQ$6,"REAL 26")</f>
        <v/>
      </c>
      <c r="AU258" s="241">
        <f>SUM(H258,K258,N258,Q258,T258,W258,Z258,AC258,AF258,AI258,AL258,AO258)</f>
        <v/>
      </c>
      <c r="AV258" s="27">
        <f>SUM(I258,L258,O258,R258,U258,X258,AA258,AD258,AG258,AJ258,AM258,AP258)</f>
        <v/>
      </c>
      <c r="AW258" s="28">
        <f>SUM(J258,M258,P258,S258,V258,Y258,AB258,AE258,AH258,AK258,AN258,AQ258)</f>
        <v/>
      </c>
      <c r="AX258" s="241">
        <f>SUM(H258,K258,N258)</f>
        <v/>
      </c>
      <c r="AY258" s="27">
        <f>SUM(I258,L258,O258)</f>
        <v/>
      </c>
      <c r="AZ258" s="28">
        <f>SUM(J258,M258,P258)</f>
        <v/>
      </c>
      <c r="BA258" s="241">
        <f>SUM(Q258,T258,W258)</f>
        <v/>
      </c>
      <c r="BB258" s="27">
        <f>SUM(R258,U258,X258)</f>
        <v/>
      </c>
      <c r="BC258" s="28">
        <f>SUM(S258,V258,Y258)</f>
        <v/>
      </c>
      <c r="BD258" s="241">
        <f>SUM(Z258,AC258,AF258)</f>
        <v/>
      </c>
      <c r="BE258" s="27">
        <f>SUM(AA258,AD258,AG258)</f>
        <v/>
      </c>
      <c r="BF258" s="28">
        <f>SUM(AB258,AE258,AH258)</f>
        <v/>
      </c>
      <c r="BG258" s="241">
        <f>SUM(AI258,AL258,AO258)</f>
        <v/>
      </c>
      <c r="BH258" s="27">
        <f>SUM(AJ258,AM258,AP258)</f>
        <v/>
      </c>
      <c r="BI258" s="28">
        <f>SUM(AK258,AN258,AQ258)</f>
        <v/>
      </c>
    </row>
    <row r="259" hidden="1" outlineLevel="1" customFormat="1" s="498">
      <c r="A259" s="22" t="inlineStr">
        <is>
          <t>Material de Manutenção</t>
        </is>
      </c>
      <c r="B259" s="23" t="n"/>
      <c r="C259" s="24" t="inlineStr">
        <is>
          <t>Estim. Mensal</t>
        </is>
      </c>
      <c r="D259" s="121" t="n"/>
      <c r="E259" s="114" t="n">
        <v>-0.0015</v>
      </c>
      <c r="F259" s="56" t="n"/>
      <c r="G259" s="33" t="n"/>
      <c r="H259" s="241" t="n"/>
      <c r="I259" s="27">
        <f>-SUMIFS(T_ORCAMENTOS!$E:$E,T_ORCAMENTOS!$C:$C,"Material de Manutenção",T_ORCAMENTOS!$H:$H,"1/2026")</f>
        <v/>
      </c>
      <c r="J259" s="28">
        <f>SUMIFS(Aut_BlueMe_Sem_Pedido!$J:$J,Aut_BlueMe_Sem_Pedido!$Q:$Q,DRE!H$4,Aut_BlueMe_Sem_Pedido!$H:$H,DRE!$A259)+SUMIFS(Aut_Ajustes_Manuais!$G:$G,Aut_Ajustes_Manuais!$I:$I,DRE!H$4,Aut_Ajustes_Manuais!$F:$F,"Material de Manutenção")</f>
        <v/>
      </c>
      <c r="K259" s="241" t="n"/>
      <c r="L259" s="27">
        <f>-SUMIFS(T_ORCAMENTOS!$E:$E,T_ORCAMENTOS!$C:$C,"Material de Manutenção",T_ORCAMENTOS!$H:$H,"2/2026")</f>
        <v/>
      </c>
      <c r="M259" s="28">
        <f>SUMIFS(Aut_BlueMe_Sem_Pedido!$J:$J,Aut_BlueMe_Sem_Pedido!$Q:$Q,DRE!K$4,Aut_BlueMe_Sem_Pedido!$H:$H,DRE!$A259)+SUMIFS(Aut_Ajustes_Manuais!$G:$G,Aut_Ajustes_Manuais!$I:$I,DRE!K$4,Aut_Ajustes_Manuais!$F:$F,"Material de Manutenção")</f>
        <v/>
      </c>
      <c r="N259" s="241" t="n"/>
      <c r="O259" s="27">
        <f>-SUMIFS(T_ORCAMENTOS!$E:$E,T_ORCAMENTOS!$C:$C,"Material de Manutenção",T_ORCAMENTOS!$H:$H,"3/2026")</f>
        <v/>
      </c>
      <c r="P259" s="28">
        <f>SUMIFS(Aut_BlueMe_Sem_Pedido!$J:$J,Aut_BlueMe_Sem_Pedido!$Q:$Q,DRE!N$4,Aut_BlueMe_Sem_Pedido!$H:$H,DRE!$A259)+SUMIFS(Aut_Ajustes_Manuais!$G:$G,Aut_Ajustes_Manuais!$I:$I,DRE!N$4,Aut_Ajustes_Manuais!$F:$F,"Material de Manutenção")</f>
        <v/>
      </c>
      <c r="Q259" s="241" t="n"/>
      <c r="R259" s="27">
        <f>-SUMIFS(T_ORCAMENTOS!$E:$E,T_ORCAMENTOS!$C:$C,"Material de Manutenção",T_ORCAMENTOS!$H:$H,"4/2026")</f>
        <v/>
      </c>
      <c r="S259" s="28">
        <f>SUMIFS(Aut_BlueMe_Sem_Pedido!$J:$J,Aut_BlueMe_Sem_Pedido!$Q:$Q,DRE!Q$4,Aut_BlueMe_Sem_Pedido!$H:$H,DRE!$A259)+SUMIFS(Aut_Ajustes_Manuais!$G:$G,Aut_Ajustes_Manuais!$I:$I,DRE!Q$4,Aut_Ajustes_Manuais!$F:$F,"Material de Manutenção")</f>
        <v/>
      </c>
      <c r="T259" s="241" t="n"/>
      <c r="U259" s="27">
        <f>-SUMIFS(T_ORCAMENTOS!$E:$E,T_ORCAMENTOS!$C:$C,"Material de Manutenção",T_ORCAMENTOS!$H:$H,"5/2026")</f>
        <v/>
      </c>
      <c r="V259" s="28">
        <f>SUMIFS(Aut_BlueMe_Sem_Pedido!$J:$J,Aut_BlueMe_Sem_Pedido!$Q:$Q,DRE!T$4,Aut_BlueMe_Sem_Pedido!$H:$H,DRE!$A259)+SUMIFS(Aut_Ajustes_Manuais!$G:$G,Aut_Ajustes_Manuais!$I:$I,DRE!T$4,Aut_Ajustes_Manuais!$F:$F,"Material de Manutenção")</f>
        <v/>
      </c>
      <c r="W259" s="241" t="n"/>
      <c r="X259" s="27">
        <f>-SUMIFS(T_ORCAMENTOS!$E:$E,T_ORCAMENTOS!$C:$C,"Material de Manutenção",T_ORCAMENTOS!$H:$H,"6/2026")</f>
        <v/>
      </c>
      <c r="Y259" s="28">
        <f>SUMIFS(Aut_BlueMe_Sem_Pedido!$J:$J,Aut_BlueMe_Sem_Pedido!$Q:$Q,DRE!W$4,Aut_BlueMe_Sem_Pedido!$H:$H,DRE!$A259)+SUMIFS(Aut_Ajustes_Manuais!$G:$G,Aut_Ajustes_Manuais!$I:$I,DRE!W$4,Aut_Ajustes_Manuais!$F:$F,"Material de Manutenção")</f>
        <v/>
      </c>
      <c r="Z259" s="241" t="n"/>
      <c r="AA259" s="27">
        <f>-SUMIFS(T_ORCAMENTOS!$E:$E,T_ORCAMENTOS!$C:$C,"Material de Manutenção",T_ORCAMENTOS!$H:$H,"7/2026")</f>
        <v/>
      </c>
      <c r="AB259" s="28">
        <f>SUMIFS(Aut_BlueMe_Sem_Pedido!$J:$J,Aut_BlueMe_Sem_Pedido!$Q:$Q,DRE!Z$4,Aut_BlueMe_Sem_Pedido!$H:$H,DRE!$A259)+SUMIFS(Aut_Ajustes_Manuais!$G:$G,Aut_Ajustes_Manuais!$I:$I,DRE!Z$4,Aut_Ajustes_Manuais!$F:$F,"Material de Manutenção")</f>
        <v/>
      </c>
      <c r="AC259" s="241" t="n"/>
      <c r="AD259" s="27">
        <f>-SUMIFS(T_ORCAMENTOS!$E:$E,T_ORCAMENTOS!$C:$C,"Material de Manutenção",T_ORCAMENTOS!$H:$H,"8/2026")</f>
        <v/>
      </c>
      <c r="AE259" s="28">
        <f>SUMIFS(Aut_BlueMe_Sem_Pedido!$J:$J,Aut_BlueMe_Sem_Pedido!$Q:$Q,DRE!AC$4,Aut_BlueMe_Sem_Pedido!$H:$H,DRE!$A259)+SUMIFS(Aut_Ajustes_Manuais!$G:$G,Aut_Ajustes_Manuais!$I:$I,DRE!AC$4,Aut_Ajustes_Manuais!$F:$F,"Material de Manutenção")</f>
        <v/>
      </c>
      <c r="AF259" s="241" t="n"/>
      <c r="AG259" s="27">
        <f>-SUMIFS(T_ORCAMENTOS!$E:$E,T_ORCAMENTOS!$C:$C,"Material de Manutenção",T_ORCAMENTOS!$H:$H,"9/2026")</f>
        <v/>
      </c>
      <c r="AH259" s="28">
        <f>SUMIFS(Aut_BlueMe_Sem_Pedido!$J:$J,Aut_BlueMe_Sem_Pedido!$Q:$Q,DRE!AF$4,Aut_BlueMe_Sem_Pedido!$H:$H,DRE!$A259)+SUMIFS(Aut_Ajustes_Manuais!$G:$G,Aut_Ajustes_Manuais!$I:$I,DRE!AF$4,Aut_Ajustes_Manuais!$F:$F,"Material de Manutenção")</f>
        <v/>
      </c>
      <c r="AI259" s="241" t="n"/>
      <c r="AJ259" s="27">
        <f>-SUMIFS(T_ORCAMENTOS!$E:$E,T_ORCAMENTOS!$C:$C,"Material de Manutenção",T_ORCAMENTOS!$H:$H,"10/2026")</f>
        <v/>
      </c>
      <c r="AK259" s="28">
        <f>SUMIFS(Aut_BlueMe_Sem_Pedido!$J:$J,Aut_BlueMe_Sem_Pedido!$Q:$Q,DRE!AI$4,Aut_BlueMe_Sem_Pedido!$H:$H,DRE!$A259)+SUMIFS(Aut_Ajustes_Manuais!$G:$G,Aut_Ajustes_Manuais!$I:$I,DRE!AI$4,Aut_Ajustes_Manuais!$F:$F,"Material de Manutenção")</f>
        <v/>
      </c>
      <c r="AL259" s="241" t="n"/>
      <c r="AM259" s="27">
        <f>-SUMIFS(T_ORCAMENTOS!$E:$E,T_ORCAMENTOS!$C:$C,"Material de Manutenção",T_ORCAMENTOS!$H:$H,"11/2026")</f>
        <v/>
      </c>
      <c r="AN259" s="28">
        <f>SUMIFS(Aut_BlueMe_Sem_Pedido!$J:$J,Aut_BlueMe_Sem_Pedido!$Q:$Q,DRE!AL$4,Aut_BlueMe_Sem_Pedido!$H:$H,DRE!$A259)+SUMIFS(Aut_Ajustes_Manuais!$G:$G,Aut_Ajustes_Manuais!$I:$I,DRE!AL$4,Aut_Ajustes_Manuais!$F:$F,"Material de Manutenção")</f>
        <v/>
      </c>
      <c r="AO259" s="241" t="n"/>
      <c r="AP259" s="27">
        <f>-SUMIFS(T_ORCAMENTOS!$E:$E,T_ORCAMENTOS!$C:$C,"Material de Manutenção",T_ORCAMENTOS!$H:$H,"12/2026")</f>
        <v/>
      </c>
      <c r="AQ259" s="28">
        <f>SUMIFS(Aut_BlueMe_Sem_Pedido!$J:$J,Aut_BlueMe_Sem_Pedido!$Q:$Q,DRE!AO$4,Aut_BlueMe_Sem_Pedido!$H:$H,DRE!$A259)+SUMIFS(Aut_Ajustes_Manuais!$G:$G,Aut_Ajustes_Manuais!$I:$I,DRE!AO$4,Aut_Ajustes_Manuais!$F:$F,"Material de Manutenção")</f>
        <v/>
      </c>
      <c r="AR259" s="241">
        <f>SUMIFS($H259:$AO259,$H$5:$AO$5,"&lt;"&amp;MONTH(TODAY()),$H$6:$AO$6,"REAL 25")</f>
        <v/>
      </c>
      <c r="AS259" s="27">
        <f>SUMIFS($I259:$AP259,$I$5:$AP$5,"&lt;"&amp;MONTH(TODAY()),$I$6:$AP$6,"ORÇADO ")</f>
        <v/>
      </c>
      <c r="AT259" s="28">
        <f>SUMIFS($J259:$AQ259,$J$5:$AQ$5,"&lt;"&amp;MONTH(TODAY()),$J$6:$AQ$6,"REAL 26")</f>
        <v/>
      </c>
      <c r="AU259" s="241">
        <f>SUM(H259,K259,N259,Q259,T259,W259,Z259,AC259,AF259,AI259,AL259,AO259)</f>
        <v/>
      </c>
      <c r="AV259" s="27">
        <f>SUM(I259,L259,O259,R259,U259,X259,AA259,AD259,AG259,AJ259,AM259,AP259)</f>
        <v/>
      </c>
      <c r="AW259" s="28">
        <f>SUM(J259,M259,P259,S259,V259,Y259,AB259,AE259,AH259,AK259,AN259,AQ259)</f>
        <v/>
      </c>
      <c r="AX259" s="241">
        <f>SUM(H259,K259,N259)</f>
        <v/>
      </c>
      <c r="AY259" s="27">
        <f>SUM(I259,L259,O259)</f>
        <v/>
      </c>
      <c r="AZ259" s="28">
        <f>SUM(J259,M259,P259)</f>
        <v/>
      </c>
      <c r="BA259" s="241">
        <f>SUM(Q259,T259,W259)</f>
        <v/>
      </c>
      <c r="BB259" s="27">
        <f>SUM(R259,U259,X259)</f>
        <v/>
      </c>
      <c r="BC259" s="28">
        <f>SUM(S259,V259,Y259)</f>
        <v/>
      </c>
      <c r="BD259" s="241">
        <f>SUM(Z259,AC259,AF259)</f>
        <v/>
      </c>
      <c r="BE259" s="27">
        <f>SUM(AA259,AD259,AG259)</f>
        <v/>
      </c>
      <c r="BF259" s="28">
        <f>SUM(AB259,AE259,AH259)</f>
        <v/>
      </c>
      <c r="BG259" s="241">
        <f>SUM(AI259,AL259,AO259)</f>
        <v/>
      </c>
      <c r="BH259" s="27">
        <f>SUM(AJ259,AM259,AP259)</f>
        <v/>
      </c>
      <c r="BI259" s="28">
        <f>SUM(AK259,AN259,AQ259)</f>
        <v/>
      </c>
    </row>
    <row r="260" hidden="1" outlineLevel="1" customFormat="1" s="498">
      <c r="A260" s="22" t="inlineStr">
        <is>
          <t>Decoração/Paisagismo e Jardinagem</t>
        </is>
      </c>
      <c r="B260" s="23" t="n"/>
      <c r="C260" s="24" t="inlineStr">
        <is>
          <t>Estim. Mensal</t>
        </is>
      </c>
      <c r="D260" s="121" t="n"/>
      <c r="E260" s="114" t="n">
        <v>-0.0027</v>
      </c>
      <c r="F260" s="56" t="n"/>
      <c r="G260" s="33" t="n"/>
      <c r="H260" s="241" t="n"/>
      <c r="I260" s="27">
        <f>-SUMIFS(T_ORCAMENTOS!$E:$E,T_ORCAMENTOS!$C:$C,"Decoração/Paisagismo e Jardinagem",T_ORCAMENTOS!$H:$H,"1/2026")</f>
        <v/>
      </c>
      <c r="J260" s="28">
        <f>SUMIFS(Aut_BlueMe_Sem_Pedido!$J:$J,Aut_BlueMe_Sem_Pedido!$Q:$Q,DRE!H$4,Aut_BlueMe_Sem_Pedido!$H:$H,DRE!$A260)+SUMIFS(Aut_Ajustes_Manuais!$G:$G,Aut_Ajustes_Manuais!$I:$I,DRE!H$4,Aut_Ajustes_Manuais!$F:$F,"Decoração/Paisagismo e Jardinagem")</f>
        <v/>
      </c>
      <c r="K260" s="241" t="n"/>
      <c r="L260" s="27">
        <f>-SUMIFS(T_ORCAMENTOS!$E:$E,T_ORCAMENTOS!$C:$C,"Decoração/Paisagismo e Jardinagem",T_ORCAMENTOS!$H:$H,"2/2026")</f>
        <v/>
      </c>
      <c r="M260" s="28">
        <f>SUMIFS(Aut_BlueMe_Sem_Pedido!$J:$J,Aut_BlueMe_Sem_Pedido!$Q:$Q,DRE!K$4,Aut_BlueMe_Sem_Pedido!$H:$H,DRE!$A260)+SUMIFS(Aut_Ajustes_Manuais!$G:$G,Aut_Ajustes_Manuais!$I:$I,DRE!K$4,Aut_Ajustes_Manuais!$F:$F,"Decoração/Paisagismo e Jardinagem")</f>
        <v/>
      </c>
      <c r="N260" s="241" t="n"/>
      <c r="O260" s="27">
        <f>-SUMIFS(T_ORCAMENTOS!$E:$E,T_ORCAMENTOS!$C:$C,"Decoração/Paisagismo e Jardinagem",T_ORCAMENTOS!$H:$H,"3/2026")</f>
        <v/>
      </c>
      <c r="P260" s="28">
        <f>SUMIFS(Aut_BlueMe_Sem_Pedido!$J:$J,Aut_BlueMe_Sem_Pedido!$Q:$Q,DRE!N$4,Aut_BlueMe_Sem_Pedido!$H:$H,DRE!$A260)+SUMIFS(Aut_Ajustes_Manuais!$G:$G,Aut_Ajustes_Manuais!$I:$I,DRE!N$4,Aut_Ajustes_Manuais!$F:$F,"Decoração/Paisagismo e Jardinagem")</f>
        <v/>
      </c>
      <c r="Q260" s="241" t="n"/>
      <c r="R260" s="27">
        <f>-SUMIFS(T_ORCAMENTOS!$E:$E,T_ORCAMENTOS!$C:$C,"Decoração/Paisagismo e Jardinagem",T_ORCAMENTOS!$H:$H,"4/2026")</f>
        <v/>
      </c>
      <c r="S260" s="28">
        <f>SUMIFS(Aut_BlueMe_Sem_Pedido!$J:$J,Aut_BlueMe_Sem_Pedido!$Q:$Q,DRE!Q$4,Aut_BlueMe_Sem_Pedido!$H:$H,DRE!$A260)+SUMIFS(Aut_Ajustes_Manuais!$G:$G,Aut_Ajustes_Manuais!$I:$I,DRE!Q$4,Aut_Ajustes_Manuais!$F:$F,"Decoração/Paisagismo e Jardinagem")</f>
        <v/>
      </c>
      <c r="T260" s="241" t="n"/>
      <c r="U260" s="27">
        <f>-SUMIFS(T_ORCAMENTOS!$E:$E,T_ORCAMENTOS!$C:$C,"Decoração/Paisagismo e Jardinagem",T_ORCAMENTOS!$H:$H,"5/2026")</f>
        <v/>
      </c>
      <c r="V260" s="28">
        <f>SUMIFS(Aut_BlueMe_Sem_Pedido!$J:$J,Aut_BlueMe_Sem_Pedido!$Q:$Q,DRE!T$4,Aut_BlueMe_Sem_Pedido!$H:$H,DRE!$A260)+SUMIFS(Aut_Ajustes_Manuais!$G:$G,Aut_Ajustes_Manuais!$I:$I,DRE!T$4,Aut_Ajustes_Manuais!$F:$F,"Decoração/Paisagismo e Jardinagem")</f>
        <v/>
      </c>
      <c r="W260" s="241" t="n"/>
      <c r="X260" s="27">
        <f>-SUMIFS(T_ORCAMENTOS!$E:$E,T_ORCAMENTOS!$C:$C,"Decoração/Paisagismo e Jardinagem",T_ORCAMENTOS!$H:$H,"6/2026")</f>
        <v/>
      </c>
      <c r="Y260" s="28">
        <f>SUMIFS(Aut_BlueMe_Sem_Pedido!$J:$J,Aut_BlueMe_Sem_Pedido!$Q:$Q,DRE!W$4,Aut_BlueMe_Sem_Pedido!$H:$H,DRE!$A260)+SUMIFS(Aut_Ajustes_Manuais!$G:$G,Aut_Ajustes_Manuais!$I:$I,DRE!W$4,Aut_Ajustes_Manuais!$F:$F,"Decoração/Paisagismo e Jardinagem")</f>
        <v/>
      </c>
      <c r="Z260" s="241" t="n"/>
      <c r="AA260" s="27">
        <f>-SUMIFS(T_ORCAMENTOS!$E:$E,T_ORCAMENTOS!$C:$C,"Decoração/Paisagismo e Jardinagem",T_ORCAMENTOS!$H:$H,"7/2026")</f>
        <v/>
      </c>
      <c r="AB260" s="28">
        <f>SUMIFS(Aut_BlueMe_Sem_Pedido!$J:$J,Aut_BlueMe_Sem_Pedido!$Q:$Q,DRE!Z$4,Aut_BlueMe_Sem_Pedido!$H:$H,DRE!$A260)+SUMIFS(Aut_Ajustes_Manuais!$G:$G,Aut_Ajustes_Manuais!$I:$I,DRE!Z$4,Aut_Ajustes_Manuais!$F:$F,"Decoração/Paisagismo e Jardinagem")</f>
        <v/>
      </c>
      <c r="AC260" s="241" t="n"/>
      <c r="AD260" s="27">
        <f>-SUMIFS(T_ORCAMENTOS!$E:$E,T_ORCAMENTOS!$C:$C,"Decoração/Paisagismo e Jardinagem",T_ORCAMENTOS!$H:$H,"8/2026")</f>
        <v/>
      </c>
      <c r="AE260" s="28">
        <f>SUMIFS(Aut_BlueMe_Sem_Pedido!$J:$J,Aut_BlueMe_Sem_Pedido!$Q:$Q,DRE!AC$4,Aut_BlueMe_Sem_Pedido!$H:$H,DRE!$A260)+SUMIFS(Aut_Ajustes_Manuais!$G:$G,Aut_Ajustes_Manuais!$I:$I,DRE!AC$4,Aut_Ajustes_Manuais!$F:$F,"Decoração/Paisagismo e Jardinagem")</f>
        <v/>
      </c>
      <c r="AF260" s="241" t="n"/>
      <c r="AG260" s="27">
        <f>-SUMIFS(T_ORCAMENTOS!$E:$E,T_ORCAMENTOS!$C:$C,"Decoração/Paisagismo e Jardinagem",T_ORCAMENTOS!$H:$H,"9/2026")</f>
        <v/>
      </c>
      <c r="AH260" s="28">
        <f>SUMIFS(Aut_BlueMe_Sem_Pedido!$J:$J,Aut_BlueMe_Sem_Pedido!$Q:$Q,DRE!AF$4,Aut_BlueMe_Sem_Pedido!$H:$H,DRE!$A260)+SUMIFS(Aut_Ajustes_Manuais!$G:$G,Aut_Ajustes_Manuais!$I:$I,DRE!AF$4,Aut_Ajustes_Manuais!$F:$F,"Decoração/Paisagismo e Jardinagem")</f>
        <v/>
      </c>
      <c r="AI260" s="241" t="n"/>
      <c r="AJ260" s="27">
        <f>-SUMIFS(T_ORCAMENTOS!$E:$E,T_ORCAMENTOS!$C:$C,"Decoração/Paisagismo e Jardinagem",T_ORCAMENTOS!$H:$H,"10/2026")</f>
        <v/>
      </c>
      <c r="AK260" s="28">
        <f>SUMIFS(Aut_BlueMe_Sem_Pedido!$J:$J,Aut_BlueMe_Sem_Pedido!$Q:$Q,DRE!AI$4,Aut_BlueMe_Sem_Pedido!$H:$H,DRE!$A260)+SUMIFS(Aut_Ajustes_Manuais!$G:$G,Aut_Ajustes_Manuais!$I:$I,DRE!AI$4,Aut_Ajustes_Manuais!$F:$F,"Decoração/Paisagismo e Jardinagem")</f>
        <v/>
      </c>
      <c r="AL260" s="241" t="n"/>
      <c r="AM260" s="27">
        <f>-SUMIFS(T_ORCAMENTOS!$E:$E,T_ORCAMENTOS!$C:$C,"Decoração/Paisagismo e Jardinagem",T_ORCAMENTOS!$H:$H,"11/2026")</f>
        <v/>
      </c>
      <c r="AN260" s="28">
        <f>SUMIFS(Aut_BlueMe_Sem_Pedido!$J:$J,Aut_BlueMe_Sem_Pedido!$Q:$Q,DRE!AL$4,Aut_BlueMe_Sem_Pedido!$H:$H,DRE!$A260)+SUMIFS(Aut_Ajustes_Manuais!$G:$G,Aut_Ajustes_Manuais!$I:$I,DRE!AL$4,Aut_Ajustes_Manuais!$F:$F,"Decoração/Paisagismo e Jardinagem")</f>
        <v/>
      </c>
      <c r="AO260" s="241" t="n"/>
      <c r="AP260" s="27">
        <f>-SUMIFS(T_ORCAMENTOS!$E:$E,T_ORCAMENTOS!$C:$C,"Decoração/Paisagismo e Jardinagem",T_ORCAMENTOS!$H:$H,"12/2026")</f>
        <v/>
      </c>
      <c r="AQ260" s="28">
        <f>SUMIFS(Aut_BlueMe_Sem_Pedido!$J:$J,Aut_BlueMe_Sem_Pedido!$Q:$Q,DRE!AO$4,Aut_BlueMe_Sem_Pedido!$H:$H,DRE!$A260)+SUMIFS(Aut_Ajustes_Manuais!$G:$G,Aut_Ajustes_Manuais!$I:$I,DRE!AO$4,Aut_Ajustes_Manuais!$F:$F,"Decoração/Paisagismo e Jardinagem")</f>
        <v/>
      </c>
      <c r="AR260" s="241">
        <f>SUMIFS($H260:$AO260,$H$5:$AO$5,"&lt;"&amp;MONTH(TODAY()),$H$6:$AO$6,"REAL 25")</f>
        <v/>
      </c>
      <c r="AS260" s="27">
        <f>SUMIFS($I260:$AP260,$I$5:$AP$5,"&lt;"&amp;MONTH(TODAY()),$I$6:$AP$6,"ORÇADO ")</f>
        <v/>
      </c>
      <c r="AT260" s="28">
        <f>SUMIFS($J260:$AQ260,$J$5:$AQ$5,"&lt;"&amp;MONTH(TODAY()),$J$6:$AQ$6,"REAL 26")</f>
        <v/>
      </c>
      <c r="AU260" s="241">
        <f>SUM(H260,K260,N260,Q260,T260,W260,Z260,AC260,AF260,AI260,AL260,AO260)</f>
        <v/>
      </c>
      <c r="AV260" s="27">
        <f>SUM(I260,L260,O260,R260,U260,X260,AA260,AD260,AG260,AJ260,AM260,AP260)</f>
        <v/>
      </c>
      <c r="AW260" s="28">
        <f>SUM(J260,M260,P260,S260,V260,Y260,AB260,AE260,AH260,AK260,AN260,AQ260)</f>
        <v/>
      </c>
      <c r="AX260" s="241">
        <f>SUM(H260,K260,N260)</f>
        <v/>
      </c>
      <c r="AY260" s="27">
        <f>SUM(I260,L260,O260)</f>
        <v/>
      </c>
      <c r="AZ260" s="28">
        <f>SUM(J260,M260,P260)</f>
        <v/>
      </c>
      <c r="BA260" s="241">
        <f>SUM(Q260,T260,W260)</f>
        <v/>
      </c>
      <c r="BB260" s="27">
        <f>SUM(R260,U260,X260)</f>
        <v/>
      </c>
      <c r="BC260" s="28">
        <f>SUM(S260,V260,Y260)</f>
        <v/>
      </c>
      <c r="BD260" s="241">
        <f>SUM(Z260,AC260,AF260)</f>
        <v/>
      </c>
      <c r="BE260" s="27">
        <f>SUM(AA260,AD260,AG260)</f>
        <v/>
      </c>
      <c r="BF260" s="28">
        <f>SUM(AB260,AE260,AH260)</f>
        <v/>
      </c>
      <c r="BG260" s="241">
        <f>SUM(AI260,AL260,AO260)</f>
        <v/>
      </c>
      <c r="BH260" s="27">
        <f>SUM(AJ260,AM260,AP260)</f>
        <v/>
      </c>
      <c r="BI260" s="28">
        <f>SUM(AK260,AN260,AQ260)</f>
        <v/>
      </c>
    </row>
    <row r="261" hidden="1" outlineLevel="1" customFormat="1" s="498">
      <c r="A261" s="22" t="inlineStr">
        <is>
          <t>Fretes e Carretos</t>
        </is>
      </c>
      <c r="B261" s="23" t="n"/>
      <c r="C261" s="24" t="inlineStr">
        <is>
          <t>Estim. Mensal</t>
        </is>
      </c>
      <c r="D261" s="121" t="n"/>
      <c r="E261" s="114" t="n">
        <v>-0.0002</v>
      </c>
      <c r="F261" s="56" t="n"/>
      <c r="G261" s="33" t="n"/>
      <c r="H261" s="241" t="n"/>
      <c r="I261" s="27">
        <f>-SUMIFS(T_ORCAMENTOS!$E:$E,T_ORCAMENTOS!$C:$C,"Fretes e Carretos",T_ORCAMENTOS!$H:$H,"1/2026")</f>
        <v/>
      </c>
      <c r="J261" s="28">
        <f>SUMIFS(Aut_BlueMe_Sem_Pedido!$J:$J,Aut_BlueMe_Sem_Pedido!$Q:$Q,DRE!H$4,Aut_BlueMe_Sem_Pedido!$H:$H,DRE!$A261)+SUMIFS(Aut_Ajustes_Manuais!$G:$G,Aut_Ajustes_Manuais!$I:$I,DRE!H$4,Aut_Ajustes_Manuais!$F:$F,"Fretes e Carretos")</f>
        <v/>
      </c>
      <c r="K261" s="241" t="n"/>
      <c r="L261" s="27">
        <f>-SUMIFS(T_ORCAMENTOS!$E:$E,T_ORCAMENTOS!$C:$C,"Fretes e Carretos",T_ORCAMENTOS!$H:$H,"2/2026")</f>
        <v/>
      </c>
      <c r="M261" s="28">
        <f>SUMIFS(Aut_BlueMe_Sem_Pedido!$J:$J,Aut_BlueMe_Sem_Pedido!$Q:$Q,DRE!K$4,Aut_BlueMe_Sem_Pedido!$H:$H,DRE!$A261)+SUMIFS(Aut_Ajustes_Manuais!$G:$G,Aut_Ajustes_Manuais!$I:$I,DRE!K$4,Aut_Ajustes_Manuais!$F:$F,"Fretes e Carretos")</f>
        <v/>
      </c>
      <c r="N261" s="241" t="n"/>
      <c r="O261" s="27">
        <f>-SUMIFS(T_ORCAMENTOS!$E:$E,T_ORCAMENTOS!$C:$C,"Fretes e Carretos",T_ORCAMENTOS!$H:$H,"3/2026")</f>
        <v/>
      </c>
      <c r="P261" s="28">
        <f>SUMIFS(Aut_BlueMe_Sem_Pedido!$J:$J,Aut_BlueMe_Sem_Pedido!$Q:$Q,DRE!N$4,Aut_BlueMe_Sem_Pedido!$H:$H,DRE!$A261)+SUMIFS(Aut_Ajustes_Manuais!$G:$G,Aut_Ajustes_Manuais!$I:$I,DRE!N$4,Aut_Ajustes_Manuais!$F:$F,"Fretes e Carretos")</f>
        <v/>
      </c>
      <c r="Q261" s="241" t="n"/>
      <c r="R261" s="27">
        <f>-SUMIFS(T_ORCAMENTOS!$E:$E,T_ORCAMENTOS!$C:$C,"Fretes e Carretos",T_ORCAMENTOS!$H:$H,"4/2026")</f>
        <v/>
      </c>
      <c r="S261" s="28">
        <f>SUMIFS(Aut_BlueMe_Sem_Pedido!$J:$J,Aut_BlueMe_Sem_Pedido!$Q:$Q,DRE!Q$4,Aut_BlueMe_Sem_Pedido!$H:$H,DRE!$A261)+SUMIFS(Aut_Ajustes_Manuais!$G:$G,Aut_Ajustes_Manuais!$I:$I,DRE!Q$4,Aut_Ajustes_Manuais!$F:$F,"Fretes e Carretos")</f>
        <v/>
      </c>
      <c r="T261" s="241" t="n"/>
      <c r="U261" s="27">
        <f>-SUMIFS(T_ORCAMENTOS!$E:$E,T_ORCAMENTOS!$C:$C,"Fretes e Carretos",T_ORCAMENTOS!$H:$H,"5/2026")</f>
        <v/>
      </c>
      <c r="V261" s="28">
        <f>SUMIFS(Aut_BlueMe_Sem_Pedido!$J:$J,Aut_BlueMe_Sem_Pedido!$Q:$Q,DRE!T$4,Aut_BlueMe_Sem_Pedido!$H:$H,DRE!$A261)+SUMIFS(Aut_Ajustes_Manuais!$G:$G,Aut_Ajustes_Manuais!$I:$I,DRE!T$4,Aut_Ajustes_Manuais!$F:$F,"Fretes e Carretos")</f>
        <v/>
      </c>
      <c r="W261" s="241" t="n"/>
      <c r="X261" s="27">
        <f>-SUMIFS(T_ORCAMENTOS!$E:$E,T_ORCAMENTOS!$C:$C,"Fretes e Carretos",T_ORCAMENTOS!$H:$H,"6/2026")</f>
        <v/>
      </c>
      <c r="Y261" s="28">
        <f>SUMIFS(Aut_BlueMe_Sem_Pedido!$J:$J,Aut_BlueMe_Sem_Pedido!$Q:$Q,DRE!W$4,Aut_BlueMe_Sem_Pedido!$H:$H,DRE!$A261)+SUMIFS(Aut_Ajustes_Manuais!$G:$G,Aut_Ajustes_Manuais!$I:$I,DRE!W$4,Aut_Ajustes_Manuais!$F:$F,"Fretes e Carretos")</f>
        <v/>
      </c>
      <c r="Z261" s="241" t="n"/>
      <c r="AA261" s="27">
        <f>-SUMIFS(T_ORCAMENTOS!$E:$E,T_ORCAMENTOS!$C:$C,"Fretes e Carretos",T_ORCAMENTOS!$H:$H,"7/2026")</f>
        <v/>
      </c>
      <c r="AB261" s="28">
        <f>SUMIFS(Aut_BlueMe_Sem_Pedido!$J:$J,Aut_BlueMe_Sem_Pedido!$Q:$Q,DRE!Z$4,Aut_BlueMe_Sem_Pedido!$H:$H,DRE!$A261)+SUMIFS(Aut_Ajustes_Manuais!$G:$G,Aut_Ajustes_Manuais!$I:$I,DRE!Z$4,Aut_Ajustes_Manuais!$F:$F,"Fretes e Carretos")</f>
        <v/>
      </c>
      <c r="AC261" s="241" t="n"/>
      <c r="AD261" s="27">
        <f>-SUMIFS(T_ORCAMENTOS!$E:$E,T_ORCAMENTOS!$C:$C,"Fretes e Carretos",T_ORCAMENTOS!$H:$H,"8/2026")</f>
        <v/>
      </c>
      <c r="AE261" s="28">
        <f>SUMIFS(Aut_BlueMe_Sem_Pedido!$J:$J,Aut_BlueMe_Sem_Pedido!$Q:$Q,DRE!AC$4,Aut_BlueMe_Sem_Pedido!$H:$H,DRE!$A261)+SUMIFS(Aut_Ajustes_Manuais!$G:$G,Aut_Ajustes_Manuais!$I:$I,DRE!AC$4,Aut_Ajustes_Manuais!$F:$F,"Fretes e Carretos")</f>
        <v/>
      </c>
      <c r="AF261" s="241" t="n"/>
      <c r="AG261" s="27">
        <f>-SUMIFS(T_ORCAMENTOS!$E:$E,T_ORCAMENTOS!$C:$C,"Fretes e Carretos",T_ORCAMENTOS!$H:$H,"9/2026")</f>
        <v/>
      </c>
      <c r="AH261" s="28">
        <f>SUMIFS(Aut_BlueMe_Sem_Pedido!$J:$J,Aut_BlueMe_Sem_Pedido!$Q:$Q,DRE!AF$4,Aut_BlueMe_Sem_Pedido!$H:$H,DRE!$A261)+SUMIFS(Aut_Ajustes_Manuais!$G:$G,Aut_Ajustes_Manuais!$I:$I,DRE!AF$4,Aut_Ajustes_Manuais!$F:$F,"Fretes e Carretos")</f>
        <v/>
      </c>
      <c r="AI261" s="241" t="n"/>
      <c r="AJ261" s="27">
        <f>-SUMIFS(T_ORCAMENTOS!$E:$E,T_ORCAMENTOS!$C:$C,"Fretes e Carretos",T_ORCAMENTOS!$H:$H,"10/2026")</f>
        <v/>
      </c>
      <c r="AK261" s="28">
        <f>SUMIFS(Aut_BlueMe_Sem_Pedido!$J:$J,Aut_BlueMe_Sem_Pedido!$Q:$Q,DRE!AI$4,Aut_BlueMe_Sem_Pedido!$H:$H,DRE!$A261)+SUMIFS(Aut_Ajustes_Manuais!$G:$G,Aut_Ajustes_Manuais!$I:$I,DRE!AI$4,Aut_Ajustes_Manuais!$F:$F,"Fretes e Carretos")</f>
        <v/>
      </c>
      <c r="AL261" s="241" t="n"/>
      <c r="AM261" s="27">
        <f>-SUMIFS(T_ORCAMENTOS!$E:$E,T_ORCAMENTOS!$C:$C,"Fretes e Carretos",T_ORCAMENTOS!$H:$H,"11/2026")</f>
        <v/>
      </c>
      <c r="AN261" s="28">
        <f>SUMIFS(Aut_BlueMe_Sem_Pedido!$J:$J,Aut_BlueMe_Sem_Pedido!$Q:$Q,DRE!AL$4,Aut_BlueMe_Sem_Pedido!$H:$H,DRE!$A261)+SUMIFS(Aut_Ajustes_Manuais!$G:$G,Aut_Ajustes_Manuais!$I:$I,DRE!AL$4,Aut_Ajustes_Manuais!$F:$F,"Fretes e Carretos")</f>
        <v/>
      </c>
      <c r="AO261" s="241" t="n"/>
      <c r="AP261" s="27">
        <f>-SUMIFS(T_ORCAMENTOS!$E:$E,T_ORCAMENTOS!$C:$C,"Fretes e Carretos",T_ORCAMENTOS!$H:$H,"12/2026")</f>
        <v/>
      </c>
      <c r="AQ261" s="28">
        <f>SUMIFS(Aut_BlueMe_Sem_Pedido!$J:$J,Aut_BlueMe_Sem_Pedido!$Q:$Q,DRE!AO$4,Aut_BlueMe_Sem_Pedido!$H:$H,DRE!$A261)+SUMIFS(Aut_Ajustes_Manuais!$G:$G,Aut_Ajustes_Manuais!$I:$I,DRE!AO$4,Aut_Ajustes_Manuais!$F:$F,"Fretes e Carretos")</f>
        <v/>
      </c>
      <c r="AR261" s="241">
        <f>SUMIFS($H261:$AO261,$H$5:$AO$5,"&lt;"&amp;MONTH(TODAY()),$H$6:$AO$6,"REAL 25")</f>
        <v/>
      </c>
      <c r="AS261" s="27">
        <f>SUMIFS($I261:$AP261,$I$5:$AP$5,"&lt;"&amp;MONTH(TODAY()),$I$6:$AP$6,"ORÇADO ")</f>
        <v/>
      </c>
      <c r="AT261" s="28">
        <f>SUMIFS($J261:$AQ261,$J$5:$AQ$5,"&lt;"&amp;MONTH(TODAY()),$J$6:$AQ$6,"REAL 26")</f>
        <v/>
      </c>
      <c r="AU261" s="241">
        <f>SUM(H261,K261,N261,Q261,T261,W261,Z261,AC261,AF261,AI261,AL261,AO261)</f>
        <v/>
      </c>
      <c r="AV261" s="27">
        <f>SUM(I261,L261,O261,R261,U261,X261,AA261,AD261,AG261,AJ261,AM261,AP261)</f>
        <v/>
      </c>
      <c r="AW261" s="28">
        <f>SUM(J261,M261,P261,S261,V261,Y261,AB261,AE261,AH261,AK261,AN261,AQ261)</f>
        <v/>
      </c>
      <c r="AX261" s="241">
        <f>SUM(H261,K261,N261)</f>
        <v/>
      </c>
      <c r="AY261" s="27">
        <f>SUM(I261,L261,O261)</f>
        <v/>
      </c>
      <c r="AZ261" s="28">
        <f>SUM(J261,M261,P261)</f>
        <v/>
      </c>
      <c r="BA261" s="241">
        <f>SUM(Q261,T261,W261)</f>
        <v/>
      </c>
      <c r="BB261" s="27">
        <f>SUM(R261,U261,X261)</f>
        <v/>
      </c>
      <c r="BC261" s="28">
        <f>SUM(S261,V261,Y261)</f>
        <v/>
      </c>
      <c r="BD261" s="241">
        <f>SUM(Z261,AC261,AF261)</f>
        <v/>
      </c>
      <c r="BE261" s="27">
        <f>SUM(AA261,AD261,AG261)</f>
        <v/>
      </c>
      <c r="BF261" s="28">
        <f>SUM(AB261,AE261,AH261)</f>
        <v/>
      </c>
      <c r="BG261" s="241">
        <f>SUM(AI261,AL261,AO261)</f>
        <v/>
      </c>
      <c r="BH261" s="27">
        <f>SUM(AJ261,AM261,AP261)</f>
        <v/>
      </c>
      <c r="BI261" s="28">
        <f>SUM(AK261,AN261,AQ261)</f>
        <v/>
      </c>
    </row>
    <row r="262" hidden="1" outlineLevel="1" ht="15" customFormat="1" customHeight="1" s="498">
      <c r="A262" s="22" t="inlineStr">
        <is>
          <t>Conduções/Taxi/Uber</t>
        </is>
      </c>
      <c r="B262" s="23" t="n"/>
      <c r="C262" s="24" t="n"/>
      <c r="D262" s="121" t="n">
        <v>-300</v>
      </c>
      <c r="E262" s="114" t="n"/>
      <c r="F262" s="56" t="n"/>
      <c r="G262" s="33" t="n"/>
      <c r="H262" s="241" t="n"/>
      <c r="I262" s="27">
        <f>-SUMIFS(T_ORCAMENTOS!$E:$E,T_ORCAMENTOS!$C:$C,"Conduções/Taxi/Uber",T_ORCAMENTOS!$H:$H,"1/2026")</f>
        <v/>
      </c>
      <c r="J262" s="28">
        <f>SUMIFS(Aut_BlueMe_Sem_Pedido!$J:$J,Aut_BlueMe_Sem_Pedido!$Q:$Q,DRE!H$4,Aut_BlueMe_Sem_Pedido!$H:$H,DRE!$A262)+SUMIFS(Aut_Ajustes_Manuais!$G:$G,Aut_Ajustes_Manuais!$I:$I,DRE!H$4,Aut_Ajustes_Manuais!$F:$F,"Conduções/Taxi/Uber")</f>
        <v/>
      </c>
      <c r="K262" s="241" t="n"/>
      <c r="L262" s="27">
        <f>-SUMIFS(T_ORCAMENTOS!$E:$E,T_ORCAMENTOS!$C:$C,"Conduções/Taxi/Uber",T_ORCAMENTOS!$H:$H,"2/2026")</f>
        <v/>
      </c>
      <c r="M262" s="28">
        <f>SUMIFS(Aut_BlueMe_Sem_Pedido!$J:$J,Aut_BlueMe_Sem_Pedido!$Q:$Q,DRE!K$4,Aut_BlueMe_Sem_Pedido!$H:$H,DRE!$A262)+SUMIFS(Aut_Ajustes_Manuais!$G:$G,Aut_Ajustes_Manuais!$I:$I,DRE!K$4,Aut_Ajustes_Manuais!$F:$F,"Conduções/Taxi/Uber")</f>
        <v/>
      </c>
      <c r="N262" s="241" t="n"/>
      <c r="O262" s="27">
        <f>-SUMIFS(T_ORCAMENTOS!$E:$E,T_ORCAMENTOS!$C:$C,"Conduções/Taxi/Uber",T_ORCAMENTOS!$H:$H,"3/2026")</f>
        <v/>
      </c>
      <c r="P262" s="28">
        <f>SUMIFS(Aut_BlueMe_Sem_Pedido!$J:$J,Aut_BlueMe_Sem_Pedido!$Q:$Q,DRE!N$4,Aut_BlueMe_Sem_Pedido!$H:$H,DRE!$A262)+SUMIFS(Aut_Ajustes_Manuais!$G:$G,Aut_Ajustes_Manuais!$I:$I,DRE!N$4,Aut_Ajustes_Manuais!$F:$F,"Conduções/Taxi/Uber")</f>
        <v/>
      </c>
      <c r="Q262" s="241" t="n"/>
      <c r="R262" s="27">
        <f>-SUMIFS(T_ORCAMENTOS!$E:$E,T_ORCAMENTOS!$C:$C,"Conduções/Taxi/Uber",T_ORCAMENTOS!$H:$H,"4/2026")</f>
        <v/>
      </c>
      <c r="S262" s="28">
        <f>SUMIFS(Aut_BlueMe_Sem_Pedido!$J:$J,Aut_BlueMe_Sem_Pedido!$Q:$Q,DRE!Q$4,Aut_BlueMe_Sem_Pedido!$H:$H,DRE!$A262)+SUMIFS(Aut_Ajustes_Manuais!$G:$G,Aut_Ajustes_Manuais!$I:$I,DRE!Q$4,Aut_Ajustes_Manuais!$F:$F,"Conduções/Taxi/Uber")</f>
        <v/>
      </c>
      <c r="T262" s="241" t="n"/>
      <c r="U262" s="27">
        <f>-SUMIFS(T_ORCAMENTOS!$E:$E,T_ORCAMENTOS!$C:$C,"Conduções/Taxi/Uber",T_ORCAMENTOS!$H:$H,"5/2026")</f>
        <v/>
      </c>
      <c r="V262" s="28">
        <f>SUMIFS(Aut_BlueMe_Sem_Pedido!$J:$J,Aut_BlueMe_Sem_Pedido!$Q:$Q,DRE!T$4,Aut_BlueMe_Sem_Pedido!$H:$H,DRE!$A262)+SUMIFS(Aut_Ajustes_Manuais!$G:$G,Aut_Ajustes_Manuais!$I:$I,DRE!T$4,Aut_Ajustes_Manuais!$F:$F,"Conduções/Taxi/Uber")</f>
        <v/>
      </c>
      <c r="W262" s="241" t="n"/>
      <c r="X262" s="27">
        <f>-SUMIFS(T_ORCAMENTOS!$E:$E,T_ORCAMENTOS!$C:$C,"Conduções/Taxi/Uber",T_ORCAMENTOS!$H:$H,"6/2026")</f>
        <v/>
      </c>
      <c r="Y262" s="28">
        <f>SUMIFS(Aut_BlueMe_Sem_Pedido!$J:$J,Aut_BlueMe_Sem_Pedido!$Q:$Q,DRE!W$4,Aut_BlueMe_Sem_Pedido!$H:$H,DRE!$A262)+SUMIFS(Aut_Ajustes_Manuais!$G:$G,Aut_Ajustes_Manuais!$I:$I,DRE!W$4,Aut_Ajustes_Manuais!$F:$F,"Conduções/Taxi/Uber")</f>
        <v/>
      </c>
      <c r="Z262" s="241" t="n"/>
      <c r="AA262" s="27">
        <f>-SUMIFS(T_ORCAMENTOS!$E:$E,T_ORCAMENTOS!$C:$C,"Conduções/Taxi/Uber",T_ORCAMENTOS!$H:$H,"7/2026")</f>
        <v/>
      </c>
      <c r="AB262" s="28">
        <f>SUMIFS(Aut_BlueMe_Sem_Pedido!$J:$J,Aut_BlueMe_Sem_Pedido!$Q:$Q,DRE!Z$4,Aut_BlueMe_Sem_Pedido!$H:$H,DRE!$A262)+SUMIFS(Aut_Ajustes_Manuais!$G:$G,Aut_Ajustes_Manuais!$I:$I,DRE!Z$4,Aut_Ajustes_Manuais!$F:$F,"Conduções/Taxi/Uber")</f>
        <v/>
      </c>
      <c r="AC262" s="241" t="n"/>
      <c r="AD262" s="27">
        <f>-SUMIFS(T_ORCAMENTOS!$E:$E,T_ORCAMENTOS!$C:$C,"Conduções/Taxi/Uber",T_ORCAMENTOS!$H:$H,"8/2026")</f>
        <v/>
      </c>
      <c r="AE262" s="28">
        <f>SUMIFS(Aut_BlueMe_Sem_Pedido!$J:$J,Aut_BlueMe_Sem_Pedido!$Q:$Q,DRE!AC$4,Aut_BlueMe_Sem_Pedido!$H:$H,DRE!$A262)+SUMIFS(Aut_Ajustes_Manuais!$G:$G,Aut_Ajustes_Manuais!$I:$I,DRE!AC$4,Aut_Ajustes_Manuais!$F:$F,"Conduções/Taxi/Uber")</f>
        <v/>
      </c>
      <c r="AF262" s="241" t="n"/>
      <c r="AG262" s="27">
        <f>-SUMIFS(T_ORCAMENTOS!$E:$E,T_ORCAMENTOS!$C:$C,"Conduções/Taxi/Uber",T_ORCAMENTOS!$H:$H,"9/2026")</f>
        <v/>
      </c>
      <c r="AH262" s="28">
        <f>SUMIFS(Aut_BlueMe_Sem_Pedido!$J:$J,Aut_BlueMe_Sem_Pedido!$Q:$Q,DRE!AF$4,Aut_BlueMe_Sem_Pedido!$H:$H,DRE!$A262)+SUMIFS(Aut_Ajustes_Manuais!$G:$G,Aut_Ajustes_Manuais!$I:$I,DRE!AF$4,Aut_Ajustes_Manuais!$F:$F,"Conduções/Taxi/Uber")</f>
        <v/>
      </c>
      <c r="AI262" s="241" t="n"/>
      <c r="AJ262" s="27">
        <f>-SUMIFS(T_ORCAMENTOS!$E:$E,T_ORCAMENTOS!$C:$C,"Conduções/Taxi/Uber",T_ORCAMENTOS!$H:$H,"10/2026")</f>
        <v/>
      </c>
      <c r="AK262" s="28">
        <f>SUMIFS(Aut_BlueMe_Sem_Pedido!$J:$J,Aut_BlueMe_Sem_Pedido!$Q:$Q,DRE!AI$4,Aut_BlueMe_Sem_Pedido!$H:$H,DRE!$A262)+SUMIFS(Aut_Ajustes_Manuais!$G:$G,Aut_Ajustes_Manuais!$I:$I,DRE!AI$4,Aut_Ajustes_Manuais!$F:$F,"Conduções/Taxi/Uber")</f>
        <v/>
      </c>
      <c r="AL262" s="241" t="n"/>
      <c r="AM262" s="27">
        <f>-SUMIFS(T_ORCAMENTOS!$E:$E,T_ORCAMENTOS!$C:$C,"Conduções/Taxi/Uber",T_ORCAMENTOS!$H:$H,"11/2026")</f>
        <v/>
      </c>
      <c r="AN262" s="28">
        <f>SUMIFS(Aut_BlueMe_Sem_Pedido!$J:$J,Aut_BlueMe_Sem_Pedido!$Q:$Q,DRE!AL$4,Aut_BlueMe_Sem_Pedido!$H:$H,DRE!$A262)+SUMIFS(Aut_Ajustes_Manuais!$G:$G,Aut_Ajustes_Manuais!$I:$I,DRE!AL$4,Aut_Ajustes_Manuais!$F:$F,"Conduções/Taxi/Uber")</f>
        <v/>
      </c>
      <c r="AO262" s="241" t="n"/>
      <c r="AP262" s="27">
        <f>-SUMIFS(T_ORCAMENTOS!$E:$E,T_ORCAMENTOS!$C:$C,"Conduções/Taxi/Uber",T_ORCAMENTOS!$H:$H,"12/2026")</f>
        <v/>
      </c>
      <c r="AQ262" s="28">
        <f>SUMIFS(Aut_BlueMe_Sem_Pedido!$J:$J,Aut_BlueMe_Sem_Pedido!$Q:$Q,DRE!AO$4,Aut_BlueMe_Sem_Pedido!$H:$H,DRE!$A262)+SUMIFS(Aut_Ajustes_Manuais!$G:$G,Aut_Ajustes_Manuais!$I:$I,DRE!AO$4,Aut_Ajustes_Manuais!$F:$F,"Conduções/Taxi/Uber")</f>
        <v/>
      </c>
      <c r="AR262" s="241">
        <f>SUMIFS($H262:$AO262,$H$5:$AO$5,"&lt;"&amp;MONTH(TODAY()),$H$6:$AO$6,"REAL 25")</f>
        <v/>
      </c>
      <c r="AS262" s="27">
        <f>SUMIFS($I262:$AP262,$I$5:$AP$5,"&lt;"&amp;MONTH(TODAY()),$I$6:$AP$6,"ORÇADO ")</f>
        <v/>
      </c>
      <c r="AT262" s="28">
        <f>SUMIFS($J262:$AQ262,$J$5:$AQ$5,"&lt;"&amp;MONTH(TODAY()),$J$6:$AQ$6,"REAL 26")</f>
        <v/>
      </c>
      <c r="AU262" s="241">
        <f>SUM(H262,K262,N262,Q262,T262,W262,Z262,AC262,AF262,AI262,AL262,AO262)</f>
        <v/>
      </c>
      <c r="AV262" s="27">
        <f>SUM(I262,L262,O262,R262,U262,X262,AA262,AD262,AG262,AJ262,AM262,AP262)</f>
        <v/>
      </c>
      <c r="AW262" s="28">
        <f>SUM(J262,M262,P262,S262,V262,Y262,AB262,AE262,AH262,AK262,AN262,AQ262)</f>
        <v/>
      </c>
      <c r="AX262" s="241">
        <f>SUM(H262,K262,N262)</f>
        <v/>
      </c>
      <c r="AY262" s="27">
        <f>SUM(I262,L262,O262)</f>
        <v/>
      </c>
      <c r="AZ262" s="28">
        <f>SUM(J262,M262,P262)</f>
        <v/>
      </c>
      <c r="BA262" s="241">
        <f>SUM(Q262,T262,W262)</f>
        <v/>
      </c>
      <c r="BB262" s="27">
        <f>SUM(R262,U262,X262)</f>
        <v/>
      </c>
      <c r="BC262" s="28">
        <f>SUM(S262,V262,Y262)</f>
        <v/>
      </c>
      <c r="BD262" s="241">
        <f>SUM(Z262,AC262,AF262)</f>
        <v/>
      </c>
      <c r="BE262" s="27">
        <f>SUM(AA262,AD262,AG262)</f>
        <v/>
      </c>
      <c r="BF262" s="28">
        <f>SUM(AB262,AE262,AH262)</f>
        <v/>
      </c>
      <c r="BG262" s="241">
        <f>SUM(AI262,AL262,AO262)</f>
        <v/>
      </c>
      <c r="BH262" s="27">
        <f>SUM(AJ262,AM262,AP262)</f>
        <v/>
      </c>
      <c r="BI262" s="28">
        <f>SUM(AK262,AN262,AQ262)</f>
        <v/>
      </c>
    </row>
    <row r="263" hidden="1" outlineLevel="1" customFormat="1" s="498">
      <c r="A263" s="22" t="inlineStr">
        <is>
          <t>Viagens e Estadias - Operação</t>
        </is>
      </c>
      <c r="B263" s="23" t="n"/>
      <c r="C263" s="24" t="n"/>
      <c r="D263" s="121" t="n"/>
      <c r="E263" s="114" t="n"/>
      <c r="F263" s="56" t="n"/>
      <c r="G263" s="33" t="n"/>
      <c r="H263" s="241" t="n"/>
      <c r="I263" s="27">
        <f>-SUMIFS(T_ORCAMENTOS!$E:$E,T_ORCAMENTOS!$C:$C,"Viagens e Estadias - Operação",T_ORCAMENTOS!$H:$H,"1/2026")</f>
        <v/>
      </c>
      <c r="J263" s="28">
        <f>SUMIFS(Aut_BlueMe_Sem_Pedido!$J:$J,Aut_BlueMe_Sem_Pedido!$Q:$Q,DRE!H$4,Aut_BlueMe_Sem_Pedido!$H:$H,DRE!$A263)+SUMIFS(Aut_Ajustes_Manuais!$G:$G,Aut_Ajustes_Manuais!$I:$I,DRE!H$4,Aut_Ajustes_Manuais!$F:$F,"Viagens e Estadias - Operação")</f>
        <v/>
      </c>
      <c r="K263" s="241" t="n"/>
      <c r="L263" s="27">
        <f>-SUMIFS(T_ORCAMENTOS!$E:$E,T_ORCAMENTOS!$C:$C,"Viagens e Estadias - Operação",T_ORCAMENTOS!$H:$H,"2/2026")</f>
        <v/>
      </c>
      <c r="M263" s="28">
        <f>SUMIFS(Aut_BlueMe_Sem_Pedido!$J:$J,Aut_BlueMe_Sem_Pedido!$Q:$Q,DRE!K$4,Aut_BlueMe_Sem_Pedido!$H:$H,DRE!$A263)+SUMIFS(Aut_Ajustes_Manuais!$G:$G,Aut_Ajustes_Manuais!$I:$I,DRE!K$4,Aut_Ajustes_Manuais!$F:$F,"Viagens e Estadias - Operação")</f>
        <v/>
      </c>
      <c r="N263" s="241" t="n"/>
      <c r="O263" s="27">
        <f>-SUMIFS(T_ORCAMENTOS!$E:$E,T_ORCAMENTOS!$C:$C,"Viagens e Estadias - Operação",T_ORCAMENTOS!$H:$H,"3/2026")</f>
        <v/>
      </c>
      <c r="P263" s="28">
        <f>SUMIFS(Aut_BlueMe_Sem_Pedido!$J:$J,Aut_BlueMe_Sem_Pedido!$Q:$Q,DRE!N$4,Aut_BlueMe_Sem_Pedido!$H:$H,DRE!$A263)+SUMIFS(Aut_Ajustes_Manuais!$G:$G,Aut_Ajustes_Manuais!$I:$I,DRE!N$4,Aut_Ajustes_Manuais!$F:$F,"Viagens e Estadias - Operação")</f>
        <v/>
      </c>
      <c r="Q263" s="241" t="n"/>
      <c r="R263" s="27">
        <f>-SUMIFS(T_ORCAMENTOS!$E:$E,T_ORCAMENTOS!$C:$C,"Viagens e Estadias - Operação",T_ORCAMENTOS!$H:$H,"4/2026")</f>
        <v/>
      </c>
      <c r="S263" s="28">
        <f>SUMIFS(Aut_BlueMe_Sem_Pedido!$J:$J,Aut_BlueMe_Sem_Pedido!$Q:$Q,DRE!Q$4,Aut_BlueMe_Sem_Pedido!$H:$H,DRE!$A263)+SUMIFS(Aut_Ajustes_Manuais!$G:$G,Aut_Ajustes_Manuais!$I:$I,DRE!Q$4,Aut_Ajustes_Manuais!$F:$F,"Viagens e Estadias - Operação")</f>
        <v/>
      </c>
      <c r="T263" s="241" t="n"/>
      <c r="U263" s="27">
        <f>-SUMIFS(T_ORCAMENTOS!$E:$E,T_ORCAMENTOS!$C:$C,"Viagens e Estadias - Operação",T_ORCAMENTOS!$H:$H,"5/2026")</f>
        <v/>
      </c>
      <c r="V263" s="28">
        <f>SUMIFS(Aut_BlueMe_Sem_Pedido!$J:$J,Aut_BlueMe_Sem_Pedido!$Q:$Q,DRE!T$4,Aut_BlueMe_Sem_Pedido!$H:$H,DRE!$A263)+SUMIFS(Aut_Ajustes_Manuais!$G:$G,Aut_Ajustes_Manuais!$I:$I,DRE!T$4,Aut_Ajustes_Manuais!$F:$F,"Viagens e Estadias - Operação")</f>
        <v/>
      </c>
      <c r="W263" s="241" t="n"/>
      <c r="X263" s="27">
        <f>-SUMIFS(T_ORCAMENTOS!$E:$E,T_ORCAMENTOS!$C:$C,"Viagens e Estadias - Operação",T_ORCAMENTOS!$H:$H,"6/2026")</f>
        <v/>
      </c>
      <c r="Y263" s="28">
        <f>SUMIFS(Aut_BlueMe_Sem_Pedido!$J:$J,Aut_BlueMe_Sem_Pedido!$Q:$Q,DRE!W$4,Aut_BlueMe_Sem_Pedido!$H:$H,DRE!$A263)+SUMIFS(Aut_Ajustes_Manuais!$G:$G,Aut_Ajustes_Manuais!$I:$I,DRE!W$4,Aut_Ajustes_Manuais!$F:$F,"Viagens e Estadias - Operação")</f>
        <v/>
      </c>
      <c r="Z263" s="241" t="n"/>
      <c r="AA263" s="27">
        <f>-SUMIFS(T_ORCAMENTOS!$E:$E,T_ORCAMENTOS!$C:$C,"Viagens e Estadias - Operação",T_ORCAMENTOS!$H:$H,"7/2026")</f>
        <v/>
      </c>
      <c r="AB263" s="28">
        <f>SUMIFS(Aut_BlueMe_Sem_Pedido!$J:$J,Aut_BlueMe_Sem_Pedido!$Q:$Q,DRE!Z$4,Aut_BlueMe_Sem_Pedido!$H:$H,DRE!$A263)+SUMIFS(Aut_Ajustes_Manuais!$G:$G,Aut_Ajustes_Manuais!$I:$I,DRE!Z$4,Aut_Ajustes_Manuais!$F:$F,"Viagens e Estadias - Operação")</f>
        <v/>
      </c>
      <c r="AC263" s="241" t="n"/>
      <c r="AD263" s="27">
        <f>-SUMIFS(T_ORCAMENTOS!$E:$E,T_ORCAMENTOS!$C:$C,"Viagens e Estadias - Operação",T_ORCAMENTOS!$H:$H,"8/2026")</f>
        <v/>
      </c>
      <c r="AE263" s="28">
        <f>SUMIFS(Aut_BlueMe_Sem_Pedido!$J:$J,Aut_BlueMe_Sem_Pedido!$Q:$Q,DRE!AC$4,Aut_BlueMe_Sem_Pedido!$H:$H,DRE!$A263)+SUMIFS(Aut_Ajustes_Manuais!$G:$G,Aut_Ajustes_Manuais!$I:$I,DRE!AC$4,Aut_Ajustes_Manuais!$F:$F,"Viagens e Estadias - Operação")</f>
        <v/>
      </c>
      <c r="AF263" s="241" t="n"/>
      <c r="AG263" s="27">
        <f>-SUMIFS(T_ORCAMENTOS!$E:$E,T_ORCAMENTOS!$C:$C,"Viagens e Estadias - Operação",T_ORCAMENTOS!$H:$H,"9/2026")</f>
        <v/>
      </c>
      <c r="AH263" s="28">
        <f>SUMIFS(Aut_BlueMe_Sem_Pedido!$J:$J,Aut_BlueMe_Sem_Pedido!$Q:$Q,DRE!AF$4,Aut_BlueMe_Sem_Pedido!$H:$H,DRE!$A263)+SUMIFS(Aut_Ajustes_Manuais!$G:$G,Aut_Ajustes_Manuais!$I:$I,DRE!AF$4,Aut_Ajustes_Manuais!$F:$F,"Viagens e Estadias - Operação")</f>
        <v/>
      </c>
      <c r="AI263" s="241" t="n"/>
      <c r="AJ263" s="27">
        <f>-SUMIFS(T_ORCAMENTOS!$E:$E,T_ORCAMENTOS!$C:$C,"Viagens e Estadias - Operação",T_ORCAMENTOS!$H:$H,"10/2026")</f>
        <v/>
      </c>
      <c r="AK263" s="28">
        <f>SUMIFS(Aut_BlueMe_Sem_Pedido!$J:$J,Aut_BlueMe_Sem_Pedido!$Q:$Q,DRE!AI$4,Aut_BlueMe_Sem_Pedido!$H:$H,DRE!$A263)+SUMIFS(Aut_Ajustes_Manuais!$G:$G,Aut_Ajustes_Manuais!$I:$I,DRE!AI$4,Aut_Ajustes_Manuais!$F:$F,"Viagens e Estadias - Operação")</f>
        <v/>
      </c>
      <c r="AL263" s="241" t="n"/>
      <c r="AM263" s="27">
        <f>-SUMIFS(T_ORCAMENTOS!$E:$E,T_ORCAMENTOS!$C:$C,"Viagens e Estadias - Operação",T_ORCAMENTOS!$H:$H,"11/2026")</f>
        <v/>
      </c>
      <c r="AN263" s="28">
        <f>SUMIFS(Aut_BlueMe_Sem_Pedido!$J:$J,Aut_BlueMe_Sem_Pedido!$Q:$Q,DRE!AL$4,Aut_BlueMe_Sem_Pedido!$H:$H,DRE!$A263)+SUMIFS(Aut_Ajustes_Manuais!$G:$G,Aut_Ajustes_Manuais!$I:$I,DRE!AL$4,Aut_Ajustes_Manuais!$F:$F,"Viagens e Estadias - Operação")</f>
        <v/>
      </c>
      <c r="AO263" s="241" t="n"/>
      <c r="AP263" s="27">
        <f>-SUMIFS(T_ORCAMENTOS!$E:$E,T_ORCAMENTOS!$C:$C,"Viagens e Estadias - Operação",T_ORCAMENTOS!$H:$H,"12/2026")</f>
        <v/>
      </c>
      <c r="AQ263" s="28">
        <f>SUMIFS(Aut_BlueMe_Sem_Pedido!$J:$J,Aut_BlueMe_Sem_Pedido!$Q:$Q,DRE!AO$4,Aut_BlueMe_Sem_Pedido!$H:$H,DRE!$A263)+SUMIFS(Aut_Ajustes_Manuais!$G:$G,Aut_Ajustes_Manuais!$I:$I,DRE!AO$4,Aut_Ajustes_Manuais!$F:$F,"Viagens e Estadias - Operação")</f>
        <v/>
      </c>
      <c r="AR263" s="241">
        <f>SUMIFS($H263:$AO263,$H$5:$AO$5,"&lt;"&amp;MONTH(TODAY()),$H$6:$AO$6,"REAL 25")</f>
        <v/>
      </c>
      <c r="AS263" s="27">
        <f>SUMIFS($I263:$AP263,$I$5:$AP$5,"&lt;"&amp;MONTH(TODAY()),$I$6:$AP$6,"ORÇADO ")</f>
        <v/>
      </c>
      <c r="AT263" s="28">
        <f>SUMIFS($J263:$AQ263,$J$5:$AQ$5,"&lt;"&amp;MONTH(TODAY()),$J$6:$AQ$6,"REAL 26")</f>
        <v/>
      </c>
      <c r="AU263" s="241">
        <f>SUM(H263,K263,N263,Q263,T263,W263,Z263,AC263,AF263,AI263,AL263,AO263)</f>
        <v/>
      </c>
      <c r="AV263" s="27">
        <f>SUM(I263,L263,O263,R263,U263,X263,AA263,AD263,AG263,AJ263,AM263,AP263)</f>
        <v/>
      </c>
      <c r="AW263" s="28">
        <f>SUM(J263,M263,P263,S263,V263,Y263,AB263,AE263,AH263,AK263,AN263,AQ263)</f>
        <v/>
      </c>
      <c r="AX263" s="241">
        <f>SUM(H263,K263,N263)</f>
        <v/>
      </c>
      <c r="AY263" s="27">
        <f>SUM(I263,L263,O263)</f>
        <v/>
      </c>
      <c r="AZ263" s="28">
        <f>SUM(J263,M263,P263)</f>
        <v/>
      </c>
      <c r="BA263" s="241">
        <f>SUM(Q263,T263,W263)</f>
        <v/>
      </c>
      <c r="BB263" s="27">
        <f>SUM(R263,U263,X263)</f>
        <v/>
      </c>
      <c r="BC263" s="28">
        <f>SUM(S263,V263,Y263)</f>
        <v/>
      </c>
      <c r="BD263" s="241">
        <f>SUM(Z263,AC263,AF263)</f>
        <v/>
      </c>
      <c r="BE263" s="27">
        <f>SUM(AA263,AD263,AG263)</f>
        <v/>
      </c>
      <c r="BF263" s="28">
        <f>SUM(AB263,AE263,AH263)</f>
        <v/>
      </c>
      <c r="BG263" s="241">
        <f>SUM(AI263,AL263,AO263)</f>
        <v/>
      </c>
      <c r="BH263" s="27">
        <f>SUM(AJ263,AM263,AP263)</f>
        <v/>
      </c>
      <c r="BI263" s="28">
        <f>SUM(AK263,AN263,AQ263)</f>
        <v/>
      </c>
    </row>
    <row r="264" collapsed="1">
      <c r="A264" s="71" t="inlineStr">
        <is>
          <t>% sobre Receita Bruta</t>
        </is>
      </c>
      <c r="B264" s="59" t="n"/>
      <c r="C264" s="60" t="n"/>
      <c r="D264" s="61" t="n"/>
      <c r="E264" s="62" t="n"/>
      <c r="F264" s="63" t="n"/>
      <c r="G264" s="47" t="n"/>
      <c r="H264" s="245" t="n"/>
      <c r="I264" s="50">
        <f>IFERROR(I255/I8,0)</f>
        <v/>
      </c>
      <c r="J264" s="51">
        <f>IFERROR(J255/J8,0)+SUMIFS(Aut_Ajustes_Manuais!$G:$G,Aut_Ajustes_Manuais!$I:$I,DRE!H$4,Aut_Ajustes_Manuais!$F:$F,"% sobre Receita Bruta")</f>
        <v/>
      </c>
      <c r="K264" s="245" t="n"/>
      <c r="L264" s="50">
        <f>IFERROR(L255/L8,0)</f>
        <v/>
      </c>
      <c r="M264" s="51">
        <f>IFERROR(M255/M8,0)+SUMIFS(Aut_Ajustes_Manuais!$G:$G,Aut_Ajustes_Manuais!$I:$I,DRE!K$4,Aut_Ajustes_Manuais!$F:$F,"% sobre Receita Bruta")</f>
        <v/>
      </c>
      <c r="N264" s="245" t="n"/>
      <c r="O264" s="50">
        <f>IFERROR(O255/O8,0)</f>
        <v/>
      </c>
      <c r="P264" s="51">
        <f>IFERROR(P255/P8,0)+SUMIFS(Aut_Ajustes_Manuais!$G:$G,Aut_Ajustes_Manuais!$I:$I,DRE!N$4,Aut_Ajustes_Manuais!$F:$F,"% sobre Receita Bruta")</f>
        <v/>
      </c>
      <c r="Q264" s="245" t="n"/>
      <c r="R264" s="50">
        <f>IFERROR(R255/R8,0)</f>
        <v/>
      </c>
      <c r="S264" s="51">
        <f>IFERROR(S255/S8,0)+SUMIFS(Aut_Ajustes_Manuais!$G:$G,Aut_Ajustes_Manuais!$I:$I,DRE!Q$4,Aut_Ajustes_Manuais!$F:$F,"% sobre Receita Bruta")</f>
        <v/>
      </c>
      <c r="T264" s="245" t="n"/>
      <c r="U264" s="50">
        <f>IFERROR(U255/U8,0)</f>
        <v/>
      </c>
      <c r="V264" s="51">
        <f>IFERROR(V255/V8,0)+SUMIFS(Aut_Ajustes_Manuais!$G:$G,Aut_Ajustes_Manuais!$I:$I,DRE!T$4,Aut_Ajustes_Manuais!$F:$F,"% sobre Receita Bruta")</f>
        <v/>
      </c>
      <c r="W264" s="245" t="n"/>
      <c r="X264" s="50">
        <f>IFERROR(X255/X8,0)</f>
        <v/>
      </c>
      <c r="Y264" s="51">
        <f>IFERROR(Y255/Y8,0)+SUMIFS(Aut_Ajustes_Manuais!$G:$G,Aut_Ajustes_Manuais!$I:$I,DRE!W$4,Aut_Ajustes_Manuais!$F:$F,"% sobre Receita Bruta")</f>
        <v/>
      </c>
      <c r="Z264" s="245" t="n"/>
      <c r="AA264" s="50">
        <f>IFERROR(AA255/AA8,0)</f>
        <v/>
      </c>
      <c r="AB264" s="51">
        <f>IFERROR(AB255/AB8,0)+SUMIFS(Aut_Ajustes_Manuais!$G:$G,Aut_Ajustes_Manuais!$I:$I,DRE!Z$4,Aut_Ajustes_Manuais!$F:$F,"% sobre Receita Bruta")</f>
        <v/>
      </c>
      <c r="AC264" s="245" t="n"/>
      <c r="AD264" s="50">
        <f>IFERROR(AD255/AD8,0)</f>
        <v/>
      </c>
      <c r="AE264" s="51">
        <f>IFERROR(AE255/AE8,0)+SUMIFS(Aut_Ajustes_Manuais!$G:$G,Aut_Ajustes_Manuais!$I:$I,DRE!AC$4,Aut_Ajustes_Manuais!$F:$F,"% sobre Receita Bruta")</f>
        <v/>
      </c>
      <c r="AF264" s="245" t="n"/>
      <c r="AG264" s="50">
        <f>IFERROR(AG255/AG8,0)</f>
        <v/>
      </c>
      <c r="AH264" s="51">
        <f>IFERROR(AH255/AH8,0)+SUMIFS(Aut_Ajustes_Manuais!$G:$G,Aut_Ajustes_Manuais!$I:$I,DRE!AF$4,Aut_Ajustes_Manuais!$F:$F,"% sobre Receita Bruta")</f>
        <v/>
      </c>
      <c r="AI264" s="245" t="n"/>
      <c r="AJ264" s="50">
        <f>IFERROR(AJ255/AJ8,0)</f>
        <v/>
      </c>
      <c r="AK264" s="51">
        <f>IFERROR(AK255/AK8,0)+SUMIFS(Aut_Ajustes_Manuais!$G:$G,Aut_Ajustes_Manuais!$I:$I,DRE!AI$4,Aut_Ajustes_Manuais!$F:$F,"% sobre Receita Bruta")</f>
        <v/>
      </c>
      <c r="AL264" s="245" t="n"/>
      <c r="AM264" s="50">
        <f>IFERROR(AM255/AM8,0)</f>
        <v/>
      </c>
      <c r="AN264" s="51">
        <f>IFERROR(AN255/AN8,0)+SUMIFS(Aut_Ajustes_Manuais!$G:$G,Aut_Ajustes_Manuais!$I:$I,DRE!AL$4,Aut_Ajustes_Manuais!$F:$F,"% sobre Receita Bruta")</f>
        <v/>
      </c>
      <c r="AO264" s="245" t="n"/>
      <c r="AP264" s="50">
        <f>IFERROR(AP255/AP8,0)</f>
        <v/>
      </c>
      <c r="AQ264" s="51">
        <f>IFERROR(AQ255/AQ8,0)+SUMIFS(Aut_Ajustes_Manuais!$G:$G,Aut_Ajustes_Manuais!$I:$I,DRE!AO$4,Aut_Ajustes_Manuais!$F:$F,"% sobre Receita Bruta")</f>
        <v/>
      </c>
      <c r="AR264" s="245">
        <f>IFERROR(AR255/AR8,0)</f>
        <v/>
      </c>
      <c r="AS264" s="50">
        <f>IFERROR(AS255/AS8,0)</f>
        <v/>
      </c>
      <c r="AT264" s="51">
        <f>IFERROR(AT255/AT8,0)</f>
        <v/>
      </c>
      <c r="AU264" s="245">
        <f>IFERROR(AU255/AU8,0)</f>
        <v/>
      </c>
      <c r="AV264" s="50">
        <f>IFERROR(AV255/AV8,0)</f>
        <v/>
      </c>
      <c r="AW264" s="51">
        <f>IFERROR(AW255/AW8,0)</f>
        <v/>
      </c>
      <c r="AX264" s="245">
        <f>IFERROR(AX255/AX8,0)</f>
        <v/>
      </c>
      <c r="AY264" s="50">
        <f>IFERROR(AY255/AY8,0)</f>
        <v/>
      </c>
      <c r="AZ264" s="51">
        <f>IFERROR(AZ255/AZ8,0)</f>
        <v/>
      </c>
      <c r="BA264" s="245">
        <f>IFERROR(BA255/BA8,0)</f>
        <v/>
      </c>
      <c r="BB264" s="50">
        <f>IFERROR(BB255/BB8,0)</f>
        <v/>
      </c>
      <c r="BC264" s="51">
        <f>IFERROR(BC255/BC8,0)</f>
        <v/>
      </c>
      <c r="BD264" s="245">
        <f>IFERROR(BD255/BD8,0)</f>
        <v/>
      </c>
      <c r="BE264" s="50">
        <f>IFERROR(BE255/BE8,0)</f>
        <v/>
      </c>
      <c r="BF264" s="51">
        <f>IFERROR(BF255/BF8,0)</f>
        <v/>
      </c>
      <c r="BG264" s="245">
        <f>IFERROR(BG255/BG8,0)</f>
        <v/>
      </c>
      <c r="BH264" s="50">
        <f>IFERROR(BH255/BH8,0)</f>
        <v/>
      </c>
      <c r="BI264" s="51">
        <f>IFERROR(BI255/BI8,0)</f>
        <v/>
      </c>
    </row>
    <row r="265">
      <c r="A265" s="18" t="n"/>
      <c r="E265" s="16" t="n"/>
      <c r="F265" s="17" t="n"/>
      <c r="G265" s="47" t="n"/>
      <c r="H265" s="247" t="n"/>
      <c r="I265" s="438" t="n"/>
      <c r="J265" s="438" t="n"/>
      <c r="K265" s="519" t="n"/>
      <c r="L265" s="17" t="n"/>
      <c r="M265" s="57" t="n"/>
      <c r="N265" s="247" t="n"/>
      <c r="O265" s="17" t="n"/>
      <c r="P265" s="57" t="n"/>
      <c r="Q265" s="247" t="n"/>
      <c r="R265" s="17" t="n"/>
      <c r="S265" s="57" t="n"/>
      <c r="T265" s="247" t="n"/>
      <c r="U265" s="17" t="n"/>
      <c r="V265" s="57" t="n"/>
      <c r="W265" s="247" t="n"/>
      <c r="X265" s="17" t="n"/>
      <c r="Y265" s="57" t="n"/>
      <c r="Z265" s="247" t="n"/>
      <c r="AA265" s="17" t="n"/>
      <c r="AB265" s="57" t="n"/>
      <c r="AC265" s="247" t="n"/>
      <c r="AD265" s="17" t="n"/>
      <c r="AE265" s="57" t="n"/>
      <c r="AF265" s="247" t="n"/>
      <c r="AG265" s="17" t="n"/>
      <c r="AH265" s="57" t="n"/>
      <c r="AI265" s="247" t="n"/>
      <c r="AJ265" s="17" t="n"/>
      <c r="AK265" s="57" t="n"/>
      <c r="AL265" s="247" t="n"/>
      <c r="AM265" s="17" t="n"/>
      <c r="AN265" s="57" t="n"/>
      <c r="AO265" s="247" t="n"/>
      <c r="AP265" s="17" t="n"/>
      <c r="AQ265" s="57" t="n"/>
      <c r="AR265" s="247" t="n"/>
      <c r="AS265" s="142" t="n"/>
      <c r="AT265" s="267" t="n"/>
      <c r="AU265" s="444" t="n"/>
      <c r="AV265" s="17" t="n"/>
      <c r="AW265" s="57" t="n"/>
      <c r="AX265" s="247" t="n"/>
      <c r="AY265" s="17" t="n"/>
      <c r="AZ265" s="57" t="n"/>
      <c r="BA265" s="247" t="n"/>
      <c r="BB265" s="17" t="n"/>
      <c r="BC265" s="57" t="n"/>
      <c r="BD265" s="247" t="n"/>
      <c r="BE265" s="17" t="n"/>
      <c r="BF265" s="57" t="n"/>
      <c r="BG265" s="247" t="n"/>
      <c r="BH265" s="17" t="n"/>
      <c r="BI265" s="57" t="n"/>
    </row>
    <row r="266">
      <c r="A266" s="39" t="inlineStr">
        <is>
          <t>Marketing</t>
        </is>
      </c>
      <c r="C266" s="40" t="inlineStr">
        <is>
          <t>Premissas</t>
        </is>
      </c>
      <c r="D266" s="40" t="inlineStr">
        <is>
          <t>Valores</t>
        </is>
      </c>
      <c r="E266" s="40" t="inlineStr">
        <is>
          <t>Acréscimo</t>
        </is>
      </c>
      <c r="F266" s="17" t="n"/>
      <c r="G266" s="47" t="n"/>
      <c r="H266" s="244" t="n"/>
      <c r="I266" s="42">
        <f>SUM(I267:I277)</f>
        <v/>
      </c>
      <c r="J266" s="67">
        <f>SUM(J267:J277)+SUMIFS(Aut_Ajustes_Manuais!$G:$G,Aut_Ajustes_Manuais!$I:$I,DRE!H$4,Aut_Ajustes_Manuais!$F:$F,"Marketing")</f>
        <v/>
      </c>
      <c r="K266" s="244" t="n"/>
      <c r="L266" s="42">
        <f>SUM(L267:L277)</f>
        <v/>
      </c>
      <c r="M266" s="67">
        <f>SUM(M267:M277)+SUMIFS(Aut_Ajustes_Manuais!$G:$G,Aut_Ajustes_Manuais!$I:$I,DRE!K$4,Aut_Ajustes_Manuais!$F:$F,"Marketing")</f>
        <v/>
      </c>
      <c r="N266" s="244" t="n"/>
      <c r="O266" s="42">
        <f>SUM(O267:O277)</f>
        <v/>
      </c>
      <c r="P266" s="42">
        <f>SUM(P267:P277)+SUMIFS(Aut_Ajustes_Manuais!$G:$G,Aut_Ajustes_Manuais!$I:$I,DRE!N$4,Aut_Ajustes_Manuais!$F:$F,"Marketing")</f>
        <v/>
      </c>
      <c r="Q266" s="244" t="n"/>
      <c r="R266" s="42">
        <f>SUM(R267:R277)</f>
        <v/>
      </c>
      <c r="S266" s="42">
        <f>SUM(S267:S277)+SUMIFS(Aut_Ajustes_Manuais!$G:$G,Aut_Ajustes_Manuais!$I:$I,DRE!Q$4,Aut_Ajustes_Manuais!$F:$F,"Marketing")</f>
        <v/>
      </c>
      <c r="T266" s="244" t="n"/>
      <c r="U266" s="42">
        <f>SUM(U267:U277)</f>
        <v/>
      </c>
      <c r="V266" s="43">
        <f>SUM(V267:V277)+SUMIFS(Aut_Ajustes_Manuais!$G:$G,Aut_Ajustes_Manuais!$I:$I,DRE!T$4,Aut_Ajustes_Manuais!$F:$F,"Marketing")</f>
        <v/>
      </c>
      <c r="W266" s="244" t="n"/>
      <c r="X266" s="42">
        <f>SUM(X267:X277)</f>
        <v/>
      </c>
      <c r="Y266" s="43">
        <f>SUM(Y267:Y277)+SUMIFS(Aut_Ajustes_Manuais!$G:$G,Aut_Ajustes_Manuais!$I:$I,DRE!W$4,Aut_Ajustes_Manuais!$F:$F,"Marketing")</f>
        <v/>
      </c>
      <c r="Z266" s="244" t="n"/>
      <c r="AA266" s="42">
        <f>SUM(AA267:AA277)</f>
        <v/>
      </c>
      <c r="AB266" s="43">
        <f>SUM(AB267:AB277)+SUMIFS(Aut_Ajustes_Manuais!$G:$G,Aut_Ajustes_Manuais!$I:$I,DRE!Z$4,Aut_Ajustes_Manuais!$F:$F,"Marketing")</f>
        <v/>
      </c>
      <c r="AC266" s="244" t="n"/>
      <c r="AD266" s="42">
        <f>SUM(AD267:AD277)</f>
        <v/>
      </c>
      <c r="AE266" s="43">
        <f>SUM(AE267:AE277)+SUMIFS(Aut_Ajustes_Manuais!$G:$G,Aut_Ajustes_Manuais!$I:$I,DRE!AC$4,Aut_Ajustes_Manuais!$F:$F,"Marketing")</f>
        <v/>
      </c>
      <c r="AF266" s="244" t="n"/>
      <c r="AG266" s="42">
        <f>SUM(AG267:AG277)</f>
        <v/>
      </c>
      <c r="AH266" s="43">
        <f>SUM(AH267:AH277)+SUMIFS(Aut_Ajustes_Manuais!$G:$G,Aut_Ajustes_Manuais!$I:$I,DRE!AF$4,Aut_Ajustes_Manuais!$F:$F,"Marketing")</f>
        <v/>
      </c>
      <c r="AI266" s="244" t="n"/>
      <c r="AJ266" s="42">
        <f>SUM(AJ267:AJ277)</f>
        <v/>
      </c>
      <c r="AK266" s="43">
        <f>SUM(AK267:AK277)+SUMIFS(Aut_Ajustes_Manuais!$G:$G,Aut_Ajustes_Manuais!$I:$I,DRE!AI$4,Aut_Ajustes_Manuais!$F:$F,"Marketing")</f>
        <v/>
      </c>
      <c r="AL266" s="244" t="n"/>
      <c r="AM266" s="42">
        <f>SUM(AM267:AM277)</f>
        <v/>
      </c>
      <c r="AN266" s="43">
        <f>SUM(AN267:AN277)+SUMIFS(Aut_Ajustes_Manuais!$G:$G,Aut_Ajustes_Manuais!$I:$I,DRE!AL$4,Aut_Ajustes_Manuais!$F:$F,"Marketing")</f>
        <v/>
      </c>
      <c r="AO266" s="244" t="n"/>
      <c r="AP266" s="42">
        <f>SUM(AP267:AP277)</f>
        <v/>
      </c>
      <c r="AQ266" s="43">
        <f>SUM(AQ267:AQ277)+SUMIFS(Aut_Ajustes_Manuais!$G:$G,Aut_Ajustes_Manuais!$I:$I,DRE!AO$4,Aut_Ajustes_Manuais!$F:$F,"Marketing")</f>
        <v/>
      </c>
      <c r="AR266" s="244">
        <f>SUM(AR267:AR277)</f>
        <v/>
      </c>
      <c r="AS266" s="42">
        <f>SUM(AS267:AS277)</f>
        <v/>
      </c>
      <c r="AT266" s="43">
        <f>SUM(AT267:AT277)</f>
        <v/>
      </c>
      <c r="AU266" s="244">
        <f>SUM(AU267:AU277)</f>
        <v/>
      </c>
      <c r="AV266" s="42">
        <f>SUM(AV267:AV277)</f>
        <v/>
      </c>
      <c r="AW266" s="43">
        <f>SUM(AW267:AW277)</f>
        <v/>
      </c>
      <c r="AX266" s="244">
        <f>SUM(AX267:AX277)</f>
        <v/>
      </c>
      <c r="AY266" s="42">
        <f>SUM(AY267:AY277)</f>
        <v/>
      </c>
      <c r="AZ266" s="43">
        <f>SUM(AZ267:AZ277)</f>
        <v/>
      </c>
      <c r="BA266" s="244">
        <f>SUM(BA267:BA277)</f>
        <v/>
      </c>
      <c r="BB266" s="42">
        <f>SUM(BB267:BB277)</f>
        <v/>
      </c>
      <c r="BC266" s="43">
        <f>SUM(BC267:BC277)</f>
        <v/>
      </c>
      <c r="BD266" s="244">
        <f>SUM(BD267:BD277)</f>
        <v/>
      </c>
      <c r="BE266" s="42">
        <f>SUM(BE267:BE277)</f>
        <v/>
      </c>
      <c r="BF266" s="43">
        <f>SUM(BF267:BF277)</f>
        <v/>
      </c>
      <c r="BG266" s="244">
        <f>SUM(BG267:BG277)</f>
        <v/>
      </c>
      <c r="BH266" s="42">
        <f>SUM(BH267:BH277)</f>
        <v/>
      </c>
      <c r="BI266" s="43">
        <f>SUM(BI267:BI277)</f>
        <v/>
      </c>
    </row>
    <row r="267" hidden="1" outlineLevel="1" customFormat="1" s="498">
      <c r="A267" s="22" t="inlineStr">
        <is>
          <t>Agência de Propaganda</t>
        </is>
      </c>
      <c r="B267" s="23" t="n"/>
      <c r="C267" s="24" t="inlineStr">
        <is>
          <t>Contr/Prov</t>
        </is>
      </c>
      <c r="D267" s="116" t="n"/>
      <c r="E267" s="115" t="n"/>
      <c r="F267" s="56" t="n"/>
      <c r="G267" s="33" t="n"/>
      <c r="H267" s="241" t="n"/>
      <c r="I267" s="27">
        <f>-SUMIFS(T_ORCAMENTOS!$E:$E,T_ORCAMENTOS!$C:$C,"Agência de Propaganda",T_ORCAMENTOS!$H:$H,"1/2026")</f>
        <v/>
      </c>
      <c r="J267" s="28">
        <f>SUMIFS(Aut_BlueMe_Sem_Pedido!$J:$J,Aut_BlueMe_Sem_Pedido!$Q:$Q,DRE!H$4,Aut_BlueMe_Sem_Pedido!$H:$H,DRE!$A267)+SUMIFS(Aut_Ajustes_Manuais!$G:$G,Aut_Ajustes_Manuais!$I:$I,DRE!H$4,Aut_Ajustes_Manuais!$F:$F,"Agência de Propaganda")</f>
        <v/>
      </c>
      <c r="K267" s="241" t="n"/>
      <c r="L267" s="27">
        <f>-SUMIFS(T_ORCAMENTOS!$E:$E,T_ORCAMENTOS!$C:$C,"Agência de Propaganda",T_ORCAMENTOS!$H:$H,"2/2026")</f>
        <v/>
      </c>
      <c r="M267" s="28">
        <f>SUMIFS(Aut_BlueMe_Sem_Pedido!$J:$J,Aut_BlueMe_Sem_Pedido!$Q:$Q,DRE!K$4,Aut_BlueMe_Sem_Pedido!$H:$H,DRE!$A267)+SUMIFS(Aut_Ajustes_Manuais!$G:$G,Aut_Ajustes_Manuais!$I:$I,DRE!K$4,Aut_Ajustes_Manuais!$F:$F,"Agência de Propaganda")</f>
        <v/>
      </c>
      <c r="N267" s="241" t="n"/>
      <c r="O267" s="27">
        <f>-SUMIFS(T_ORCAMENTOS!$E:$E,T_ORCAMENTOS!$C:$C,"Agência de Propaganda",T_ORCAMENTOS!$H:$H,"3/2026")</f>
        <v/>
      </c>
      <c r="P267" s="27">
        <f>SUMIFS(Aut_BlueMe_Sem_Pedido!$J:$J,Aut_BlueMe_Sem_Pedido!$Q:$Q,DRE!N$4,Aut_BlueMe_Sem_Pedido!$H:$H,DRE!$A267)+SUMIFS(Aut_Ajustes_Manuais!$G:$G,Aut_Ajustes_Manuais!$I:$I,DRE!N$4,Aut_Ajustes_Manuais!$F:$F,"Agência de Propaganda")</f>
        <v/>
      </c>
      <c r="Q267" s="241" t="n"/>
      <c r="R267" s="27">
        <f>-SUMIFS(T_ORCAMENTOS!$E:$E,T_ORCAMENTOS!$C:$C,"Agência de Propaganda",T_ORCAMENTOS!$H:$H,"4/2026")</f>
        <v/>
      </c>
      <c r="S267" s="27">
        <f>SUMIFS(Aut_BlueMe_Sem_Pedido!$J:$J,Aut_BlueMe_Sem_Pedido!$Q:$Q,DRE!Q$4,Aut_BlueMe_Sem_Pedido!$H:$H,DRE!$A267)+SUMIFS(Aut_Ajustes_Manuais!$G:$G,Aut_Ajustes_Manuais!$I:$I,DRE!Q$4,Aut_Ajustes_Manuais!$F:$F,"Agência de Propaganda")</f>
        <v/>
      </c>
      <c r="T267" s="241" t="n"/>
      <c r="U267" s="27">
        <f>-SUMIFS(T_ORCAMENTOS!$E:$E,T_ORCAMENTOS!$C:$C,"Agência de Propaganda",T_ORCAMENTOS!$H:$H,"5/2026")</f>
        <v/>
      </c>
      <c r="V267" s="28">
        <f>SUMIFS(Aut_BlueMe_Sem_Pedido!$J:$J,Aut_BlueMe_Sem_Pedido!$Q:$Q,DRE!T$4,Aut_BlueMe_Sem_Pedido!$H:$H,DRE!$A267)+SUMIFS(Aut_Ajustes_Manuais!$G:$G,Aut_Ajustes_Manuais!$I:$I,DRE!T$4,Aut_Ajustes_Manuais!$F:$F,"Agência de Propaganda")</f>
        <v/>
      </c>
      <c r="W267" s="241" t="n"/>
      <c r="X267" s="27">
        <f>-SUMIFS(T_ORCAMENTOS!$E:$E,T_ORCAMENTOS!$C:$C,"Agência de Propaganda",T_ORCAMENTOS!$H:$H,"6/2026")</f>
        <v/>
      </c>
      <c r="Y267" s="28">
        <f>SUMIFS(Aut_BlueMe_Sem_Pedido!$J:$J,Aut_BlueMe_Sem_Pedido!$Q:$Q,DRE!W$4,Aut_BlueMe_Sem_Pedido!$H:$H,DRE!$A267)+SUMIFS(Aut_Ajustes_Manuais!$G:$G,Aut_Ajustes_Manuais!$I:$I,DRE!W$4,Aut_Ajustes_Manuais!$F:$F,"Agência de Propaganda")</f>
        <v/>
      </c>
      <c r="Z267" s="241" t="n"/>
      <c r="AA267" s="27">
        <f>-SUMIFS(T_ORCAMENTOS!$E:$E,T_ORCAMENTOS!$C:$C,"Agência de Propaganda",T_ORCAMENTOS!$H:$H,"7/2026")</f>
        <v/>
      </c>
      <c r="AB267" s="28">
        <f>SUMIFS(Aut_BlueMe_Sem_Pedido!$J:$J,Aut_BlueMe_Sem_Pedido!$Q:$Q,DRE!Z$4,Aut_BlueMe_Sem_Pedido!$H:$H,DRE!$A267)+SUMIFS(Aut_Ajustes_Manuais!$G:$G,Aut_Ajustes_Manuais!$I:$I,DRE!Z$4,Aut_Ajustes_Manuais!$F:$F,"Agência de Propaganda")</f>
        <v/>
      </c>
      <c r="AC267" s="241" t="n"/>
      <c r="AD267" s="27">
        <f>-SUMIFS(T_ORCAMENTOS!$E:$E,T_ORCAMENTOS!$C:$C,"Agência de Propaganda",T_ORCAMENTOS!$H:$H,"8/2026")</f>
        <v/>
      </c>
      <c r="AE267" s="28">
        <f>SUMIFS(Aut_BlueMe_Sem_Pedido!$J:$J,Aut_BlueMe_Sem_Pedido!$Q:$Q,DRE!AC$4,Aut_BlueMe_Sem_Pedido!$H:$H,DRE!$A267)+SUMIFS(Aut_Ajustes_Manuais!$G:$G,Aut_Ajustes_Manuais!$I:$I,DRE!AC$4,Aut_Ajustes_Manuais!$F:$F,"Agência de Propaganda")</f>
        <v/>
      </c>
      <c r="AF267" s="241" t="n"/>
      <c r="AG267" s="27">
        <f>-SUMIFS(T_ORCAMENTOS!$E:$E,T_ORCAMENTOS!$C:$C,"Agência de Propaganda",T_ORCAMENTOS!$H:$H,"9/2026")</f>
        <v/>
      </c>
      <c r="AH267" s="28">
        <f>SUMIFS(Aut_BlueMe_Sem_Pedido!$J:$J,Aut_BlueMe_Sem_Pedido!$Q:$Q,DRE!AF$4,Aut_BlueMe_Sem_Pedido!$H:$H,DRE!$A267)+SUMIFS(Aut_Ajustes_Manuais!$G:$G,Aut_Ajustes_Manuais!$I:$I,DRE!AF$4,Aut_Ajustes_Manuais!$F:$F,"Agência de Propaganda")</f>
        <v/>
      </c>
      <c r="AI267" s="241" t="n"/>
      <c r="AJ267" s="27">
        <f>-SUMIFS(T_ORCAMENTOS!$E:$E,T_ORCAMENTOS!$C:$C,"Agência de Propaganda",T_ORCAMENTOS!$H:$H,"10/2026")</f>
        <v/>
      </c>
      <c r="AK267" s="28">
        <f>SUMIFS(Aut_BlueMe_Sem_Pedido!$J:$J,Aut_BlueMe_Sem_Pedido!$Q:$Q,DRE!AI$4,Aut_BlueMe_Sem_Pedido!$H:$H,DRE!$A267)+SUMIFS(Aut_Ajustes_Manuais!$G:$G,Aut_Ajustes_Manuais!$I:$I,DRE!AI$4,Aut_Ajustes_Manuais!$F:$F,"Agência de Propaganda")</f>
        <v/>
      </c>
      <c r="AL267" s="241" t="n"/>
      <c r="AM267" s="27">
        <f>-SUMIFS(T_ORCAMENTOS!$E:$E,T_ORCAMENTOS!$C:$C,"Agência de Propaganda",T_ORCAMENTOS!$H:$H,"11/2026")</f>
        <v/>
      </c>
      <c r="AN267" s="28">
        <f>SUMIFS(Aut_BlueMe_Sem_Pedido!$J:$J,Aut_BlueMe_Sem_Pedido!$Q:$Q,DRE!AL$4,Aut_BlueMe_Sem_Pedido!$H:$H,DRE!$A267)+SUMIFS(Aut_Ajustes_Manuais!$G:$G,Aut_Ajustes_Manuais!$I:$I,DRE!AL$4,Aut_Ajustes_Manuais!$F:$F,"Agência de Propaganda")</f>
        <v/>
      </c>
      <c r="AO267" s="241" t="n"/>
      <c r="AP267" s="27">
        <f>-SUMIFS(T_ORCAMENTOS!$E:$E,T_ORCAMENTOS!$C:$C,"Agência de Propaganda",T_ORCAMENTOS!$H:$H,"12/2026")</f>
        <v/>
      </c>
      <c r="AQ267" s="28">
        <f>SUMIFS(Aut_BlueMe_Sem_Pedido!$J:$J,Aut_BlueMe_Sem_Pedido!$Q:$Q,DRE!AO$4,Aut_BlueMe_Sem_Pedido!$H:$H,DRE!$A267)+SUMIFS(Aut_Ajustes_Manuais!$G:$G,Aut_Ajustes_Manuais!$I:$I,DRE!AO$4,Aut_Ajustes_Manuais!$F:$F,"Agência de Propaganda")</f>
        <v/>
      </c>
      <c r="AR267" s="241">
        <f>SUMIFS($H267:$AO267,$H$5:$AO$5,"&lt;"&amp;MONTH(TODAY()),$H$6:$AO$6,"REAL 25")</f>
        <v/>
      </c>
      <c r="AS267" s="27">
        <f>SUMIFS($I267:$AP267,$I$5:$AP$5,"&lt;"&amp;MONTH(TODAY()),$I$6:$AP$6,"ORÇADO ")</f>
        <v/>
      </c>
      <c r="AT267" s="28">
        <f>SUMIFS($J267:$AQ267,$J$5:$AQ$5,"&lt;"&amp;MONTH(TODAY()),$J$6:$AQ$6,"REAL 26")</f>
        <v/>
      </c>
      <c r="AU267" s="241">
        <f>SUM(H267,K267,N267,Q267,T267,W267,Z267,AC267,AF267,AI267,AL267,AO267)</f>
        <v/>
      </c>
      <c r="AV267" s="27">
        <f>SUM(I267,L267,O267,R267,U267,X267,AA267,AD267,AG267,AJ267,AM267,AP267)</f>
        <v/>
      </c>
      <c r="AW267" s="28">
        <f>SUM(J267,M267,P267,S267,V267,Y267,AB267,AE267,AH267,AK267,AN267,AQ267)</f>
        <v/>
      </c>
      <c r="AX267" s="241">
        <f>SUM(H267,K267,N267)</f>
        <v/>
      </c>
      <c r="AY267" s="27">
        <f>SUM(I267,L267,O267)</f>
        <v/>
      </c>
      <c r="AZ267" s="28">
        <f>SUM(J267,M267,P267)</f>
        <v/>
      </c>
      <c r="BA267" s="241">
        <f>SUM(Q267,T267,W267)</f>
        <v/>
      </c>
      <c r="BB267" s="27">
        <f>SUM(R267,U267,X267)</f>
        <v/>
      </c>
      <c r="BC267" s="28">
        <f>SUM(S267,V267,Y267)</f>
        <v/>
      </c>
      <c r="BD267" s="241">
        <f>SUM(Z267,AC267,AF267)</f>
        <v/>
      </c>
      <c r="BE267" s="27">
        <f>SUM(AA267,AD267,AG267)</f>
        <v/>
      </c>
      <c r="BF267" s="28">
        <f>SUM(AB267,AE267,AH267)</f>
        <v/>
      </c>
      <c r="BG267" s="241">
        <f>SUM(AI267,AL267,AO267)</f>
        <v/>
      </c>
      <c r="BH267" s="27">
        <f>SUM(AJ267,AM267,AP267)</f>
        <v/>
      </c>
      <c r="BI267" s="28">
        <f>SUM(AK267,AN267,AQ267)</f>
        <v/>
      </c>
    </row>
    <row r="268" hidden="1" outlineLevel="1" customFormat="1" s="498">
      <c r="A268" s="22" t="inlineStr">
        <is>
          <t>Assessoria de Imprensa</t>
        </is>
      </c>
      <c r="B268" s="23" t="n"/>
      <c r="C268" s="24" t="inlineStr">
        <is>
          <t>Contr/Prov</t>
        </is>
      </c>
      <c r="D268" s="116" t="n"/>
      <c r="E268" s="115" t="n"/>
      <c r="F268" s="56" t="n"/>
      <c r="G268" s="33" t="n"/>
      <c r="H268" s="241" t="n"/>
      <c r="I268" s="27">
        <f>-SUMIFS(T_ORCAMENTOS!$E:$E,T_ORCAMENTOS!$C:$C,"Assessoria de Imprensa",T_ORCAMENTOS!$H:$H,"1/2026")</f>
        <v/>
      </c>
      <c r="J268" s="28">
        <f>SUMIFS(Aut_BlueMe_Sem_Pedido!$J:$J,Aut_BlueMe_Sem_Pedido!$Q:$Q,DRE!H$4,Aut_BlueMe_Sem_Pedido!$H:$H,DRE!$A268)+SUMIFS(Aut_Ajustes_Manuais!$G:$G,Aut_Ajustes_Manuais!$I:$I,DRE!H$4,Aut_Ajustes_Manuais!$F:$F,"Assessoria de Imprensa")</f>
        <v/>
      </c>
      <c r="K268" s="241" t="n"/>
      <c r="L268" s="27">
        <f>-SUMIFS(T_ORCAMENTOS!$E:$E,T_ORCAMENTOS!$C:$C,"Assessoria de Imprensa",T_ORCAMENTOS!$H:$H,"2/2026")</f>
        <v/>
      </c>
      <c r="M268" s="28">
        <f>SUMIFS(Aut_BlueMe_Sem_Pedido!$J:$J,Aut_BlueMe_Sem_Pedido!$Q:$Q,DRE!K$4,Aut_BlueMe_Sem_Pedido!$H:$H,DRE!$A268)+SUMIFS(Aut_Ajustes_Manuais!$G:$G,Aut_Ajustes_Manuais!$I:$I,DRE!K$4,Aut_Ajustes_Manuais!$F:$F,"Assessoria de Imprensa")</f>
        <v/>
      </c>
      <c r="N268" s="241" t="n"/>
      <c r="O268" s="27">
        <f>-SUMIFS(T_ORCAMENTOS!$E:$E,T_ORCAMENTOS!$C:$C,"Assessoria de Imprensa",T_ORCAMENTOS!$H:$H,"3/2026")</f>
        <v/>
      </c>
      <c r="P268" s="27">
        <f>SUMIFS(Aut_BlueMe_Sem_Pedido!$J:$J,Aut_BlueMe_Sem_Pedido!$Q:$Q,DRE!N$4,Aut_BlueMe_Sem_Pedido!$H:$H,DRE!$A268)+SUMIFS(Aut_Ajustes_Manuais!$G:$G,Aut_Ajustes_Manuais!$I:$I,DRE!N$4,Aut_Ajustes_Manuais!$F:$F,"Assessoria de Imprensa")</f>
        <v/>
      </c>
      <c r="Q268" s="241" t="n"/>
      <c r="R268" s="27">
        <f>-SUMIFS(T_ORCAMENTOS!$E:$E,T_ORCAMENTOS!$C:$C,"Assessoria de Imprensa",T_ORCAMENTOS!$H:$H,"4/2026")</f>
        <v/>
      </c>
      <c r="S268" s="27">
        <f>SUMIFS(Aut_BlueMe_Sem_Pedido!$J:$J,Aut_BlueMe_Sem_Pedido!$Q:$Q,DRE!Q$4,Aut_BlueMe_Sem_Pedido!$H:$H,DRE!$A268)+SUMIFS(Aut_Ajustes_Manuais!$G:$G,Aut_Ajustes_Manuais!$I:$I,DRE!Q$4,Aut_Ajustes_Manuais!$F:$F,"Assessoria de Imprensa")</f>
        <v/>
      </c>
      <c r="T268" s="241" t="n"/>
      <c r="U268" s="27">
        <f>-SUMIFS(T_ORCAMENTOS!$E:$E,T_ORCAMENTOS!$C:$C,"Assessoria de Imprensa",T_ORCAMENTOS!$H:$H,"5/2026")</f>
        <v/>
      </c>
      <c r="V268" s="28">
        <f>SUMIFS(Aut_BlueMe_Sem_Pedido!$J:$J,Aut_BlueMe_Sem_Pedido!$Q:$Q,DRE!T$4,Aut_BlueMe_Sem_Pedido!$H:$H,DRE!$A268)+SUMIFS(Aut_Ajustes_Manuais!$G:$G,Aut_Ajustes_Manuais!$I:$I,DRE!T$4,Aut_Ajustes_Manuais!$F:$F,"Assessoria de Imprensa")</f>
        <v/>
      </c>
      <c r="W268" s="241" t="n"/>
      <c r="X268" s="27">
        <f>-SUMIFS(T_ORCAMENTOS!$E:$E,T_ORCAMENTOS!$C:$C,"Assessoria de Imprensa",T_ORCAMENTOS!$H:$H,"6/2026")</f>
        <v/>
      </c>
      <c r="Y268" s="28">
        <f>SUMIFS(Aut_BlueMe_Sem_Pedido!$J:$J,Aut_BlueMe_Sem_Pedido!$Q:$Q,DRE!W$4,Aut_BlueMe_Sem_Pedido!$H:$H,DRE!$A268)+SUMIFS(Aut_Ajustes_Manuais!$G:$G,Aut_Ajustes_Manuais!$I:$I,DRE!W$4,Aut_Ajustes_Manuais!$F:$F,"Assessoria de Imprensa")</f>
        <v/>
      </c>
      <c r="Z268" s="241" t="n"/>
      <c r="AA268" s="27">
        <f>-SUMIFS(T_ORCAMENTOS!$E:$E,T_ORCAMENTOS!$C:$C,"Assessoria de Imprensa",T_ORCAMENTOS!$H:$H,"7/2026")</f>
        <v/>
      </c>
      <c r="AB268" s="28">
        <f>SUMIFS(Aut_BlueMe_Sem_Pedido!$J:$J,Aut_BlueMe_Sem_Pedido!$Q:$Q,DRE!Z$4,Aut_BlueMe_Sem_Pedido!$H:$H,DRE!$A268)+SUMIFS(Aut_Ajustes_Manuais!$G:$G,Aut_Ajustes_Manuais!$I:$I,DRE!Z$4,Aut_Ajustes_Manuais!$F:$F,"Assessoria de Imprensa")</f>
        <v/>
      </c>
      <c r="AC268" s="241" t="n"/>
      <c r="AD268" s="27">
        <f>-SUMIFS(T_ORCAMENTOS!$E:$E,T_ORCAMENTOS!$C:$C,"Assessoria de Imprensa",T_ORCAMENTOS!$H:$H,"8/2026")</f>
        <v/>
      </c>
      <c r="AE268" s="28">
        <f>SUMIFS(Aut_BlueMe_Sem_Pedido!$J:$J,Aut_BlueMe_Sem_Pedido!$Q:$Q,DRE!AC$4,Aut_BlueMe_Sem_Pedido!$H:$H,DRE!$A268)+SUMIFS(Aut_Ajustes_Manuais!$G:$G,Aut_Ajustes_Manuais!$I:$I,DRE!AC$4,Aut_Ajustes_Manuais!$F:$F,"Assessoria de Imprensa")</f>
        <v/>
      </c>
      <c r="AF268" s="241" t="n"/>
      <c r="AG268" s="27">
        <f>-SUMIFS(T_ORCAMENTOS!$E:$E,T_ORCAMENTOS!$C:$C,"Assessoria de Imprensa",T_ORCAMENTOS!$H:$H,"9/2026")</f>
        <v/>
      </c>
      <c r="AH268" s="28">
        <f>SUMIFS(Aut_BlueMe_Sem_Pedido!$J:$J,Aut_BlueMe_Sem_Pedido!$Q:$Q,DRE!AF$4,Aut_BlueMe_Sem_Pedido!$H:$H,DRE!$A268)+SUMIFS(Aut_Ajustes_Manuais!$G:$G,Aut_Ajustes_Manuais!$I:$I,DRE!AF$4,Aut_Ajustes_Manuais!$F:$F,"Assessoria de Imprensa")</f>
        <v/>
      </c>
      <c r="AI268" s="241" t="n"/>
      <c r="AJ268" s="27">
        <f>-SUMIFS(T_ORCAMENTOS!$E:$E,T_ORCAMENTOS!$C:$C,"Assessoria de Imprensa",T_ORCAMENTOS!$H:$H,"10/2026")</f>
        <v/>
      </c>
      <c r="AK268" s="28">
        <f>SUMIFS(Aut_BlueMe_Sem_Pedido!$J:$J,Aut_BlueMe_Sem_Pedido!$Q:$Q,DRE!AI$4,Aut_BlueMe_Sem_Pedido!$H:$H,DRE!$A268)+SUMIFS(Aut_Ajustes_Manuais!$G:$G,Aut_Ajustes_Manuais!$I:$I,DRE!AI$4,Aut_Ajustes_Manuais!$F:$F,"Assessoria de Imprensa")</f>
        <v/>
      </c>
      <c r="AL268" s="241" t="n"/>
      <c r="AM268" s="27">
        <f>-SUMIFS(T_ORCAMENTOS!$E:$E,T_ORCAMENTOS!$C:$C,"Assessoria de Imprensa",T_ORCAMENTOS!$H:$H,"11/2026")</f>
        <v/>
      </c>
      <c r="AN268" s="28">
        <f>SUMIFS(Aut_BlueMe_Sem_Pedido!$J:$J,Aut_BlueMe_Sem_Pedido!$Q:$Q,DRE!AL$4,Aut_BlueMe_Sem_Pedido!$H:$H,DRE!$A268)+SUMIFS(Aut_Ajustes_Manuais!$G:$G,Aut_Ajustes_Manuais!$I:$I,DRE!AL$4,Aut_Ajustes_Manuais!$F:$F,"Assessoria de Imprensa")</f>
        <v/>
      </c>
      <c r="AO268" s="241" t="n"/>
      <c r="AP268" s="27">
        <f>-SUMIFS(T_ORCAMENTOS!$E:$E,T_ORCAMENTOS!$C:$C,"Assessoria de Imprensa",T_ORCAMENTOS!$H:$H,"12/2026")</f>
        <v/>
      </c>
      <c r="AQ268" s="28">
        <f>SUMIFS(Aut_BlueMe_Sem_Pedido!$J:$J,Aut_BlueMe_Sem_Pedido!$Q:$Q,DRE!AO$4,Aut_BlueMe_Sem_Pedido!$H:$H,DRE!$A268)+SUMIFS(Aut_Ajustes_Manuais!$G:$G,Aut_Ajustes_Manuais!$I:$I,DRE!AO$4,Aut_Ajustes_Manuais!$F:$F,"Assessoria de Imprensa")</f>
        <v/>
      </c>
      <c r="AR268" s="241">
        <f>SUMIFS($H268:$AO268,$H$5:$AO$5,"&lt;"&amp;MONTH(TODAY()),$H$6:$AO$6,"REAL 25")</f>
        <v/>
      </c>
      <c r="AS268" s="27">
        <f>SUMIFS($I268:$AP268,$I$5:$AP$5,"&lt;"&amp;MONTH(TODAY()),$I$6:$AP$6,"ORÇADO ")</f>
        <v/>
      </c>
      <c r="AT268" s="28">
        <f>SUMIFS($J268:$AQ268,$J$5:$AQ$5,"&lt;"&amp;MONTH(TODAY()),$J$6:$AQ$6,"REAL 26")</f>
        <v/>
      </c>
      <c r="AU268" s="241">
        <f>SUM(H268,K268,N268,Q268,T268,W268,Z268,AC268,AF268,AI268,AL268,AO268)</f>
        <v/>
      </c>
      <c r="AV268" s="27">
        <f>SUM(I268,L268,O268,R268,U268,X268,AA268,AD268,AG268,AJ268,AM268,AP268)</f>
        <v/>
      </c>
      <c r="AW268" s="28">
        <f>SUM(J268,M268,P268,S268,V268,Y268,AB268,AE268,AH268,AK268,AN268,AQ268)</f>
        <v/>
      </c>
      <c r="AX268" s="241">
        <f>SUM(H268,K268,N268)</f>
        <v/>
      </c>
      <c r="AY268" s="27">
        <f>SUM(I268,L268,O268)</f>
        <v/>
      </c>
      <c r="AZ268" s="28">
        <f>SUM(J268,M268,P268)</f>
        <v/>
      </c>
      <c r="BA268" s="241">
        <f>SUM(Q268,T268,W268)</f>
        <v/>
      </c>
      <c r="BB268" s="27">
        <f>SUM(R268,U268,X268)</f>
        <v/>
      </c>
      <c r="BC268" s="28">
        <f>SUM(S268,V268,Y268)</f>
        <v/>
      </c>
      <c r="BD268" s="241">
        <f>SUM(Z268,AC268,AF268)</f>
        <v/>
      </c>
      <c r="BE268" s="27">
        <f>SUM(AA268,AD268,AG268)</f>
        <v/>
      </c>
      <c r="BF268" s="28">
        <f>SUM(AB268,AE268,AH268)</f>
        <v/>
      </c>
      <c r="BG268" s="241">
        <f>SUM(AI268,AL268,AO268)</f>
        <v/>
      </c>
      <c r="BH268" s="27">
        <f>SUM(AJ268,AM268,AP268)</f>
        <v/>
      </c>
      <c r="BI268" s="28">
        <f>SUM(AK268,AN268,AQ268)</f>
        <v/>
      </c>
    </row>
    <row r="269" hidden="1" outlineLevel="1" customFormat="1" s="498">
      <c r="A269" s="22" t="inlineStr">
        <is>
          <t>Assessoria de Relações Públicas</t>
        </is>
      </c>
      <c r="B269" s="23" t="n"/>
      <c r="C269" s="24" t="inlineStr">
        <is>
          <t>Contr/Prov</t>
        </is>
      </c>
      <c r="D269" s="116" t="n"/>
      <c r="E269" s="115" t="n"/>
      <c r="F269" s="56" t="n"/>
      <c r="G269" s="33" t="n"/>
      <c r="H269" s="241" t="n"/>
      <c r="I269" s="27">
        <f>-SUMIFS(T_ORCAMENTOS!$E:$E,T_ORCAMENTOS!$C:$C,"Assessoria de Relações Públicas",T_ORCAMENTOS!$H:$H,"1/2026")</f>
        <v/>
      </c>
      <c r="J269" s="28">
        <f>SUMIFS(Aut_BlueMe_Sem_Pedido!$J:$J,Aut_BlueMe_Sem_Pedido!$Q:$Q,DRE!H$4,Aut_BlueMe_Sem_Pedido!$H:$H,DRE!$A269)+SUMIFS(Aut_Ajustes_Manuais!$G:$G,Aut_Ajustes_Manuais!$I:$I,DRE!H$4,Aut_Ajustes_Manuais!$F:$F,"Assessoria de Relações Públicas")</f>
        <v/>
      </c>
      <c r="K269" s="241" t="n"/>
      <c r="L269" s="27">
        <f>-SUMIFS(T_ORCAMENTOS!$E:$E,T_ORCAMENTOS!$C:$C,"Assessoria de Relações Públicas",T_ORCAMENTOS!$H:$H,"2/2026")</f>
        <v/>
      </c>
      <c r="M269" s="28">
        <f>SUMIFS(Aut_BlueMe_Sem_Pedido!$J:$J,Aut_BlueMe_Sem_Pedido!$Q:$Q,DRE!K$4,Aut_BlueMe_Sem_Pedido!$H:$H,DRE!$A269)+SUMIFS(Aut_Ajustes_Manuais!$G:$G,Aut_Ajustes_Manuais!$I:$I,DRE!K$4,Aut_Ajustes_Manuais!$F:$F,"Assessoria de Relações Públicas")</f>
        <v/>
      </c>
      <c r="N269" s="241" t="n"/>
      <c r="O269" s="27">
        <f>-SUMIFS(T_ORCAMENTOS!$E:$E,T_ORCAMENTOS!$C:$C,"Assessoria de Relações Públicas",T_ORCAMENTOS!$H:$H,"3/2026")</f>
        <v/>
      </c>
      <c r="P269" s="27">
        <f>SUMIFS(Aut_BlueMe_Sem_Pedido!$J:$J,Aut_BlueMe_Sem_Pedido!$Q:$Q,DRE!N$4,Aut_BlueMe_Sem_Pedido!$H:$H,DRE!$A269)+SUMIFS(Aut_Ajustes_Manuais!$G:$G,Aut_Ajustes_Manuais!$I:$I,DRE!N$4,Aut_Ajustes_Manuais!$F:$F,"Assessoria de Relações Públicas")</f>
        <v/>
      </c>
      <c r="Q269" s="241" t="n"/>
      <c r="R269" s="27">
        <f>-SUMIFS(T_ORCAMENTOS!$E:$E,T_ORCAMENTOS!$C:$C,"Assessoria de Relações Públicas",T_ORCAMENTOS!$H:$H,"4/2026")</f>
        <v/>
      </c>
      <c r="S269" s="27">
        <f>SUMIFS(Aut_BlueMe_Sem_Pedido!$J:$J,Aut_BlueMe_Sem_Pedido!$Q:$Q,DRE!Q$4,Aut_BlueMe_Sem_Pedido!$H:$H,DRE!$A269)+SUMIFS(Aut_Ajustes_Manuais!$G:$G,Aut_Ajustes_Manuais!$I:$I,DRE!Q$4,Aut_Ajustes_Manuais!$F:$F,"Assessoria de Relações Públicas")</f>
        <v/>
      </c>
      <c r="T269" s="241" t="n"/>
      <c r="U269" s="27">
        <f>-SUMIFS(T_ORCAMENTOS!$E:$E,T_ORCAMENTOS!$C:$C,"Assessoria de Relações Públicas",T_ORCAMENTOS!$H:$H,"5/2026")</f>
        <v/>
      </c>
      <c r="V269" s="28">
        <f>SUMIFS(Aut_BlueMe_Sem_Pedido!$J:$J,Aut_BlueMe_Sem_Pedido!$Q:$Q,DRE!T$4,Aut_BlueMe_Sem_Pedido!$H:$H,DRE!$A269)+SUMIFS(Aut_Ajustes_Manuais!$G:$G,Aut_Ajustes_Manuais!$I:$I,DRE!T$4,Aut_Ajustes_Manuais!$F:$F,"Assessoria de Relações Públicas")</f>
        <v/>
      </c>
      <c r="W269" s="241" t="n"/>
      <c r="X269" s="27">
        <f>-SUMIFS(T_ORCAMENTOS!$E:$E,T_ORCAMENTOS!$C:$C,"Assessoria de Relações Públicas",T_ORCAMENTOS!$H:$H,"6/2026")</f>
        <v/>
      </c>
      <c r="Y269" s="28">
        <f>SUMIFS(Aut_BlueMe_Sem_Pedido!$J:$J,Aut_BlueMe_Sem_Pedido!$Q:$Q,DRE!W$4,Aut_BlueMe_Sem_Pedido!$H:$H,DRE!$A269)+SUMIFS(Aut_Ajustes_Manuais!$G:$G,Aut_Ajustes_Manuais!$I:$I,DRE!W$4,Aut_Ajustes_Manuais!$F:$F,"Assessoria de Relações Públicas")</f>
        <v/>
      </c>
      <c r="Z269" s="241" t="n"/>
      <c r="AA269" s="27">
        <f>-SUMIFS(T_ORCAMENTOS!$E:$E,T_ORCAMENTOS!$C:$C,"Assessoria de Relações Públicas",T_ORCAMENTOS!$H:$H,"7/2026")</f>
        <v/>
      </c>
      <c r="AB269" s="28">
        <f>SUMIFS(Aut_BlueMe_Sem_Pedido!$J:$J,Aut_BlueMe_Sem_Pedido!$Q:$Q,DRE!Z$4,Aut_BlueMe_Sem_Pedido!$H:$H,DRE!$A269)+SUMIFS(Aut_Ajustes_Manuais!$G:$G,Aut_Ajustes_Manuais!$I:$I,DRE!Z$4,Aut_Ajustes_Manuais!$F:$F,"Assessoria de Relações Públicas")</f>
        <v/>
      </c>
      <c r="AC269" s="241" t="n"/>
      <c r="AD269" s="27">
        <f>-SUMIFS(T_ORCAMENTOS!$E:$E,T_ORCAMENTOS!$C:$C,"Assessoria de Relações Públicas",T_ORCAMENTOS!$H:$H,"8/2026")</f>
        <v/>
      </c>
      <c r="AE269" s="28">
        <f>SUMIFS(Aut_BlueMe_Sem_Pedido!$J:$J,Aut_BlueMe_Sem_Pedido!$Q:$Q,DRE!AC$4,Aut_BlueMe_Sem_Pedido!$H:$H,DRE!$A269)+SUMIFS(Aut_Ajustes_Manuais!$G:$G,Aut_Ajustes_Manuais!$I:$I,DRE!AC$4,Aut_Ajustes_Manuais!$F:$F,"Assessoria de Relações Públicas")</f>
        <v/>
      </c>
      <c r="AF269" s="241" t="n"/>
      <c r="AG269" s="27">
        <f>-SUMIFS(T_ORCAMENTOS!$E:$E,T_ORCAMENTOS!$C:$C,"Assessoria de Relações Públicas",T_ORCAMENTOS!$H:$H,"9/2026")</f>
        <v/>
      </c>
      <c r="AH269" s="28">
        <f>SUMIFS(Aut_BlueMe_Sem_Pedido!$J:$J,Aut_BlueMe_Sem_Pedido!$Q:$Q,DRE!AF$4,Aut_BlueMe_Sem_Pedido!$H:$H,DRE!$A269)+SUMIFS(Aut_Ajustes_Manuais!$G:$G,Aut_Ajustes_Manuais!$I:$I,DRE!AF$4,Aut_Ajustes_Manuais!$F:$F,"Assessoria de Relações Públicas")</f>
        <v/>
      </c>
      <c r="AI269" s="241" t="n"/>
      <c r="AJ269" s="27">
        <f>-SUMIFS(T_ORCAMENTOS!$E:$E,T_ORCAMENTOS!$C:$C,"Assessoria de Relações Públicas",T_ORCAMENTOS!$H:$H,"10/2026")</f>
        <v/>
      </c>
      <c r="AK269" s="28">
        <f>SUMIFS(Aut_BlueMe_Sem_Pedido!$J:$J,Aut_BlueMe_Sem_Pedido!$Q:$Q,DRE!AI$4,Aut_BlueMe_Sem_Pedido!$H:$H,DRE!$A269)+SUMIFS(Aut_Ajustes_Manuais!$G:$G,Aut_Ajustes_Manuais!$I:$I,DRE!AI$4,Aut_Ajustes_Manuais!$F:$F,"Assessoria de Relações Públicas")</f>
        <v/>
      </c>
      <c r="AL269" s="241" t="n"/>
      <c r="AM269" s="27">
        <f>-SUMIFS(T_ORCAMENTOS!$E:$E,T_ORCAMENTOS!$C:$C,"Assessoria de Relações Públicas",T_ORCAMENTOS!$H:$H,"11/2026")</f>
        <v/>
      </c>
      <c r="AN269" s="28">
        <f>SUMIFS(Aut_BlueMe_Sem_Pedido!$J:$J,Aut_BlueMe_Sem_Pedido!$Q:$Q,DRE!AL$4,Aut_BlueMe_Sem_Pedido!$H:$H,DRE!$A269)+SUMIFS(Aut_Ajustes_Manuais!$G:$G,Aut_Ajustes_Manuais!$I:$I,DRE!AL$4,Aut_Ajustes_Manuais!$F:$F,"Assessoria de Relações Públicas")</f>
        <v/>
      </c>
      <c r="AO269" s="241" t="n"/>
      <c r="AP269" s="27">
        <f>-SUMIFS(T_ORCAMENTOS!$E:$E,T_ORCAMENTOS!$C:$C,"Assessoria de Relações Públicas",T_ORCAMENTOS!$H:$H,"12/2026")</f>
        <v/>
      </c>
      <c r="AQ269" s="28">
        <f>SUMIFS(Aut_BlueMe_Sem_Pedido!$J:$J,Aut_BlueMe_Sem_Pedido!$Q:$Q,DRE!AO$4,Aut_BlueMe_Sem_Pedido!$H:$H,DRE!$A269)+SUMIFS(Aut_Ajustes_Manuais!$G:$G,Aut_Ajustes_Manuais!$I:$I,DRE!AO$4,Aut_Ajustes_Manuais!$F:$F,"Assessoria de Relações Públicas")</f>
        <v/>
      </c>
      <c r="AR269" s="241">
        <f>SUMIFS($H269:$AO269,$H$5:$AO$5,"&lt;"&amp;MONTH(TODAY()),$H$6:$AO$6,"REAL 25")</f>
        <v/>
      </c>
      <c r="AS269" s="27">
        <f>SUMIFS($I269:$AP269,$I$5:$AP$5,"&lt;"&amp;MONTH(TODAY()),$I$6:$AP$6,"ORÇADO ")</f>
        <v/>
      </c>
      <c r="AT269" s="28">
        <f>SUMIFS($J269:$AQ269,$J$5:$AQ$5,"&lt;"&amp;MONTH(TODAY()),$J$6:$AQ$6,"REAL 26")</f>
        <v/>
      </c>
      <c r="AU269" s="241">
        <f>SUM(H269,K269,N269,Q269,T269,W269,Z269,AC269,AF269,AI269,AL269,AO269)</f>
        <v/>
      </c>
      <c r="AV269" s="27">
        <f>SUM(I269,L269,O269,R269,U269,X269,AA269,AD269,AG269,AJ269,AM269,AP269)</f>
        <v/>
      </c>
      <c r="AW269" s="28">
        <f>SUM(J269,M269,P269,S269,V269,Y269,AB269,AE269,AH269,AK269,AN269,AQ269)</f>
        <v/>
      </c>
      <c r="AX269" s="241">
        <f>SUM(H269,K269,N269)</f>
        <v/>
      </c>
      <c r="AY269" s="27">
        <f>SUM(I269,L269,O269)</f>
        <v/>
      </c>
      <c r="AZ269" s="28">
        <f>SUM(J269,M269,P269)</f>
        <v/>
      </c>
      <c r="BA269" s="241">
        <f>SUM(Q269,T269,W269)</f>
        <v/>
      </c>
      <c r="BB269" s="27">
        <f>SUM(R269,U269,X269)</f>
        <v/>
      </c>
      <c r="BC269" s="28">
        <f>SUM(S269,V269,Y269)</f>
        <v/>
      </c>
      <c r="BD269" s="241">
        <f>SUM(Z269,AC269,AF269)</f>
        <v/>
      </c>
      <c r="BE269" s="27">
        <f>SUM(AA269,AD269,AG269)</f>
        <v/>
      </c>
      <c r="BF269" s="28">
        <f>SUM(AB269,AE269,AH269)</f>
        <v/>
      </c>
      <c r="BG269" s="241">
        <f>SUM(AI269,AL269,AO269)</f>
        <v/>
      </c>
      <c r="BH269" s="27">
        <f>SUM(AJ269,AM269,AP269)</f>
        <v/>
      </c>
      <c r="BI269" s="28">
        <f>SUM(AK269,AN269,AQ269)</f>
        <v/>
      </c>
    </row>
    <row r="270" hidden="1" outlineLevel="1" customFormat="1" s="498">
      <c r="A270" s="22" t="inlineStr">
        <is>
          <t>Influenciadores</t>
        </is>
      </c>
      <c r="B270" s="23" t="n"/>
      <c r="C270" s="24" t="inlineStr">
        <is>
          <t>Estim. Mensal</t>
        </is>
      </c>
      <c r="D270" s="121" t="n"/>
      <c r="E270" s="114" t="n"/>
      <c r="F270" s="56" t="n"/>
      <c r="G270" s="33" t="n"/>
      <c r="H270" s="241" t="n"/>
      <c r="I270" s="27">
        <f>-SUMIFS(T_ORCAMENTOS!$E:$E,T_ORCAMENTOS!$C:$C,"Influenciadores",T_ORCAMENTOS!$H:$H,"1/2026")</f>
        <v/>
      </c>
      <c r="J270" s="28">
        <f>SUMIFS(Aut_BlueMe_Sem_Pedido!$J:$J,Aut_BlueMe_Sem_Pedido!$Q:$Q,DRE!H$4,Aut_BlueMe_Sem_Pedido!$H:$H,DRE!$A270)+SUMIFS(Aut_Ajustes_Manuais!$G:$G,Aut_Ajustes_Manuais!$I:$I,DRE!H$4,Aut_Ajustes_Manuais!$F:$F,"Influenciadores")</f>
        <v/>
      </c>
      <c r="K270" s="241" t="n"/>
      <c r="L270" s="27">
        <f>-SUMIFS(T_ORCAMENTOS!$E:$E,T_ORCAMENTOS!$C:$C,"Influenciadores",T_ORCAMENTOS!$H:$H,"2/2026")</f>
        <v/>
      </c>
      <c r="M270" s="28">
        <f>SUMIFS(Aut_BlueMe_Sem_Pedido!$J:$J,Aut_BlueMe_Sem_Pedido!$Q:$Q,DRE!K$4,Aut_BlueMe_Sem_Pedido!$H:$H,DRE!$A270)+SUMIFS(Aut_Ajustes_Manuais!$G:$G,Aut_Ajustes_Manuais!$I:$I,DRE!K$4,Aut_Ajustes_Manuais!$F:$F,"Influenciadores")</f>
        <v/>
      </c>
      <c r="N270" s="241" t="n"/>
      <c r="O270" s="27">
        <f>-SUMIFS(T_ORCAMENTOS!$E:$E,T_ORCAMENTOS!$C:$C,"Influenciadores",T_ORCAMENTOS!$H:$H,"3/2026")</f>
        <v/>
      </c>
      <c r="P270" s="27">
        <f>SUMIFS(Aut_BlueMe_Sem_Pedido!$J:$J,Aut_BlueMe_Sem_Pedido!$Q:$Q,DRE!N$4,Aut_BlueMe_Sem_Pedido!$H:$H,DRE!$A270)+SUMIFS(Aut_Ajustes_Manuais!$G:$G,Aut_Ajustes_Manuais!$I:$I,DRE!N$4,Aut_Ajustes_Manuais!$F:$F,"Influenciadores")</f>
        <v/>
      </c>
      <c r="Q270" s="241" t="n"/>
      <c r="R270" s="27">
        <f>-SUMIFS(T_ORCAMENTOS!$E:$E,T_ORCAMENTOS!$C:$C,"Influenciadores",T_ORCAMENTOS!$H:$H,"4/2026")</f>
        <v/>
      </c>
      <c r="S270" s="27">
        <f>SUMIFS(Aut_BlueMe_Sem_Pedido!$J:$J,Aut_BlueMe_Sem_Pedido!$Q:$Q,DRE!Q$4,Aut_BlueMe_Sem_Pedido!$H:$H,DRE!$A270)+SUMIFS(Aut_Ajustes_Manuais!$G:$G,Aut_Ajustes_Manuais!$I:$I,DRE!Q$4,Aut_Ajustes_Manuais!$F:$F,"Influenciadores")</f>
        <v/>
      </c>
      <c r="T270" s="241" t="n"/>
      <c r="U270" s="27">
        <f>-SUMIFS(T_ORCAMENTOS!$E:$E,T_ORCAMENTOS!$C:$C,"Influenciadores",T_ORCAMENTOS!$H:$H,"5/2026")</f>
        <v/>
      </c>
      <c r="V270" s="28">
        <f>SUMIFS(Aut_BlueMe_Sem_Pedido!$J:$J,Aut_BlueMe_Sem_Pedido!$Q:$Q,DRE!T$4,Aut_BlueMe_Sem_Pedido!$H:$H,DRE!$A270)+SUMIFS(Aut_Ajustes_Manuais!$G:$G,Aut_Ajustes_Manuais!$I:$I,DRE!T$4,Aut_Ajustes_Manuais!$F:$F,"Influenciadores")</f>
        <v/>
      </c>
      <c r="W270" s="241" t="n"/>
      <c r="X270" s="27">
        <f>-SUMIFS(T_ORCAMENTOS!$E:$E,T_ORCAMENTOS!$C:$C,"Influenciadores",T_ORCAMENTOS!$H:$H,"6/2026")</f>
        <v/>
      </c>
      <c r="Y270" s="28">
        <f>SUMIFS(Aut_BlueMe_Sem_Pedido!$J:$J,Aut_BlueMe_Sem_Pedido!$Q:$Q,DRE!W$4,Aut_BlueMe_Sem_Pedido!$H:$H,DRE!$A270)+SUMIFS(Aut_Ajustes_Manuais!$G:$G,Aut_Ajustes_Manuais!$I:$I,DRE!W$4,Aut_Ajustes_Manuais!$F:$F,"Influenciadores")</f>
        <v/>
      </c>
      <c r="Z270" s="241" t="n"/>
      <c r="AA270" s="27">
        <f>-SUMIFS(T_ORCAMENTOS!$E:$E,T_ORCAMENTOS!$C:$C,"Influenciadores",T_ORCAMENTOS!$H:$H,"7/2026")</f>
        <v/>
      </c>
      <c r="AB270" s="28">
        <f>SUMIFS(Aut_BlueMe_Sem_Pedido!$J:$J,Aut_BlueMe_Sem_Pedido!$Q:$Q,DRE!Z$4,Aut_BlueMe_Sem_Pedido!$H:$H,DRE!$A270)+SUMIFS(Aut_Ajustes_Manuais!$G:$G,Aut_Ajustes_Manuais!$I:$I,DRE!Z$4,Aut_Ajustes_Manuais!$F:$F,"Influenciadores")</f>
        <v/>
      </c>
      <c r="AC270" s="241" t="n"/>
      <c r="AD270" s="27">
        <f>-SUMIFS(T_ORCAMENTOS!$E:$E,T_ORCAMENTOS!$C:$C,"Influenciadores",T_ORCAMENTOS!$H:$H,"8/2026")</f>
        <v/>
      </c>
      <c r="AE270" s="28">
        <f>SUMIFS(Aut_BlueMe_Sem_Pedido!$J:$J,Aut_BlueMe_Sem_Pedido!$Q:$Q,DRE!AC$4,Aut_BlueMe_Sem_Pedido!$H:$H,DRE!$A270)+SUMIFS(Aut_Ajustes_Manuais!$G:$G,Aut_Ajustes_Manuais!$I:$I,DRE!AC$4,Aut_Ajustes_Manuais!$F:$F,"Influenciadores")</f>
        <v/>
      </c>
      <c r="AF270" s="241" t="n"/>
      <c r="AG270" s="27">
        <f>-SUMIFS(T_ORCAMENTOS!$E:$E,T_ORCAMENTOS!$C:$C,"Influenciadores",T_ORCAMENTOS!$H:$H,"9/2026")</f>
        <v/>
      </c>
      <c r="AH270" s="28">
        <f>SUMIFS(Aut_BlueMe_Sem_Pedido!$J:$J,Aut_BlueMe_Sem_Pedido!$Q:$Q,DRE!AF$4,Aut_BlueMe_Sem_Pedido!$H:$H,DRE!$A270)+SUMIFS(Aut_Ajustes_Manuais!$G:$G,Aut_Ajustes_Manuais!$I:$I,DRE!AF$4,Aut_Ajustes_Manuais!$F:$F,"Influenciadores")</f>
        <v/>
      </c>
      <c r="AI270" s="241" t="n"/>
      <c r="AJ270" s="27">
        <f>-SUMIFS(T_ORCAMENTOS!$E:$E,T_ORCAMENTOS!$C:$C,"Influenciadores",T_ORCAMENTOS!$H:$H,"10/2026")</f>
        <v/>
      </c>
      <c r="AK270" s="28">
        <f>SUMIFS(Aut_BlueMe_Sem_Pedido!$J:$J,Aut_BlueMe_Sem_Pedido!$Q:$Q,DRE!AI$4,Aut_BlueMe_Sem_Pedido!$H:$H,DRE!$A270)+SUMIFS(Aut_Ajustes_Manuais!$G:$G,Aut_Ajustes_Manuais!$I:$I,DRE!AI$4,Aut_Ajustes_Manuais!$F:$F,"Influenciadores")</f>
        <v/>
      </c>
      <c r="AL270" s="241" t="n"/>
      <c r="AM270" s="27">
        <f>-SUMIFS(T_ORCAMENTOS!$E:$E,T_ORCAMENTOS!$C:$C,"Influenciadores",T_ORCAMENTOS!$H:$H,"11/2026")</f>
        <v/>
      </c>
      <c r="AN270" s="28">
        <f>SUMIFS(Aut_BlueMe_Sem_Pedido!$J:$J,Aut_BlueMe_Sem_Pedido!$Q:$Q,DRE!AL$4,Aut_BlueMe_Sem_Pedido!$H:$H,DRE!$A270)+SUMIFS(Aut_Ajustes_Manuais!$G:$G,Aut_Ajustes_Manuais!$I:$I,DRE!AL$4,Aut_Ajustes_Manuais!$F:$F,"Influenciadores")</f>
        <v/>
      </c>
      <c r="AO270" s="241" t="n"/>
      <c r="AP270" s="27">
        <f>-SUMIFS(T_ORCAMENTOS!$E:$E,T_ORCAMENTOS!$C:$C,"Influenciadores",T_ORCAMENTOS!$H:$H,"12/2026")</f>
        <v/>
      </c>
      <c r="AQ270" s="28">
        <f>SUMIFS(Aut_BlueMe_Sem_Pedido!$J:$J,Aut_BlueMe_Sem_Pedido!$Q:$Q,DRE!AO$4,Aut_BlueMe_Sem_Pedido!$H:$H,DRE!$A270)+SUMIFS(Aut_Ajustes_Manuais!$G:$G,Aut_Ajustes_Manuais!$I:$I,DRE!AO$4,Aut_Ajustes_Manuais!$F:$F,"Influenciadores")</f>
        <v/>
      </c>
      <c r="AR270" s="241">
        <f>SUMIFS($H270:$AO270,$H$5:$AO$5,"&lt;"&amp;MONTH(TODAY()),$H$6:$AO$6,"REAL 25")</f>
        <v/>
      </c>
      <c r="AS270" s="27">
        <f>SUMIFS($I270:$AP270,$I$5:$AP$5,"&lt;"&amp;MONTH(TODAY()),$I$6:$AP$6,"ORÇADO ")</f>
        <v/>
      </c>
      <c r="AT270" s="28">
        <f>SUMIFS($J270:$AQ270,$J$5:$AQ$5,"&lt;"&amp;MONTH(TODAY()),$J$6:$AQ$6,"REAL 26")</f>
        <v/>
      </c>
      <c r="AU270" s="241">
        <f>SUM(H270,K270,N270,Q270,T270,W270,Z270,AC270,AF270,AI270,AL270,AO270)</f>
        <v/>
      </c>
      <c r="AV270" s="27">
        <f>SUM(I270,L270,O270,R270,U270,X270,AA270,AD270,AG270,AJ270,AM270,AP270)</f>
        <v/>
      </c>
      <c r="AW270" s="28">
        <f>SUM(J270,M270,P270,S270,V270,Y270,AB270,AE270,AH270,AK270,AN270,AQ270)</f>
        <v/>
      </c>
      <c r="AX270" s="241">
        <f>SUM(H270,K270,N270)</f>
        <v/>
      </c>
      <c r="AY270" s="27">
        <f>SUM(I270,L270,O270)</f>
        <v/>
      </c>
      <c r="AZ270" s="28">
        <f>SUM(J270,M270,P270)</f>
        <v/>
      </c>
      <c r="BA270" s="241">
        <f>SUM(Q270,T270,W270)</f>
        <v/>
      </c>
      <c r="BB270" s="27">
        <f>SUM(R270,U270,X270)</f>
        <v/>
      </c>
      <c r="BC270" s="28">
        <f>SUM(S270,V270,Y270)</f>
        <v/>
      </c>
      <c r="BD270" s="241">
        <f>SUM(Z270,AC270,AF270)</f>
        <v/>
      </c>
      <c r="BE270" s="27">
        <f>SUM(AA270,AD270,AG270)</f>
        <v/>
      </c>
      <c r="BF270" s="28">
        <f>SUM(AB270,AE270,AH270)</f>
        <v/>
      </c>
      <c r="BG270" s="241">
        <f>SUM(AI270,AL270,AO270)</f>
        <v/>
      </c>
      <c r="BH270" s="27">
        <f>SUM(AJ270,AM270,AP270)</f>
        <v/>
      </c>
      <c r="BI270" s="28">
        <f>SUM(AK270,AN270,AQ270)</f>
        <v/>
      </c>
    </row>
    <row r="271" hidden="1" outlineLevel="1" customFormat="1" s="498">
      <c r="A271" s="22" t="inlineStr">
        <is>
          <t>Publicidade e Propaganda</t>
        </is>
      </c>
      <c r="B271" s="23" t="n"/>
      <c r="C271" s="24" t="inlineStr">
        <is>
          <t>Estim. Mensal</t>
        </is>
      </c>
      <c r="D271" s="121" t="n">
        <v>-11000</v>
      </c>
      <c r="E271" s="114" t="n"/>
      <c r="F271" s="56" t="n"/>
      <c r="G271" s="33" t="n"/>
      <c r="H271" s="241" t="n"/>
      <c r="I271" s="27">
        <f>-SUMIFS(T_ORCAMENTOS!$E:$E,T_ORCAMENTOS!$C:$C,"Publicidade e Propaganda",T_ORCAMENTOS!$H:$H,"1/2026")</f>
        <v/>
      </c>
      <c r="J271" s="28">
        <f>SUMIFS(Aut_BlueMe_Sem_Pedido!$J:$J,Aut_BlueMe_Sem_Pedido!$Q:$Q,DRE!H$4,Aut_BlueMe_Sem_Pedido!$H:$H,DRE!$A271)+SUMIFS(Aut_Ajustes_Manuais!$G:$G,Aut_Ajustes_Manuais!$I:$I,DRE!H$4,Aut_Ajustes_Manuais!$F:$F,"Publicidade e Propaganda")</f>
        <v/>
      </c>
      <c r="K271" s="241" t="n"/>
      <c r="L271" s="27">
        <f>-SUMIFS(T_ORCAMENTOS!$E:$E,T_ORCAMENTOS!$C:$C,"Publicidade e Propaganda",T_ORCAMENTOS!$H:$H,"2/2026")</f>
        <v/>
      </c>
      <c r="M271" s="28">
        <f>SUMIFS(Aut_BlueMe_Sem_Pedido!$J:$J,Aut_BlueMe_Sem_Pedido!$Q:$Q,DRE!K$4,Aut_BlueMe_Sem_Pedido!$H:$H,DRE!$A271)+SUMIFS(Aut_Ajustes_Manuais!$G:$G,Aut_Ajustes_Manuais!$I:$I,DRE!K$4,Aut_Ajustes_Manuais!$F:$F,"Publicidade e Propaganda")</f>
        <v/>
      </c>
      <c r="N271" s="241" t="n"/>
      <c r="O271" s="27">
        <f>-SUMIFS(T_ORCAMENTOS!$E:$E,T_ORCAMENTOS!$C:$C,"Publicidade e Propaganda",T_ORCAMENTOS!$H:$H,"3/2026")</f>
        <v/>
      </c>
      <c r="P271" s="27">
        <f>SUMIFS(Aut_BlueMe_Sem_Pedido!$J:$J,Aut_BlueMe_Sem_Pedido!$Q:$Q,DRE!N$4,Aut_BlueMe_Sem_Pedido!$H:$H,DRE!$A271)+SUMIFS(Aut_Ajustes_Manuais!$G:$G,Aut_Ajustes_Manuais!$I:$I,DRE!N$4,Aut_Ajustes_Manuais!$F:$F,"Publicidade e Propaganda")</f>
        <v/>
      </c>
      <c r="Q271" s="241" t="n"/>
      <c r="R271" s="27">
        <f>-SUMIFS(T_ORCAMENTOS!$E:$E,T_ORCAMENTOS!$C:$C,"Publicidade e Propaganda",T_ORCAMENTOS!$H:$H,"4/2026")</f>
        <v/>
      </c>
      <c r="S271" s="27">
        <f>SUMIFS(Aut_BlueMe_Sem_Pedido!$J:$J,Aut_BlueMe_Sem_Pedido!$Q:$Q,DRE!Q$4,Aut_BlueMe_Sem_Pedido!$H:$H,DRE!$A271)+SUMIFS(Aut_Ajustes_Manuais!$G:$G,Aut_Ajustes_Manuais!$I:$I,DRE!Q$4,Aut_Ajustes_Manuais!$F:$F,"Publicidade e Propaganda")</f>
        <v/>
      </c>
      <c r="T271" s="241" t="n"/>
      <c r="U271" s="27">
        <f>-SUMIFS(T_ORCAMENTOS!$E:$E,T_ORCAMENTOS!$C:$C,"Publicidade e Propaganda",T_ORCAMENTOS!$H:$H,"5/2026")</f>
        <v/>
      </c>
      <c r="V271" s="28">
        <f>SUMIFS(Aut_BlueMe_Sem_Pedido!$J:$J,Aut_BlueMe_Sem_Pedido!$Q:$Q,DRE!T$4,Aut_BlueMe_Sem_Pedido!$H:$H,DRE!$A271)+SUMIFS(Aut_Ajustes_Manuais!$G:$G,Aut_Ajustes_Manuais!$I:$I,DRE!T$4,Aut_Ajustes_Manuais!$F:$F,"Publicidade e Propaganda")</f>
        <v/>
      </c>
      <c r="W271" s="241" t="n"/>
      <c r="X271" s="27">
        <f>-SUMIFS(T_ORCAMENTOS!$E:$E,T_ORCAMENTOS!$C:$C,"Publicidade e Propaganda",T_ORCAMENTOS!$H:$H,"6/2026")</f>
        <v/>
      </c>
      <c r="Y271" s="28">
        <f>SUMIFS(Aut_BlueMe_Sem_Pedido!$J:$J,Aut_BlueMe_Sem_Pedido!$Q:$Q,DRE!W$4,Aut_BlueMe_Sem_Pedido!$H:$H,DRE!$A271)+SUMIFS(Aut_Ajustes_Manuais!$G:$G,Aut_Ajustes_Manuais!$I:$I,DRE!W$4,Aut_Ajustes_Manuais!$F:$F,"Publicidade e Propaganda")</f>
        <v/>
      </c>
      <c r="Z271" s="241" t="n"/>
      <c r="AA271" s="27">
        <f>-SUMIFS(T_ORCAMENTOS!$E:$E,T_ORCAMENTOS!$C:$C,"Publicidade e Propaganda",T_ORCAMENTOS!$H:$H,"7/2026")</f>
        <v/>
      </c>
      <c r="AB271" s="28">
        <f>SUMIFS(Aut_BlueMe_Sem_Pedido!$J:$J,Aut_BlueMe_Sem_Pedido!$Q:$Q,DRE!Z$4,Aut_BlueMe_Sem_Pedido!$H:$H,DRE!$A271)+SUMIFS(Aut_Ajustes_Manuais!$G:$G,Aut_Ajustes_Manuais!$I:$I,DRE!Z$4,Aut_Ajustes_Manuais!$F:$F,"Publicidade e Propaganda")</f>
        <v/>
      </c>
      <c r="AC271" s="241" t="n"/>
      <c r="AD271" s="27">
        <f>-SUMIFS(T_ORCAMENTOS!$E:$E,T_ORCAMENTOS!$C:$C,"Publicidade e Propaganda",T_ORCAMENTOS!$H:$H,"8/2026")</f>
        <v/>
      </c>
      <c r="AE271" s="28">
        <f>SUMIFS(Aut_BlueMe_Sem_Pedido!$J:$J,Aut_BlueMe_Sem_Pedido!$Q:$Q,DRE!AC$4,Aut_BlueMe_Sem_Pedido!$H:$H,DRE!$A271)+SUMIFS(Aut_Ajustes_Manuais!$G:$G,Aut_Ajustes_Manuais!$I:$I,DRE!AC$4,Aut_Ajustes_Manuais!$F:$F,"Publicidade e Propaganda")</f>
        <v/>
      </c>
      <c r="AF271" s="241" t="n"/>
      <c r="AG271" s="27">
        <f>-SUMIFS(T_ORCAMENTOS!$E:$E,T_ORCAMENTOS!$C:$C,"Publicidade e Propaganda",T_ORCAMENTOS!$H:$H,"9/2026")</f>
        <v/>
      </c>
      <c r="AH271" s="28">
        <f>SUMIFS(Aut_BlueMe_Sem_Pedido!$J:$J,Aut_BlueMe_Sem_Pedido!$Q:$Q,DRE!AF$4,Aut_BlueMe_Sem_Pedido!$H:$H,DRE!$A271)+SUMIFS(Aut_Ajustes_Manuais!$G:$G,Aut_Ajustes_Manuais!$I:$I,DRE!AF$4,Aut_Ajustes_Manuais!$F:$F,"Publicidade e Propaganda")</f>
        <v/>
      </c>
      <c r="AI271" s="241" t="n"/>
      <c r="AJ271" s="27">
        <f>-SUMIFS(T_ORCAMENTOS!$E:$E,T_ORCAMENTOS!$C:$C,"Publicidade e Propaganda",T_ORCAMENTOS!$H:$H,"10/2026")</f>
        <v/>
      </c>
      <c r="AK271" s="28">
        <f>SUMIFS(Aut_BlueMe_Sem_Pedido!$J:$J,Aut_BlueMe_Sem_Pedido!$Q:$Q,DRE!AI$4,Aut_BlueMe_Sem_Pedido!$H:$H,DRE!$A271)+SUMIFS(Aut_Ajustes_Manuais!$G:$G,Aut_Ajustes_Manuais!$I:$I,DRE!AI$4,Aut_Ajustes_Manuais!$F:$F,"Publicidade e Propaganda")</f>
        <v/>
      </c>
      <c r="AL271" s="241" t="n"/>
      <c r="AM271" s="27">
        <f>-SUMIFS(T_ORCAMENTOS!$E:$E,T_ORCAMENTOS!$C:$C,"Publicidade e Propaganda",T_ORCAMENTOS!$H:$H,"11/2026")</f>
        <v/>
      </c>
      <c r="AN271" s="28">
        <f>SUMIFS(Aut_BlueMe_Sem_Pedido!$J:$J,Aut_BlueMe_Sem_Pedido!$Q:$Q,DRE!AL$4,Aut_BlueMe_Sem_Pedido!$H:$H,DRE!$A271)+SUMIFS(Aut_Ajustes_Manuais!$G:$G,Aut_Ajustes_Manuais!$I:$I,DRE!AL$4,Aut_Ajustes_Manuais!$F:$F,"Publicidade e Propaganda")</f>
        <v/>
      </c>
      <c r="AO271" s="241" t="n"/>
      <c r="AP271" s="27">
        <f>-SUMIFS(T_ORCAMENTOS!$E:$E,T_ORCAMENTOS!$C:$C,"Publicidade e Propaganda",T_ORCAMENTOS!$H:$H,"12/2026")</f>
        <v/>
      </c>
      <c r="AQ271" s="28">
        <f>SUMIFS(Aut_BlueMe_Sem_Pedido!$J:$J,Aut_BlueMe_Sem_Pedido!$Q:$Q,DRE!AO$4,Aut_BlueMe_Sem_Pedido!$H:$H,DRE!$A271)+SUMIFS(Aut_Ajustes_Manuais!$G:$G,Aut_Ajustes_Manuais!$I:$I,DRE!AO$4,Aut_Ajustes_Manuais!$F:$F,"Publicidade e Propaganda")</f>
        <v/>
      </c>
      <c r="AR271" s="241">
        <f>SUMIFS($H271:$AO271,$H$5:$AO$5,"&lt;"&amp;MONTH(TODAY()),$H$6:$AO$6,"REAL 25")</f>
        <v/>
      </c>
      <c r="AS271" s="27">
        <f>SUMIFS($I271:$AP271,$I$5:$AP$5,"&lt;"&amp;MONTH(TODAY()),$I$6:$AP$6,"ORÇADO ")</f>
        <v/>
      </c>
      <c r="AT271" s="28">
        <f>SUMIFS($J271:$AQ271,$J$5:$AQ$5,"&lt;"&amp;MONTH(TODAY()),$J$6:$AQ$6,"REAL 26")</f>
        <v/>
      </c>
      <c r="AU271" s="241">
        <f>SUM(H271,K271,N271,Q271,T271,W271,Z271,AC271,AF271,AI271,AL271,AO271)</f>
        <v/>
      </c>
      <c r="AV271" s="27">
        <f>SUM(I271,L271,O271,R271,U271,X271,AA271,AD271,AG271,AJ271,AM271,AP271)</f>
        <v/>
      </c>
      <c r="AW271" s="28">
        <f>SUM(J271,M271,P271,S271,V271,Y271,AB271,AE271,AH271,AK271,AN271,AQ271)</f>
        <v/>
      </c>
      <c r="AX271" s="241">
        <f>SUM(H271,K271,N271)</f>
        <v/>
      </c>
      <c r="AY271" s="27">
        <f>SUM(I271,L271,O271)</f>
        <v/>
      </c>
      <c r="AZ271" s="28">
        <f>SUM(J271,M271,P271)</f>
        <v/>
      </c>
      <c r="BA271" s="241">
        <f>SUM(Q271,T271,W271)</f>
        <v/>
      </c>
      <c r="BB271" s="27">
        <f>SUM(R271,U271,X271)</f>
        <v/>
      </c>
      <c r="BC271" s="28">
        <f>SUM(S271,V271,Y271)</f>
        <v/>
      </c>
      <c r="BD271" s="241">
        <f>SUM(Z271,AC271,AF271)</f>
        <v/>
      </c>
      <c r="BE271" s="27">
        <f>SUM(AA271,AD271,AG271)</f>
        <v/>
      </c>
      <c r="BF271" s="28">
        <f>SUM(AB271,AE271,AH271)</f>
        <v/>
      </c>
      <c r="BG271" s="241">
        <f>SUM(AI271,AL271,AO271)</f>
        <v/>
      </c>
      <c r="BH271" s="27">
        <f>SUM(AJ271,AM271,AP271)</f>
        <v/>
      </c>
      <c r="BI271" s="28">
        <f>SUM(AK271,AN271,AQ271)</f>
        <v/>
      </c>
    </row>
    <row r="272" hidden="1" outlineLevel="1" customFormat="1" s="498">
      <c r="A272" s="22" t="inlineStr">
        <is>
          <t>Pesquisa de Mercado</t>
        </is>
      </c>
      <c r="B272" s="23" t="n"/>
      <c r="C272" s="24" t="inlineStr">
        <is>
          <t>Estim. Mensal</t>
        </is>
      </c>
      <c r="D272" s="121" t="n"/>
      <c r="E272" s="114" t="n"/>
      <c r="F272" s="56" t="n"/>
      <c r="G272" s="33" t="n"/>
      <c r="H272" s="241" t="n"/>
      <c r="I272" s="27">
        <f>-SUMIFS(T_ORCAMENTOS!$E:$E,T_ORCAMENTOS!$C:$C,"Pesquisa de Mercado",T_ORCAMENTOS!$H:$H,"1/2026")</f>
        <v/>
      </c>
      <c r="J272" s="28">
        <f>SUMIFS(Aut_BlueMe_Sem_Pedido!$J:$J,Aut_BlueMe_Sem_Pedido!$Q:$Q,DRE!H$4,Aut_BlueMe_Sem_Pedido!$H:$H,DRE!$A272)+SUMIFS(Aut_Ajustes_Manuais!$G:$G,Aut_Ajustes_Manuais!$I:$I,DRE!H$4,Aut_Ajustes_Manuais!$F:$F,"Pesquisa de Mercado")</f>
        <v/>
      </c>
      <c r="K272" s="241" t="n"/>
      <c r="L272" s="27">
        <f>-SUMIFS(T_ORCAMENTOS!$E:$E,T_ORCAMENTOS!$C:$C,"Pesquisa de Mercado",T_ORCAMENTOS!$H:$H,"2/2026")</f>
        <v/>
      </c>
      <c r="M272" s="28">
        <f>SUMIFS(Aut_BlueMe_Sem_Pedido!$J:$J,Aut_BlueMe_Sem_Pedido!$Q:$Q,DRE!K$4,Aut_BlueMe_Sem_Pedido!$H:$H,DRE!$A272)+SUMIFS(Aut_Ajustes_Manuais!$G:$G,Aut_Ajustes_Manuais!$I:$I,DRE!K$4,Aut_Ajustes_Manuais!$F:$F,"Pesquisa de Mercado")</f>
        <v/>
      </c>
      <c r="N272" s="241" t="n"/>
      <c r="O272" s="27">
        <f>-SUMIFS(T_ORCAMENTOS!$E:$E,T_ORCAMENTOS!$C:$C,"Pesquisa de Mercado",T_ORCAMENTOS!$H:$H,"3/2026")</f>
        <v/>
      </c>
      <c r="P272" s="27">
        <f>SUMIFS(Aut_BlueMe_Sem_Pedido!$J:$J,Aut_BlueMe_Sem_Pedido!$Q:$Q,DRE!N$4,Aut_BlueMe_Sem_Pedido!$H:$H,DRE!$A272)+SUMIFS(Aut_Ajustes_Manuais!$G:$G,Aut_Ajustes_Manuais!$I:$I,DRE!N$4,Aut_Ajustes_Manuais!$F:$F,"Pesquisa de Mercado")</f>
        <v/>
      </c>
      <c r="Q272" s="241" t="n"/>
      <c r="R272" s="27">
        <f>-SUMIFS(T_ORCAMENTOS!$E:$E,T_ORCAMENTOS!$C:$C,"Pesquisa de Mercado",T_ORCAMENTOS!$H:$H,"4/2026")</f>
        <v/>
      </c>
      <c r="S272" s="27">
        <f>SUMIFS(Aut_BlueMe_Sem_Pedido!$J:$J,Aut_BlueMe_Sem_Pedido!$Q:$Q,DRE!Q$4,Aut_BlueMe_Sem_Pedido!$H:$H,DRE!$A272)+SUMIFS(Aut_Ajustes_Manuais!$G:$G,Aut_Ajustes_Manuais!$I:$I,DRE!Q$4,Aut_Ajustes_Manuais!$F:$F,"Pesquisa de Mercado")</f>
        <v/>
      </c>
      <c r="T272" s="241" t="n"/>
      <c r="U272" s="27">
        <f>-SUMIFS(T_ORCAMENTOS!$E:$E,T_ORCAMENTOS!$C:$C,"Pesquisa de Mercado",T_ORCAMENTOS!$H:$H,"5/2026")</f>
        <v/>
      </c>
      <c r="V272" s="28">
        <f>SUMIFS(Aut_BlueMe_Sem_Pedido!$J:$J,Aut_BlueMe_Sem_Pedido!$Q:$Q,DRE!T$4,Aut_BlueMe_Sem_Pedido!$H:$H,DRE!$A272)+SUMIFS(Aut_Ajustes_Manuais!$G:$G,Aut_Ajustes_Manuais!$I:$I,DRE!T$4,Aut_Ajustes_Manuais!$F:$F,"Pesquisa de Mercado")</f>
        <v/>
      </c>
      <c r="W272" s="241" t="n"/>
      <c r="X272" s="27">
        <f>-SUMIFS(T_ORCAMENTOS!$E:$E,T_ORCAMENTOS!$C:$C,"Pesquisa de Mercado",T_ORCAMENTOS!$H:$H,"6/2026")</f>
        <v/>
      </c>
      <c r="Y272" s="28">
        <f>SUMIFS(Aut_BlueMe_Sem_Pedido!$J:$J,Aut_BlueMe_Sem_Pedido!$Q:$Q,DRE!W$4,Aut_BlueMe_Sem_Pedido!$H:$H,DRE!$A272)+SUMIFS(Aut_Ajustes_Manuais!$G:$G,Aut_Ajustes_Manuais!$I:$I,DRE!W$4,Aut_Ajustes_Manuais!$F:$F,"Pesquisa de Mercado")</f>
        <v/>
      </c>
      <c r="Z272" s="241" t="n"/>
      <c r="AA272" s="27">
        <f>-SUMIFS(T_ORCAMENTOS!$E:$E,T_ORCAMENTOS!$C:$C,"Pesquisa de Mercado",T_ORCAMENTOS!$H:$H,"7/2026")</f>
        <v/>
      </c>
      <c r="AB272" s="28">
        <f>SUMIFS(Aut_BlueMe_Sem_Pedido!$J:$J,Aut_BlueMe_Sem_Pedido!$Q:$Q,DRE!Z$4,Aut_BlueMe_Sem_Pedido!$H:$H,DRE!$A272)+SUMIFS(Aut_Ajustes_Manuais!$G:$G,Aut_Ajustes_Manuais!$I:$I,DRE!Z$4,Aut_Ajustes_Manuais!$F:$F,"Pesquisa de Mercado")</f>
        <v/>
      </c>
      <c r="AC272" s="241" t="n"/>
      <c r="AD272" s="27">
        <f>-SUMIFS(T_ORCAMENTOS!$E:$E,T_ORCAMENTOS!$C:$C,"Pesquisa de Mercado",T_ORCAMENTOS!$H:$H,"8/2026")</f>
        <v/>
      </c>
      <c r="AE272" s="28">
        <f>SUMIFS(Aut_BlueMe_Sem_Pedido!$J:$J,Aut_BlueMe_Sem_Pedido!$Q:$Q,DRE!AC$4,Aut_BlueMe_Sem_Pedido!$H:$H,DRE!$A272)+SUMIFS(Aut_Ajustes_Manuais!$G:$G,Aut_Ajustes_Manuais!$I:$I,DRE!AC$4,Aut_Ajustes_Manuais!$F:$F,"Pesquisa de Mercado")</f>
        <v/>
      </c>
      <c r="AF272" s="241" t="n"/>
      <c r="AG272" s="27">
        <f>-SUMIFS(T_ORCAMENTOS!$E:$E,T_ORCAMENTOS!$C:$C,"Pesquisa de Mercado",T_ORCAMENTOS!$H:$H,"9/2026")</f>
        <v/>
      </c>
      <c r="AH272" s="28">
        <f>SUMIFS(Aut_BlueMe_Sem_Pedido!$J:$J,Aut_BlueMe_Sem_Pedido!$Q:$Q,DRE!AF$4,Aut_BlueMe_Sem_Pedido!$H:$H,DRE!$A272)+SUMIFS(Aut_Ajustes_Manuais!$G:$G,Aut_Ajustes_Manuais!$I:$I,DRE!AF$4,Aut_Ajustes_Manuais!$F:$F,"Pesquisa de Mercado")</f>
        <v/>
      </c>
      <c r="AI272" s="241" t="n"/>
      <c r="AJ272" s="27">
        <f>-SUMIFS(T_ORCAMENTOS!$E:$E,T_ORCAMENTOS!$C:$C,"Pesquisa de Mercado",T_ORCAMENTOS!$H:$H,"10/2026")</f>
        <v/>
      </c>
      <c r="AK272" s="28">
        <f>SUMIFS(Aut_BlueMe_Sem_Pedido!$J:$J,Aut_BlueMe_Sem_Pedido!$Q:$Q,DRE!AI$4,Aut_BlueMe_Sem_Pedido!$H:$H,DRE!$A272)+SUMIFS(Aut_Ajustes_Manuais!$G:$G,Aut_Ajustes_Manuais!$I:$I,DRE!AI$4,Aut_Ajustes_Manuais!$F:$F,"Pesquisa de Mercado")</f>
        <v/>
      </c>
      <c r="AL272" s="241" t="n"/>
      <c r="AM272" s="27">
        <f>-SUMIFS(T_ORCAMENTOS!$E:$E,T_ORCAMENTOS!$C:$C,"Pesquisa de Mercado",T_ORCAMENTOS!$H:$H,"11/2026")</f>
        <v/>
      </c>
      <c r="AN272" s="28">
        <f>SUMIFS(Aut_BlueMe_Sem_Pedido!$J:$J,Aut_BlueMe_Sem_Pedido!$Q:$Q,DRE!AL$4,Aut_BlueMe_Sem_Pedido!$H:$H,DRE!$A272)+SUMIFS(Aut_Ajustes_Manuais!$G:$G,Aut_Ajustes_Manuais!$I:$I,DRE!AL$4,Aut_Ajustes_Manuais!$F:$F,"Pesquisa de Mercado")</f>
        <v/>
      </c>
      <c r="AO272" s="241" t="n"/>
      <c r="AP272" s="27">
        <f>-SUMIFS(T_ORCAMENTOS!$E:$E,T_ORCAMENTOS!$C:$C,"Pesquisa de Mercado",T_ORCAMENTOS!$H:$H,"12/2026")</f>
        <v/>
      </c>
      <c r="AQ272" s="28">
        <f>SUMIFS(Aut_BlueMe_Sem_Pedido!$J:$J,Aut_BlueMe_Sem_Pedido!$Q:$Q,DRE!AO$4,Aut_BlueMe_Sem_Pedido!$H:$H,DRE!$A272)+SUMIFS(Aut_Ajustes_Manuais!$G:$G,Aut_Ajustes_Manuais!$I:$I,DRE!AO$4,Aut_Ajustes_Manuais!$F:$F,"Pesquisa de Mercado")</f>
        <v/>
      </c>
      <c r="AR272" s="241">
        <f>SUMIFS($H272:$AO272,$H$5:$AO$5,"&lt;"&amp;MONTH(TODAY()),$H$6:$AO$6,"REAL 25")</f>
        <v/>
      </c>
      <c r="AS272" s="27">
        <f>SUMIFS($I272:$AP272,$I$5:$AP$5,"&lt;"&amp;MONTH(TODAY()),$I$6:$AP$6,"ORÇADO ")</f>
        <v/>
      </c>
      <c r="AT272" s="28">
        <f>SUMIFS($J272:$AQ272,$J$5:$AQ$5,"&lt;"&amp;MONTH(TODAY()),$J$6:$AQ$6,"REAL 26")</f>
        <v/>
      </c>
      <c r="AU272" s="241">
        <f>SUM(H272,K272,N272,Q272,T272,W272,Z272,AC272,AF272,AI272,AL272,AO272)</f>
        <v/>
      </c>
      <c r="AV272" s="27">
        <f>SUM(I272,L272,O272,R272,U272,X272,AA272,AD272,AG272,AJ272,AM272,AP272)</f>
        <v/>
      </c>
      <c r="AW272" s="28">
        <f>SUM(J272,M272,P272,S272,V272,Y272,AB272,AE272,AH272,AK272,AN272,AQ272)</f>
        <v/>
      </c>
      <c r="AX272" s="241">
        <f>SUM(H272,K272,N272)</f>
        <v/>
      </c>
      <c r="AY272" s="27">
        <f>SUM(I272,L272,O272)</f>
        <v/>
      </c>
      <c r="AZ272" s="28">
        <f>SUM(J272,M272,P272)</f>
        <v/>
      </c>
      <c r="BA272" s="241">
        <f>SUM(Q272,T272,W272)</f>
        <v/>
      </c>
      <c r="BB272" s="27">
        <f>SUM(R272,U272,X272)</f>
        <v/>
      </c>
      <c r="BC272" s="28">
        <f>SUM(S272,V272,Y272)</f>
        <v/>
      </c>
      <c r="BD272" s="241">
        <f>SUM(Z272,AC272,AF272)</f>
        <v/>
      </c>
      <c r="BE272" s="27">
        <f>SUM(AA272,AD272,AG272)</f>
        <v/>
      </c>
      <c r="BF272" s="28">
        <f>SUM(AB272,AE272,AH272)</f>
        <v/>
      </c>
      <c r="BG272" s="241">
        <f>SUM(AI272,AL272,AO272)</f>
        <v/>
      </c>
      <c r="BH272" s="27">
        <f>SUM(AJ272,AM272,AP272)</f>
        <v/>
      </c>
      <c r="BI272" s="28">
        <f>SUM(AK272,AN272,AQ272)</f>
        <v/>
      </c>
    </row>
    <row r="273" hidden="1" outlineLevel="1" customFormat="1" s="498">
      <c r="A273" s="22" t="inlineStr">
        <is>
          <t>Sessão de Fotos/Captação de Vídeo</t>
        </is>
      </c>
      <c r="B273" s="23" t="n"/>
      <c r="C273" s="24" t="inlineStr">
        <is>
          <t>Estim. Mensal</t>
        </is>
      </c>
      <c r="D273" s="121" t="n"/>
      <c r="E273" s="114" t="n"/>
      <c r="F273" s="56" t="n"/>
      <c r="G273" s="33" t="n"/>
      <c r="H273" s="241" t="n"/>
      <c r="I273" s="27">
        <f>-SUMIFS(T_ORCAMENTOS!$E:$E,T_ORCAMENTOS!$C:$C,"Sessão de Fotos/Captação de Vídeo",T_ORCAMENTOS!$H:$H,"1/2026")</f>
        <v/>
      </c>
      <c r="J273" s="28">
        <f>SUMIFS(Aut_BlueMe_Sem_Pedido!$J:$J,Aut_BlueMe_Sem_Pedido!$Q:$Q,DRE!H$4,Aut_BlueMe_Sem_Pedido!$H:$H,DRE!$A273)+SUMIFS(Aut_Ajustes_Manuais!$G:$G,Aut_Ajustes_Manuais!$I:$I,DRE!H$4,Aut_Ajustes_Manuais!$F:$F,"Sessão de Fotos/Captação de Vídeo")</f>
        <v/>
      </c>
      <c r="K273" s="241" t="n"/>
      <c r="L273" s="27">
        <f>-SUMIFS(T_ORCAMENTOS!$E:$E,T_ORCAMENTOS!$C:$C,"Sessão de Fotos/Captação de Vídeo",T_ORCAMENTOS!$H:$H,"2/2026")</f>
        <v/>
      </c>
      <c r="M273" s="28">
        <f>SUMIFS(Aut_BlueMe_Sem_Pedido!$J:$J,Aut_BlueMe_Sem_Pedido!$Q:$Q,DRE!K$4,Aut_BlueMe_Sem_Pedido!$H:$H,DRE!$A273)+SUMIFS(Aut_Ajustes_Manuais!$G:$G,Aut_Ajustes_Manuais!$I:$I,DRE!K$4,Aut_Ajustes_Manuais!$F:$F,"Sessão de Fotos/Captação de Vídeo")</f>
        <v/>
      </c>
      <c r="N273" s="241" t="n"/>
      <c r="O273" s="27">
        <f>-SUMIFS(T_ORCAMENTOS!$E:$E,T_ORCAMENTOS!$C:$C,"Sessão de Fotos/Captação de Vídeo",T_ORCAMENTOS!$H:$H,"3/2026")</f>
        <v/>
      </c>
      <c r="P273" s="27">
        <f>SUMIFS(Aut_BlueMe_Sem_Pedido!$J:$J,Aut_BlueMe_Sem_Pedido!$Q:$Q,DRE!N$4,Aut_BlueMe_Sem_Pedido!$H:$H,DRE!$A273)+SUMIFS(Aut_Ajustes_Manuais!$G:$G,Aut_Ajustes_Manuais!$I:$I,DRE!N$4,Aut_Ajustes_Manuais!$F:$F,"Sessão de Fotos/Captação de Vídeo")</f>
        <v/>
      </c>
      <c r="Q273" s="241" t="n"/>
      <c r="R273" s="27">
        <f>-SUMIFS(T_ORCAMENTOS!$E:$E,T_ORCAMENTOS!$C:$C,"Sessão de Fotos/Captação de Vídeo",T_ORCAMENTOS!$H:$H,"4/2026")</f>
        <v/>
      </c>
      <c r="S273" s="27">
        <f>SUMIFS(Aut_BlueMe_Sem_Pedido!$J:$J,Aut_BlueMe_Sem_Pedido!$Q:$Q,DRE!Q$4,Aut_BlueMe_Sem_Pedido!$H:$H,DRE!$A273)+SUMIFS(Aut_Ajustes_Manuais!$G:$G,Aut_Ajustes_Manuais!$I:$I,DRE!Q$4,Aut_Ajustes_Manuais!$F:$F,"Sessão de Fotos/Captação de Vídeo")</f>
        <v/>
      </c>
      <c r="T273" s="241" t="n"/>
      <c r="U273" s="27">
        <f>-SUMIFS(T_ORCAMENTOS!$E:$E,T_ORCAMENTOS!$C:$C,"Sessão de Fotos/Captação de Vídeo",T_ORCAMENTOS!$H:$H,"5/2026")</f>
        <v/>
      </c>
      <c r="V273" s="28">
        <f>SUMIFS(Aut_BlueMe_Sem_Pedido!$J:$J,Aut_BlueMe_Sem_Pedido!$Q:$Q,DRE!T$4,Aut_BlueMe_Sem_Pedido!$H:$H,DRE!$A273)+SUMIFS(Aut_Ajustes_Manuais!$G:$G,Aut_Ajustes_Manuais!$I:$I,DRE!T$4,Aut_Ajustes_Manuais!$F:$F,"Sessão de Fotos/Captação de Vídeo")</f>
        <v/>
      </c>
      <c r="W273" s="241" t="n"/>
      <c r="X273" s="27">
        <f>-SUMIFS(T_ORCAMENTOS!$E:$E,T_ORCAMENTOS!$C:$C,"Sessão de Fotos/Captação de Vídeo",T_ORCAMENTOS!$H:$H,"6/2026")</f>
        <v/>
      </c>
      <c r="Y273" s="28">
        <f>SUMIFS(Aut_BlueMe_Sem_Pedido!$J:$J,Aut_BlueMe_Sem_Pedido!$Q:$Q,DRE!W$4,Aut_BlueMe_Sem_Pedido!$H:$H,DRE!$A273)+SUMIFS(Aut_Ajustes_Manuais!$G:$G,Aut_Ajustes_Manuais!$I:$I,DRE!W$4,Aut_Ajustes_Manuais!$F:$F,"Sessão de Fotos/Captação de Vídeo")</f>
        <v/>
      </c>
      <c r="Z273" s="241" t="n"/>
      <c r="AA273" s="27">
        <f>-SUMIFS(T_ORCAMENTOS!$E:$E,T_ORCAMENTOS!$C:$C,"Sessão de Fotos/Captação de Vídeo",T_ORCAMENTOS!$H:$H,"7/2026")</f>
        <v/>
      </c>
      <c r="AB273" s="28">
        <f>SUMIFS(Aut_BlueMe_Sem_Pedido!$J:$J,Aut_BlueMe_Sem_Pedido!$Q:$Q,DRE!Z$4,Aut_BlueMe_Sem_Pedido!$H:$H,DRE!$A273)+SUMIFS(Aut_Ajustes_Manuais!$G:$G,Aut_Ajustes_Manuais!$I:$I,DRE!Z$4,Aut_Ajustes_Manuais!$F:$F,"Sessão de Fotos/Captação de Vídeo")</f>
        <v/>
      </c>
      <c r="AC273" s="241" t="n"/>
      <c r="AD273" s="27">
        <f>-SUMIFS(T_ORCAMENTOS!$E:$E,T_ORCAMENTOS!$C:$C,"Sessão de Fotos/Captação de Vídeo",T_ORCAMENTOS!$H:$H,"8/2026")</f>
        <v/>
      </c>
      <c r="AE273" s="28">
        <f>SUMIFS(Aut_BlueMe_Sem_Pedido!$J:$J,Aut_BlueMe_Sem_Pedido!$Q:$Q,DRE!AC$4,Aut_BlueMe_Sem_Pedido!$H:$H,DRE!$A273)+SUMIFS(Aut_Ajustes_Manuais!$G:$G,Aut_Ajustes_Manuais!$I:$I,DRE!AC$4,Aut_Ajustes_Manuais!$F:$F,"Sessão de Fotos/Captação de Vídeo")</f>
        <v/>
      </c>
      <c r="AF273" s="241" t="n"/>
      <c r="AG273" s="27">
        <f>-SUMIFS(T_ORCAMENTOS!$E:$E,T_ORCAMENTOS!$C:$C,"Sessão de Fotos/Captação de Vídeo",T_ORCAMENTOS!$H:$H,"9/2026")</f>
        <v/>
      </c>
      <c r="AH273" s="28">
        <f>SUMIFS(Aut_BlueMe_Sem_Pedido!$J:$J,Aut_BlueMe_Sem_Pedido!$Q:$Q,DRE!AF$4,Aut_BlueMe_Sem_Pedido!$H:$H,DRE!$A273)+SUMIFS(Aut_Ajustes_Manuais!$G:$G,Aut_Ajustes_Manuais!$I:$I,DRE!AF$4,Aut_Ajustes_Manuais!$F:$F,"Sessão de Fotos/Captação de Vídeo")</f>
        <v/>
      </c>
      <c r="AI273" s="241" t="n"/>
      <c r="AJ273" s="27">
        <f>-SUMIFS(T_ORCAMENTOS!$E:$E,T_ORCAMENTOS!$C:$C,"Sessão de Fotos/Captação de Vídeo",T_ORCAMENTOS!$H:$H,"10/2026")</f>
        <v/>
      </c>
      <c r="AK273" s="28">
        <f>SUMIFS(Aut_BlueMe_Sem_Pedido!$J:$J,Aut_BlueMe_Sem_Pedido!$Q:$Q,DRE!AI$4,Aut_BlueMe_Sem_Pedido!$H:$H,DRE!$A273)+SUMIFS(Aut_Ajustes_Manuais!$G:$G,Aut_Ajustes_Manuais!$I:$I,DRE!AI$4,Aut_Ajustes_Manuais!$F:$F,"Sessão de Fotos/Captação de Vídeo")</f>
        <v/>
      </c>
      <c r="AL273" s="241" t="n"/>
      <c r="AM273" s="27">
        <f>-SUMIFS(T_ORCAMENTOS!$E:$E,T_ORCAMENTOS!$C:$C,"Sessão de Fotos/Captação de Vídeo",T_ORCAMENTOS!$H:$H,"11/2026")</f>
        <v/>
      </c>
      <c r="AN273" s="28">
        <f>SUMIFS(Aut_BlueMe_Sem_Pedido!$J:$J,Aut_BlueMe_Sem_Pedido!$Q:$Q,DRE!AL$4,Aut_BlueMe_Sem_Pedido!$H:$H,DRE!$A273)+SUMIFS(Aut_Ajustes_Manuais!$G:$G,Aut_Ajustes_Manuais!$I:$I,DRE!AL$4,Aut_Ajustes_Manuais!$F:$F,"Sessão de Fotos/Captação de Vídeo")</f>
        <v/>
      </c>
      <c r="AO273" s="241" t="n"/>
      <c r="AP273" s="27">
        <f>-SUMIFS(T_ORCAMENTOS!$E:$E,T_ORCAMENTOS!$C:$C,"Sessão de Fotos/Captação de Vídeo",T_ORCAMENTOS!$H:$H,"12/2026")</f>
        <v/>
      </c>
      <c r="AQ273" s="28">
        <f>SUMIFS(Aut_BlueMe_Sem_Pedido!$J:$J,Aut_BlueMe_Sem_Pedido!$Q:$Q,DRE!AO$4,Aut_BlueMe_Sem_Pedido!$H:$H,DRE!$A273)+SUMIFS(Aut_Ajustes_Manuais!$G:$G,Aut_Ajustes_Manuais!$I:$I,DRE!AO$4,Aut_Ajustes_Manuais!$F:$F,"Sessão de Fotos/Captação de Vídeo")</f>
        <v/>
      </c>
      <c r="AR273" s="241">
        <f>SUMIFS($H273:$AO273,$H$5:$AO$5,"&lt;"&amp;MONTH(TODAY()),$H$6:$AO$6,"REAL 25")</f>
        <v/>
      </c>
      <c r="AS273" s="27">
        <f>SUMIFS($I273:$AP273,$I$5:$AP$5,"&lt;"&amp;MONTH(TODAY()),$I$6:$AP$6,"ORÇADO ")</f>
        <v/>
      </c>
      <c r="AT273" s="28">
        <f>SUMIFS($J273:$AQ273,$J$5:$AQ$5,"&lt;"&amp;MONTH(TODAY()),$J$6:$AQ$6,"REAL 26")</f>
        <v/>
      </c>
      <c r="AU273" s="241">
        <f>SUM(H273,K273,N273,Q273,T273,W273,Z273,AC273,AF273,AI273,AL273,AO273)</f>
        <v/>
      </c>
      <c r="AV273" s="27">
        <f>SUM(I273,L273,O273,R273,U273,X273,AA273,AD273,AG273,AJ273,AM273,AP273)</f>
        <v/>
      </c>
      <c r="AW273" s="28">
        <f>SUM(J273,M273,P273,S273,V273,Y273,AB273,AE273,AH273,AK273,AN273,AQ273)</f>
        <v/>
      </c>
      <c r="AX273" s="241">
        <f>SUM(H273,K273,N273)</f>
        <v/>
      </c>
      <c r="AY273" s="27">
        <f>SUM(I273,L273,O273)</f>
        <v/>
      </c>
      <c r="AZ273" s="28">
        <f>SUM(J273,M273,P273)</f>
        <v/>
      </c>
      <c r="BA273" s="241">
        <f>SUM(Q273,T273,W273)</f>
        <v/>
      </c>
      <c r="BB273" s="27">
        <f>SUM(R273,U273,X273)</f>
        <v/>
      </c>
      <c r="BC273" s="28">
        <f>SUM(S273,V273,Y273)</f>
        <v/>
      </c>
      <c r="BD273" s="241">
        <f>SUM(Z273,AC273,AF273)</f>
        <v/>
      </c>
      <c r="BE273" s="27">
        <f>SUM(AA273,AD273,AG273)</f>
        <v/>
      </c>
      <c r="BF273" s="28">
        <f>SUM(AB273,AE273,AH273)</f>
        <v/>
      </c>
      <c r="BG273" s="241">
        <f>SUM(AI273,AL273,AO273)</f>
        <v/>
      </c>
      <c r="BH273" s="27">
        <f>SUM(AJ273,AM273,AP273)</f>
        <v/>
      </c>
      <c r="BI273" s="28">
        <f>SUM(AK273,AN273,AQ273)</f>
        <v/>
      </c>
    </row>
    <row r="274" hidden="1" outlineLevel="1" customFormat="1" s="498">
      <c r="A274" s="22" t="inlineStr">
        <is>
          <t>Produção Gráfica e Material Institucional</t>
        </is>
      </c>
      <c r="B274" s="23" t="n"/>
      <c r="C274" s="24" t="inlineStr">
        <is>
          <t>Estim. Mensal</t>
        </is>
      </c>
      <c r="D274" s="121" t="n"/>
      <c r="E274" s="114" t="n"/>
      <c r="F274" s="56" t="n"/>
      <c r="G274" s="33" t="n"/>
      <c r="H274" s="241" t="n"/>
      <c r="I274" s="27">
        <f>-SUMIFS(T_ORCAMENTOS!$E:$E,T_ORCAMENTOS!$C:$C,"Produção Gráfica e Material Institucional",T_ORCAMENTOS!$H:$H,"1/2026")</f>
        <v/>
      </c>
      <c r="J274" s="28">
        <f>SUMIFS(Aut_BlueMe_Sem_Pedido!$J:$J,Aut_BlueMe_Sem_Pedido!$Q:$Q,DRE!H$4,Aut_BlueMe_Sem_Pedido!$H:$H,DRE!$A274)-SUMIFS(Aut_Descontos!$G:$G,Aut_Descontos!$H:$H,A274,Aut_Descontos!$L:$L,DRE!H$4)+SUMIFS(Aut_Ajustes_Manuais!$G:$G,Aut_Ajustes_Manuais!$I:$I,DRE!H$4,Aut_Ajustes_Manuais!$F:$F,"Produção Gráfica e Material Institucional")</f>
        <v/>
      </c>
      <c r="K274" s="241" t="n"/>
      <c r="L274" s="27">
        <f>-SUMIFS(T_ORCAMENTOS!$E:$E,T_ORCAMENTOS!$C:$C,"Produção Gráfica e Material Institucional",T_ORCAMENTOS!$H:$H,"2/2026")</f>
        <v/>
      </c>
      <c r="M274" s="28">
        <f>SUMIFS(Aut_BlueMe_Sem_Pedido!$J:$J,Aut_BlueMe_Sem_Pedido!$Q:$Q,DRE!K$4,Aut_BlueMe_Sem_Pedido!$H:$H,DRE!$A274)-SUMIFS(Aut_Descontos!$G:$G,Aut_Descontos!$H:$H,A274,Aut_Descontos!$L:$L,DRE!K$4)+SUMIFS(Aut_Ajustes_Manuais!$G:$G,Aut_Ajustes_Manuais!$I:$I,DRE!K$4,Aut_Ajustes_Manuais!$F:$F,"Produção Gráfica e Material Institucional")</f>
        <v/>
      </c>
      <c r="N274" s="241" t="n"/>
      <c r="O274" s="27">
        <f>-SUMIFS(T_ORCAMENTOS!$E:$E,T_ORCAMENTOS!$C:$C,"Produção Gráfica e Material Institucional",T_ORCAMENTOS!$H:$H,"3/2026")</f>
        <v/>
      </c>
      <c r="P274" s="27">
        <f>SUMIFS(Aut_BlueMe_Sem_Pedido!$J:$J,Aut_BlueMe_Sem_Pedido!$Q:$Q,DRE!N$4,Aut_BlueMe_Sem_Pedido!$H:$H,DRE!$A274)-SUMIFS(Aut_Descontos!$G:$G,Aut_Descontos!$H:$H,A274,Aut_Descontos!$L:$L,DRE!N$4)+SUMIFS(Aut_Ajustes_Manuais!$G:$G,Aut_Ajustes_Manuais!$I:$I,DRE!N$4,Aut_Ajustes_Manuais!$F:$F,"Produção Gráfica e Material Institucional")</f>
        <v/>
      </c>
      <c r="Q274" s="241" t="n"/>
      <c r="R274" s="27">
        <f>-SUMIFS(T_ORCAMENTOS!$E:$E,T_ORCAMENTOS!$C:$C,"Produção Gráfica e Material Institucional",T_ORCAMENTOS!$H:$H,"4/2026")</f>
        <v/>
      </c>
      <c r="S274" s="27">
        <f>SUMIFS(Aut_BlueMe_Sem_Pedido!$J:$J,Aut_BlueMe_Sem_Pedido!$Q:$Q,DRE!Q$4,Aut_BlueMe_Sem_Pedido!$H:$H,DRE!$A274)-SUMIFS(Aut_Descontos!$G:$G,Aut_Descontos!$H:$H,A274,Aut_Descontos!$L:$L,DRE!Q$4)+SUMIFS(Aut_Ajustes_Manuais!$G:$G,Aut_Ajustes_Manuais!$I:$I,DRE!Q$4,Aut_Ajustes_Manuais!$F:$F,"Produção Gráfica e Material Institucional")</f>
        <v/>
      </c>
      <c r="T274" s="241" t="n"/>
      <c r="U274" s="27">
        <f>-SUMIFS(T_ORCAMENTOS!$E:$E,T_ORCAMENTOS!$C:$C,"Produção Gráfica e Material Institucional",T_ORCAMENTOS!$H:$H,"5/2026")</f>
        <v/>
      </c>
      <c r="V274" s="28">
        <f>SUMIFS(Aut_BlueMe_Sem_Pedido!$J:$J,Aut_BlueMe_Sem_Pedido!$Q:$Q,DRE!T$4,Aut_BlueMe_Sem_Pedido!$H:$H,DRE!$A274)-SUMIFS(Aut_Descontos!$G:$G,Aut_Descontos!$H:$H,A274,Aut_Descontos!$L:$L,DRE!T$4)+SUMIFS(Aut_Ajustes_Manuais!$G:$G,Aut_Ajustes_Manuais!$I:$I,DRE!T$4,Aut_Ajustes_Manuais!$F:$F,"Produção Gráfica e Material Institucional")</f>
        <v/>
      </c>
      <c r="W274" s="241" t="n"/>
      <c r="X274" s="27">
        <f>-SUMIFS(T_ORCAMENTOS!$E:$E,T_ORCAMENTOS!$C:$C,"Produção Gráfica e Material Institucional",T_ORCAMENTOS!$H:$H,"6/2026")</f>
        <v/>
      </c>
      <c r="Y274" s="28">
        <f>SUMIFS(Aut_BlueMe_Sem_Pedido!$J:$J,Aut_BlueMe_Sem_Pedido!$Q:$Q,DRE!W$4,Aut_BlueMe_Sem_Pedido!$H:$H,DRE!$A274)-SUMIFS(Aut_Descontos!$G:$G,Aut_Descontos!$H:$H,A274,Aut_Descontos!$L:$L,DRE!W$4)+SUMIFS(Aut_Ajustes_Manuais!$G:$G,Aut_Ajustes_Manuais!$I:$I,DRE!W$4,Aut_Ajustes_Manuais!$F:$F,"Produção Gráfica e Material Institucional")</f>
        <v/>
      </c>
      <c r="Z274" s="241" t="n"/>
      <c r="AA274" s="27">
        <f>-SUMIFS(T_ORCAMENTOS!$E:$E,T_ORCAMENTOS!$C:$C,"Produção Gráfica e Material Institucional",T_ORCAMENTOS!$H:$H,"7/2026")</f>
        <v/>
      </c>
      <c r="AB274" s="28">
        <f>SUMIFS(Aut_BlueMe_Sem_Pedido!$J:$J,Aut_BlueMe_Sem_Pedido!$Q:$Q,DRE!Z$4,Aut_BlueMe_Sem_Pedido!$H:$H,DRE!$A274)-SUMIFS(Aut_Descontos!$G:$G,Aut_Descontos!$H:$H,A274,Aut_Descontos!$L:$L,DRE!Z$4)+SUMIFS(Aut_Ajustes_Manuais!$G:$G,Aut_Ajustes_Manuais!$I:$I,DRE!Z$4,Aut_Ajustes_Manuais!$F:$F,"Produção Gráfica e Material Institucional")</f>
        <v/>
      </c>
      <c r="AC274" s="241" t="n"/>
      <c r="AD274" s="27">
        <f>-SUMIFS(T_ORCAMENTOS!$E:$E,T_ORCAMENTOS!$C:$C,"Produção Gráfica e Material Institucional",T_ORCAMENTOS!$H:$H,"8/2026")</f>
        <v/>
      </c>
      <c r="AE274" s="28">
        <f>SUMIFS(Aut_BlueMe_Sem_Pedido!$J:$J,Aut_BlueMe_Sem_Pedido!$Q:$Q,DRE!AC$4,Aut_BlueMe_Sem_Pedido!$H:$H,DRE!$A274)-SUMIFS(Aut_Descontos!$G:$G,Aut_Descontos!$H:$H,A274,Aut_Descontos!$L:$L,DRE!AC$4)+SUMIFS(Aut_Ajustes_Manuais!$G:$G,Aut_Ajustes_Manuais!$I:$I,DRE!AC$4,Aut_Ajustes_Manuais!$F:$F,"Produção Gráfica e Material Institucional")</f>
        <v/>
      </c>
      <c r="AF274" s="241" t="n"/>
      <c r="AG274" s="27">
        <f>-SUMIFS(T_ORCAMENTOS!$E:$E,T_ORCAMENTOS!$C:$C,"Produção Gráfica e Material Institucional",T_ORCAMENTOS!$H:$H,"9/2026")</f>
        <v/>
      </c>
      <c r="AH274" s="28">
        <f>SUMIFS(Aut_BlueMe_Sem_Pedido!$J:$J,Aut_BlueMe_Sem_Pedido!$Q:$Q,DRE!AF$4,Aut_BlueMe_Sem_Pedido!$H:$H,DRE!$A274)-SUMIFS(Aut_Descontos!$G:$G,Aut_Descontos!$H:$H,A274,Aut_Descontos!$L:$L,DRE!AF$4)+SUMIFS(Aut_Ajustes_Manuais!$G:$G,Aut_Ajustes_Manuais!$I:$I,DRE!AF$4,Aut_Ajustes_Manuais!$F:$F,"Produção Gráfica e Material Institucional")</f>
        <v/>
      </c>
      <c r="AI274" s="241" t="n"/>
      <c r="AJ274" s="27">
        <f>-SUMIFS(T_ORCAMENTOS!$E:$E,T_ORCAMENTOS!$C:$C,"Produção Gráfica e Material Institucional",T_ORCAMENTOS!$H:$H,"10/2026")</f>
        <v/>
      </c>
      <c r="AK274" s="28">
        <f>SUMIFS(Aut_BlueMe_Sem_Pedido!$J:$J,Aut_BlueMe_Sem_Pedido!$Q:$Q,DRE!AI$4,Aut_BlueMe_Sem_Pedido!$H:$H,DRE!$A274)-SUMIFS(Aut_Descontos!$G:$G,Aut_Descontos!$H:$H,A274,Aut_Descontos!$L:$L,DRE!AI$4)+SUMIFS(Aut_Ajustes_Manuais!$G:$G,Aut_Ajustes_Manuais!$I:$I,DRE!AI$4,Aut_Ajustes_Manuais!$F:$F,"Produção Gráfica e Material Institucional")</f>
        <v/>
      </c>
      <c r="AL274" s="241" t="n"/>
      <c r="AM274" s="27">
        <f>-SUMIFS(T_ORCAMENTOS!$E:$E,T_ORCAMENTOS!$C:$C,"Produção Gráfica e Material Institucional",T_ORCAMENTOS!$H:$H,"11/2026")</f>
        <v/>
      </c>
      <c r="AN274" s="28">
        <f>SUMIFS(Aut_BlueMe_Sem_Pedido!$J:$J,Aut_BlueMe_Sem_Pedido!$Q:$Q,DRE!AL$4,Aut_BlueMe_Sem_Pedido!$H:$H,DRE!$A274)-SUMIFS(Aut_Descontos!$G:$G,Aut_Descontos!$H:$H,A274,Aut_Descontos!$L:$L,DRE!AL$4)+SUMIFS(Aut_Ajustes_Manuais!$G:$G,Aut_Ajustes_Manuais!$I:$I,DRE!AL$4,Aut_Ajustes_Manuais!$F:$F,"Produção Gráfica e Material Institucional")</f>
        <v/>
      </c>
      <c r="AO274" s="241" t="n"/>
      <c r="AP274" s="27">
        <f>-SUMIFS(T_ORCAMENTOS!$E:$E,T_ORCAMENTOS!$C:$C,"Produção Gráfica e Material Institucional",T_ORCAMENTOS!$H:$H,"12/2026")</f>
        <v/>
      </c>
      <c r="AQ274" s="28">
        <f>SUMIFS(Aut_BlueMe_Sem_Pedido!$J:$J,Aut_BlueMe_Sem_Pedido!$Q:$Q,DRE!AO$4,Aut_BlueMe_Sem_Pedido!$H:$H,DRE!$A274)-SUMIFS(Aut_Descontos!$G:$G,Aut_Descontos!$H:$H,A274,Aut_Descontos!$L:$L,DRE!AO$4)+SUMIFS(Aut_Ajustes_Manuais!$G:$G,Aut_Ajustes_Manuais!$I:$I,DRE!AO$4,Aut_Ajustes_Manuais!$F:$F,"Produção Gráfica e Material Institucional")</f>
        <v/>
      </c>
      <c r="AR274" s="241">
        <f>SUMIFS($H274:$AO274,$H$5:$AO$5,"&lt;"&amp;MONTH(TODAY()),$H$6:$AO$6,"REAL 25")</f>
        <v/>
      </c>
      <c r="AS274" s="27">
        <f>SUMIFS($I274:$AP274,$I$5:$AP$5,"&lt;"&amp;MONTH(TODAY()),$I$6:$AP$6,"ORÇADO ")</f>
        <v/>
      </c>
      <c r="AT274" s="28">
        <f>SUMIFS($J274:$AQ274,$J$5:$AQ$5,"&lt;"&amp;MONTH(TODAY()),$J$6:$AQ$6,"REAL 26")</f>
        <v/>
      </c>
      <c r="AU274" s="241">
        <f>SUM(H274,K274,N274,Q274,T274,W274,Z274,AC274,AF274,AI274,AL274,AO274)</f>
        <v/>
      </c>
      <c r="AV274" s="27">
        <f>SUM(I274,L274,O274,R274,U274,X274,AA274,AD274,AG274,AJ274,AM274,AP274)</f>
        <v/>
      </c>
      <c r="AW274" s="28">
        <f>SUM(J274,M274,P274,S274,V274,Y274,AB274,AE274,AH274,AK274,AN274,AQ274)</f>
        <v/>
      </c>
      <c r="AX274" s="241">
        <f>SUM(H274,K274,N274)</f>
        <v/>
      </c>
      <c r="AY274" s="27">
        <f>SUM(I274,L274,O274)</f>
        <v/>
      </c>
      <c r="AZ274" s="28">
        <f>SUM(J274,M274,P274)</f>
        <v/>
      </c>
      <c r="BA274" s="241">
        <f>SUM(Q274,T274,W274)</f>
        <v/>
      </c>
      <c r="BB274" s="27">
        <f>SUM(R274,U274,X274)</f>
        <v/>
      </c>
      <c r="BC274" s="28">
        <f>SUM(S274,V274,Y274)</f>
        <v/>
      </c>
      <c r="BD274" s="241">
        <f>SUM(Z274,AC274,AF274)</f>
        <v/>
      </c>
      <c r="BE274" s="27">
        <f>SUM(AA274,AD274,AG274)</f>
        <v/>
      </c>
      <c r="BF274" s="28">
        <f>SUM(AB274,AE274,AH274)</f>
        <v/>
      </c>
      <c r="BG274" s="241">
        <f>SUM(AI274,AL274,AO274)</f>
        <v/>
      </c>
      <c r="BH274" s="27">
        <f>SUM(AJ274,AM274,AP274)</f>
        <v/>
      </c>
      <c r="BI274" s="28">
        <f>SUM(AK274,AN274,AQ274)</f>
        <v/>
      </c>
    </row>
    <row r="275" hidden="1" outlineLevel="1" customFormat="1" s="498">
      <c r="A275" s="22" t="inlineStr">
        <is>
          <t>Eventos de Marketing</t>
        </is>
      </c>
      <c r="B275" s="23" t="n"/>
      <c r="C275" s="24" t="inlineStr">
        <is>
          <t>Estim. Mensal</t>
        </is>
      </c>
      <c r="D275" s="121" t="n"/>
      <c r="E275" s="114" t="n"/>
      <c r="F275" s="56" t="n"/>
      <c r="G275" s="33" t="n"/>
      <c r="H275" s="241" t="n"/>
      <c r="I275" s="27">
        <f>-SUMIFS(T_ORCAMENTOS!$E:$E,T_ORCAMENTOS!$C:$C,"Eventos de Marketing",T_ORCAMENTOS!$H:$H,"1/2026")</f>
        <v/>
      </c>
      <c r="J275" s="28">
        <f>SUMIFS(Aut_BlueMe_Sem_Pedido!$J:$J,Aut_BlueMe_Sem_Pedido!$Q:$Q,DRE!H$4,Aut_BlueMe_Sem_Pedido!$H:$H,DRE!$A275)-SUMIFS(Aut_Descontos!$G:$G,Aut_Descontos!$H:$H,A275,Aut_Descontos!$L:$L,DRE!H$4)+SUMIFS(Aut_Ajustes_Manuais!$G:$G,Aut_Ajustes_Manuais!$I:$I,DRE!H$4,Aut_Ajustes_Manuais!$F:$F,"Eventos de Marketing")</f>
        <v/>
      </c>
      <c r="K275" s="241" t="n"/>
      <c r="L275" s="27">
        <f>-SUMIFS(T_ORCAMENTOS!$E:$E,T_ORCAMENTOS!$C:$C,"Eventos de Marketing",T_ORCAMENTOS!$H:$H,"2/2026")</f>
        <v/>
      </c>
      <c r="M275" s="28">
        <f>SUMIFS(Aut_BlueMe_Sem_Pedido!$J:$J,Aut_BlueMe_Sem_Pedido!$Q:$Q,DRE!K$4,Aut_BlueMe_Sem_Pedido!$H:$H,DRE!$A275)-SUMIFS(Aut_Descontos!$G:$G,Aut_Descontos!$H:$H,A275,Aut_Descontos!$L:$L,DRE!K$4)+SUMIFS(Aut_Ajustes_Manuais!$G:$G,Aut_Ajustes_Manuais!$I:$I,DRE!K$4,Aut_Ajustes_Manuais!$F:$F,"Eventos de Marketing")</f>
        <v/>
      </c>
      <c r="N275" s="241" t="n"/>
      <c r="O275" s="27">
        <f>-SUMIFS(T_ORCAMENTOS!$E:$E,T_ORCAMENTOS!$C:$C,"Eventos de Marketing",T_ORCAMENTOS!$H:$H,"3/2026")</f>
        <v/>
      </c>
      <c r="P275" s="27">
        <f>SUMIFS(Aut_BlueMe_Sem_Pedido!$J:$J,Aut_BlueMe_Sem_Pedido!$Q:$Q,DRE!N$4,Aut_BlueMe_Sem_Pedido!$H:$H,DRE!$A275)-SUMIFS(Aut_Descontos!$G:$G,Aut_Descontos!$H:$H,A275,Aut_Descontos!$L:$L,DRE!N$4)+SUMIFS(Aut_Ajustes_Manuais!$G:$G,Aut_Ajustes_Manuais!$I:$I,DRE!N$4,Aut_Ajustes_Manuais!$F:$F,"Eventos de Marketing")</f>
        <v/>
      </c>
      <c r="Q275" s="241" t="n"/>
      <c r="R275" s="27">
        <f>-SUMIFS(T_ORCAMENTOS!$E:$E,T_ORCAMENTOS!$C:$C,"Eventos de Marketing",T_ORCAMENTOS!$H:$H,"4/2026")</f>
        <v/>
      </c>
      <c r="S275" s="27">
        <f>SUMIFS(Aut_BlueMe_Sem_Pedido!$J:$J,Aut_BlueMe_Sem_Pedido!$Q:$Q,DRE!Q$4,Aut_BlueMe_Sem_Pedido!$H:$H,DRE!$A275)-SUMIFS(Aut_Descontos!$G:$G,Aut_Descontos!$H:$H,A275,Aut_Descontos!$L:$L,DRE!Q$4)+SUMIFS(Aut_Ajustes_Manuais!$G:$G,Aut_Ajustes_Manuais!$I:$I,DRE!Q$4,Aut_Ajustes_Manuais!$F:$F,"Eventos de Marketing")</f>
        <v/>
      </c>
      <c r="T275" s="241" t="n"/>
      <c r="U275" s="27">
        <f>-SUMIFS(T_ORCAMENTOS!$E:$E,T_ORCAMENTOS!$C:$C,"Eventos de Marketing",T_ORCAMENTOS!$H:$H,"5/2026")</f>
        <v/>
      </c>
      <c r="V275" s="28">
        <f>SUMIFS(Aut_BlueMe_Sem_Pedido!$J:$J,Aut_BlueMe_Sem_Pedido!$Q:$Q,DRE!T$4,Aut_BlueMe_Sem_Pedido!$H:$H,DRE!$A275)-SUMIFS(Aut_Descontos!$G:$G,Aut_Descontos!$H:$H,A275,Aut_Descontos!$L:$L,DRE!T$4)+SUMIFS(Aut_Ajustes_Manuais!$G:$G,Aut_Ajustes_Manuais!$I:$I,DRE!T$4,Aut_Ajustes_Manuais!$F:$F,"Eventos de Marketing")</f>
        <v/>
      </c>
      <c r="W275" s="241" t="n"/>
      <c r="X275" s="27">
        <f>-SUMIFS(T_ORCAMENTOS!$E:$E,T_ORCAMENTOS!$C:$C,"Eventos de Marketing",T_ORCAMENTOS!$H:$H,"6/2026")</f>
        <v/>
      </c>
      <c r="Y275" s="28">
        <f>SUMIFS(Aut_BlueMe_Sem_Pedido!$J:$J,Aut_BlueMe_Sem_Pedido!$Q:$Q,DRE!W$4,Aut_BlueMe_Sem_Pedido!$H:$H,DRE!$A275)-SUMIFS(Aut_Descontos!$G:$G,Aut_Descontos!$H:$H,A275,Aut_Descontos!$L:$L,DRE!W$4)+SUMIFS(Aut_Ajustes_Manuais!$G:$G,Aut_Ajustes_Manuais!$I:$I,DRE!W$4,Aut_Ajustes_Manuais!$F:$F,"Eventos de Marketing")</f>
        <v/>
      </c>
      <c r="Z275" s="241" t="n"/>
      <c r="AA275" s="27">
        <f>-SUMIFS(T_ORCAMENTOS!$E:$E,T_ORCAMENTOS!$C:$C,"Eventos de Marketing",T_ORCAMENTOS!$H:$H,"7/2026")</f>
        <v/>
      </c>
      <c r="AB275" s="28">
        <f>SUMIFS(Aut_BlueMe_Sem_Pedido!$J:$J,Aut_BlueMe_Sem_Pedido!$Q:$Q,DRE!Z$4,Aut_BlueMe_Sem_Pedido!$H:$H,DRE!$A275)-SUMIFS(Aut_Descontos!$G:$G,Aut_Descontos!$H:$H,A275,Aut_Descontos!$L:$L,DRE!Z$4)+SUMIFS(Aut_Ajustes_Manuais!$G:$G,Aut_Ajustes_Manuais!$I:$I,DRE!Z$4,Aut_Ajustes_Manuais!$F:$F,"Eventos de Marketing")</f>
        <v/>
      </c>
      <c r="AC275" s="241" t="n"/>
      <c r="AD275" s="27">
        <f>-SUMIFS(T_ORCAMENTOS!$E:$E,T_ORCAMENTOS!$C:$C,"Eventos de Marketing",T_ORCAMENTOS!$H:$H,"8/2026")</f>
        <v/>
      </c>
      <c r="AE275" s="28">
        <f>SUMIFS(Aut_BlueMe_Sem_Pedido!$J:$J,Aut_BlueMe_Sem_Pedido!$Q:$Q,DRE!AC$4,Aut_BlueMe_Sem_Pedido!$H:$H,DRE!$A275)-SUMIFS(Aut_Descontos!$G:$G,Aut_Descontos!$H:$H,A275,Aut_Descontos!$L:$L,DRE!AC$4)+SUMIFS(Aut_Ajustes_Manuais!$G:$G,Aut_Ajustes_Manuais!$I:$I,DRE!AC$4,Aut_Ajustes_Manuais!$F:$F,"Eventos de Marketing")</f>
        <v/>
      </c>
      <c r="AF275" s="241" t="n"/>
      <c r="AG275" s="27">
        <f>-SUMIFS(T_ORCAMENTOS!$E:$E,T_ORCAMENTOS!$C:$C,"Eventos de Marketing",T_ORCAMENTOS!$H:$H,"9/2026")</f>
        <v/>
      </c>
      <c r="AH275" s="28">
        <f>SUMIFS(Aut_BlueMe_Sem_Pedido!$J:$J,Aut_BlueMe_Sem_Pedido!$Q:$Q,DRE!AF$4,Aut_BlueMe_Sem_Pedido!$H:$H,DRE!$A275)-SUMIFS(Aut_Descontos!$G:$G,Aut_Descontos!$H:$H,A275,Aut_Descontos!$L:$L,DRE!AF$4)+SUMIFS(Aut_Ajustes_Manuais!$G:$G,Aut_Ajustes_Manuais!$I:$I,DRE!AF$4,Aut_Ajustes_Manuais!$F:$F,"Eventos de Marketing")</f>
        <v/>
      </c>
      <c r="AI275" s="241" t="n"/>
      <c r="AJ275" s="27">
        <f>-SUMIFS(T_ORCAMENTOS!$E:$E,T_ORCAMENTOS!$C:$C,"Eventos de Marketing",T_ORCAMENTOS!$H:$H,"10/2026")</f>
        <v/>
      </c>
      <c r="AK275" s="28">
        <f>SUMIFS(Aut_BlueMe_Sem_Pedido!$J:$J,Aut_BlueMe_Sem_Pedido!$Q:$Q,DRE!AI$4,Aut_BlueMe_Sem_Pedido!$H:$H,DRE!$A275)-SUMIFS(Aut_Descontos!$G:$G,Aut_Descontos!$H:$H,A275,Aut_Descontos!$L:$L,DRE!AI$4)+SUMIFS(Aut_Ajustes_Manuais!$G:$G,Aut_Ajustes_Manuais!$I:$I,DRE!AI$4,Aut_Ajustes_Manuais!$F:$F,"Eventos de Marketing")</f>
        <v/>
      </c>
      <c r="AL275" s="241" t="n"/>
      <c r="AM275" s="27">
        <f>-SUMIFS(T_ORCAMENTOS!$E:$E,T_ORCAMENTOS!$C:$C,"Eventos de Marketing",T_ORCAMENTOS!$H:$H,"11/2026")</f>
        <v/>
      </c>
      <c r="AN275" s="28">
        <f>SUMIFS(Aut_BlueMe_Sem_Pedido!$J:$J,Aut_BlueMe_Sem_Pedido!$Q:$Q,DRE!AL$4,Aut_BlueMe_Sem_Pedido!$H:$H,DRE!$A275)-SUMIFS(Aut_Descontos!$G:$G,Aut_Descontos!$H:$H,A275,Aut_Descontos!$L:$L,DRE!AL$4)+SUMIFS(Aut_Ajustes_Manuais!$G:$G,Aut_Ajustes_Manuais!$I:$I,DRE!AL$4,Aut_Ajustes_Manuais!$F:$F,"Eventos de Marketing")</f>
        <v/>
      </c>
      <c r="AO275" s="241" t="n"/>
      <c r="AP275" s="27">
        <f>-SUMIFS(T_ORCAMENTOS!$E:$E,T_ORCAMENTOS!$C:$C,"Eventos de Marketing",T_ORCAMENTOS!$H:$H,"12/2026")</f>
        <v/>
      </c>
      <c r="AQ275" s="28">
        <f>SUMIFS(Aut_BlueMe_Sem_Pedido!$J:$J,Aut_BlueMe_Sem_Pedido!$Q:$Q,DRE!AO$4,Aut_BlueMe_Sem_Pedido!$H:$H,DRE!$A275)-SUMIFS(Aut_Descontos!$G:$G,Aut_Descontos!$H:$H,A275,Aut_Descontos!$L:$L,DRE!AO$4)+SUMIFS(Aut_Ajustes_Manuais!$G:$G,Aut_Ajustes_Manuais!$I:$I,DRE!AO$4,Aut_Ajustes_Manuais!$F:$F,"Eventos de Marketing")</f>
        <v/>
      </c>
      <c r="AR275" s="241">
        <f>SUMIFS($H275:$AO275,$H$5:$AO$5,"&lt;"&amp;MONTH(TODAY()),$H$6:$AO$6,"REAL 25")</f>
        <v/>
      </c>
      <c r="AS275" s="27">
        <f>SUMIFS($I275:$AP275,$I$5:$AP$5,"&lt;"&amp;MONTH(TODAY()),$I$6:$AP$6,"ORÇADO ")</f>
        <v/>
      </c>
      <c r="AT275" s="28">
        <f>SUMIFS($J275:$AQ275,$J$5:$AQ$5,"&lt;"&amp;MONTH(TODAY()),$J$6:$AQ$6,"REAL 26")</f>
        <v/>
      </c>
      <c r="AU275" s="241">
        <f>SUM(H275,K275,N275,Q275,T275,W275,Z275,AC275,AF275,AI275,AL275,AO275)</f>
        <v/>
      </c>
      <c r="AV275" s="27">
        <f>SUM(I275,L275,O275,R275,U275,X275,AA275,AD275,AG275,AJ275,AM275,AP275)</f>
        <v/>
      </c>
      <c r="AW275" s="28">
        <f>SUM(J275,M275,P275,S275,V275,Y275,AB275,AE275,AH275,AK275,AN275,AQ275)</f>
        <v/>
      </c>
      <c r="AX275" s="241">
        <f>SUM(H275,K275,N275)</f>
        <v/>
      </c>
      <c r="AY275" s="27">
        <f>SUM(I275,L275,O275)</f>
        <v/>
      </c>
      <c r="AZ275" s="28">
        <f>SUM(J275,M275,P275)</f>
        <v/>
      </c>
      <c r="BA275" s="241">
        <f>SUM(Q275,T275,W275)</f>
        <v/>
      </c>
      <c r="BB275" s="27">
        <f>SUM(R275,U275,X275)</f>
        <v/>
      </c>
      <c r="BC275" s="28">
        <f>SUM(S275,V275,Y275)</f>
        <v/>
      </c>
      <c r="BD275" s="241">
        <f>SUM(Z275,AC275,AF275)</f>
        <v/>
      </c>
      <c r="BE275" s="27">
        <f>SUM(AA275,AD275,AG275)</f>
        <v/>
      </c>
      <c r="BF275" s="28">
        <f>SUM(AB275,AE275,AH275)</f>
        <v/>
      </c>
      <c r="BG275" s="241">
        <f>SUM(AI275,AL275,AO275)</f>
        <v/>
      </c>
      <c r="BH275" s="27">
        <f>SUM(AJ275,AM275,AP275)</f>
        <v/>
      </c>
      <c r="BI275" s="28">
        <f>SUM(AK275,AN275,AQ275)</f>
        <v/>
      </c>
    </row>
    <row r="276" hidden="1" outlineLevel="1" customFormat="1" s="498">
      <c r="A276" s="22" t="inlineStr">
        <is>
          <t>Brindes e Confraternizações</t>
        </is>
      </c>
      <c r="B276" s="23" t="n"/>
      <c r="C276" s="24" t="inlineStr">
        <is>
          <t>Estim. Mensal</t>
        </is>
      </c>
      <c r="D276" s="121" t="n"/>
      <c r="E276" s="114" t="n"/>
      <c r="F276" s="56" t="n"/>
      <c r="G276" s="33" t="n"/>
      <c r="H276" s="241" t="n"/>
      <c r="I276" s="27">
        <f>-SUMIFS(T_ORCAMENTOS!$E:$E,T_ORCAMENTOS!$C:$C,"Brindes e Confraternizações - Marketing",T_ORCAMENTOS!$H:$H,"1/2026")</f>
        <v/>
      </c>
      <c r="J276" s="28">
        <f>SUMIFS(Aut_BlueMe_Sem_Pedido!$J:$J,Aut_BlueMe_Sem_Pedido!$Q:$Q,DRE!H$4,Aut_BlueMe_Sem_Pedido!$H:$H,DRE!$A276)+SUMIFS(Aut_Ajustes_Manuais!$G:$G,Aut_Ajustes_Manuais!$I:$I,DRE!H$4,Aut_Ajustes_Manuais!$F:$F,"Brindes e Confraternizações")</f>
        <v/>
      </c>
      <c r="K276" s="241" t="n"/>
      <c r="L276" s="27">
        <f>-SUMIFS(T_ORCAMENTOS!$E:$E,T_ORCAMENTOS!$C:$C,"Brindes e Confraternizações - Marketing",T_ORCAMENTOS!$H:$H,"2/2026")</f>
        <v/>
      </c>
      <c r="M276" s="28">
        <f>SUMIFS(Aut_BlueMe_Sem_Pedido!$J:$J,Aut_BlueMe_Sem_Pedido!$Q:$Q,DRE!K$4,Aut_BlueMe_Sem_Pedido!$H:$H,DRE!$A276)+SUMIFS(Aut_Ajustes_Manuais!$G:$G,Aut_Ajustes_Manuais!$I:$I,DRE!K$4,Aut_Ajustes_Manuais!$F:$F,"Brindes e Confraternizações")</f>
        <v/>
      </c>
      <c r="N276" s="241" t="n"/>
      <c r="O276" s="27">
        <f>-SUMIFS(T_ORCAMENTOS!$E:$E,T_ORCAMENTOS!$C:$C,"Brindes e Confraternizações - Marketing",T_ORCAMENTOS!$H:$H,"3/2026")</f>
        <v/>
      </c>
      <c r="P276" s="27">
        <f>SUMIFS(Aut_BlueMe_Sem_Pedido!$J:$J,Aut_BlueMe_Sem_Pedido!$Q:$Q,DRE!N$4,Aut_BlueMe_Sem_Pedido!$H:$H,DRE!$A276)+SUMIFS(Aut_Ajustes_Manuais!$G:$G,Aut_Ajustes_Manuais!$I:$I,DRE!N$4,Aut_Ajustes_Manuais!$F:$F,"Brindes e Confraternizações")</f>
        <v/>
      </c>
      <c r="Q276" s="241" t="n"/>
      <c r="R276" s="27">
        <f>-SUMIFS(T_ORCAMENTOS!$E:$E,T_ORCAMENTOS!$C:$C,"Brindes e Confraternizações - Marketing",T_ORCAMENTOS!$H:$H,"4/2026")</f>
        <v/>
      </c>
      <c r="S276" s="27">
        <f>SUMIFS(Aut_BlueMe_Sem_Pedido!$J:$J,Aut_BlueMe_Sem_Pedido!$Q:$Q,DRE!Q$4,Aut_BlueMe_Sem_Pedido!$H:$H,DRE!$A276)+SUMIFS(Aut_Ajustes_Manuais!$G:$G,Aut_Ajustes_Manuais!$I:$I,DRE!Q$4,Aut_Ajustes_Manuais!$F:$F,"Brindes e Confraternizações")</f>
        <v/>
      </c>
      <c r="T276" s="241" t="n"/>
      <c r="U276" s="27">
        <f>-SUMIFS(T_ORCAMENTOS!$E:$E,T_ORCAMENTOS!$C:$C,"Brindes e Confraternizações - Marketing",T_ORCAMENTOS!$H:$H,"5/2026")</f>
        <v/>
      </c>
      <c r="V276" s="28">
        <f>SUMIFS(Aut_BlueMe_Sem_Pedido!$J:$J,Aut_BlueMe_Sem_Pedido!$Q:$Q,DRE!T$4,Aut_BlueMe_Sem_Pedido!$H:$H,DRE!$A276)+SUMIFS(Aut_Ajustes_Manuais!$G:$G,Aut_Ajustes_Manuais!$I:$I,DRE!T$4,Aut_Ajustes_Manuais!$F:$F,"Brindes e Confraternizações")</f>
        <v/>
      </c>
      <c r="W276" s="241" t="n"/>
      <c r="X276" s="27">
        <f>-SUMIFS(T_ORCAMENTOS!$E:$E,T_ORCAMENTOS!$C:$C,"Brindes e Confraternizações - Marketing",T_ORCAMENTOS!$H:$H,"6/2026")</f>
        <v/>
      </c>
      <c r="Y276" s="28">
        <f>SUMIFS(Aut_BlueMe_Sem_Pedido!$J:$J,Aut_BlueMe_Sem_Pedido!$Q:$Q,DRE!W$4,Aut_BlueMe_Sem_Pedido!$H:$H,DRE!$A276)+SUMIFS(Aut_Ajustes_Manuais!$G:$G,Aut_Ajustes_Manuais!$I:$I,DRE!W$4,Aut_Ajustes_Manuais!$F:$F,"Brindes e Confraternizações")</f>
        <v/>
      </c>
      <c r="Z276" s="241" t="n"/>
      <c r="AA276" s="27">
        <f>-SUMIFS(T_ORCAMENTOS!$E:$E,T_ORCAMENTOS!$C:$C,"Brindes e Confraternizações - Marketing",T_ORCAMENTOS!$H:$H,"7/2026")</f>
        <v/>
      </c>
      <c r="AB276" s="28">
        <f>SUMIFS(Aut_BlueMe_Sem_Pedido!$J:$J,Aut_BlueMe_Sem_Pedido!$Q:$Q,DRE!Z$4,Aut_BlueMe_Sem_Pedido!$H:$H,DRE!$A276)+SUMIFS(Aut_Ajustes_Manuais!$G:$G,Aut_Ajustes_Manuais!$I:$I,DRE!Z$4,Aut_Ajustes_Manuais!$F:$F,"Brindes e Confraternizações")</f>
        <v/>
      </c>
      <c r="AC276" s="241" t="n"/>
      <c r="AD276" s="27">
        <f>-SUMIFS(T_ORCAMENTOS!$E:$E,T_ORCAMENTOS!$C:$C,"Brindes e Confraternizações - Marketing",T_ORCAMENTOS!$H:$H,"8/2026")</f>
        <v/>
      </c>
      <c r="AE276" s="28">
        <f>SUMIFS(Aut_BlueMe_Sem_Pedido!$J:$J,Aut_BlueMe_Sem_Pedido!$Q:$Q,DRE!AC$4,Aut_BlueMe_Sem_Pedido!$H:$H,DRE!$A276)+SUMIFS(Aut_Ajustes_Manuais!$G:$G,Aut_Ajustes_Manuais!$I:$I,DRE!AC$4,Aut_Ajustes_Manuais!$F:$F,"Brindes e Confraternizações")</f>
        <v/>
      </c>
      <c r="AF276" s="241" t="n"/>
      <c r="AG276" s="27">
        <f>-SUMIFS(T_ORCAMENTOS!$E:$E,T_ORCAMENTOS!$C:$C,"Brindes e Confraternizações - Marketing",T_ORCAMENTOS!$H:$H,"9/2026")</f>
        <v/>
      </c>
      <c r="AH276" s="28">
        <f>SUMIFS(Aut_BlueMe_Sem_Pedido!$J:$J,Aut_BlueMe_Sem_Pedido!$Q:$Q,DRE!AF$4,Aut_BlueMe_Sem_Pedido!$H:$H,DRE!$A276)+SUMIFS(Aut_Ajustes_Manuais!$G:$G,Aut_Ajustes_Manuais!$I:$I,DRE!AF$4,Aut_Ajustes_Manuais!$F:$F,"Brindes e Confraternizações")</f>
        <v/>
      </c>
      <c r="AI276" s="241" t="n"/>
      <c r="AJ276" s="27">
        <f>-SUMIFS(T_ORCAMENTOS!$E:$E,T_ORCAMENTOS!$C:$C,"Brindes e Confraternizações - Marketing",T_ORCAMENTOS!$H:$H,"10/2026")</f>
        <v/>
      </c>
      <c r="AK276" s="28">
        <f>SUMIFS(Aut_BlueMe_Sem_Pedido!$J:$J,Aut_BlueMe_Sem_Pedido!$Q:$Q,DRE!AI$4,Aut_BlueMe_Sem_Pedido!$H:$H,DRE!$A276)+SUMIFS(Aut_Ajustes_Manuais!$G:$G,Aut_Ajustes_Manuais!$I:$I,DRE!AI$4,Aut_Ajustes_Manuais!$F:$F,"Brindes e Confraternizações")</f>
        <v/>
      </c>
      <c r="AL276" s="241" t="n"/>
      <c r="AM276" s="27">
        <f>-SUMIFS(T_ORCAMENTOS!$E:$E,T_ORCAMENTOS!$C:$C,"Brindes e Confraternizações - Marketing",T_ORCAMENTOS!$H:$H,"11/2026")</f>
        <v/>
      </c>
      <c r="AN276" s="28">
        <f>SUMIFS(Aut_BlueMe_Sem_Pedido!$J:$J,Aut_BlueMe_Sem_Pedido!$Q:$Q,DRE!AL$4,Aut_BlueMe_Sem_Pedido!$H:$H,DRE!$A276)+SUMIFS(Aut_Ajustes_Manuais!$G:$G,Aut_Ajustes_Manuais!$I:$I,DRE!AL$4,Aut_Ajustes_Manuais!$F:$F,"Brindes e Confraternizações")</f>
        <v/>
      </c>
      <c r="AO276" s="241" t="n"/>
      <c r="AP276" s="27">
        <f>-SUMIFS(T_ORCAMENTOS!$E:$E,T_ORCAMENTOS!$C:$C,"Brindes e Confraternizações - Marketing",T_ORCAMENTOS!$H:$H,"12/2026")</f>
        <v/>
      </c>
      <c r="AQ276" s="28">
        <f>SUMIFS(Aut_BlueMe_Sem_Pedido!$J:$J,Aut_BlueMe_Sem_Pedido!$Q:$Q,DRE!AO$4,Aut_BlueMe_Sem_Pedido!$H:$H,DRE!$A276)+SUMIFS(Aut_Ajustes_Manuais!$G:$G,Aut_Ajustes_Manuais!$I:$I,DRE!AO$4,Aut_Ajustes_Manuais!$F:$F,"Brindes e Confraternizações")</f>
        <v/>
      </c>
      <c r="AR276" s="241">
        <f>SUMIFS($H276:$AO276,$H$5:$AO$5,"&lt;"&amp;MONTH(TODAY()),$H$6:$AO$6,"REAL 25")</f>
        <v/>
      </c>
      <c r="AS276" s="27">
        <f>SUMIFS($I276:$AP276,$I$5:$AP$5,"&lt;"&amp;MONTH(TODAY()),$I$6:$AP$6,"ORÇADO ")</f>
        <v/>
      </c>
      <c r="AT276" s="28">
        <f>SUMIFS($J276:$AQ276,$J$5:$AQ$5,"&lt;"&amp;MONTH(TODAY()),$J$6:$AQ$6,"REAL 26")</f>
        <v/>
      </c>
      <c r="AU276" s="241">
        <f>SUM(H276,K276,N276,Q276,T276,W276,Z276,AC276,AF276,AI276,AL276,AO276)</f>
        <v/>
      </c>
      <c r="AV276" s="27">
        <f>SUM(I276,L276,O276,R276,U276,X276,AA276,AD276,AG276,AJ276,AM276,AP276)</f>
        <v/>
      </c>
      <c r="AW276" s="28">
        <f>SUM(J276,M276,P276,S276,V276,Y276,AB276,AE276,AH276,AK276,AN276,AQ276)</f>
        <v/>
      </c>
      <c r="AX276" s="241">
        <f>SUM(H276,K276,N276)</f>
        <v/>
      </c>
      <c r="AY276" s="27">
        <f>SUM(I276,L276,O276)</f>
        <v/>
      </c>
      <c r="AZ276" s="28">
        <f>SUM(J276,M276,P276)</f>
        <v/>
      </c>
      <c r="BA276" s="241">
        <f>SUM(Q276,T276,W276)</f>
        <v/>
      </c>
      <c r="BB276" s="27">
        <f>SUM(R276,U276,X276)</f>
        <v/>
      </c>
      <c r="BC276" s="28">
        <f>SUM(S276,V276,Y276)</f>
        <v/>
      </c>
      <c r="BD276" s="241">
        <f>SUM(Z276,AC276,AF276)</f>
        <v/>
      </c>
      <c r="BE276" s="27">
        <f>SUM(AA276,AD276,AG276)</f>
        <v/>
      </c>
      <c r="BF276" s="28">
        <f>SUM(AB276,AE276,AH276)</f>
        <v/>
      </c>
      <c r="BG276" s="241">
        <f>SUM(AI276,AL276,AO276)</f>
        <v/>
      </c>
      <c r="BH276" s="27">
        <f>SUM(AJ276,AM276,AP276)</f>
        <v/>
      </c>
      <c r="BI276" s="28">
        <f>SUM(AK276,AN276,AQ276)</f>
        <v/>
      </c>
    </row>
    <row r="277" hidden="1" outlineLevel="1" customFormat="1" s="498">
      <c r="A277" s="22" t="inlineStr">
        <is>
          <t>Ferramentas de Marketing</t>
        </is>
      </c>
      <c r="B277" s="23" t="n"/>
      <c r="C277" s="24" t="inlineStr">
        <is>
          <t>Contr/Prov</t>
        </is>
      </c>
      <c r="D277" s="116" t="n"/>
      <c r="E277" s="115" t="n"/>
      <c r="F277" s="56" t="n"/>
      <c r="G277" s="33" t="n"/>
      <c r="H277" s="241" t="n"/>
      <c r="I277" s="27">
        <f>-SUMIFS(T_ORCAMENTOS!$E:$E,T_ORCAMENTOS!$C:$C,"Ferramentas de Marketing",T_ORCAMENTOS!$H:$H,"1/2026")</f>
        <v/>
      </c>
      <c r="J277" s="28">
        <f>SUMIFS(Aut_BlueMe_Sem_Pedido!$J:$J,Aut_BlueMe_Sem_Pedido!$Q:$Q,DRE!H$4,Aut_BlueMe_Sem_Pedido!$H:$H,DRE!$A277)-SUMIFS(Aut_Descontos!$G:$G,Aut_Descontos!$H:$H,$A277,Aut_Descontos!$L:$L,DRE!H$4)+SUMIFS(Aut_Ajustes_Manuais!$G:$G,Aut_Ajustes_Manuais!$I:$I,DRE!H$4,Aut_Ajustes_Manuais!$F:$F,"Ferramentas de Marketing")</f>
        <v/>
      </c>
      <c r="K277" s="241" t="n"/>
      <c r="L277" s="27">
        <f>-SUMIFS(T_ORCAMENTOS!$E:$E,T_ORCAMENTOS!$C:$C,"Ferramentas de Marketing",T_ORCAMENTOS!$H:$H,"2/2026")</f>
        <v/>
      </c>
      <c r="M277" s="28">
        <f>SUMIFS(Aut_BlueMe_Sem_Pedido!$J:$J,Aut_BlueMe_Sem_Pedido!$Q:$Q,DRE!K$4,Aut_BlueMe_Sem_Pedido!$H:$H,DRE!$A277)-SUMIFS(Aut_Descontos!$G:$G,Aut_Descontos!$H:$H,$A277,Aut_Descontos!$L:$L,DRE!K$4)+SUMIFS(Aut_Ajustes_Manuais!$G:$G,Aut_Ajustes_Manuais!$I:$I,DRE!K$4,Aut_Ajustes_Manuais!$F:$F,"Ferramentas de Marketing")</f>
        <v/>
      </c>
      <c r="N277" s="241" t="n"/>
      <c r="O277" s="27">
        <f>-SUMIFS(T_ORCAMENTOS!$E:$E,T_ORCAMENTOS!$C:$C,"Ferramentas de Marketing",T_ORCAMENTOS!$H:$H,"3/2026")</f>
        <v/>
      </c>
      <c r="P277" s="27">
        <f>SUMIFS(Aut_BlueMe_Sem_Pedido!$J:$J,Aut_BlueMe_Sem_Pedido!$Q:$Q,DRE!N$4,Aut_BlueMe_Sem_Pedido!$H:$H,DRE!$A277)-SUMIFS(Aut_Descontos!$G:$G,Aut_Descontos!$H:$H,$A277,Aut_Descontos!$L:$L,DRE!N$4)+SUMIFS(Aut_Ajustes_Manuais!$G:$G,Aut_Ajustes_Manuais!$I:$I,DRE!N$4,Aut_Ajustes_Manuais!$F:$F,"Ferramentas de Marketing")</f>
        <v/>
      </c>
      <c r="Q277" s="241" t="n"/>
      <c r="R277" s="27">
        <f>-SUMIFS(T_ORCAMENTOS!$E:$E,T_ORCAMENTOS!$C:$C,"Ferramentas de Marketing",T_ORCAMENTOS!$H:$H,"4/2026")</f>
        <v/>
      </c>
      <c r="S277" s="27">
        <f>SUMIFS(Aut_BlueMe_Sem_Pedido!$J:$J,Aut_BlueMe_Sem_Pedido!$Q:$Q,DRE!Q$4,Aut_BlueMe_Sem_Pedido!$H:$H,DRE!$A277)-SUMIFS(Aut_Descontos!$G:$G,Aut_Descontos!$H:$H,$A277,Aut_Descontos!$L:$L,DRE!Q$4)+SUMIFS(Aut_Ajustes_Manuais!$G:$G,Aut_Ajustes_Manuais!$I:$I,DRE!Q$4,Aut_Ajustes_Manuais!$F:$F,"Ferramentas de Marketing")</f>
        <v/>
      </c>
      <c r="T277" s="241" t="n"/>
      <c r="U277" s="27">
        <f>-SUMIFS(T_ORCAMENTOS!$E:$E,T_ORCAMENTOS!$C:$C,"Ferramentas de Marketing",T_ORCAMENTOS!$H:$H,"5/2026")</f>
        <v/>
      </c>
      <c r="V277" s="28">
        <f>SUMIFS(Aut_BlueMe_Sem_Pedido!$J:$J,Aut_BlueMe_Sem_Pedido!$Q:$Q,DRE!T$4,Aut_BlueMe_Sem_Pedido!$H:$H,DRE!$A277)-SUMIFS(Aut_Descontos!$G:$G,Aut_Descontos!$H:$H,$A277,Aut_Descontos!$L:$L,DRE!T$4)+SUMIFS(Aut_Ajustes_Manuais!$G:$G,Aut_Ajustes_Manuais!$I:$I,DRE!T$4,Aut_Ajustes_Manuais!$F:$F,"Ferramentas de Marketing")</f>
        <v/>
      </c>
      <c r="W277" s="241" t="n"/>
      <c r="X277" s="27">
        <f>-SUMIFS(T_ORCAMENTOS!$E:$E,T_ORCAMENTOS!$C:$C,"Ferramentas de Marketing",T_ORCAMENTOS!$H:$H,"6/2026")</f>
        <v/>
      </c>
      <c r="Y277" s="28">
        <f>SUMIFS(Aut_BlueMe_Sem_Pedido!$J:$J,Aut_BlueMe_Sem_Pedido!$Q:$Q,DRE!W$4,Aut_BlueMe_Sem_Pedido!$H:$H,DRE!$A277)-SUMIFS(Aut_Descontos!$G:$G,Aut_Descontos!$H:$H,$A277,Aut_Descontos!$L:$L,DRE!W$4)+SUMIFS(Aut_Ajustes_Manuais!$G:$G,Aut_Ajustes_Manuais!$I:$I,DRE!W$4,Aut_Ajustes_Manuais!$F:$F,"Ferramentas de Marketing")</f>
        <v/>
      </c>
      <c r="Z277" s="241" t="n"/>
      <c r="AA277" s="27">
        <f>-SUMIFS(T_ORCAMENTOS!$E:$E,T_ORCAMENTOS!$C:$C,"Ferramentas de Marketing",T_ORCAMENTOS!$H:$H,"7/2026")</f>
        <v/>
      </c>
      <c r="AB277" s="28">
        <f>SUMIFS(Aut_BlueMe_Sem_Pedido!$J:$J,Aut_BlueMe_Sem_Pedido!$Q:$Q,DRE!Z$4,Aut_BlueMe_Sem_Pedido!$H:$H,DRE!$A277)-SUMIFS(Aut_Descontos!$G:$G,Aut_Descontos!$H:$H,$A277,Aut_Descontos!$L:$L,DRE!Z$4)+SUMIFS(Aut_Ajustes_Manuais!$G:$G,Aut_Ajustes_Manuais!$I:$I,DRE!Z$4,Aut_Ajustes_Manuais!$F:$F,"Ferramentas de Marketing")</f>
        <v/>
      </c>
      <c r="AC277" s="241" t="n"/>
      <c r="AD277" s="27">
        <f>-SUMIFS(T_ORCAMENTOS!$E:$E,T_ORCAMENTOS!$C:$C,"Ferramentas de Marketing",T_ORCAMENTOS!$H:$H,"8/2026")</f>
        <v/>
      </c>
      <c r="AE277" s="28">
        <f>SUMIFS(Aut_BlueMe_Sem_Pedido!$J:$J,Aut_BlueMe_Sem_Pedido!$Q:$Q,DRE!AC$4,Aut_BlueMe_Sem_Pedido!$H:$H,DRE!$A277)-SUMIFS(Aut_Descontos!$G:$G,Aut_Descontos!$H:$H,$A277,Aut_Descontos!$L:$L,DRE!AC$4)+SUMIFS(Aut_Ajustes_Manuais!$G:$G,Aut_Ajustes_Manuais!$I:$I,DRE!AC$4,Aut_Ajustes_Manuais!$F:$F,"Ferramentas de Marketing")</f>
        <v/>
      </c>
      <c r="AF277" s="241" t="n"/>
      <c r="AG277" s="27">
        <f>-SUMIFS(T_ORCAMENTOS!$E:$E,T_ORCAMENTOS!$C:$C,"Ferramentas de Marketing",T_ORCAMENTOS!$H:$H,"9/2026")</f>
        <v/>
      </c>
      <c r="AH277" s="28">
        <f>SUMIFS(Aut_BlueMe_Sem_Pedido!$J:$J,Aut_BlueMe_Sem_Pedido!$Q:$Q,DRE!AF$4,Aut_BlueMe_Sem_Pedido!$H:$H,DRE!$A277)-SUMIFS(Aut_Descontos!$G:$G,Aut_Descontos!$H:$H,$A277,Aut_Descontos!$L:$L,DRE!AF$4)+SUMIFS(Aut_Ajustes_Manuais!$G:$G,Aut_Ajustes_Manuais!$I:$I,DRE!AF$4,Aut_Ajustes_Manuais!$F:$F,"Ferramentas de Marketing")</f>
        <v/>
      </c>
      <c r="AI277" s="241" t="n"/>
      <c r="AJ277" s="27">
        <f>-SUMIFS(T_ORCAMENTOS!$E:$E,T_ORCAMENTOS!$C:$C,"Ferramentas de Marketing",T_ORCAMENTOS!$H:$H,"10/2026")</f>
        <v/>
      </c>
      <c r="AK277" s="28">
        <f>SUMIFS(Aut_BlueMe_Sem_Pedido!$J:$J,Aut_BlueMe_Sem_Pedido!$Q:$Q,DRE!AI$4,Aut_BlueMe_Sem_Pedido!$H:$H,DRE!$A277)-SUMIFS(Aut_Descontos!$G:$G,Aut_Descontos!$H:$H,$A277,Aut_Descontos!$L:$L,DRE!AI$4)+SUMIFS(Aut_Ajustes_Manuais!$G:$G,Aut_Ajustes_Manuais!$I:$I,DRE!AI$4,Aut_Ajustes_Manuais!$F:$F,"Ferramentas de Marketing")</f>
        <v/>
      </c>
      <c r="AL277" s="241" t="n"/>
      <c r="AM277" s="27">
        <f>-SUMIFS(T_ORCAMENTOS!$E:$E,T_ORCAMENTOS!$C:$C,"Ferramentas de Marketing",T_ORCAMENTOS!$H:$H,"11/2026")</f>
        <v/>
      </c>
      <c r="AN277" s="28">
        <f>SUMIFS(Aut_BlueMe_Sem_Pedido!$J:$J,Aut_BlueMe_Sem_Pedido!$Q:$Q,DRE!AL$4,Aut_BlueMe_Sem_Pedido!$H:$H,DRE!$A277)-SUMIFS(Aut_Descontos!$G:$G,Aut_Descontos!$H:$H,$A277,Aut_Descontos!$L:$L,DRE!AL$4)+SUMIFS(Aut_Ajustes_Manuais!$G:$G,Aut_Ajustes_Manuais!$I:$I,DRE!AL$4,Aut_Ajustes_Manuais!$F:$F,"Ferramentas de Marketing")</f>
        <v/>
      </c>
      <c r="AO277" s="241" t="n"/>
      <c r="AP277" s="27">
        <f>-SUMIFS(T_ORCAMENTOS!$E:$E,T_ORCAMENTOS!$C:$C,"Ferramentas de Marketing",T_ORCAMENTOS!$H:$H,"12/2026")</f>
        <v/>
      </c>
      <c r="AQ277" s="28">
        <f>SUMIFS(Aut_BlueMe_Sem_Pedido!$J:$J,Aut_BlueMe_Sem_Pedido!$Q:$Q,DRE!AO$4,Aut_BlueMe_Sem_Pedido!$H:$H,DRE!$A277)-SUMIFS(Aut_Descontos!$G:$G,Aut_Descontos!$H:$H,$A277,Aut_Descontos!$L:$L,DRE!AO$4)+SUMIFS(Aut_Ajustes_Manuais!$G:$G,Aut_Ajustes_Manuais!$I:$I,DRE!AO$4,Aut_Ajustes_Manuais!$F:$F,"Ferramentas de Marketing")</f>
        <v/>
      </c>
      <c r="AR277" s="241">
        <f>SUMIFS($H277:$AO277,$H$5:$AO$5,"&lt;"&amp;MONTH(TODAY()),$H$6:$AO$6,"REAL 25")</f>
        <v/>
      </c>
      <c r="AS277" s="27">
        <f>SUMIFS($I277:$AP277,$I$5:$AP$5,"&lt;"&amp;MONTH(TODAY()),$I$6:$AP$6,"ORÇADO ")</f>
        <v/>
      </c>
      <c r="AT277" s="28">
        <f>SUMIFS($J277:$AQ277,$J$5:$AQ$5,"&lt;"&amp;MONTH(TODAY()),$J$6:$AQ$6,"REAL 26")</f>
        <v/>
      </c>
      <c r="AU277" s="241">
        <f>SUM(H277,K277,N277,Q277,T277,W277,Z277,AC277,AF277,AI277,AL277,AO277)</f>
        <v/>
      </c>
      <c r="AV277" s="27">
        <f>SUM(I277,L277,O277,R277,U277,X277,AA277,AD277,AG277,AJ277,AM277,AP277)</f>
        <v/>
      </c>
      <c r="AW277" s="28">
        <f>SUM(J277,M277,P277,S277,V277,Y277,AB277,AE277,AH277,AK277,AN277,AQ277)</f>
        <v/>
      </c>
      <c r="AX277" s="241">
        <f>SUM(H277,K277,N277)</f>
        <v/>
      </c>
      <c r="AY277" s="27">
        <f>SUM(I277,L277,O277)</f>
        <v/>
      </c>
      <c r="AZ277" s="28">
        <f>SUM(J277,M277,P277)</f>
        <v/>
      </c>
      <c r="BA277" s="241">
        <f>SUM(Q277,T277,W277)</f>
        <v/>
      </c>
      <c r="BB277" s="27">
        <f>SUM(R277,U277,X277)</f>
        <v/>
      </c>
      <c r="BC277" s="28">
        <f>SUM(S277,V277,Y277)</f>
        <v/>
      </c>
      <c r="BD277" s="241">
        <f>SUM(Z277,AC277,AF277)</f>
        <v/>
      </c>
      <c r="BE277" s="27">
        <f>SUM(AA277,AD277,AG277)</f>
        <v/>
      </c>
      <c r="BF277" s="28">
        <f>SUM(AB277,AE277,AH277)</f>
        <v/>
      </c>
      <c r="BG277" s="241">
        <f>SUM(AI277,AL277,AO277)</f>
        <v/>
      </c>
      <c r="BH277" s="27">
        <f>SUM(AJ277,AM277,AP277)</f>
        <v/>
      </c>
      <c r="BI277" s="28">
        <f>SUM(AK277,AN277,AQ277)</f>
        <v/>
      </c>
    </row>
    <row r="278" collapsed="1">
      <c r="A278" s="71" t="inlineStr">
        <is>
          <t>% sobre Receita Bruta</t>
        </is>
      </c>
      <c r="B278" s="59" t="n"/>
      <c r="C278" s="60" t="n"/>
      <c r="D278" s="61" t="n"/>
      <c r="E278" s="62" t="n"/>
      <c r="F278" s="63" t="n"/>
      <c r="G278" s="47" t="n"/>
      <c r="H278" s="245" t="n"/>
      <c r="I278" s="50">
        <f>IFERROR(I266/I8,0)</f>
        <v/>
      </c>
      <c r="J278" s="51">
        <f>IFERROR(J266/J8,0)+SUMIFS(Aut_Ajustes_Manuais!$G:$G,Aut_Ajustes_Manuais!$I:$I,DRE!H$4,Aut_Ajustes_Manuais!$F:$F,"% sobre Receita Bruta")</f>
        <v/>
      </c>
      <c r="K278" s="245" t="n"/>
      <c r="L278" s="50">
        <f>IFERROR(L266/L8,0)</f>
        <v/>
      </c>
      <c r="M278" s="51">
        <f>IFERROR(M266/M8,0)+SUMIFS(Aut_Ajustes_Manuais!$G:$G,Aut_Ajustes_Manuais!$I:$I,DRE!K$4,Aut_Ajustes_Manuais!$F:$F,"% sobre Receita Bruta")</f>
        <v/>
      </c>
      <c r="N278" s="245" t="n"/>
      <c r="O278" s="50">
        <f>IFERROR(O266/O8,0)</f>
        <v/>
      </c>
      <c r="P278" s="51">
        <f>IFERROR(P266/P8,0)+SUMIFS(Aut_Ajustes_Manuais!$G:$G,Aut_Ajustes_Manuais!$I:$I,DRE!N$4,Aut_Ajustes_Manuais!$F:$F,"% sobre Receita Bruta")</f>
        <v/>
      </c>
      <c r="Q278" s="245" t="n"/>
      <c r="R278" s="50">
        <f>IFERROR(R266/R8,0)</f>
        <v/>
      </c>
      <c r="S278" s="51">
        <f>IFERROR(S266/S8,0)+SUMIFS(Aut_Ajustes_Manuais!$G:$G,Aut_Ajustes_Manuais!$I:$I,DRE!Q$4,Aut_Ajustes_Manuais!$F:$F,"% sobre Receita Bruta")</f>
        <v/>
      </c>
      <c r="T278" s="245" t="n"/>
      <c r="U278" s="50">
        <f>IFERROR(U266/U8,0)</f>
        <v/>
      </c>
      <c r="V278" s="51">
        <f>IFERROR(V266/V8,0)+SUMIFS(Aut_Ajustes_Manuais!$G:$G,Aut_Ajustes_Manuais!$I:$I,DRE!T$4,Aut_Ajustes_Manuais!$F:$F,"% sobre Receita Bruta")</f>
        <v/>
      </c>
      <c r="W278" s="245" t="n"/>
      <c r="X278" s="50">
        <f>IFERROR(X266/X8,0)</f>
        <v/>
      </c>
      <c r="Y278" s="51">
        <f>IFERROR(Y266/Y8,0)+SUMIFS(Aut_Ajustes_Manuais!$G:$G,Aut_Ajustes_Manuais!$I:$I,DRE!W$4,Aut_Ajustes_Manuais!$F:$F,"% sobre Receita Bruta")</f>
        <v/>
      </c>
      <c r="Z278" s="245" t="n"/>
      <c r="AA278" s="50">
        <f>IFERROR(AA266/AA8,0)</f>
        <v/>
      </c>
      <c r="AB278" s="51">
        <f>IFERROR(AB266/AB8,0)+SUMIFS(Aut_Ajustes_Manuais!$G:$G,Aut_Ajustes_Manuais!$I:$I,DRE!Z$4,Aut_Ajustes_Manuais!$F:$F,"% sobre Receita Bruta")</f>
        <v/>
      </c>
      <c r="AC278" s="245" t="n"/>
      <c r="AD278" s="50">
        <f>IFERROR(AD266/AD8,0)</f>
        <v/>
      </c>
      <c r="AE278" s="51">
        <f>IFERROR(AE266/AE8,0)+SUMIFS(Aut_Ajustes_Manuais!$G:$G,Aut_Ajustes_Manuais!$I:$I,DRE!AC$4,Aut_Ajustes_Manuais!$F:$F,"% sobre Receita Bruta")</f>
        <v/>
      </c>
      <c r="AF278" s="245" t="n"/>
      <c r="AG278" s="50">
        <f>IFERROR(AG266/AG8,0)</f>
        <v/>
      </c>
      <c r="AH278" s="51">
        <f>IFERROR(AH266/AH8,0)+SUMIFS(Aut_Ajustes_Manuais!$G:$G,Aut_Ajustes_Manuais!$I:$I,DRE!AF$4,Aut_Ajustes_Manuais!$F:$F,"% sobre Receita Bruta")</f>
        <v/>
      </c>
      <c r="AI278" s="245" t="n"/>
      <c r="AJ278" s="50">
        <f>IFERROR(AJ266/AJ8,0)</f>
        <v/>
      </c>
      <c r="AK278" s="51">
        <f>IFERROR(AK266/AK8,0)+SUMIFS(Aut_Ajustes_Manuais!$G:$G,Aut_Ajustes_Manuais!$I:$I,DRE!AI$4,Aut_Ajustes_Manuais!$F:$F,"% sobre Receita Bruta")</f>
        <v/>
      </c>
      <c r="AL278" s="245" t="n"/>
      <c r="AM278" s="50">
        <f>IFERROR(AM266/AM8,0)</f>
        <v/>
      </c>
      <c r="AN278" s="51">
        <f>IFERROR(AN266/AN8,0)+SUMIFS(Aut_Ajustes_Manuais!$G:$G,Aut_Ajustes_Manuais!$I:$I,DRE!AL$4,Aut_Ajustes_Manuais!$F:$F,"% sobre Receita Bruta")</f>
        <v/>
      </c>
      <c r="AO278" s="245" t="n"/>
      <c r="AP278" s="50">
        <f>IFERROR(AP266/AP8,0)</f>
        <v/>
      </c>
      <c r="AQ278" s="51">
        <f>IFERROR(AQ266/AQ8,0)+SUMIFS(Aut_Ajustes_Manuais!$G:$G,Aut_Ajustes_Manuais!$I:$I,DRE!AO$4,Aut_Ajustes_Manuais!$F:$F,"% sobre Receita Bruta")</f>
        <v/>
      </c>
      <c r="AR278" s="245">
        <f>IFERROR(AR266/AR8,0)</f>
        <v/>
      </c>
      <c r="AS278" s="50">
        <f>IFERROR(AS266/AS8,0)</f>
        <v/>
      </c>
      <c r="AT278" s="51">
        <f>IFERROR(AT266/AT8,0)</f>
        <v/>
      </c>
      <c r="AU278" s="245">
        <f>IFERROR(AU266/AU8,0)</f>
        <v/>
      </c>
      <c r="AV278" s="50">
        <f>IFERROR(AV266/AV8,0)</f>
        <v/>
      </c>
      <c r="AW278" s="51">
        <f>IFERROR(AW266/AW8,0)</f>
        <v/>
      </c>
      <c r="AX278" s="245">
        <f>IFERROR(AX266/AX8,0)</f>
        <v/>
      </c>
      <c r="AY278" s="50">
        <f>IFERROR(AY266/AY8,0)</f>
        <v/>
      </c>
      <c r="AZ278" s="51">
        <f>IFERROR(AZ266/AZ8,0)</f>
        <v/>
      </c>
      <c r="BA278" s="245">
        <f>IFERROR(BA266/BA8,0)</f>
        <v/>
      </c>
      <c r="BB278" s="50">
        <f>IFERROR(BB266/BB8,0)</f>
        <v/>
      </c>
      <c r="BC278" s="51">
        <f>IFERROR(BC266/BC8,0)</f>
        <v/>
      </c>
      <c r="BD278" s="245">
        <f>IFERROR(BD266/BD8,0)</f>
        <v/>
      </c>
      <c r="BE278" s="50">
        <f>IFERROR(BE266/BE8,0)</f>
        <v/>
      </c>
      <c r="BF278" s="51">
        <f>IFERROR(BF266/BF8,0)</f>
        <v/>
      </c>
      <c r="BG278" s="245">
        <f>IFERROR(BG266/BG8,0)</f>
        <v/>
      </c>
      <c r="BH278" s="50">
        <f>IFERROR(BH266/BH8,0)</f>
        <v/>
      </c>
      <c r="BI278" s="51">
        <f>IFERROR(BI266/BI8,0)</f>
        <v/>
      </c>
    </row>
    <row r="279">
      <c r="A279" s="18" t="n"/>
      <c r="E279" s="16" t="n"/>
      <c r="F279" s="17" t="n"/>
      <c r="G279" s="47" t="n"/>
      <c r="H279" s="247" t="n"/>
      <c r="I279" s="17" t="n"/>
      <c r="J279" s="520" t="n"/>
      <c r="K279" s="516" t="n"/>
      <c r="L279" s="17" t="n"/>
      <c r="M279" s="57" t="n"/>
      <c r="N279" s="247" t="n"/>
      <c r="O279" s="17" t="n"/>
      <c r="P279" s="57" t="n"/>
      <c r="Q279" s="247" t="n"/>
      <c r="R279" s="17" t="n"/>
      <c r="S279" s="57" t="n"/>
      <c r="T279" s="247" t="n"/>
      <c r="U279" s="17" t="n"/>
      <c r="V279" s="57" t="n"/>
      <c r="W279" s="247" t="n"/>
      <c r="X279" s="17" t="n"/>
      <c r="Y279" s="57" t="n"/>
      <c r="Z279" s="247" t="n"/>
      <c r="AA279" s="17" t="n"/>
      <c r="AB279" s="57" t="n"/>
      <c r="AC279" s="247" t="n"/>
      <c r="AD279" s="17" t="n"/>
      <c r="AE279" s="57" t="n"/>
      <c r="AF279" s="247" t="n"/>
      <c r="AG279" s="17" t="n"/>
      <c r="AH279" s="57" t="n"/>
      <c r="AI279" s="247" t="n"/>
      <c r="AJ279" s="17" t="n"/>
      <c r="AK279" s="57" t="n"/>
      <c r="AL279" s="247" t="n"/>
      <c r="AM279" s="17" t="n"/>
      <c r="AN279" s="57" t="n"/>
      <c r="AO279" s="247" t="n"/>
      <c r="AP279" s="17" t="n"/>
      <c r="AQ279" s="57" t="n"/>
      <c r="AR279" s="247" t="n"/>
      <c r="AS279" s="505" t="n"/>
      <c r="AT279" s="507" t="n"/>
      <c r="AU279" s="444" t="n"/>
      <c r="AV279" s="17" t="n"/>
      <c r="AW279" s="57" t="n"/>
      <c r="AX279" s="247" t="n"/>
      <c r="AY279" s="17" t="n"/>
      <c r="AZ279" s="57" t="n"/>
      <c r="BA279" s="247" t="n"/>
      <c r="BB279" s="17" t="n"/>
      <c r="BC279" s="57" t="n"/>
      <c r="BD279" s="247" t="n"/>
      <c r="BE279" s="17" t="n"/>
      <c r="BF279" s="57" t="n"/>
      <c r="BG279" s="247" t="n"/>
      <c r="BH279" s="17" t="n"/>
      <c r="BI279" s="57" t="n"/>
    </row>
    <row r="280">
      <c r="A280" s="39" t="inlineStr">
        <is>
          <t>Serviços de Terceiros</t>
        </is>
      </c>
      <c r="C280" s="40" t="inlineStr">
        <is>
          <t>Premissas</t>
        </is>
      </c>
      <c r="D280" s="40" t="inlineStr">
        <is>
          <t>Valores</t>
        </is>
      </c>
      <c r="E280" s="40" t="inlineStr">
        <is>
          <t>Acréscimo</t>
        </is>
      </c>
      <c r="F280" s="41" t="n"/>
      <c r="G280" s="47" t="n"/>
      <c r="H280" s="244" t="n"/>
      <c r="I280" s="42">
        <f>SUM(I281:I288)</f>
        <v/>
      </c>
      <c r="J280" s="67">
        <f>SUM(J281:J288)+SUMIFS(Aut_Ajustes_Manuais!$G:$G,Aut_Ajustes_Manuais!$I:$I,DRE!H$4,Aut_Ajustes_Manuais!$F:$F,"Serviços de Terceiros")</f>
        <v/>
      </c>
      <c r="K280" s="244" t="n"/>
      <c r="L280" s="42">
        <f>SUM(L281:L288)</f>
        <v/>
      </c>
      <c r="M280" s="67">
        <f>SUM(M281:M288)+SUMIFS(Aut_Ajustes_Manuais!$G:$G,Aut_Ajustes_Manuais!$I:$I,DRE!K$4,Aut_Ajustes_Manuais!$F:$F,"Serviços de Terceiros")</f>
        <v/>
      </c>
      <c r="N280" s="244" t="n"/>
      <c r="O280" s="42">
        <f>SUM(O281:O288)</f>
        <v/>
      </c>
      <c r="P280" s="42">
        <f>SUM(P281:P288)+SUMIFS(Aut_Ajustes_Manuais!$G:$G,Aut_Ajustes_Manuais!$I:$I,DRE!N$4,Aut_Ajustes_Manuais!$F:$F,"Serviços de Terceiros")</f>
        <v/>
      </c>
      <c r="Q280" s="244" t="n"/>
      <c r="R280" s="42">
        <f>SUM(R281:R288)</f>
        <v/>
      </c>
      <c r="S280" s="42">
        <f>SUM(S281:S288)+SUMIFS(Aut_Ajustes_Manuais!$G:$G,Aut_Ajustes_Manuais!$I:$I,DRE!Q$4,Aut_Ajustes_Manuais!$F:$F,"Serviços de Terceiros")</f>
        <v/>
      </c>
      <c r="T280" s="244" t="n"/>
      <c r="U280" s="42">
        <f>SUM(U281:U288)</f>
        <v/>
      </c>
      <c r="V280" s="43">
        <f>SUM(V281:V288)+SUMIFS(Aut_Ajustes_Manuais!$G:$G,Aut_Ajustes_Manuais!$I:$I,DRE!T$4,Aut_Ajustes_Manuais!$F:$F,"Serviços de Terceiros")</f>
        <v/>
      </c>
      <c r="W280" s="244" t="n"/>
      <c r="X280" s="42">
        <f>SUM(X281:X288)</f>
        <v/>
      </c>
      <c r="Y280" s="43">
        <f>SUM(Y281:Y288)+SUMIFS(Aut_Ajustes_Manuais!$G:$G,Aut_Ajustes_Manuais!$I:$I,DRE!W$4,Aut_Ajustes_Manuais!$F:$F,"Serviços de Terceiros")</f>
        <v/>
      </c>
      <c r="Z280" s="244" t="n"/>
      <c r="AA280" s="42">
        <f>SUM(AA281:AA288)</f>
        <v/>
      </c>
      <c r="AB280" s="43">
        <f>SUM(AB281:AB288)+SUMIFS(Aut_Ajustes_Manuais!$G:$G,Aut_Ajustes_Manuais!$I:$I,DRE!Z$4,Aut_Ajustes_Manuais!$F:$F,"Serviços de Terceiros")</f>
        <v/>
      </c>
      <c r="AC280" s="244" t="n"/>
      <c r="AD280" s="42">
        <f>SUM(AD281:AD288)</f>
        <v/>
      </c>
      <c r="AE280" s="43">
        <f>SUM(AE281:AE288)+SUMIFS(Aut_Ajustes_Manuais!$G:$G,Aut_Ajustes_Manuais!$I:$I,DRE!AC$4,Aut_Ajustes_Manuais!$F:$F,"Serviços de Terceiros")</f>
        <v/>
      </c>
      <c r="AF280" s="244" t="n"/>
      <c r="AG280" s="42">
        <f>SUM(AG281:AG288)</f>
        <v/>
      </c>
      <c r="AH280" s="43">
        <f>SUM(AH281:AH288)+SUMIFS(Aut_Ajustes_Manuais!$G:$G,Aut_Ajustes_Manuais!$I:$I,DRE!AF$4,Aut_Ajustes_Manuais!$F:$F,"Serviços de Terceiros")</f>
        <v/>
      </c>
      <c r="AI280" s="244" t="n"/>
      <c r="AJ280" s="42">
        <f>SUM(AJ281:AJ288)</f>
        <v/>
      </c>
      <c r="AK280" s="43">
        <f>SUM(AK281:AK288)+SUMIFS(Aut_Ajustes_Manuais!$G:$G,Aut_Ajustes_Manuais!$I:$I,DRE!AI$4,Aut_Ajustes_Manuais!$F:$F,"Serviços de Terceiros")</f>
        <v/>
      </c>
      <c r="AL280" s="244" t="n"/>
      <c r="AM280" s="42">
        <f>SUM(AM281:AM288)</f>
        <v/>
      </c>
      <c r="AN280" s="43">
        <f>SUM(AN281:AN288)+SUMIFS(Aut_Ajustes_Manuais!$G:$G,Aut_Ajustes_Manuais!$I:$I,DRE!AL$4,Aut_Ajustes_Manuais!$F:$F,"Serviços de Terceiros")</f>
        <v/>
      </c>
      <c r="AO280" s="244" t="n"/>
      <c r="AP280" s="42">
        <f>SUM(AP281:AP288)</f>
        <v/>
      </c>
      <c r="AQ280" s="43">
        <f>SUM(AQ281:AQ288)+SUMIFS(Aut_Ajustes_Manuais!$G:$G,Aut_Ajustes_Manuais!$I:$I,DRE!AO$4,Aut_Ajustes_Manuais!$F:$F,"Serviços de Terceiros")</f>
        <v/>
      </c>
      <c r="AR280" s="244">
        <f>SUM(AR281:AR289)</f>
        <v/>
      </c>
      <c r="AS280" s="42">
        <f>SUM(AS281:AS289)</f>
        <v/>
      </c>
      <c r="AT280" s="43">
        <f>SUM(AT281:AT289)</f>
        <v/>
      </c>
      <c r="AU280" s="244">
        <f>SUM(AU281:AU288)</f>
        <v/>
      </c>
      <c r="AV280" s="42">
        <f>SUM(AV281:AV288)</f>
        <v/>
      </c>
      <c r="AW280" s="43">
        <f>SUM(AW281:AW288)</f>
        <v/>
      </c>
      <c r="AX280" s="244">
        <f>SUM(AX281:AX288)</f>
        <v/>
      </c>
      <c r="AY280" s="42">
        <f>SUM(AY281:AY288)</f>
        <v/>
      </c>
      <c r="AZ280" s="43">
        <f>SUM(AZ281:AZ288)</f>
        <v/>
      </c>
      <c r="BA280" s="244">
        <f>SUM(BA281:BA288)</f>
        <v/>
      </c>
      <c r="BB280" s="42">
        <f>SUM(BB281:BB288)</f>
        <v/>
      </c>
      <c r="BC280" s="43">
        <f>SUM(BC281:BC288)</f>
        <v/>
      </c>
      <c r="BD280" s="244">
        <f>SUM(BD281:BD288)</f>
        <v/>
      </c>
      <c r="BE280" s="42">
        <f>SUM(BE281:BE288)</f>
        <v/>
      </c>
      <c r="BF280" s="43">
        <f>SUM(BF281:BF288)</f>
        <v/>
      </c>
      <c r="BG280" s="244">
        <f>SUM(BG281:BG288)</f>
        <v/>
      </c>
      <c r="BH280" s="42">
        <f>SUM(BH281:BH288)</f>
        <v/>
      </c>
      <c r="BI280" s="43">
        <f>SUM(BI281:BI288)</f>
        <v/>
      </c>
    </row>
    <row r="281" hidden="1" outlineLevel="1" customFormat="1" s="498">
      <c r="A281" s="22" t="inlineStr">
        <is>
          <t>Assessoria Contabil</t>
        </is>
      </c>
      <c r="B281" s="23" t="n"/>
      <c r="C281" s="24" t="inlineStr">
        <is>
          <t>Contr/Prov</t>
        </is>
      </c>
      <c r="D281" s="116" t="n"/>
      <c r="E281" s="115" t="n"/>
      <c r="F281" s="56" t="n"/>
      <c r="G281" s="33" t="n"/>
      <c r="H281" s="241" t="n"/>
      <c r="I281" s="27">
        <f>-SUMIFS(T_ORCAMENTOS!$E:$E,T_ORCAMENTOS!$C:$C,"Assessoria Contabil",T_ORCAMENTOS!$H:$H,"1/2026")</f>
        <v/>
      </c>
      <c r="J281" s="28">
        <f>SUMIFS(Aut_BlueMe_Sem_Pedido!$J:$J,Aut_BlueMe_Sem_Pedido!$Q:$Q,DRE!H$4,Aut_BlueMe_Sem_Pedido!$H:$H,DRE!$A281)+SUMIFS(Aut_Ajustes_Manuais!$G:$G,Aut_Ajustes_Manuais!$I:$I,DRE!H$4,Aut_Ajustes_Manuais!$F:$F,"Assessoria Contabil")</f>
        <v/>
      </c>
      <c r="K281" s="241" t="n"/>
      <c r="L281" s="27">
        <f>-SUMIFS(T_ORCAMENTOS!$E:$E,T_ORCAMENTOS!$C:$C,"Assessoria Contabil",T_ORCAMENTOS!$H:$H,"2/2026")</f>
        <v/>
      </c>
      <c r="M281" s="28">
        <f>SUMIFS(Aut_BlueMe_Sem_Pedido!$J:$J,Aut_BlueMe_Sem_Pedido!$Q:$Q,DRE!K$4,Aut_BlueMe_Sem_Pedido!$H:$H,DRE!$A281)+SUMIFS(Aut_Ajustes_Manuais!$G:$G,Aut_Ajustes_Manuais!$I:$I,DRE!K$4,Aut_Ajustes_Manuais!$F:$F,"Assessoria Contabil")</f>
        <v/>
      </c>
      <c r="N281" s="241" t="n"/>
      <c r="O281" s="27">
        <f>-SUMIFS(T_ORCAMENTOS!$E:$E,T_ORCAMENTOS!$C:$C,"Assessoria Contabil",T_ORCAMENTOS!$H:$H,"3/2026")</f>
        <v/>
      </c>
      <c r="P281" s="27">
        <f>SUMIFS(Aut_BlueMe_Sem_Pedido!$J:$J,Aut_BlueMe_Sem_Pedido!$Q:$Q,DRE!N$4,Aut_BlueMe_Sem_Pedido!$H:$H,DRE!$A281)+SUMIFS(Aut_Ajustes_Manuais!$G:$G,Aut_Ajustes_Manuais!$I:$I,DRE!N$4,Aut_Ajustes_Manuais!$F:$F,"Assessoria Contabil")</f>
        <v/>
      </c>
      <c r="Q281" s="241" t="n"/>
      <c r="R281" s="27">
        <f>-SUMIFS(T_ORCAMENTOS!$E:$E,T_ORCAMENTOS!$C:$C,"Assessoria Contabil",T_ORCAMENTOS!$H:$H,"4/2026")</f>
        <v/>
      </c>
      <c r="S281" s="27">
        <f>SUMIFS(Aut_BlueMe_Sem_Pedido!$J:$J,Aut_BlueMe_Sem_Pedido!$Q:$Q,DRE!Q$4,Aut_BlueMe_Sem_Pedido!$H:$H,DRE!$A281)+SUMIFS(Aut_Ajustes_Manuais!$G:$G,Aut_Ajustes_Manuais!$I:$I,DRE!Q$4,Aut_Ajustes_Manuais!$F:$F,"Assessoria Contabil")</f>
        <v/>
      </c>
      <c r="T281" s="241" t="n"/>
      <c r="U281" s="27">
        <f>-SUMIFS(T_ORCAMENTOS!$E:$E,T_ORCAMENTOS!$C:$C,"Assessoria Contabil",T_ORCAMENTOS!$H:$H,"5/2026")</f>
        <v/>
      </c>
      <c r="V281" s="28">
        <f>SUMIFS(Aut_BlueMe_Sem_Pedido!$J:$J,Aut_BlueMe_Sem_Pedido!$Q:$Q,DRE!T$4,Aut_BlueMe_Sem_Pedido!$H:$H,DRE!$A281)+SUMIFS(Aut_Ajustes_Manuais!$G:$G,Aut_Ajustes_Manuais!$I:$I,DRE!T$4,Aut_Ajustes_Manuais!$F:$F,"Assessoria Contabil")</f>
        <v/>
      </c>
      <c r="W281" s="241" t="n"/>
      <c r="X281" s="27">
        <f>-SUMIFS(T_ORCAMENTOS!$E:$E,T_ORCAMENTOS!$C:$C,"Assessoria Contabil",T_ORCAMENTOS!$H:$H,"6/2026")</f>
        <v/>
      </c>
      <c r="Y281" s="28">
        <f>SUMIFS(Aut_BlueMe_Sem_Pedido!$J:$J,Aut_BlueMe_Sem_Pedido!$Q:$Q,DRE!W$4,Aut_BlueMe_Sem_Pedido!$H:$H,DRE!$A281)+SUMIFS(Aut_Ajustes_Manuais!$G:$G,Aut_Ajustes_Manuais!$I:$I,DRE!W$4,Aut_Ajustes_Manuais!$F:$F,"Assessoria Contabil")</f>
        <v/>
      </c>
      <c r="Z281" s="241" t="n"/>
      <c r="AA281" s="27">
        <f>-SUMIFS(T_ORCAMENTOS!$E:$E,T_ORCAMENTOS!$C:$C,"Assessoria Contabil",T_ORCAMENTOS!$H:$H,"7/2026")</f>
        <v/>
      </c>
      <c r="AB281" s="28">
        <f>SUMIFS(Aut_BlueMe_Sem_Pedido!$J:$J,Aut_BlueMe_Sem_Pedido!$Q:$Q,DRE!Z$4,Aut_BlueMe_Sem_Pedido!$H:$H,DRE!$A281)+SUMIFS(Aut_Ajustes_Manuais!$G:$G,Aut_Ajustes_Manuais!$I:$I,DRE!Z$4,Aut_Ajustes_Manuais!$F:$F,"Assessoria Contabil")</f>
        <v/>
      </c>
      <c r="AC281" s="241" t="n"/>
      <c r="AD281" s="27">
        <f>-SUMIFS(T_ORCAMENTOS!$E:$E,T_ORCAMENTOS!$C:$C,"Assessoria Contabil",T_ORCAMENTOS!$H:$H,"8/2026")</f>
        <v/>
      </c>
      <c r="AE281" s="28">
        <f>SUMIFS(Aut_BlueMe_Sem_Pedido!$J:$J,Aut_BlueMe_Sem_Pedido!$Q:$Q,DRE!AC$4,Aut_BlueMe_Sem_Pedido!$H:$H,DRE!$A281)+SUMIFS(Aut_Ajustes_Manuais!$G:$G,Aut_Ajustes_Manuais!$I:$I,DRE!AC$4,Aut_Ajustes_Manuais!$F:$F,"Assessoria Contabil")</f>
        <v/>
      </c>
      <c r="AF281" s="241" t="n"/>
      <c r="AG281" s="27">
        <f>-SUMIFS(T_ORCAMENTOS!$E:$E,T_ORCAMENTOS!$C:$C,"Assessoria Contabil",T_ORCAMENTOS!$H:$H,"9/2026")</f>
        <v/>
      </c>
      <c r="AH281" s="28">
        <f>SUMIFS(Aut_BlueMe_Sem_Pedido!$J:$J,Aut_BlueMe_Sem_Pedido!$Q:$Q,DRE!AF$4,Aut_BlueMe_Sem_Pedido!$H:$H,DRE!$A281)+SUMIFS(Aut_Ajustes_Manuais!$G:$G,Aut_Ajustes_Manuais!$I:$I,DRE!AF$4,Aut_Ajustes_Manuais!$F:$F,"Assessoria Contabil")</f>
        <v/>
      </c>
      <c r="AI281" s="241" t="n"/>
      <c r="AJ281" s="27">
        <f>-SUMIFS(T_ORCAMENTOS!$E:$E,T_ORCAMENTOS!$C:$C,"Assessoria Contabil",T_ORCAMENTOS!$H:$H,"10/2026")</f>
        <v/>
      </c>
      <c r="AK281" s="28">
        <f>SUMIFS(Aut_BlueMe_Sem_Pedido!$J:$J,Aut_BlueMe_Sem_Pedido!$Q:$Q,DRE!AI$4,Aut_BlueMe_Sem_Pedido!$H:$H,DRE!$A281)+SUMIFS(Aut_Ajustes_Manuais!$G:$G,Aut_Ajustes_Manuais!$I:$I,DRE!AI$4,Aut_Ajustes_Manuais!$F:$F,"Assessoria Contabil")</f>
        <v/>
      </c>
      <c r="AL281" s="241" t="n"/>
      <c r="AM281" s="27">
        <f>-SUMIFS(T_ORCAMENTOS!$E:$E,T_ORCAMENTOS!$C:$C,"Assessoria Contabil",T_ORCAMENTOS!$H:$H,"11/2026")</f>
        <v/>
      </c>
      <c r="AN281" s="28">
        <f>SUMIFS(Aut_BlueMe_Sem_Pedido!$J:$J,Aut_BlueMe_Sem_Pedido!$Q:$Q,DRE!AL$4,Aut_BlueMe_Sem_Pedido!$H:$H,DRE!$A281)+SUMIFS(Aut_Ajustes_Manuais!$G:$G,Aut_Ajustes_Manuais!$I:$I,DRE!AL$4,Aut_Ajustes_Manuais!$F:$F,"Assessoria Contabil")</f>
        <v/>
      </c>
      <c r="AO281" s="241" t="n"/>
      <c r="AP281" s="27">
        <f>-SUMIFS(T_ORCAMENTOS!$E:$E,T_ORCAMENTOS!$C:$C,"Assessoria Contabil",T_ORCAMENTOS!$H:$H,"12/2026")</f>
        <v/>
      </c>
      <c r="AQ281" s="28">
        <f>SUMIFS(Aut_BlueMe_Sem_Pedido!$J:$J,Aut_BlueMe_Sem_Pedido!$Q:$Q,DRE!AO$4,Aut_BlueMe_Sem_Pedido!$H:$H,DRE!$A281)+SUMIFS(Aut_Ajustes_Manuais!$G:$G,Aut_Ajustes_Manuais!$I:$I,DRE!AO$4,Aut_Ajustes_Manuais!$F:$F,"Assessoria Contabil")</f>
        <v/>
      </c>
      <c r="AR281" s="241">
        <f>SUMIFS($H281:$AO281,$H$5:$AO$5,"&lt;"&amp;MONTH(TODAY()),$H$6:$AO$6,"REAL 25")</f>
        <v/>
      </c>
      <c r="AS281" s="27">
        <f>SUMIFS($I281:$AP281,$I$5:$AP$5,"&lt;"&amp;MONTH(TODAY()),$I$6:$AP$6,"ORÇADO ")</f>
        <v/>
      </c>
      <c r="AT281" s="28">
        <f>SUMIFS($J281:$AQ281,$J$5:$AQ$5,"&lt;"&amp;MONTH(TODAY()),$J$6:$AQ$6,"REAL 26")</f>
        <v/>
      </c>
      <c r="AU281" s="241">
        <f>SUM(H281,K281,N281,Q281,T281,W281,Z281,AC281,AF281,AI281,AL281,AO281)</f>
        <v/>
      </c>
      <c r="AV281" s="27">
        <f>SUM(I281,L281,O281,R281,U281,X281,AA281,AD281,AG281,AJ281,AM281,AP281)</f>
        <v/>
      </c>
      <c r="AW281" s="28">
        <f>SUM(J281,M281,P281,S281,V281,Y281,AB281,AE281,AH281,AK281,AN281,AQ281)</f>
        <v/>
      </c>
      <c r="AX281" s="241">
        <f>SUM(H281,K281,N281)</f>
        <v/>
      </c>
      <c r="AY281" s="27">
        <f>SUM(I281,L281,O281)</f>
        <v/>
      </c>
      <c r="AZ281" s="28">
        <f>SUM(J281,M281,P281)</f>
        <v/>
      </c>
      <c r="BA281" s="241">
        <f>SUM(Q281,T281,W281)</f>
        <v/>
      </c>
      <c r="BB281" s="27">
        <f>SUM(R281,U281,X281)</f>
        <v/>
      </c>
      <c r="BC281" s="28">
        <f>SUM(S281,V281,Y281)</f>
        <v/>
      </c>
      <c r="BD281" s="241">
        <f>SUM(Z281,AC281,AF281)</f>
        <v/>
      </c>
      <c r="BE281" s="27">
        <f>SUM(AA281,AD281,AG281)</f>
        <v/>
      </c>
      <c r="BF281" s="28">
        <f>SUM(AB281,AE281,AH281)</f>
        <v/>
      </c>
      <c r="BG281" s="241">
        <f>SUM(AI281,AL281,AO281)</f>
        <v/>
      </c>
      <c r="BH281" s="27">
        <f>SUM(AJ281,AM281,AP281)</f>
        <v/>
      </c>
      <c r="BI281" s="28">
        <f>SUM(AK281,AN281,AQ281)</f>
        <v/>
      </c>
    </row>
    <row r="282" hidden="1" outlineLevel="1" customFormat="1" s="498">
      <c r="A282" s="22" t="inlineStr">
        <is>
          <t>Assessoria RH</t>
        </is>
      </c>
      <c r="B282" s="23" t="n"/>
      <c r="C282" s="24" t="inlineStr">
        <is>
          <t>Contr/Prov</t>
        </is>
      </c>
      <c r="D282" s="116" t="n"/>
      <c r="E282" s="122" t="n"/>
      <c r="F282" s="56" t="n"/>
      <c r="G282" s="33" t="n"/>
      <c r="H282" s="241" t="n"/>
      <c r="I282" s="27">
        <f>-SUMIFS(T_ORCAMENTOS!$E:$E,T_ORCAMENTOS!$C:$C,"Assessoria RH",T_ORCAMENTOS!$H:$H,"1/2026")</f>
        <v/>
      </c>
      <c r="J282" s="28">
        <f>SUMIFS(Aut_BlueMe_Sem_Pedido!$J:$J,Aut_BlueMe_Sem_Pedido!$Q:$Q,DRE!H$4,Aut_BlueMe_Sem_Pedido!$H:$H,DRE!$A282)+SUMIFS(Aut_Ajustes_Manuais!$G:$G,Aut_Ajustes_Manuais!$I:$I,DRE!H$4,Aut_Ajustes_Manuais!$F:$F,"Assessoria RH")</f>
        <v/>
      </c>
      <c r="K282" s="241" t="n"/>
      <c r="L282" s="27">
        <f>-SUMIFS(T_ORCAMENTOS!$E:$E,T_ORCAMENTOS!$C:$C,"Assessoria RH",T_ORCAMENTOS!$H:$H,"2/2026")</f>
        <v/>
      </c>
      <c r="M282" s="28">
        <f>SUMIFS(Aut_BlueMe_Sem_Pedido!$J:$J,Aut_BlueMe_Sem_Pedido!$Q:$Q,DRE!K$4,Aut_BlueMe_Sem_Pedido!$H:$H,DRE!$A282)+SUMIFS(Aut_Ajustes_Manuais!$G:$G,Aut_Ajustes_Manuais!$I:$I,DRE!K$4,Aut_Ajustes_Manuais!$F:$F,"Assessoria RH")</f>
        <v/>
      </c>
      <c r="N282" s="241" t="n"/>
      <c r="O282" s="27">
        <f>-SUMIFS(T_ORCAMENTOS!$E:$E,T_ORCAMENTOS!$C:$C,"Assessoria RH",T_ORCAMENTOS!$H:$H,"3/2026")</f>
        <v/>
      </c>
      <c r="P282" s="27">
        <f>SUMIFS(Aut_BlueMe_Sem_Pedido!$J:$J,Aut_BlueMe_Sem_Pedido!$Q:$Q,DRE!N$4,Aut_BlueMe_Sem_Pedido!$H:$H,DRE!$A282)+SUMIFS(Aut_Ajustes_Manuais!$G:$G,Aut_Ajustes_Manuais!$I:$I,DRE!N$4,Aut_Ajustes_Manuais!$F:$F,"Assessoria RH")</f>
        <v/>
      </c>
      <c r="Q282" s="241" t="n"/>
      <c r="R282" s="27">
        <f>-SUMIFS(T_ORCAMENTOS!$E:$E,T_ORCAMENTOS!$C:$C,"Assessoria RH",T_ORCAMENTOS!$H:$H,"4/2026")</f>
        <v/>
      </c>
      <c r="S282" s="27">
        <f>SUMIFS(Aut_BlueMe_Sem_Pedido!$J:$J,Aut_BlueMe_Sem_Pedido!$Q:$Q,DRE!Q$4,Aut_BlueMe_Sem_Pedido!$H:$H,DRE!$A282)+SUMIFS(Aut_Ajustes_Manuais!$G:$G,Aut_Ajustes_Manuais!$I:$I,DRE!Q$4,Aut_Ajustes_Manuais!$F:$F,"Assessoria RH")</f>
        <v/>
      </c>
      <c r="T282" s="241" t="n"/>
      <c r="U282" s="27">
        <f>-SUMIFS(T_ORCAMENTOS!$E:$E,T_ORCAMENTOS!$C:$C,"Assessoria RH",T_ORCAMENTOS!$H:$H,"5/2026")</f>
        <v/>
      </c>
      <c r="V282" s="28">
        <f>SUMIFS(Aut_BlueMe_Sem_Pedido!$J:$J,Aut_BlueMe_Sem_Pedido!$Q:$Q,DRE!T$4,Aut_BlueMe_Sem_Pedido!$H:$H,DRE!$A282)+SUMIFS(Aut_Ajustes_Manuais!$G:$G,Aut_Ajustes_Manuais!$I:$I,DRE!T$4,Aut_Ajustes_Manuais!$F:$F,"Assessoria RH")</f>
        <v/>
      </c>
      <c r="W282" s="241" t="n"/>
      <c r="X282" s="27">
        <f>-SUMIFS(T_ORCAMENTOS!$E:$E,T_ORCAMENTOS!$C:$C,"Assessoria RH",T_ORCAMENTOS!$H:$H,"6/2026")</f>
        <v/>
      </c>
      <c r="Y282" s="28">
        <f>SUMIFS(Aut_BlueMe_Sem_Pedido!$J:$J,Aut_BlueMe_Sem_Pedido!$Q:$Q,DRE!W$4,Aut_BlueMe_Sem_Pedido!$H:$H,DRE!$A282)+SUMIFS(Aut_Ajustes_Manuais!$G:$G,Aut_Ajustes_Manuais!$I:$I,DRE!W$4,Aut_Ajustes_Manuais!$F:$F,"Assessoria RH")</f>
        <v/>
      </c>
      <c r="Z282" s="241" t="n"/>
      <c r="AA282" s="27">
        <f>-SUMIFS(T_ORCAMENTOS!$E:$E,T_ORCAMENTOS!$C:$C,"Assessoria RH",T_ORCAMENTOS!$H:$H,"7/2026")</f>
        <v/>
      </c>
      <c r="AB282" s="28">
        <f>SUMIFS(Aut_BlueMe_Sem_Pedido!$J:$J,Aut_BlueMe_Sem_Pedido!$Q:$Q,DRE!Z$4,Aut_BlueMe_Sem_Pedido!$H:$H,DRE!$A282)+SUMIFS(Aut_Ajustes_Manuais!$G:$G,Aut_Ajustes_Manuais!$I:$I,DRE!Z$4,Aut_Ajustes_Manuais!$F:$F,"Assessoria RH")</f>
        <v/>
      </c>
      <c r="AC282" s="241" t="n"/>
      <c r="AD282" s="27">
        <f>-SUMIFS(T_ORCAMENTOS!$E:$E,T_ORCAMENTOS!$C:$C,"Assessoria RH",T_ORCAMENTOS!$H:$H,"8/2026")</f>
        <v/>
      </c>
      <c r="AE282" s="28">
        <f>SUMIFS(Aut_BlueMe_Sem_Pedido!$J:$J,Aut_BlueMe_Sem_Pedido!$Q:$Q,DRE!AC$4,Aut_BlueMe_Sem_Pedido!$H:$H,DRE!$A282)+SUMIFS(Aut_Ajustes_Manuais!$G:$G,Aut_Ajustes_Manuais!$I:$I,DRE!AC$4,Aut_Ajustes_Manuais!$F:$F,"Assessoria RH")</f>
        <v/>
      </c>
      <c r="AF282" s="241" t="n"/>
      <c r="AG282" s="27">
        <f>-SUMIFS(T_ORCAMENTOS!$E:$E,T_ORCAMENTOS!$C:$C,"Assessoria RH",T_ORCAMENTOS!$H:$H,"9/2026")</f>
        <v/>
      </c>
      <c r="AH282" s="28">
        <f>SUMIFS(Aut_BlueMe_Sem_Pedido!$J:$J,Aut_BlueMe_Sem_Pedido!$Q:$Q,DRE!AF$4,Aut_BlueMe_Sem_Pedido!$H:$H,DRE!$A282)+SUMIFS(Aut_Ajustes_Manuais!$G:$G,Aut_Ajustes_Manuais!$I:$I,DRE!AF$4,Aut_Ajustes_Manuais!$F:$F,"Assessoria RH")</f>
        <v/>
      </c>
      <c r="AI282" s="241" t="n"/>
      <c r="AJ282" s="27">
        <f>-SUMIFS(T_ORCAMENTOS!$E:$E,T_ORCAMENTOS!$C:$C,"Assessoria RH",T_ORCAMENTOS!$H:$H,"10/2026")</f>
        <v/>
      </c>
      <c r="AK282" s="28">
        <f>SUMIFS(Aut_BlueMe_Sem_Pedido!$J:$J,Aut_BlueMe_Sem_Pedido!$Q:$Q,DRE!AI$4,Aut_BlueMe_Sem_Pedido!$H:$H,DRE!$A282)+SUMIFS(Aut_Ajustes_Manuais!$G:$G,Aut_Ajustes_Manuais!$I:$I,DRE!AI$4,Aut_Ajustes_Manuais!$F:$F,"Assessoria RH")</f>
        <v/>
      </c>
      <c r="AL282" s="241" t="n"/>
      <c r="AM282" s="27">
        <f>-SUMIFS(T_ORCAMENTOS!$E:$E,T_ORCAMENTOS!$C:$C,"Assessoria RH",T_ORCAMENTOS!$H:$H,"11/2026")</f>
        <v/>
      </c>
      <c r="AN282" s="28">
        <f>SUMIFS(Aut_BlueMe_Sem_Pedido!$J:$J,Aut_BlueMe_Sem_Pedido!$Q:$Q,DRE!AL$4,Aut_BlueMe_Sem_Pedido!$H:$H,DRE!$A282)+SUMIFS(Aut_Ajustes_Manuais!$G:$G,Aut_Ajustes_Manuais!$I:$I,DRE!AL$4,Aut_Ajustes_Manuais!$F:$F,"Assessoria RH")</f>
        <v/>
      </c>
      <c r="AO282" s="241" t="n"/>
      <c r="AP282" s="27">
        <f>-SUMIFS(T_ORCAMENTOS!$E:$E,T_ORCAMENTOS!$C:$C,"Assessoria RH",T_ORCAMENTOS!$H:$H,"12/2026")</f>
        <v/>
      </c>
      <c r="AQ282" s="28">
        <f>SUMIFS(Aut_BlueMe_Sem_Pedido!$J:$J,Aut_BlueMe_Sem_Pedido!$Q:$Q,DRE!AO$4,Aut_BlueMe_Sem_Pedido!$H:$H,DRE!$A282)+SUMIFS(Aut_Ajustes_Manuais!$G:$G,Aut_Ajustes_Manuais!$I:$I,DRE!AO$4,Aut_Ajustes_Manuais!$F:$F,"Assessoria RH")</f>
        <v/>
      </c>
      <c r="AR282" s="241">
        <f>SUMIFS($H282:$AO282,$H$5:$AO$5,"&lt;"&amp;MONTH(TODAY()),$H$6:$AO$6,"REAL 25")</f>
        <v/>
      </c>
      <c r="AS282" s="27">
        <f>SUMIFS($I282:$AP282,$I$5:$AP$5,"&lt;"&amp;MONTH(TODAY()),$I$6:$AP$6,"ORÇADO ")</f>
        <v/>
      </c>
      <c r="AT282" s="28">
        <f>SUMIFS($J282:$AQ282,$J$5:$AQ$5,"&lt;"&amp;MONTH(TODAY()),$J$6:$AQ$6,"REAL 26")</f>
        <v/>
      </c>
      <c r="AU282" s="241">
        <f>SUM(H282,K282,N282,Q282,T282,W282,Z282,AC282,AF282,AI282,AL282,AO282)</f>
        <v/>
      </c>
      <c r="AV282" s="27">
        <f>SUM(I282,L282,O282,R282,U282,X282,AA282,AD282,AG282,AJ282,AM282,AP282)</f>
        <v/>
      </c>
      <c r="AW282" s="28">
        <f>SUM(J282,M282,P282,S282,V282,Y282,AB282,AE282,AH282,AK282,AN282,AQ282)</f>
        <v/>
      </c>
      <c r="AX282" s="241">
        <f>SUM(H282,K282,N282)</f>
        <v/>
      </c>
      <c r="AY282" s="27">
        <f>SUM(I282,L282,O282)</f>
        <v/>
      </c>
      <c r="AZ282" s="28">
        <f>SUM(J282,M282,P282)</f>
        <v/>
      </c>
      <c r="BA282" s="241">
        <f>SUM(Q282,T282,W282)</f>
        <v/>
      </c>
      <c r="BB282" s="27">
        <f>SUM(R282,U282,X282)</f>
        <v/>
      </c>
      <c r="BC282" s="28">
        <f>SUM(S282,V282,Y282)</f>
        <v/>
      </c>
      <c r="BD282" s="241">
        <f>SUM(Z282,AC282,AF282)</f>
        <v/>
      </c>
      <c r="BE282" s="27">
        <f>SUM(AA282,AD282,AG282)</f>
        <v/>
      </c>
      <c r="BF282" s="28">
        <f>SUM(AB282,AE282,AH282)</f>
        <v/>
      </c>
      <c r="BG282" s="241">
        <f>SUM(AI282,AL282,AO282)</f>
        <v/>
      </c>
      <c r="BH282" s="27">
        <f>SUM(AJ282,AM282,AP282)</f>
        <v/>
      </c>
      <c r="BI282" s="28">
        <f>SUM(AK282,AN282,AQ282)</f>
        <v/>
      </c>
    </row>
    <row r="283" hidden="1" outlineLevel="1" customFormat="1" s="498">
      <c r="A283" s="22" t="inlineStr">
        <is>
          <t>Assessoria em Geral</t>
        </is>
      </c>
      <c r="B283" s="23" t="n"/>
      <c r="C283" s="24" t="inlineStr">
        <is>
          <t>Contr/Prov</t>
        </is>
      </c>
      <c r="D283" s="116" t="n"/>
      <c r="E283" s="122" t="n"/>
      <c r="F283" s="56" t="n"/>
      <c r="G283" s="33" t="n"/>
      <c r="H283" s="241" t="n"/>
      <c r="I283" s="27">
        <f>-SUMIFS(T_ORCAMENTOS!$E:$E,T_ORCAMENTOS!$C:$C,"Assessoria em Geral",T_ORCAMENTOS!$H:$H,"1/2026")</f>
        <v/>
      </c>
      <c r="J283" s="27">
        <f>SUMIFS(Aut_BlueMe_Sem_Pedido!$J:$J,Aut_BlueMe_Sem_Pedido!$Q:$Q,DRE!H$4,Aut_BlueMe_Sem_Pedido!$H:$H,DRE!$A283)+SUMIFS(Aut_Ajustes_Manuais!$G:$G,Aut_Ajustes_Manuais!$I:$I,DRE!H$4,Aut_Ajustes_Manuais!$F:$F,"Assessoria em Geral")</f>
        <v/>
      </c>
      <c r="K283" s="241" t="n"/>
      <c r="L283" s="27">
        <f>-SUMIFS(T_ORCAMENTOS!$E:$E,T_ORCAMENTOS!$C:$C,"Assessoria em Geral",T_ORCAMENTOS!$H:$H,"2/2026")</f>
        <v/>
      </c>
      <c r="M283" s="27">
        <f>SUMIFS(Aut_BlueMe_Sem_Pedido!$J:$J,Aut_BlueMe_Sem_Pedido!$Q:$Q,DRE!K$4,Aut_BlueMe_Sem_Pedido!$H:$H,DRE!$A283)+SUMIFS(Aut_Ajustes_Manuais!$G:$G,Aut_Ajustes_Manuais!$I:$I,DRE!K$4,Aut_Ajustes_Manuais!$F:$F,"Assessoria em Geral")</f>
        <v/>
      </c>
      <c r="N283" s="241" t="n"/>
      <c r="O283" s="27">
        <f>-SUMIFS(T_ORCAMENTOS!$E:$E,T_ORCAMENTOS!$C:$C,"Assessoria em Geral",T_ORCAMENTOS!$H:$H,"3/2026")</f>
        <v/>
      </c>
      <c r="P283" s="27">
        <f>SUMIFS(Aut_BlueMe_Sem_Pedido!$J:$J,Aut_BlueMe_Sem_Pedido!$Q:$Q,DRE!N$4,Aut_BlueMe_Sem_Pedido!$H:$H,DRE!$A283)+SUMIFS(Aut_Ajustes_Manuais!$G:$G,Aut_Ajustes_Manuais!$I:$I,DRE!N$4,Aut_Ajustes_Manuais!$F:$F,"Assessoria em Geral")</f>
        <v/>
      </c>
      <c r="Q283" s="241" t="n"/>
      <c r="R283" s="27">
        <f>-SUMIFS(T_ORCAMENTOS!$E:$E,T_ORCAMENTOS!$C:$C,"Assessoria em Geral",T_ORCAMENTOS!$H:$H,"4/2026")</f>
        <v/>
      </c>
      <c r="S283" s="27">
        <f>SUMIFS(Aut_BlueMe_Sem_Pedido!$J:$J,Aut_BlueMe_Sem_Pedido!$Q:$Q,DRE!Q$4,Aut_BlueMe_Sem_Pedido!$H:$H,DRE!$A283)+SUMIFS(Aut_Ajustes_Manuais!$G:$G,Aut_Ajustes_Manuais!$I:$I,DRE!Q$4,Aut_Ajustes_Manuais!$F:$F,"Assessoria em Geral")</f>
        <v/>
      </c>
      <c r="T283" s="241" t="n"/>
      <c r="U283" s="27">
        <f>-SUMIFS(T_ORCAMENTOS!$E:$E,T_ORCAMENTOS!$C:$C,"Assessoria em Geral",T_ORCAMENTOS!$H:$H,"5/2026")</f>
        <v/>
      </c>
      <c r="V283" s="28">
        <f>SUMIFS(Aut_BlueMe_Sem_Pedido!$J:$J,Aut_BlueMe_Sem_Pedido!$Q:$Q,DRE!T$4,Aut_BlueMe_Sem_Pedido!$H:$H,DRE!$A283)+SUMIFS(Aut_Ajustes_Manuais!$G:$G,Aut_Ajustes_Manuais!$I:$I,DRE!T$4,Aut_Ajustes_Manuais!$F:$F,"Assessoria em Geral")</f>
        <v/>
      </c>
      <c r="W283" s="241" t="n"/>
      <c r="X283" s="27">
        <f>-SUMIFS(T_ORCAMENTOS!$E:$E,T_ORCAMENTOS!$C:$C,"Assessoria em Geral",T_ORCAMENTOS!$H:$H,"6/2026")</f>
        <v/>
      </c>
      <c r="Y283" s="28">
        <f>SUMIFS(Aut_BlueMe_Sem_Pedido!$J:$J,Aut_BlueMe_Sem_Pedido!$Q:$Q,DRE!W$4,Aut_BlueMe_Sem_Pedido!$H:$H,DRE!$A283)+SUMIFS(Aut_Ajustes_Manuais!$G:$G,Aut_Ajustes_Manuais!$I:$I,DRE!W$4,Aut_Ajustes_Manuais!$F:$F,"Assessoria em Geral")</f>
        <v/>
      </c>
      <c r="Z283" s="241" t="n"/>
      <c r="AA283" s="27">
        <f>-SUMIFS(T_ORCAMENTOS!$E:$E,T_ORCAMENTOS!$C:$C,"Assessoria em Geral",T_ORCAMENTOS!$H:$H,"7/2026")</f>
        <v/>
      </c>
      <c r="AB283" s="28">
        <f>SUMIFS(Aut_BlueMe_Sem_Pedido!$J:$J,Aut_BlueMe_Sem_Pedido!$Q:$Q,DRE!Z$4,Aut_BlueMe_Sem_Pedido!$H:$H,DRE!$A283)+SUMIFS(Aut_Ajustes_Manuais!$G:$G,Aut_Ajustes_Manuais!$I:$I,DRE!Z$4,Aut_Ajustes_Manuais!$F:$F,"Assessoria em Geral")</f>
        <v/>
      </c>
      <c r="AC283" s="241" t="n"/>
      <c r="AD283" s="27">
        <f>-SUMIFS(T_ORCAMENTOS!$E:$E,T_ORCAMENTOS!$C:$C,"Assessoria em Geral",T_ORCAMENTOS!$H:$H,"8/2026")</f>
        <v/>
      </c>
      <c r="AE283" s="28">
        <f>SUMIFS(Aut_BlueMe_Sem_Pedido!$J:$J,Aut_BlueMe_Sem_Pedido!$Q:$Q,DRE!AC$4,Aut_BlueMe_Sem_Pedido!$H:$H,DRE!$A283)+SUMIFS(Aut_Ajustes_Manuais!$G:$G,Aut_Ajustes_Manuais!$I:$I,DRE!AC$4,Aut_Ajustes_Manuais!$F:$F,"Assessoria em Geral")</f>
        <v/>
      </c>
      <c r="AF283" s="241" t="n"/>
      <c r="AG283" s="27">
        <f>-SUMIFS(T_ORCAMENTOS!$E:$E,T_ORCAMENTOS!$C:$C,"Assessoria em Geral",T_ORCAMENTOS!$H:$H,"9/2026")</f>
        <v/>
      </c>
      <c r="AH283" s="28">
        <f>SUMIFS(Aut_BlueMe_Sem_Pedido!$J:$J,Aut_BlueMe_Sem_Pedido!$Q:$Q,DRE!AF$4,Aut_BlueMe_Sem_Pedido!$H:$H,DRE!$A283)+SUMIFS(Aut_Ajustes_Manuais!$G:$G,Aut_Ajustes_Manuais!$I:$I,DRE!AF$4,Aut_Ajustes_Manuais!$F:$F,"Assessoria em Geral")</f>
        <v/>
      </c>
      <c r="AI283" s="241" t="n"/>
      <c r="AJ283" s="27">
        <f>-SUMIFS(T_ORCAMENTOS!$E:$E,T_ORCAMENTOS!$C:$C,"Assessoria em Geral",T_ORCAMENTOS!$H:$H,"10/2026")</f>
        <v/>
      </c>
      <c r="AK283" s="28">
        <f>SUMIFS(Aut_BlueMe_Sem_Pedido!$J:$J,Aut_BlueMe_Sem_Pedido!$Q:$Q,DRE!AI$4,Aut_BlueMe_Sem_Pedido!$H:$H,DRE!$A283)+SUMIFS(Aut_Ajustes_Manuais!$G:$G,Aut_Ajustes_Manuais!$I:$I,DRE!AI$4,Aut_Ajustes_Manuais!$F:$F,"Assessoria em Geral")</f>
        <v/>
      </c>
      <c r="AL283" s="241" t="n"/>
      <c r="AM283" s="27">
        <f>-SUMIFS(T_ORCAMENTOS!$E:$E,T_ORCAMENTOS!$C:$C,"Assessoria em Geral",T_ORCAMENTOS!$H:$H,"11/2026")</f>
        <v/>
      </c>
      <c r="AN283" s="28">
        <f>SUMIFS(Aut_BlueMe_Sem_Pedido!$J:$J,Aut_BlueMe_Sem_Pedido!$Q:$Q,DRE!AL$4,Aut_BlueMe_Sem_Pedido!$H:$H,DRE!$A283)+SUMIFS(Aut_Ajustes_Manuais!$G:$G,Aut_Ajustes_Manuais!$I:$I,DRE!AL$4,Aut_Ajustes_Manuais!$F:$F,"Assessoria em Geral")</f>
        <v/>
      </c>
      <c r="AO283" s="241" t="n"/>
      <c r="AP283" s="27">
        <f>-SUMIFS(T_ORCAMENTOS!$E:$E,T_ORCAMENTOS!$C:$C,"Assessoria em Geral",T_ORCAMENTOS!$H:$H,"12/2026")</f>
        <v/>
      </c>
      <c r="AQ283" s="28">
        <f>SUMIFS(Aut_BlueMe_Sem_Pedido!$J:$J,Aut_BlueMe_Sem_Pedido!$Q:$Q,DRE!AO$4,Aut_BlueMe_Sem_Pedido!$H:$H,DRE!$A283)+SUMIFS(Aut_Ajustes_Manuais!$G:$G,Aut_Ajustes_Manuais!$I:$I,DRE!AO$4,Aut_Ajustes_Manuais!$F:$F,"Assessoria em Geral")</f>
        <v/>
      </c>
      <c r="AR283" s="241">
        <f>SUMIFS($H283:$AO283,$H$5:$AO$5,"&lt;"&amp;MONTH(TODAY()),$H$6:$AO$6,"REAL 25")</f>
        <v/>
      </c>
      <c r="AS283" s="27">
        <f>SUMIFS($I283:$AP283,$I$5:$AP$5,"&lt;"&amp;MONTH(TODAY()),$I$6:$AP$6,"ORÇADO ")</f>
        <v/>
      </c>
      <c r="AT283" s="28">
        <f>SUMIFS($J283:$AQ283,$J$5:$AQ$5,"&lt;"&amp;MONTH(TODAY()),$J$6:$AQ$6,"REAL 26")</f>
        <v/>
      </c>
      <c r="AU283" s="241">
        <f>SUM(H283,K283,N283,Q283,T283,W283,Z283,AC283,AF283,AI283,AL283,AO283)</f>
        <v/>
      </c>
      <c r="AV283" s="27">
        <f>SUM(I283,L283,O283,R283,U283,X283,AA283,AD283,AG283,AJ283,AM283,AP283)</f>
        <v/>
      </c>
      <c r="AW283" s="28">
        <f>SUM(J283,M283,P283,S283,V283,Y283,AB283,AE283,AH283,AK283,AN283,AQ283)</f>
        <v/>
      </c>
      <c r="AX283" s="241">
        <f>SUM(H283,K283,N283)</f>
        <v/>
      </c>
      <c r="AY283" s="27">
        <f>SUM(I283,L283,O283)</f>
        <v/>
      </c>
      <c r="AZ283" s="28">
        <f>SUM(J283,M283,P283)</f>
        <v/>
      </c>
      <c r="BA283" s="241">
        <f>SUM(Q283,T283,W283)</f>
        <v/>
      </c>
      <c r="BB283" s="27">
        <f>SUM(R283,U283,X283)</f>
        <v/>
      </c>
      <c r="BC283" s="28">
        <f>SUM(S283,V283,Y283)</f>
        <v/>
      </c>
      <c r="BD283" s="241">
        <f>SUM(Z283,AC283,AF283)</f>
        <v/>
      </c>
      <c r="BE283" s="27">
        <f>SUM(AA283,AD283,AG283)</f>
        <v/>
      </c>
      <c r="BF283" s="28">
        <f>SUM(AB283,AE283,AH283)</f>
        <v/>
      </c>
      <c r="BG283" s="241">
        <f>SUM(AI283,AL283,AO283)</f>
        <v/>
      </c>
      <c r="BH283" s="27">
        <f>SUM(AJ283,AM283,AP283)</f>
        <v/>
      </c>
      <c r="BI283" s="28">
        <f>SUM(AK283,AN283,AQ283)</f>
        <v/>
      </c>
    </row>
    <row r="284" hidden="1" outlineLevel="1" customFormat="1" s="498">
      <c r="A284" s="22" t="inlineStr">
        <is>
          <t>Assessoria Financeira</t>
        </is>
      </c>
      <c r="B284" s="23" t="n"/>
      <c r="C284" s="24" t="inlineStr">
        <is>
          <t>Contr/Prov</t>
        </is>
      </c>
      <c r="D284" s="116" t="n"/>
      <c r="E284" s="122" t="n"/>
      <c r="F284" s="56" t="n"/>
      <c r="G284" s="33" t="n"/>
      <c r="H284" s="241" t="n"/>
      <c r="I284" s="27">
        <f>-SUMIFS(T_ORCAMENTOS!$E:$E,T_ORCAMENTOS!$C:$C,"Assessoria Financeira",T_ORCAMENTOS!$H:$H,"1/2026")</f>
        <v/>
      </c>
      <c r="J284" s="28">
        <f>SUMIFS(Aut_BlueMe_Sem_Pedido!$J:$J,Aut_BlueMe_Sem_Pedido!$Q:$Q,DRE!H$4,Aut_BlueMe_Sem_Pedido!$H:$H,DRE!$A284)+SUMIFS(Aut_Ajustes_Manuais!$G:$G,Aut_Ajustes_Manuais!$I:$I,DRE!H$4,Aut_Ajustes_Manuais!$F:$F,"Assessoria Financeira")</f>
        <v/>
      </c>
      <c r="K284" s="241" t="n"/>
      <c r="L284" s="27">
        <f>-SUMIFS(T_ORCAMENTOS!$E:$E,T_ORCAMENTOS!$C:$C,"Assessoria Financeira",T_ORCAMENTOS!$H:$H,"2/2026")</f>
        <v/>
      </c>
      <c r="M284" s="28">
        <f>SUMIFS(Aut_BlueMe_Sem_Pedido!$J:$J,Aut_BlueMe_Sem_Pedido!$Q:$Q,DRE!K$4,Aut_BlueMe_Sem_Pedido!$H:$H,DRE!$A284)+SUMIFS(Aut_Ajustes_Manuais!$G:$G,Aut_Ajustes_Manuais!$I:$I,DRE!K$4,Aut_Ajustes_Manuais!$F:$F,"Assessoria Financeira")</f>
        <v/>
      </c>
      <c r="N284" s="241" t="n"/>
      <c r="O284" s="27">
        <f>-SUMIFS(T_ORCAMENTOS!$E:$E,T_ORCAMENTOS!$C:$C,"Assessoria Financeira",T_ORCAMENTOS!$H:$H,"3/2026")</f>
        <v/>
      </c>
      <c r="P284" s="27">
        <f>SUMIFS(Aut_BlueMe_Sem_Pedido!$J:$J,Aut_BlueMe_Sem_Pedido!$Q:$Q,DRE!N$4,Aut_BlueMe_Sem_Pedido!$H:$H,DRE!$A284)+SUMIFS(Aut_Ajustes_Manuais!$G:$G,Aut_Ajustes_Manuais!$I:$I,DRE!N$4,Aut_Ajustes_Manuais!$F:$F,"Assessoria Financeira")</f>
        <v/>
      </c>
      <c r="Q284" s="241" t="n"/>
      <c r="R284" s="27">
        <f>-SUMIFS(T_ORCAMENTOS!$E:$E,T_ORCAMENTOS!$C:$C,"Assessoria Financeira",T_ORCAMENTOS!$H:$H,"4/2026")</f>
        <v/>
      </c>
      <c r="S284" s="27">
        <f>SUMIFS(Aut_BlueMe_Sem_Pedido!$J:$J,Aut_BlueMe_Sem_Pedido!$Q:$Q,DRE!Q$4,Aut_BlueMe_Sem_Pedido!$H:$H,DRE!$A284)+SUMIFS(Aut_Ajustes_Manuais!$G:$G,Aut_Ajustes_Manuais!$I:$I,DRE!Q$4,Aut_Ajustes_Manuais!$F:$F,"Assessoria Financeira")</f>
        <v/>
      </c>
      <c r="T284" s="241" t="n"/>
      <c r="U284" s="27">
        <f>-SUMIFS(T_ORCAMENTOS!$E:$E,T_ORCAMENTOS!$C:$C,"Assessoria Financeira",T_ORCAMENTOS!$H:$H,"5/2026")</f>
        <v/>
      </c>
      <c r="V284" s="28">
        <f>SUMIFS(Aut_BlueMe_Sem_Pedido!$J:$J,Aut_BlueMe_Sem_Pedido!$Q:$Q,DRE!T$4,Aut_BlueMe_Sem_Pedido!$H:$H,DRE!$A284)+SUMIFS(Aut_Ajustes_Manuais!$G:$G,Aut_Ajustes_Manuais!$I:$I,DRE!T$4,Aut_Ajustes_Manuais!$F:$F,"Assessoria Financeira")</f>
        <v/>
      </c>
      <c r="W284" s="241" t="n"/>
      <c r="X284" s="27">
        <f>-SUMIFS(T_ORCAMENTOS!$E:$E,T_ORCAMENTOS!$C:$C,"Assessoria Financeira",T_ORCAMENTOS!$H:$H,"6/2026")</f>
        <v/>
      </c>
      <c r="Y284" s="28">
        <f>SUMIFS(Aut_BlueMe_Sem_Pedido!$J:$J,Aut_BlueMe_Sem_Pedido!$Q:$Q,DRE!W$4,Aut_BlueMe_Sem_Pedido!$H:$H,DRE!$A284)+SUMIFS(Aut_Ajustes_Manuais!$G:$G,Aut_Ajustes_Manuais!$I:$I,DRE!W$4,Aut_Ajustes_Manuais!$F:$F,"Assessoria Financeira")</f>
        <v/>
      </c>
      <c r="Z284" s="241" t="n"/>
      <c r="AA284" s="27">
        <f>-SUMIFS(T_ORCAMENTOS!$E:$E,T_ORCAMENTOS!$C:$C,"Assessoria Financeira",T_ORCAMENTOS!$H:$H,"7/2026")</f>
        <v/>
      </c>
      <c r="AB284" s="28">
        <f>SUMIFS(Aut_BlueMe_Sem_Pedido!$J:$J,Aut_BlueMe_Sem_Pedido!$Q:$Q,DRE!Z$4,Aut_BlueMe_Sem_Pedido!$H:$H,DRE!$A284)+SUMIFS(Aut_Ajustes_Manuais!$G:$G,Aut_Ajustes_Manuais!$I:$I,DRE!Z$4,Aut_Ajustes_Manuais!$F:$F,"Assessoria Financeira")</f>
        <v/>
      </c>
      <c r="AC284" s="241" t="n"/>
      <c r="AD284" s="27">
        <f>-SUMIFS(T_ORCAMENTOS!$E:$E,T_ORCAMENTOS!$C:$C,"Assessoria Financeira",T_ORCAMENTOS!$H:$H,"8/2026")</f>
        <v/>
      </c>
      <c r="AE284" s="28">
        <f>SUMIFS(Aut_BlueMe_Sem_Pedido!$J:$J,Aut_BlueMe_Sem_Pedido!$Q:$Q,DRE!AC$4,Aut_BlueMe_Sem_Pedido!$H:$H,DRE!$A284)+SUMIFS(Aut_Ajustes_Manuais!$G:$G,Aut_Ajustes_Manuais!$I:$I,DRE!AC$4,Aut_Ajustes_Manuais!$F:$F,"Assessoria Financeira")</f>
        <v/>
      </c>
      <c r="AF284" s="241" t="n"/>
      <c r="AG284" s="27">
        <f>-SUMIFS(T_ORCAMENTOS!$E:$E,T_ORCAMENTOS!$C:$C,"Assessoria Financeira",T_ORCAMENTOS!$H:$H,"9/2026")</f>
        <v/>
      </c>
      <c r="AH284" s="28">
        <f>SUMIFS(Aut_BlueMe_Sem_Pedido!$J:$J,Aut_BlueMe_Sem_Pedido!$Q:$Q,DRE!AF$4,Aut_BlueMe_Sem_Pedido!$H:$H,DRE!$A284)+SUMIFS(Aut_Ajustes_Manuais!$G:$G,Aut_Ajustes_Manuais!$I:$I,DRE!AF$4,Aut_Ajustes_Manuais!$F:$F,"Assessoria Financeira")</f>
        <v/>
      </c>
      <c r="AI284" s="241" t="n"/>
      <c r="AJ284" s="27">
        <f>-SUMIFS(T_ORCAMENTOS!$E:$E,T_ORCAMENTOS!$C:$C,"Assessoria Financeira",T_ORCAMENTOS!$H:$H,"10/2026")</f>
        <v/>
      </c>
      <c r="AK284" s="28">
        <f>SUMIFS(Aut_BlueMe_Sem_Pedido!$J:$J,Aut_BlueMe_Sem_Pedido!$Q:$Q,DRE!AI$4,Aut_BlueMe_Sem_Pedido!$H:$H,DRE!$A284)+SUMIFS(Aut_Ajustes_Manuais!$G:$G,Aut_Ajustes_Manuais!$I:$I,DRE!AI$4,Aut_Ajustes_Manuais!$F:$F,"Assessoria Financeira")</f>
        <v/>
      </c>
      <c r="AL284" s="241" t="n"/>
      <c r="AM284" s="27">
        <f>-SUMIFS(T_ORCAMENTOS!$E:$E,T_ORCAMENTOS!$C:$C,"Assessoria Financeira",T_ORCAMENTOS!$H:$H,"11/2026")</f>
        <v/>
      </c>
      <c r="AN284" s="28">
        <f>SUMIFS(Aut_BlueMe_Sem_Pedido!$J:$J,Aut_BlueMe_Sem_Pedido!$Q:$Q,DRE!AL$4,Aut_BlueMe_Sem_Pedido!$H:$H,DRE!$A284)+SUMIFS(Aut_Ajustes_Manuais!$G:$G,Aut_Ajustes_Manuais!$I:$I,DRE!AL$4,Aut_Ajustes_Manuais!$F:$F,"Assessoria Financeira")</f>
        <v/>
      </c>
      <c r="AO284" s="241" t="n"/>
      <c r="AP284" s="27">
        <f>-SUMIFS(T_ORCAMENTOS!$E:$E,T_ORCAMENTOS!$C:$C,"Assessoria Financeira",T_ORCAMENTOS!$H:$H,"12/2026")</f>
        <v/>
      </c>
      <c r="AQ284" s="28">
        <f>SUMIFS(Aut_BlueMe_Sem_Pedido!$J:$J,Aut_BlueMe_Sem_Pedido!$Q:$Q,DRE!AO$4,Aut_BlueMe_Sem_Pedido!$H:$H,DRE!$A284)+SUMIFS(Aut_Ajustes_Manuais!$G:$G,Aut_Ajustes_Manuais!$I:$I,DRE!AO$4,Aut_Ajustes_Manuais!$F:$F,"Assessoria Financeira")</f>
        <v/>
      </c>
      <c r="AR284" s="241">
        <f>SUMIFS($H284:$AO284,$H$5:$AO$5,"&lt;"&amp;MONTH(TODAY()),$H$6:$AO$6,"REAL 25")</f>
        <v/>
      </c>
      <c r="AS284" s="27">
        <f>SUMIFS($I284:$AP284,$I$5:$AP$5,"&lt;"&amp;MONTH(TODAY()),$I$6:$AP$6,"ORÇADO ")</f>
        <v/>
      </c>
      <c r="AT284" s="28">
        <f>SUMIFS($J284:$AQ284,$J$5:$AQ$5,"&lt;"&amp;MONTH(TODAY()),$J$6:$AQ$6,"REAL 26")</f>
        <v/>
      </c>
      <c r="AU284" s="241">
        <f>SUM(H284,K284,N284,Q284,T284,W284,Z284,AC284,AF284,AI284,AL284,AO284)</f>
        <v/>
      </c>
      <c r="AV284" s="27">
        <f>SUM(I284,L284,O284,R284,U284,X284,AA284,AD284,AG284,AJ284,AM284,AP284)</f>
        <v/>
      </c>
      <c r="AW284" s="28">
        <f>SUM(J284,M284,P284,S284,V284,Y284,AB284,AE284,AH284,AK284,AN284,AQ284)</f>
        <v/>
      </c>
      <c r="AX284" s="241">
        <f>SUM(H284,K284,N284)</f>
        <v/>
      </c>
      <c r="AY284" s="27">
        <f>SUM(I284,L284,O284)</f>
        <v/>
      </c>
      <c r="AZ284" s="28">
        <f>SUM(J284,M284,P284)</f>
        <v/>
      </c>
      <c r="BA284" s="241">
        <f>SUM(Q284,T284,W284)</f>
        <v/>
      </c>
      <c r="BB284" s="27">
        <f>SUM(R284,U284,X284)</f>
        <v/>
      </c>
      <c r="BC284" s="28">
        <f>SUM(S284,V284,Y284)</f>
        <v/>
      </c>
      <c r="BD284" s="241">
        <f>SUM(Z284,AC284,AF284)</f>
        <v/>
      </c>
      <c r="BE284" s="27">
        <f>SUM(AA284,AD284,AG284)</f>
        <v/>
      </c>
      <c r="BF284" s="28">
        <f>SUM(AB284,AE284,AH284)</f>
        <v/>
      </c>
      <c r="BG284" s="241">
        <f>SUM(AI284,AL284,AO284)</f>
        <v/>
      </c>
      <c r="BH284" s="27">
        <f>SUM(AJ284,AM284,AP284)</f>
        <v/>
      </c>
      <c r="BI284" s="28">
        <f>SUM(AK284,AN284,AQ284)</f>
        <v/>
      </c>
    </row>
    <row r="285" hidden="1" outlineLevel="1" customFormat="1" s="498">
      <c r="A285" s="22" t="inlineStr">
        <is>
          <t>Assessoria Jurídica</t>
        </is>
      </c>
      <c r="B285" s="23" t="n"/>
      <c r="C285" s="24" t="inlineStr">
        <is>
          <t>Contr/Prov</t>
        </is>
      </c>
      <c r="D285" s="116" t="n"/>
      <c r="E285" s="122" t="n"/>
      <c r="F285" s="56" t="n"/>
      <c r="G285" s="33" t="n"/>
      <c r="H285" s="241" t="n"/>
      <c r="I285" s="27">
        <f>-SUMIFS(T_ORCAMENTOS!$E:$E,T_ORCAMENTOS!$C:$C,"Assessoria Jurídica",T_ORCAMENTOS!$H:$H,"1/2026")</f>
        <v/>
      </c>
      <c r="J285" s="28">
        <f>SUMIFS(Aut_BlueMe_Sem_Pedido!$J:$J,Aut_BlueMe_Sem_Pedido!$Q:$Q,DRE!H$4,Aut_BlueMe_Sem_Pedido!$H:$H,DRE!$A285)-SUMIFS(Aut_BlueMe_Sem_Pedido!$J:$J,Aut_BlueMe_Sem_Pedido!$Q:$Q,DRE!H$4,Aut_BlueMe_Sem_Pedido!$C:$C,"NELSON WILIANS E ADVOGADOS ASSOCIADOS - MATRIZ")+SUMIFS(Aut_Ajustes_Manuais!$G:$G,Aut_Ajustes_Manuais!$I:$I,DRE!H$4,Aut_Ajustes_Manuais!$F:$F,"Assessoria Jurídica")</f>
        <v/>
      </c>
      <c r="K285" s="241" t="n"/>
      <c r="L285" s="27">
        <f>-SUMIFS(T_ORCAMENTOS!$E:$E,T_ORCAMENTOS!$C:$C,"Assessoria Jurídica",T_ORCAMENTOS!$H:$H,"2/2026")</f>
        <v/>
      </c>
      <c r="M285" s="28">
        <f>SUMIFS(Aut_BlueMe_Sem_Pedido!$J:$J,Aut_BlueMe_Sem_Pedido!$Q:$Q,DRE!K$4,Aut_BlueMe_Sem_Pedido!$H:$H,DRE!$A285)-SUMIFS(Aut_BlueMe_Sem_Pedido!$J:$J,Aut_BlueMe_Sem_Pedido!$Q:$Q,DRE!K$4,Aut_BlueMe_Sem_Pedido!$C:$C,"NELSON WILIANS E ADVOGADOS ASSOCIADOS - MATRIZ")+SUMIFS(Aut_Ajustes_Manuais!$G:$G,Aut_Ajustes_Manuais!$I:$I,DRE!K$4,Aut_Ajustes_Manuais!$F:$F,"Assessoria Jurídica")</f>
        <v/>
      </c>
      <c r="N285" s="241" t="n"/>
      <c r="O285" s="27">
        <f>-SUMIFS(T_ORCAMENTOS!$E:$E,T_ORCAMENTOS!$C:$C,"Assessoria Jurídica",T_ORCAMENTOS!$H:$H,"3/2026")</f>
        <v/>
      </c>
      <c r="P285" s="28">
        <f>SUMIFS(Aut_BlueMe_Sem_Pedido!$J:$J,Aut_BlueMe_Sem_Pedido!$Q:$Q,DRE!N$4,Aut_BlueMe_Sem_Pedido!$H:$H,DRE!$A285)-SUMIFS(Aut_BlueMe_Sem_Pedido!$J:$J,Aut_BlueMe_Sem_Pedido!$Q:$Q,DRE!N$4,Aut_BlueMe_Sem_Pedido!$C:$C,"NELSON WILIANS E ADVOGADOS ASSOCIADOS - MATRIZ")+SUMIFS(Aut_Ajustes_Manuais!$G:$G,Aut_Ajustes_Manuais!$I:$I,DRE!N$4,Aut_Ajustes_Manuais!$F:$F,"Assessoria Jurídica")</f>
        <v/>
      </c>
      <c r="Q285" s="241" t="n"/>
      <c r="R285" s="27">
        <f>-SUMIFS(T_ORCAMENTOS!$E:$E,T_ORCAMENTOS!$C:$C,"Assessoria Jurídica",T_ORCAMENTOS!$H:$H,"4/2026")</f>
        <v/>
      </c>
      <c r="S285" s="28">
        <f>SUMIFS(Aut_BlueMe_Sem_Pedido!$J:$J,Aut_BlueMe_Sem_Pedido!$Q:$Q,DRE!Q$4,Aut_BlueMe_Sem_Pedido!$H:$H,DRE!$A285)-SUMIFS(Aut_BlueMe_Sem_Pedido!$J:$J,Aut_BlueMe_Sem_Pedido!$Q:$Q,DRE!Q$4,Aut_BlueMe_Sem_Pedido!$C:$C,"NELSON WILIANS E ADVOGADOS ASSOCIADOS - MATRIZ")+SUMIFS(Aut_Ajustes_Manuais!$G:$G,Aut_Ajustes_Manuais!$I:$I,DRE!Q$4,Aut_Ajustes_Manuais!$F:$F,"Assessoria Jurídica")</f>
        <v/>
      </c>
      <c r="T285" s="241" t="n"/>
      <c r="U285" s="27">
        <f>-SUMIFS(T_ORCAMENTOS!$E:$E,T_ORCAMENTOS!$C:$C,"Assessoria Jurídica",T_ORCAMENTOS!$H:$H,"5/2026")</f>
        <v/>
      </c>
      <c r="V285" s="28">
        <f>SUMIFS(Aut_BlueMe_Sem_Pedido!$J:$J,Aut_BlueMe_Sem_Pedido!$Q:$Q,DRE!T$4,Aut_BlueMe_Sem_Pedido!$H:$H,DRE!$A285)-SUMIFS(Aut_BlueMe_Sem_Pedido!$J:$J,Aut_BlueMe_Sem_Pedido!$Q:$Q,DRE!T$4,Aut_BlueMe_Sem_Pedido!$C:$C,"NELSON WILIANS E ADVOGADOS ASSOCIADOS - MATRIZ")+SUMIFS(Aut_Ajustes_Manuais!$G:$G,Aut_Ajustes_Manuais!$I:$I,DRE!T$4,Aut_Ajustes_Manuais!$F:$F,"Assessoria Jurídica")</f>
        <v/>
      </c>
      <c r="W285" s="241" t="n"/>
      <c r="X285" s="27">
        <f>-SUMIFS(T_ORCAMENTOS!$E:$E,T_ORCAMENTOS!$C:$C,"Assessoria Jurídica",T_ORCAMENTOS!$H:$H,"6/2026")</f>
        <v/>
      </c>
      <c r="Y285" s="28">
        <f>SUMIFS(Aut_BlueMe_Sem_Pedido!$J:$J,Aut_BlueMe_Sem_Pedido!$Q:$Q,DRE!W$4,Aut_BlueMe_Sem_Pedido!$H:$H,DRE!$A285)-SUMIFS(Aut_BlueMe_Sem_Pedido!$J:$J,Aut_BlueMe_Sem_Pedido!$Q:$Q,DRE!W$4,Aut_BlueMe_Sem_Pedido!$C:$C,"NELSON WILIANS E ADVOGADOS ASSOCIADOS - MATRIZ")+SUMIFS(Aut_Ajustes_Manuais!$G:$G,Aut_Ajustes_Manuais!$I:$I,DRE!W$4,Aut_Ajustes_Manuais!$F:$F,"Assessoria Jurídica")</f>
        <v/>
      </c>
      <c r="Z285" s="241" t="n"/>
      <c r="AA285" s="27">
        <f>-SUMIFS(T_ORCAMENTOS!$E:$E,T_ORCAMENTOS!$C:$C,"Assessoria Jurídica",T_ORCAMENTOS!$H:$H,"7/2026")</f>
        <v/>
      </c>
      <c r="AB285" s="28">
        <f>SUMIFS(Aut_BlueMe_Sem_Pedido!$J:$J,Aut_BlueMe_Sem_Pedido!$Q:$Q,DRE!Z$4,Aut_BlueMe_Sem_Pedido!$H:$H,DRE!$A285)-SUMIFS(Aut_BlueMe_Sem_Pedido!$J:$J,Aut_BlueMe_Sem_Pedido!$Q:$Q,DRE!Z$4,Aut_BlueMe_Sem_Pedido!$C:$C,"NELSON WILIANS E ADVOGADOS ASSOCIADOS - MATRIZ")+SUMIFS(Aut_Ajustes_Manuais!$G:$G,Aut_Ajustes_Manuais!$I:$I,DRE!Z$4,Aut_Ajustes_Manuais!$F:$F,"Assessoria Jurídica")</f>
        <v/>
      </c>
      <c r="AC285" s="241" t="n"/>
      <c r="AD285" s="27">
        <f>-SUMIFS(T_ORCAMENTOS!$E:$E,T_ORCAMENTOS!$C:$C,"Assessoria Jurídica",T_ORCAMENTOS!$H:$H,"8/2026")</f>
        <v/>
      </c>
      <c r="AE285" s="28">
        <f>SUMIFS(Aut_BlueMe_Sem_Pedido!$J:$J,Aut_BlueMe_Sem_Pedido!$Q:$Q,DRE!AC$4,Aut_BlueMe_Sem_Pedido!$H:$H,DRE!$A285)-SUMIFS(Aut_BlueMe_Sem_Pedido!$J:$J,Aut_BlueMe_Sem_Pedido!$Q:$Q,DRE!AC$4,Aut_BlueMe_Sem_Pedido!$C:$C,"NELSON WILIANS E ADVOGADOS ASSOCIADOS - MATRIZ")+SUMIFS(Aut_Ajustes_Manuais!$G:$G,Aut_Ajustes_Manuais!$I:$I,DRE!AC$4,Aut_Ajustes_Manuais!$F:$F,"Assessoria Jurídica")</f>
        <v/>
      </c>
      <c r="AF285" s="241" t="n"/>
      <c r="AG285" s="27">
        <f>-SUMIFS(T_ORCAMENTOS!$E:$E,T_ORCAMENTOS!$C:$C,"Assessoria Jurídica",T_ORCAMENTOS!$H:$H,"9/2026")</f>
        <v/>
      </c>
      <c r="AH285" s="28">
        <f>SUMIFS(Aut_BlueMe_Sem_Pedido!$J:$J,Aut_BlueMe_Sem_Pedido!$Q:$Q,DRE!AF$4,Aut_BlueMe_Sem_Pedido!$H:$H,DRE!$A285)-SUMIFS(Aut_BlueMe_Sem_Pedido!$J:$J,Aut_BlueMe_Sem_Pedido!$Q:$Q,DRE!AF$4,Aut_BlueMe_Sem_Pedido!$C:$C,"NELSON WILIANS E ADVOGADOS ASSOCIADOS - MATRIZ")+SUMIFS(Aut_Ajustes_Manuais!$G:$G,Aut_Ajustes_Manuais!$I:$I,DRE!AF$4,Aut_Ajustes_Manuais!$F:$F,"Assessoria Jurídica")</f>
        <v/>
      </c>
      <c r="AI285" s="241" t="n"/>
      <c r="AJ285" s="27">
        <f>-SUMIFS(T_ORCAMENTOS!$E:$E,T_ORCAMENTOS!$C:$C,"Assessoria Jurídica",T_ORCAMENTOS!$H:$H,"10/2026")</f>
        <v/>
      </c>
      <c r="AK285" s="28">
        <f>SUMIFS(Aut_BlueMe_Sem_Pedido!$J:$J,Aut_BlueMe_Sem_Pedido!$Q:$Q,DRE!AI$4,Aut_BlueMe_Sem_Pedido!$H:$H,DRE!$A285)-SUMIFS(Aut_BlueMe_Sem_Pedido!$J:$J,Aut_BlueMe_Sem_Pedido!$Q:$Q,DRE!AI$4,Aut_BlueMe_Sem_Pedido!$C:$C,"NELSON WILIANS E ADVOGADOS ASSOCIADOS - MATRIZ")+SUMIFS(Aut_Ajustes_Manuais!$G:$G,Aut_Ajustes_Manuais!$I:$I,DRE!AI$4,Aut_Ajustes_Manuais!$F:$F,"Assessoria Jurídica")</f>
        <v/>
      </c>
      <c r="AL285" s="241" t="n"/>
      <c r="AM285" s="27">
        <f>-SUMIFS(T_ORCAMENTOS!$E:$E,T_ORCAMENTOS!$C:$C,"Assessoria Jurídica",T_ORCAMENTOS!$H:$H,"11/2026")</f>
        <v/>
      </c>
      <c r="AN285" s="28">
        <f>SUMIFS(Aut_BlueMe_Sem_Pedido!$J:$J,Aut_BlueMe_Sem_Pedido!$Q:$Q,DRE!AL$4,Aut_BlueMe_Sem_Pedido!$H:$H,DRE!$A285)-SUMIFS(Aut_BlueMe_Sem_Pedido!$J:$J,Aut_BlueMe_Sem_Pedido!$Q:$Q,DRE!AL$4,Aut_BlueMe_Sem_Pedido!$C:$C,"NELSON WILIANS E ADVOGADOS ASSOCIADOS - MATRIZ")+SUMIFS(Aut_Ajustes_Manuais!$G:$G,Aut_Ajustes_Manuais!$I:$I,DRE!AL$4,Aut_Ajustes_Manuais!$F:$F,"Assessoria Jurídica")</f>
        <v/>
      </c>
      <c r="AO285" s="241" t="n"/>
      <c r="AP285" s="27">
        <f>-SUMIFS(T_ORCAMENTOS!$E:$E,T_ORCAMENTOS!$C:$C,"Assessoria Jurídica",T_ORCAMENTOS!$H:$H,"12/2026")</f>
        <v/>
      </c>
      <c r="AQ285" s="28">
        <f>SUMIFS(Aut_BlueMe_Sem_Pedido!$J:$J,Aut_BlueMe_Sem_Pedido!$Q:$Q,DRE!AO$4,Aut_BlueMe_Sem_Pedido!$H:$H,DRE!$A285)-SUMIFS(Aut_BlueMe_Sem_Pedido!$J:$J,Aut_BlueMe_Sem_Pedido!$Q:$Q,DRE!AO$4,Aut_BlueMe_Sem_Pedido!$C:$C,"NELSON WILIANS E ADVOGADOS ASSOCIADOS - MATRIZ")+SUMIFS(Aut_Ajustes_Manuais!$G:$G,Aut_Ajustes_Manuais!$I:$I,DRE!AO$4,Aut_Ajustes_Manuais!$F:$F,"Assessoria Jurídica")</f>
        <v/>
      </c>
      <c r="AR285" s="241">
        <f>SUMIFS($H285:$AO285,$H$5:$AO$5,"&lt;"&amp;MONTH(TODAY()),$H$6:$AO$6,"REAL 25")</f>
        <v/>
      </c>
      <c r="AS285" s="27">
        <f>SUMIFS($I285:$AP285,$I$5:$AP$5,"&lt;"&amp;MONTH(TODAY()),$I$6:$AP$6,"ORÇADO ")</f>
        <v/>
      </c>
      <c r="AT285" s="28">
        <f>SUMIFS($J285:$AQ285,$J$5:$AQ$5,"&lt;"&amp;MONTH(TODAY()),$J$6:$AQ$6,"REAL 26")</f>
        <v/>
      </c>
      <c r="AU285" s="241">
        <f>SUM(H285,K285,N285,Q285,T285,W285,Z285,AC285,AF285,AI285,AL285,AO285)</f>
        <v/>
      </c>
      <c r="AV285" s="27">
        <f>SUM(I285,L285,O285,R285,U285,X285,AA285,AD285,AG285,AJ285,AM285,AP285)</f>
        <v/>
      </c>
      <c r="AW285" s="28">
        <f>SUM(J285,M285,P285,S285,V285,Y285,AB285,AE285,AH285,AK285,AN285,AQ285)</f>
        <v/>
      </c>
      <c r="AX285" s="241">
        <f>SUM(H285,K285,N285)</f>
        <v/>
      </c>
      <c r="AY285" s="27">
        <f>SUM(I285,L285,O285)</f>
        <v/>
      </c>
      <c r="AZ285" s="28">
        <f>SUM(J285,M285,P285)</f>
        <v/>
      </c>
      <c r="BA285" s="241">
        <f>SUM(Q285,T285,W285)</f>
        <v/>
      </c>
      <c r="BB285" s="27">
        <f>SUM(R285,U285,X285)</f>
        <v/>
      </c>
      <c r="BC285" s="28">
        <f>SUM(S285,V285,Y285)</f>
        <v/>
      </c>
      <c r="BD285" s="241">
        <f>SUM(Z285,AC285,AF285)</f>
        <v/>
      </c>
      <c r="BE285" s="27">
        <f>SUM(AA285,AD285,AG285)</f>
        <v/>
      </c>
      <c r="BF285" s="28">
        <f>SUM(AB285,AE285,AH285)</f>
        <v/>
      </c>
      <c r="BG285" s="241">
        <f>SUM(AI285,AL285,AO285)</f>
        <v/>
      </c>
      <c r="BH285" s="27">
        <f>SUM(AJ285,AM285,AP285)</f>
        <v/>
      </c>
      <c r="BI285" s="28">
        <f>SUM(AK285,AN285,AQ285)</f>
        <v/>
      </c>
    </row>
    <row r="286" hidden="1" outlineLevel="1" customFormat="1" s="498">
      <c r="A286" s="22" t="inlineStr">
        <is>
          <t>Assessoria de Alimentos e Bebidas</t>
        </is>
      </c>
      <c r="B286" s="23" t="n"/>
      <c r="C286" s="24" t="inlineStr">
        <is>
          <t>Contr/Prov</t>
        </is>
      </c>
      <c r="D286" s="116" t="n"/>
      <c r="E286" s="122" t="n"/>
      <c r="F286" s="56" t="n"/>
      <c r="G286" s="33" t="n"/>
      <c r="H286" s="241" t="n"/>
      <c r="I286" s="27">
        <f>-SUMIFS(T_ORCAMENTOS!$E:$E,T_ORCAMENTOS!$C:$C,"Assessoria de Alimentos e Bebidas",T_ORCAMENTOS!$H:$H,"1/2026")</f>
        <v/>
      </c>
      <c r="J286" s="27">
        <f>SUMIFS(Aut_BlueMe_Sem_Pedido!$J:$J,Aut_BlueMe_Sem_Pedido!$Q:$Q,DRE!H$4,Aut_BlueMe_Sem_Pedido!$H:$H,DRE!$A286)+SUMIFS(Aut_Ajustes_Manuais!$G:$G,Aut_Ajustes_Manuais!$I:$I,DRE!H$4,Aut_Ajustes_Manuais!$F:$F,"Assessoria de Alimentos e Bebidas")</f>
        <v/>
      </c>
      <c r="K286" s="241" t="n"/>
      <c r="L286" s="27">
        <f>-SUMIFS(T_ORCAMENTOS!$E:$E,T_ORCAMENTOS!$C:$C,"Assessoria de Alimentos e Bebidas",T_ORCAMENTOS!$H:$H,"2/2026")</f>
        <v/>
      </c>
      <c r="M286" s="28">
        <f>SUMIFS(Aut_BlueMe_Sem_Pedido!$J:$J,Aut_BlueMe_Sem_Pedido!$Q:$Q,DRE!K$4,Aut_BlueMe_Sem_Pedido!$H:$H,DRE!$A286)+SUMIFS(Aut_Ajustes_Manuais!$G:$G,Aut_Ajustes_Manuais!$I:$I,DRE!K$4,Aut_Ajustes_Manuais!$F:$F,"Assessoria de Alimentos e Bebidas")</f>
        <v/>
      </c>
      <c r="N286" s="241" t="n"/>
      <c r="O286" s="27">
        <f>-SUMIFS(T_ORCAMENTOS!$E:$E,T_ORCAMENTOS!$C:$C,"Assessoria de Alimentos e Bebidas",T_ORCAMENTOS!$H:$H,"3/2026")</f>
        <v/>
      </c>
      <c r="P286" s="27">
        <f>SUMIFS(Aut_BlueMe_Sem_Pedido!$J:$J,Aut_BlueMe_Sem_Pedido!$Q:$Q,DRE!N$4,Aut_BlueMe_Sem_Pedido!$H:$H,DRE!$A286)+SUMIFS(Aut_Ajustes_Manuais!$G:$G,Aut_Ajustes_Manuais!$I:$I,DRE!N$4,Aut_Ajustes_Manuais!$F:$F,"Assessoria de Alimentos e Bebidas")</f>
        <v/>
      </c>
      <c r="Q286" s="241" t="n"/>
      <c r="R286" s="27">
        <f>-SUMIFS(T_ORCAMENTOS!$E:$E,T_ORCAMENTOS!$C:$C,"Assessoria de Alimentos e Bebidas",T_ORCAMENTOS!$H:$H,"4/2026")</f>
        <v/>
      </c>
      <c r="S286" s="27">
        <f>SUMIFS(Aut_BlueMe_Sem_Pedido!$J:$J,Aut_BlueMe_Sem_Pedido!$Q:$Q,DRE!Q$4,Aut_BlueMe_Sem_Pedido!$H:$H,DRE!$A286)+SUMIFS(Aut_Ajustes_Manuais!$G:$G,Aut_Ajustes_Manuais!$I:$I,DRE!Q$4,Aut_Ajustes_Manuais!$F:$F,"Assessoria de Alimentos e Bebidas")</f>
        <v/>
      </c>
      <c r="T286" s="241" t="n"/>
      <c r="U286" s="27">
        <f>-SUMIFS(T_ORCAMENTOS!$E:$E,T_ORCAMENTOS!$C:$C,"Assessoria de Alimentos e Bebidas",T_ORCAMENTOS!$H:$H,"5/2026")</f>
        <v/>
      </c>
      <c r="V286" s="28">
        <f>SUMIFS(Aut_BlueMe_Sem_Pedido!$J:$J,Aut_BlueMe_Sem_Pedido!$Q:$Q,DRE!T$4,Aut_BlueMe_Sem_Pedido!$H:$H,DRE!$A286)+SUMIFS(Aut_Ajustes_Manuais!$G:$G,Aut_Ajustes_Manuais!$I:$I,DRE!T$4,Aut_Ajustes_Manuais!$F:$F,"Assessoria de Alimentos e Bebidas")</f>
        <v/>
      </c>
      <c r="W286" s="241" t="n"/>
      <c r="X286" s="27">
        <f>-SUMIFS(T_ORCAMENTOS!$E:$E,T_ORCAMENTOS!$C:$C,"Assessoria de Alimentos e Bebidas",T_ORCAMENTOS!$H:$H,"6/2026")</f>
        <v/>
      </c>
      <c r="Y286" s="28">
        <f>SUMIFS(Aut_BlueMe_Sem_Pedido!$J:$J,Aut_BlueMe_Sem_Pedido!$Q:$Q,DRE!W$4,Aut_BlueMe_Sem_Pedido!$H:$H,DRE!$A286)+SUMIFS(Aut_Ajustes_Manuais!$G:$G,Aut_Ajustes_Manuais!$I:$I,DRE!W$4,Aut_Ajustes_Manuais!$F:$F,"Assessoria de Alimentos e Bebidas")</f>
        <v/>
      </c>
      <c r="Z286" s="241" t="n"/>
      <c r="AA286" s="27">
        <f>-SUMIFS(T_ORCAMENTOS!$E:$E,T_ORCAMENTOS!$C:$C,"Assessoria de Alimentos e Bebidas",T_ORCAMENTOS!$H:$H,"7/2026")</f>
        <v/>
      </c>
      <c r="AB286" s="28">
        <f>SUMIFS(Aut_BlueMe_Sem_Pedido!$J:$J,Aut_BlueMe_Sem_Pedido!$Q:$Q,DRE!Z$4,Aut_BlueMe_Sem_Pedido!$H:$H,DRE!$A286)+SUMIFS(Aut_Ajustes_Manuais!$G:$G,Aut_Ajustes_Manuais!$I:$I,DRE!Z$4,Aut_Ajustes_Manuais!$F:$F,"Assessoria de Alimentos e Bebidas")</f>
        <v/>
      </c>
      <c r="AC286" s="241" t="n"/>
      <c r="AD286" s="27">
        <f>-SUMIFS(T_ORCAMENTOS!$E:$E,T_ORCAMENTOS!$C:$C,"Assessoria de Alimentos e Bebidas",T_ORCAMENTOS!$H:$H,"8/2026")</f>
        <v/>
      </c>
      <c r="AE286" s="28">
        <f>SUMIFS(Aut_BlueMe_Sem_Pedido!$J:$J,Aut_BlueMe_Sem_Pedido!$Q:$Q,DRE!AC$4,Aut_BlueMe_Sem_Pedido!$H:$H,DRE!$A286)+SUMIFS(Aut_Ajustes_Manuais!$G:$G,Aut_Ajustes_Manuais!$I:$I,DRE!AC$4,Aut_Ajustes_Manuais!$F:$F,"Assessoria de Alimentos e Bebidas")</f>
        <v/>
      </c>
      <c r="AF286" s="241" t="n"/>
      <c r="AG286" s="27">
        <f>-SUMIFS(T_ORCAMENTOS!$E:$E,T_ORCAMENTOS!$C:$C,"Assessoria de Alimentos e Bebidas",T_ORCAMENTOS!$H:$H,"9/2026")</f>
        <v/>
      </c>
      <c r="AH286" s="28">
        <f>SUMIFS(Aut_BlueMe_Sem_Pedido!$J:$J,Aut_BlueMe_Sem_Pedido!$Q:$Q,DRE!AF$4,Aut_BlueMe_Sem_Pedido!$H:$H,DRE!$A286)+SUMIFS(Aut_Ajustes_Manuais!$G:$G,Aut_Ajustes_Manuais!$I:$I,DRE!AF$4,Aut_Ajustes_Manuais!$F:$F,"Assessoria de Alimentos e Bebidas")</f>
        <v/>
      </c>
      <c r="AI286" s="241" t="n"/>
      <c r="AJ286" s="27">
        <f>-SUMIFS(T_ORCAMENTOS!$E:$E,T_ORCAMENTOS!$C:$C,"Assessoria de Alimentos e Bebidas",T_ORCAMENTOS!$H:$H,"10/2026")</f>
        <v/>
      </c>
      <c r="AK286" s="28">
        <f>SUMIFS(Aut_BlueMe_Sem_Pedido!$J:$J,Aut_BlueMe_Sem_Pedido!$Q:$Q,DRE!AI$4,Aut_BlueMe_Sem_Pedido!$H:$H,DRE!$A286)+SUMIFS(Aut_Ajustes_Manuais!$G:$G,Aut_Ajustes_Manuais!$I:$I,DRE!AI$4,Aut_Ajustes_Manuais!$F:$F,"Assessoria de Alimentos e Bebidas")</f>
        <v/>
      </c>
      <c r="AL286" s="241" t="n"/>
      <c r="AM286" s="27">
        <f>-SUMIFS(T_ORCAMENTOS!$E:$E,T_ORCAMENTOS!$C:$C,"Assessoria de Alimentos e Bebidas",T_ORCAMENTOS!$H:$H,"11/2026")</f>
        <v/>
      </c>
      <c r="AN286" s="28">
        <f>SUMIFS(Aut_BlueMe_Sem_Pedido!$J:$J,Aut_BlueMe_Sem_Pedido!$Q:$Q,DRE!AL$4,Aut_BlueMe_Sem_Pedido!$H:$H,DRE!$A286)+SUMIFS(Aut_Ajustes_Manuais!$G:$G,Aut_Ajustes_Manuais!$I:$I,DRE!AL$4,Aut_Ajustes_Manuais!$F:$F,"Assessoria de Alimentos e Bebidas")</f>
        <v/>
      </c>
      <c r="AO286" s="241" t="n"/>
      <c r="AP286" s="27">
        <f>-SUMIFS(T_ORCAMENTOS!$E:$E,T_ORCAMENTOS!$C:$C,"Assessoria de Alimentos e Bebidas",T_ORCAMENTOS!$H:$H,"12/2026")</f>
        <v/>
      </c>
      <c r="AQ286" s="28">
        <f>SUMIFS(Aut_BlueMe_Sem_Pedido!$J:$J,Aut_BlueMe_Sem_Pedido!$Q:$Q,DRE!AO$4,Aut_BlueMe_Sem_Pedido!$H:$H,DRE!$A286)+SUMIFS(Aut_Ajustes_Manuais!$G:$G,Aut_Ajustes_Manuais!$I:$I,DRE!AO$4,Aut_Ajustes_Manuais!$F:$F,"Assessoria de Alimentos e Bebidas")</f>
        <v/>
      </c>
      <c r="AR286" s="241">
        <f>SUMIFS($H286:$AO286,$H$5:$AO$5,"&lt;"&amp;MONTH(TODAY()),$H$6:$AO$6,"REAL 25")</f>
        <v/>
      </c>
      <c r="AS286" s="27">
        <f>SUMIFS($I286:$AP286,$I$5:$AP$5,"&lt;"&amp;MONTH(TODAY()),$I$6:$AP$6,"ORÇADO ")</f>
        <v/>
      </c>
      <c r="AT286" s="28">
        <f>SUMIFS($J286:$AQ286,$J$5:$AQ$5,"&lt;"&amp;MONTH(TODAY()),$J$6:$AQ$6,"REAL 26")</f>
        <v/>
      </c>
      <c r="AU286" s="241">
        <f>SUM(H286,K286,N286,Q286,T286,W286,Z286,AC286,AF286,AI286,AL286,AO286)</f>
        <v/>
      </c>
      <c r="AV286" s="27">
        <f>SUM(I286,L286,O286,R286,U286,X286,AA286,AD286,AG286,AJ286,AM286,AP286)</f>
        <v/>
      </c>
      <c r="AW286" s="28">
        <f>SUM(J286,M286,P286,S286,V286,Y286,AB286,AE286,AH286,AK286,AN286,AQ286)</f>
        <v/>
      </c>
      <c r="AX286" s="241">
        <f>SUM(H286,K286,N286)</f>
        <v/>
      </c>
      <c r="AY286" s="27">
        <f>SUM(I286,L286,O286)</f>
        <v/>
      </c>
      <c r="AZ286" s="28">
        <f>SUM(J286,M286,P286)</f>
        <v/>
      </c>
      <c r="BA286" s="241">
        <f>SUM(Q286,T286,W286)</f>
        <v/>
      </c>
      <c r="BB286" s="27">
        <f>SUM(R286,U286,X286)</f>
        <v/>
      </c>
      <c r="BC286" s="28">
        <f>SUM(S286,V286,Y286)</f>
        <v/>
      </c>
      <c r="BD286" s="241">
        <f>SUM(Z286,AC286,AF286)</f>
        <v/>
      </c>
      <c r="BE286" s="27">
        <f>SUM(AA286,AD286,AG286)</f>
        <v/>
      </c>
      <c r="BF286" s="28">
        <f>SUM(AB286,AE286,AH286)</f>
        <v/>
      </c>
      <c r="BG286" s="241">
        <f>SUM(AI286,AL286,AO286)</f>
        <v/>
      </c>
      <c r="BH286" s="27">
        <f>SUM(AJ286,AM286,AP286)</f>
        <v/>
      </c>
      <c r="BI286" s="28">
        <f>SUM(AK286,AN286,AQ286)</f>
        <v/>
      </c>
    </row>
    <row r="287" hidden="1" outlineLevel="1" customFormat="1" s="498">
      <c r="A287" s="22" t="inlineStr">
        <is>
          <t>Assessoria de Projetos</t>
        </is>
      </c>
      <c r="B287" s="23" t="n"/>
      <c r="C287" s="24" t="inlineStr">
        <is>
          <t>Contr/Prov</t>
        </is>
      </c>
      <c r="D287" s="116" t="n"/>
      <c r="E287" s="122" t="n"/>
      <c r="F287" s="56" t="n"/>
      <c r="G287" s="33" t="n"/>
      <c r="H287" s="241" t="n"/>
      <c r="I287" s="27">
        <f>-SUMIFS(T_ORCAMENTOS!$E:$E,T_ORCAMENTOS!$C:$C,"Assessoria de Projetos",T_ORCAMENTOS!$H:$H,"1/2026")</f>
        <v/>
      </c>
      <c r="J287" s="28">
        <f>SUMIFS(Aut_BlueMe_Sem_Pedido!$J:$J,Aut_BlueMe_Sem_Pedido!$Q:$Q,DRE!H$4,Aut_BlueMe_Sem_Pedido!$H:$H,DRE!$A287)+SUMIFS(Aut_Ajustes_Manuais!$G:$G,Aut_Ajustes_Manuais!$I:$I,DRE!H$4,Aut_Ajustes_Manuais!$F:$F,"Assessoria de Projetos")</f>
        <v/>
      </c>
      <c r="K287" s="241" t="n"/>
      <c r="L287" s="27">
        <f>-SUMIFS(T_ORCAMENTOS!$E:$E,T_ORCAMENTOS!$C:$C,"Assessoria de Projetos",T_ORCAMENTOS!$H:$H,"2/2026")</f>
        <v/>
      </c>
      <c r="M287" s="28">
        <f>SUMIFS(Aut_BlueMe_Sem_Pedido!$J:$J,Aut_BlueMe_Sem_Pedido!$Q:$Q,DRE!K$4,Aut_BlueMe_Sem_Pedido!$H:$H,DRE!$A287)+SUMIFS(Aut_Ajustes_Manuais!$G:$G,Aut_Ajustes_Manuais!$I:$I,DRE!K$4,Aut_Ajustes_Manuais!$F:$F,"Assessoria de Projetos")</f>
        <v/>
      </c>
      <c r="N287" s="241" t="n"/>
      <c r="O287" s="27">
        <f>-SUMIFS(T_ORCAMENTOS!$E:$E,T_ORCAMENTOS!$C:$C,"Assessoria de Projetos",T_ORCAMENTOS!$H:$H,"3/2026")</f>
        <v/>
      </c>
      <c r="P287" s="27">
        <f>SUMIFS(Aut_BlueMe_Sem_Pedido!$J:$J,Aut_BlueMe_Sem_Pedido!$Q:$Q,DRE!N$4,Aut_BlueMe_Sem_Pedido!$H:$H,DRE!$A287)+SUMIFS(Aut_Ajustes_Manuais!$G:$G,Aut_Ajustes_Manuais!$I:$I,DRE!N$4,Aut_Ajustes_Manuais!$F:$F,"Assessoria de Projetos")</f>
        <v/>
      </c>
      <c r="Q287" s="241" t="n"/>
      <c r="R287" s="27">
        <f>-SUMIFS(T_ORCAMENTOS!$E:$E,T_ORCAMENTOS!$C:$C,"Assessoria de Projetos",T_ORCAMENTOS!$H:$H,"4/2026")</f>
        <v/>
      </c>
      <c r="S287" s="27">
        <f>SUMIFS(Aut_BlueMe_Sem_Pedido!$J:$J,Aut_BlueMe_Sem_Pedido!$Q:$Q,DRE!Q$4,Aut_BlueMe_Sem_Pedido!$H:$H,DRE!$A287)+SUMIFS(Aut_Ajustes_Manuais!$G:$G,Aut_Ajustes_Manuais!$I:$I,DRE!Q$4,Aut_Ajustes_Manuais!$F:$F,"Assessoria de Projetos")</f>
        <v/>
      </c>
      <c r="T287" s="241" t="n"/>
      <c r="U287" s="27">
        <f>-SUMIFS(T_ORCAMENTOS!$E:$E,T_ORCAMENTOS!$C:$C,"Assessoria de Projetos",T_ORCAMENTOS!$H:$H,"5/2026")</f>
        <v/>
      </c>
      <c r="V287" s="28">
        <f>SUMIFS(Aut_BlueMe_Sem_Pedido!$J:$J,Aut_BlueMe_Sem_Pedido!$Q:$Q,DRE!T$4,Aut_BlueMe_Sem_Pedido!$H:$H,DRE!$A287)+SUMIFS(Aut_Ajustes_Manuais!$G:$G,Aut_Ajustes_Manuais!$I:$I,DRE!T$4,Aut_Ajustes_Manuais!$F:$F,"Assessoria de Projetos")</f>
        <v/>
      </c>
      <c r="W287" s="241" t="n"/>
      <c r="X287" s="27">
        <f>-SUMIFS(T_ORCAMENTOS!$E:$E,T_ORCAMENTOS!$C:$C,"Assessoria de Projetos",T_ORCAMENTOS!$H:$H,"6/2026")</f>
        <v/>
      </c>
      <c r="Y287" s="28">
        <f>SUMIFS(Aut_BlueMe_Sem_Pedido!$J:$J,Aut_BlueMe_Sem_Pedido!$Q:$Q,DRE!W$4,Aut_BlueMe_Sem_Pedido!$H:$H,DRE!$A287)+SUMIFS(Aut_Ajustes_Manuais!$G:$G,Aut_Ajustes_Manuais!$I:$I,DRE!W$4,Aut_Ajustes_Manuais!$F:$F,"Assessoria de Projetos")</f>
        <v/>
      </c>
      <c r="Z287" s="241" t="n"/>
      <c r="AA287" s="27">
        <f>-SUMIFS(T_ORCAMENTOS!$E:$E,T_ORCAMENTOS!$C:$C,"Assessoria de Projetos",T_ORCAMENTOS!$H:$H,"7/2026")</f>
        <v/>
      </c>
      <c r="AB287" s="28">
        <f>SUMIFS(Aut_BlueMe_Sem_Pedido!$J:$J,Aut_BlueMe_Sem_Pedido!$Q:$Q,DRE!Z$4,Aut_BlueMe_Sem_Pedido!$H:$H,DRE!$A287)+SUMIFS(Aut_Ajustes_Manuais!$G:$G,Aut_Ajustes_Manuais!$I:$I,DRE!Z$4,Aut_Ajustes_Manuais!$F:$F,"Assessoria de Projetos")</f>
        <v/>
      </c>
      <c r="AC287" s="241" t="n"/>
      <c r="AD287" s="27">
        <f>-SUMIFS(T_ORCAMENTOS!$E:$E,T_ORCAMENTOS!$C:$C,"Assessoria de Projetos",T_ORCAMENTOS!$H:$H,"8/2026")</f>
        <v/>
      </c>
      <c r="AE287" s="28">
        <f>SUMIFS(Aut_BlueMe_Sem_Pedido!$J:$J,Aut_BlueMe_Sem_Pedido!$Q:$Q,DRE!AC$4,Aut_BlueMe_Sem_Pedido!$H:$H,DRE!$A287)+SUMIFS(Aut_Ajustes_Manuais!$G:$G,Aut_Ajustes_Manuais!$I:$I,DRE!AC$4,Aut_Ajustes_Manuais!$F:$F,"Assessoria de Projetos")</f>
        <v/>
      </c>
      <c r="AF287" s="241" t="n"/>
      <c r="AG287" s="27">
        <f>-SUMIFS(T_ORCAMENTOS!$E:$E,T_ORCAMENTOS!$C:$C,"Assessoria de Projetos",T_ORCAMENTOS!$H:$H,"9/2026")</f>
        <v/>
      </c>
      <c r="AH287" s="28">
        <f>SUMIFS(Aut_BlueMe_Sem_Pedido!$J:$J,Aut_BlueMe_Sem_Pedido!$Q:$Q,DRE!AF$4,Aut_BlueMe_Sem_Pedido!$H:$H,DRE!$A287)+SUMIFS(Aut_Ajustes_Manuais!$G:$G,Aut_Ajustes_Manuais!$I:$I,DRE!AF$4,Aut_Ajustes_Manuais!$F:$F,"Assessoria de Projetos")</f>
        <v/>
      </c>
      <c r="AI287" s="241" t="n"/>
      <c r="AJ287" s="27">
        <f>-SUMIFS(T_ORCAMENTOS!$E:$E,T_ORCAMENTOS!$C:$C,"Assessoria de Projetos",T_ORCAMENTOS!$H:$H,"10/2026")</f>
        <v/>
      </c>
      <c r="AK287" s="28">
        <f>SUMIFS(Aut_BlueMe_Sem_Pedido!$J:$J,Aut_BlueMe_Sem_Pedido!$Q:$Q,DRE!AI$4,Aut_BlueMe_Sem_Pedido!$H:$H,DRE!$A287)+SUMIFS(Aut_Ajustes_Manuais!$G:$G,Aut_Ajustes_Manuais!$I:$I,DRE!AI$4,Aut_Ajustes_Manuais!$F:$F,"Assessoria de Projetos")</f>
        <v/>
      </c>
      <c r="AL287" s="241" t="n"/>
      <c r="AM287" s="27">
        <f>-SUMIFS(T_ORCAMENTOS!$E:$E,T_ORCAMENTOS!$C:$C,"Assessoria de Projetos",T_ORCAMENTOS!$H:$H,"11/2026")</f>
        <v/>
      </c>
      <c r="AN287" s="28">
        <f>SUMIFS(Aut_BlueMe_Sem_Pedido!$J:$J,Aut_BlueMe_Sem_Pedido!$Q:$Q,DRE!AL$4,Aut_BlueMe_Sem_Pedido!$H:$H,DRE!$A287)+SUMIFS(Aut_Ajustes_Manuais!$G:$G,Aut_Ajustes_Manuais!$I:$I,DRE!AL$4,Aut_Ajustes_Manuais!$F:$F,"Assessoria de Projetos")</f>
        <v/>
      </c>
      <c r="AO287" s="241" t="n"/>
      <c r="AP287" s="27">
        <f>-SUMIFS(T_ORCAMENTOS!$E:$E,T_ORCAMENTOS!$C:$C,"Assessoria de Projetos",T_ORCAMENTOS!$H:$H,"12/2026")</f>
        <v/>
      </c>
      <c r="AQ287" s="28">
        <f>SUMIFS(Aut_BlueMe_Sem_Pedido!$J:$J,Aut_BlueMe_Sem_Pedido!$Q:$Q,DRE!AO$4,Aut_BlueMe_Sem_Pedido!$H:$H,DRE!$A287)+SUMIFS(Aut_Ajustes_Manuais!$G:$G,Aut_Ajustes_Manuais!$I:$I,DRE!AO$4,Aut_Ajustes_Manuais!$F:$F,"Assessoria de Projetos")</f>
        <v/>
      </c>
      <c r="AR287" s="241">
        <f>SUMIFS($H287:$AO287,$H$5:$AO$5,"&lt;"&amp;MONTH(TODAY()),$H$6:$AO$6,"REAL 25")</f>
        <v/>
      </c>
      <c r="AS287" s="27">
        <f>SUMIFS($I287:$AP287,$I$5:$AP$5,"&lt;"&amp;MONTH(TODAY()),$I$6:$AP$6,"ORÇADO ")</f>
        <v/>
      </c>
      <c r="AT287" s="28">
        <f>SUMIFS($J287:$AQ287,$J$5:$AQ$5,"&lt;"&amp;MONTH(TODAY()),$J$6:$AQ$6,"REAL 26")</f>
        <v/>
      </c>
      <c r="AU287" s="241">
        <f>SUM(H287,K287,N287,Q287,T287,W287,Z287,AC287,AF287,AI287,AL287,AO287)</f>
        <v/>
      </c>
      <c r="AV287" s="27">
        <f>SUM(I287,L287,O287,R287,U287,X287,AA287,AD287,AG287,AJ287,AM287,AP287)</f>
        <v/>
      </c>
      <c r="AW287" s="28">
        <f>SUM(J287,M287,P287,S287,V287,Y287,AB287,AE287,AH287,AK287,AN287,AQ287)</f>
        <v/>
      </c>
      <c r="AX287" s="241">
        <f>SUM(H287,K287,N287)</f>
        <v/>
      </c>
      <c r="AY287" s="27">
        <f>SUM(I287,L287,O287)</f>
        <v/>
      </c>
      <c r="AZ287" s="28">
        <f>SUM(J287,M287,P287)</f>
        <v/>
      </c>
      <c r="BA287" s="241">
        <f>SUM(Q287,T287,W287)</f>
        <v/>
      </c>
      <c r="BB287" s="27">
        <f>SUM(R287,U287,X287)</f>
        <v/>
      </c>
      <c r="BC287" s="28">
        <f>SUM(S287,V287,Y287)</f>
        <v/>
      </c>
      <c r="BD287" s="241">
        <f>SUM(Z287,AC287,AF287)</f>
        <v/>
      </c>
      <c r="BE287" s="27">
        <f>SUM(AA287,AD287,AG287)</f>
        <v/>
      </c>
      <c r="BF287" s="28">
        <f>SUM(AB287,AE287,AH287)</f>
        <v/>
      </c>
      <c r="BG287" s="241">
        <f>SUM(AI287,AL287,AO287)</f>
        <v/>
      </c>
      <c r="BH287" s="27">
        <f>SUM(AJ287,AM287,AP287)</f>
        <v/>
      </c>
      <c r="BI287" s="28">
        <f>SUM(AK287,AN287,AQ287)</f>
        <v/>
      </c>
    </row>
    <row r="288" hidden="1" outlineLevel="1" customFormat="1" s="498">
      <c r="A288" s="22" t="inlineStr">
        <is>
          <t>Serviços de Segurança</t>
        </is>
      </c>
      <c r="B288" s="23" t="n"/>
      <c r="C288" s="24" t="inlineStr">
        <is>
          <t>Estim. Mensal</t>
        </is>
      </c>
      <c r="D288" s="121" t="n">
        <v>-21160</v>
      </c>
      <c r="E288" s="123" t="n"/>
      <c r="F288" s="56" t="n"/>
      <c r="G288" s="33" t="n"/>
      <c r="H288" s="241" t="n"/>
      <c r="I288" s="27">
        <f>-SUMIFS(T_ORCAMENTOS!$E:$E,T_ORCAMENTOS!$C:$C,"Serviços de Segurança",T_ORCAMENTOS!$H:$H,"1/2026")</f>
        <v/>
      </c>
      <c r="J288" s="27">
        <f>SUMIFS(Aut_BlueMe_Sem_Pedido!$J:$J,Aut_BlueMe_Sem_Pedido!$Q:$Q,DRE!H$4,Aut_BlueMe_Sem_Pedido!$H:$H,DRE!$A288)+SUMIFS(Aut_Ajustes_Manuais!$G:$G,Aut_Ajustes_Manuais!$I:$I,DRE!H$4,Aut_Ajustes_Manuais!$F:$F,"Serviços de Segurança")</f>
        <v/>
      </c>
      <c r="K288" s="241" t="n"/>
      <c r="L288" s="27">
        <f>-SUMIFS(T_ORCAMENTOS!$E:$E,T_ORCAMENTOS!$C:$C,"Serviços de Segurança",T_ORCAMENTOS!$H:$H,"2/2026")</f>
        <v/>
      </c>
      <c r="M288" s="28">
        <f>SUMIFS(Aut_BlueMe_Sem_Pedido!$J:$J,Aut_BlueMe_Sem_Pedido!$Q:$Q,DRE!K$4,Aut_BlueMe_Sem_Pedido!$H:$H,DRE!$A288)+SUMIFS(Aut_Ajustes_Manuais!$G:$G,Aut_Ajustes_Manuais!$I:$I,DRE!K$4,Aut_Ajustes_Manuais!$F:$F,"Serviços de Segurança")</f>
        <v/>
      </c>
      <c r="N288" s="241" t="n"/>
      <c r="O288" s="27">
        <f>-SUMIFS(T_ORCAMENTOS!$E:$E,T_ORCAMENTOS!$C:$C,"Serviços de Segurança",T_ORCAMENTOS!$H:$H,"3/2026")</f>
        <v/>
      </c>
      <c r="P288" s="27">
        <f>SUMIFS(Aut_BlueMe_Sem_Pedido!$J:$J,Aut_BlueMe_Sem_Pedido!$Q:$Q,DRE!N$4,Aut_BlueMe_Sem_Pedido!$H:$H,DRE!$A288)+SUMIFS(Aut_Ajustes_Manuais!$G:$G,Aut_Ajustes_Manuais!$I:$I,DRE!N$4,Aut_Ajustes_Manuais!$F:$F,"Serviços de Segurança")</f>
        <v/>
      </c>
      <c r="Q288" s="241" t="n"/>
      <c r="R288" s="27">
        <f>-SUMIFS(T_ORCAMENTOS!$E:$E,T_ORCAMENTOS!$C:$C,"Serviços de Segurança",T_ORCAMENTOS!$H:$H,"4/2026")</f>
        <v/>
      </c>
      <c r="S288" s="27">
        <f>SUMIFS(Aut_BlueMe_Sem_Pedido!$J:$J,Aut_BlueMe_Sem_Pedido!$Q:$Q,DRE!Q$4,Aut_BlueMe_Sem_Pedido!$H:$H,DRE!$A288)+SUMIFS(Aut_Ajustes_Manuais!$G:$G,Aut_Ajustes_Manuais!$I:$I,DRE!Q$4,Aut_Ajustes_Manuais!$F:$F,"Serviços de Segurança")</f>
        <v/>
      </c>
      <c r="T288" s="241" t="n"/>
      <c r="U288" s="27">
        <f>-SUMIFS(T_ORCAMENTOS!$E:$E,T_ORCAMENTOS!$C:$C,"Serviços de Segurança",T_ORCAMENTOS!$H:$H,"5/2026")</f>
        <v/>
      </c>
      <c r="V288" s="28">
        <f>SUMIFS(Aut_BlueMe_Sem_Pedido!$J:$J,Aut_BlueMe_Sem_Pedido!$Q:$Q,DRE!T$4,Aut_BlueMe_Sem_Pedido!$H:$H,DRE!$A288)+SUMIFS(Aut_Ajustes_Manuais!$G:$G,Aut_Ajustes_Manuais!$I:$I,DRE!T$4,Aut_Ajustes_Manuais!$F:$F,"Serviços de Segurança")</f>
        <v/>
      </c>
      <c r="W288" s="241" t="n"/>
      <c r="X288" s="27">
        <f>-SUMIFS(T_ORCAMENTOS!$E:$E,T_ORCAMENTOS!$C:$C,"Serviços de Segurança",T_ORCAMENTOS!$H:$H,"6/2026")</f>
        <v/>
      </c>
      <c r="Y288" s="28">
        <f>SUMIFS(Aut_BlueMe_Sem_Pedido!$J:$J,Aut_BlueMe_Sem_Pedido!$Q:$Q,DRE!W$4,Aut_BlueMe_Sem_Pedido!$H:$H,DRE!$A288)+SUMIFS(Aut_Ajustes_Manuais!$G:$G,Aut_Ajustes_Manuais!$I:$I,DRE!W$4,Aut_Ajustes_Manuais!$F:$F,"Serviços de Segurança")</f>
        <v/>
      </c>
      <c r="Z288" s="241" t="n"/>
      <c r="AA288" s="27">
        <f>-SUMIFS(T_ORCAMENTOS!$E:$E,T_ORCAMENTOS!$C:$C,"Serviços de Segurança",T_ORCAMENTOS!$H:$H,"7/2026")</f>
        <v/>
      </c>
      <c r="AB288" s="28">
        <f>SUMIFS(Aut_BlueMe_Sem_Pedido!$J:$J,Aut_BlueMe_Sem_Pedido!$Q:$Q,DRE!Z$4,Aut_BlueMe_Sem_Pedido!$H:$H,DRE!$A288)+SUMIFS(Aut_Ajustes_Manuais!$G:$G,Aut_Ajustes_Manuais!$I:$I,DRE!Z$4,Aut_Ajustes_Manuais!$F:$F,"Serviços de Segurança")</f>
        <v/>
      </c>
      <c r="AC288" s="241" t="n"/>
      <c r="AD288" s="27">
        <f>-SUMIFS(T_ORCAMENTOS!$E:$E,T_ORCAMENTOS!$C:$C,"Serviços de Segurança",T_ORCAMENTOS!$H:$H,"8/2026")</f>
        <v/>
      </c>
      <c r="AE288" s="28">
        <f>SUMIFS(Aut_BlueMe_Sem_Pedido!$J:$J,Aut_BlueMe_Sem_Pedido!$Q:$Q,DRE!AC$4,Aut_BlueMe_Sem_Pedido!$H:$H,DRE!$A288)+SUMIFS(Aut_Ajustes_Manuais!$G:$G,Aut_Ajustes_Manuais!$I:$I,DRE!AC$4,Aut_Ajustes_Manuais!$F:$F,"Serviços de Segurança")</f>
        <v/>
      </c>
      <c r="AF288" s="241" t="n"/>
      <c r="AG288" s="27">
        <f>-SUMIFS(T_ORCAMENTOS!$E:$E,T_ORCAMENTOS!$C:$C,"Serviços de Segurança",T_ORCAMENTOS!$H:$H,"9/2026")</f>
        <v/>
      </c>
      <c r="AH288" s="28">
        <f>SUMIFS(Aut_BlueMe_Sem_Pedido!$J:$J,Aut_BlueMe_Sem_Pedido!$Q:$Q,DRE!AF$4,Aut_BlueMe_Sem_Pedido!$H:$H,DRE!$A288)+SUMIFS(Aut_Ajustes_Manuais!$G:$G,Aut_Ajustes_Manuais!$I:$I,DRE!AF$4,Aut_Ajustes_Manuais!$F:$F,"Serviços de Segurança")</f>
        <v/>
      </c>
      <c r="AI288" s="241" t="n"/>
      <c r="AJ288" s="27">
        <f>-SUMIFS(T_ORCAMENTOS!$E:$E,T_ORCAMENTOS!$C:$C,"Serviços de Segurança",T_ORCAMENTOS!$H:$H,"10/2026")</f>
        <v/>
      </c>
      <c r="AK288" s="28">
        <f>SUMIFS(Aut_BlueMe_Sem_Pedido!$J:$J,Aut_BlueMe_Sem_Pedido!$Q:$Q,DRE!AI$4,Aut_BlueMe_Sem_Pedido!$H:$H,DRE!$A288)+SUMIFS(Aut_Ajustes_Manuais!$G:$G,Aut_Ajustes_Manuais!$I:$I,DRE!AI$4,Aut_Ajustes_Manuais!$F:$F,"Serviços de Segurança")</f>
        <v/>
      </c>
      <c r="AL288" s="241" t="n"/>
      <c r="AM288" s="27">
        <f>-SUMIFS(T_ORCAMENTOS!$E:$E,T_ORCAMENTOS!$C:$C,"Serviços de Segurança",T_ORCAMENTOS!$H:$H,"11/2026")</f>
        <v/>
      </c>
      <c r="AN288" s="28">
        <f>SUMIFS(Aut_BlueMe_Sem_Pedido!$J:$J,Aut_BlueMe_Sem_Pedido!$Q:$Q,DRE!AL$4,Aut_BlueMe_Sem_Pedido!$H:$H,DRE!$A288)+SUMIFS(Aut_Ajustes_Manuais!$G:$G,Aut_Ajustes_Manuais!$I:$I,DRE!AL$4,Aut_Ajustes_Manuais!$F:$F,"Serviços de Segurança")</f>
        <v/>
      </c>
      <c r="AO288" s="241" t="n"/>
      <c r="AP288" s="27">
        <f>-SUMIFS(T_ORCAMENTOS!$E:$E,T_ORCAMENTOS!$C:$C,"Serviços de Segurança",T_ORCAMENTOS!$H:$H,"12/2026")</f>
        <v/>
      </c>
      <c r="AQ288" s="28">
        <f>SUMIFS(Aut_BlueMe_Sem_Pedido!$J:$J,Aut_BlueMe_Sem_Pedido!$Q:$Q,DRE!AO$4,Aut_BlueMe_Sem_Pedido!$H:$H,DRE!$A288)+SUMIFS(Aut_Ajustes_Manuais!$G:$G,Aut_Ajustes_Manuais!$I:$I,DRE!AO$4,Aut_Ajustes_Manuais!$F:$F,"Serviços de Segurança")</f>
        <v/>
      </c>
      <c r="AR288" s="241">
        <f>SUMIFS($H288:$AO288,$H$5:$AO$5,"&lt;"&amp;MONTH(TODAY()),$H$6:$AO$6,"REAL 25")</f>
        <v/>
      </c>
      <c r="AS288" s="27">
        <f>SUMIFS($I288:$AP288,$I$5:$AP$5,"&lt;"&amp;MONTH(TODAY()),$I$6:$AP$6,"ORÇADO ")</f>
        <v/>
      </c>
      <c r="AT288" s="28">
        <f>SUMIFS($J288:$AQ288,$J$5:$AQ$5,"&lt;"&amp;MONTH(TODAY()),$J$6:$AQ$6,"REAL 26")</f>
        <v/>
      </c>
      <c r="AU288" s="241">
        <f>SUM(H288,K288,N288,Q288,T288,W288,Z288,AC288,AF288,AI288,AL288,AO288)</f>
        <v/>
      </c>
      <c r="AV288" s="27">
        <f>SUM(I288,L288,O288,R288,U288,X288,AA288,AD288,AG288,AJ288,AM288,AP288)</f>
        <v/>
      </c>
      <c r="AW288" s="28">
        <f>SUM(J288,M288,P288,S288,V288,Y288,AB288,AE288,AH288,AK288,AN288,AQ288)</f>
        <v/>
      </c>
      <c r="AX288" s="241">
        <f>SUM(H288,K288,N288)</f>
        <v/>
      </c>
      <c r="AY288" s="27">
        <f>SUM(I288,L288,O288)</f>
        <v/>
      </c>
      <c r="AZ288" s="28">
        <f>SUM(J288,M288,P288)</f>
        <v/>
      </c>
      <c r="BA288" s="241">
        <f>SUM(Q288,T288,W288)</f>
        <v/>
      </c>
      <c r="BB288" s="27">
        <f>SUM(R288,U288,X288)</f>
        <v/>
      </c>
      <c r="BC288" s="28">
        <f>SUM(S288,V288,Y288)</f>
        <v/>
      </c>
      <c r="BD288" s="241">
        <f>SUM(Z288,AC288,AF288)</f>
        <v/>
      </c>
      <c r="BE288" s="27">
        <f>SUM(AA288,AD288,AG288)</f>
        <v/>
      </c>
      <c r="BF288" s="28">
        <f>SUM(AB288,AE288,AH288)</f>
        <v/>
      </c>
      <c r="BG288" s="241">
        <f>SUM(AI288,AL288,AO288)</f>
        <v/>
      </c>
      <c r="BH288" s="27">
        <f>SUM(AJ288,AM288,AP288)</f>
        <v/>
      </c>
      <c r="BI288" s="28">
        <f>SUM(AK288,AN288,AQ288)</f>
        <v/>
      </c>
    </row>
    <row r="289" hidden="1" outlineLevel="1" customFormat="1" s="498">
      <c r="A289" s="22" t="inlineStr">
        <is>
          <t>Valet/Motoboy</t>
        </is>
      </c>
      <c r="B289" s="23" t="n"/>
      <c r="C289" s="24" t="inlineStr">
        <is>
          <t>Estim. Mensal</t>
        </is>
      </c>
      <c r="D289" s="121" t="n"/>
      <c r="E289" s="123" t="n"/>
      <c r="F289" s="56" t="n"/>
      <c r="G289" s="33" t="n"/>
      <c r="H289" s="241" t="n"/>
      <c r="I289" s="27">
        <f>-SUMIFS(T_ORCAMENTOS!$E:$E,T_ORCAMENTOS!$C:$C,"Valet/Motoboy",T_ORCAMENTOS!$H:$H,"1/2026")</f>
        <v/>
      </c>
      <c r="J289" s="28" t="n"/>
      <c r="K289" s="241" t="n"/>
      <c r="L289" s="27">
        <f>-SUMIFS(T_ORCAMENTOS!$E:$E,T_ORCAMENTOS!$C:$C,"Valet/Motoboy",T_ORCAMENTOS!$H:$H,"2/2026")</f>
        <v/>
      </c>
      <c r="M289" s="28" t="n"/>
      <c r="N289" s="241" t="n"/>
      <c r="O289" s="27">
        <f>-SUMIFS(T_ORCAMENTOS!$E:$E,T_ORCAMENTOS!$C:$C,"Valet/Motoboy",T_ORCAMENTOS!$H:$H,"3/2026")</f>
        <v/>
      </c>
      <c r="P289" s="27" t="n"/>
      <c r="Q289" s="241" t="n"/>
      <c r="R289" s="27">
        <f>-SUMIFS(T_ORCAMENTOS!$E:$E,T_ORCAMENTOS!$C:$C,"Valet/Motoboy",T_ORCAMENTOS!$H:$H,"4/2026")</f>
        <v/>
      </c>
      <c r="S289" s="28" t="n"/>
      <c r="T289" s="241" t="n"/>
      <c r="U289" s="27">
        <f>-SUMIFS(T_ORCAMENTOS!$E:$E,T_ORCAMENTOS!$C:$C,"Valet/Motoboy",T_ORCAMENTOS!$H:$H,"5/2026")</f>
        <v/>
      </c>
      <c r="V289" s="28" t="n"/>
      <c r="W289" s="241" t="n"/>
      <c r="X289" s="27">
        <f>-SUMIFS(T_ORCAMENTOS!$E:$E,T_ORCAMENTOS!$C:$C,"Valet/Motoboy",T_ORCAMENTOS!$H:$H,"6/2026")</f>
        <v/>
      </c>
      <c r="Y289" s="28" t="n"/>
      <c r="Z289" s="241" t="n"/>
      <c r="AA289" s="27">
        <f>-SUMIFS(T_ORCAMENTOS!$E:$E,T_ORCAMENTOS!$C:$C,"Valet/Motoboy",T_ORCAMENTOS!$H:$H,"7/2026")</f>
        <v/>
      </c>
      <c r="AB289" s="28" t="n"/>
      <c r="AC289" s="241" t="n"/>
      <c r="AD289" s="27">
        <f>-SUMIFS(T_ORCAMENTOS!$E:$E,T_ORCAMENTOS!$C:$C,"Valet/Motoboy",T_ORCAMENTOS!$H:$H,"8/2026")</f>
        <v/>
      </c>
      <c r="AE289" s="28" t="n"/>
      <c r="AF289" s="241" t="n"/>
      <c r="AG289" s="27">
        <f>-SUMIFS(T_ORCAMENTOS!$E:$E,T_ORCAMENTOS!$C:$C,"Valet/Motoboy",T_ORCAMENTOS!$H:$H,"9/2026")</f>
        <v/>
      </c>
      <c r="AH289" s="28" t="n"/>
      <c r="AI289" s="241" t="n"/>
      <c r="AJ289" s="27">
        <f>-SUMIFS(T_ORCAMENTOS!$E:$E,T_ORCAMENTOS!$C:$C,"Valet/Motoboy",T_ORCAMENTOS!$H:$H,"10/2026")</f>
        <v/>
      </c>
      <c r="AK289" s="28" t="n"/>
      <c r="AL289" s="241" t="n"/>
      <c r="AM289" s="27">
        <f>-SUMIFS(T_ORCAMENTOS!$E:$E,T_ORCAMENTOS!$C:$C,"Valet/Motoboy",T_ORCAMENTOS!$H:$H,"11/2026")</f>
        <v/>
      </c>
      <c r="AN289" s="28" t="n"/>
      <c r="AO289" s="241" t="n"/>
      <c r="AP289" s="27">
        <f>-SUMIFS(T_ORCAMENTOS!$E:$E,T_ORCAMENTOS!$C:$C,"Valet/Motoboy",T_ORCAMENTOS!$H:$H,"12/2026")</f>
        <v/>
      </c>
      <c r="AQ289" s="28" t="n"/>
      <c r="AR289" s="241">
        <f>SUMIFS($H289:$AO289,$H$5:$AO$5,"&lt;"&amp;MONTH(TODAY()),$H$6:$AO$6,"REAL 25")</f>
        <v/>
      </c>
      <c r="AS289" s="27">
        <f>SUMIFS($I289:$AP289,$I$5:$AP$5,"&lt;"&amp;MONTH(TODAY()),$I$6:$AP$6,"ORÇADO ")</f>
        <v/>
      </c>
      <c r="AT289" s="28">
        <f>SUMIFS($J289:$AQ289,$J$5:$AQ$5,"&lt;"&amp;MONTH(TODAY()),$J$6:$AQ$6,"REAL 26")</f>
        <v/>
      </c>
      <c r="AU289" s="241" t="n"/>
      <c r="AV289" s="27" t="n"/>
      <c r="AW289" s="28" t="n"/>
      <c r="AX289" s="241" t="n"/>
      <c r="AY289" s="27" t="n">
        <v>0</v>
      </c>
      <c r="AZ289" s="28" t="n"/>
      <c r="BA289" s="241" t="n"/>
      <c r="BB289" s="27" t="n">
        <v>0</v>
      </c>
      <c r="BC289" s="28" t="n"/>
      <c r="BD289" s="241" t="n"/>
      <c r="BE289" s="27" t="n">
        <v>0</v>
      </c>
      <c r="BF289" s="28" t="n"/>
      <c r="BG289" s="241" t="n"/>
      <c r="BH289" s="27" t="n">
        <v>0</v>
      </c>
      <c r="BI289" s="28" t="n"/>
    </row>
    <row r="290" hidden="1" outlineLevel="1" customFormat="1" s="498">
      <c r="A290" s="22" t="n"/>
      <c r="B290" s="23" t="n"/>
      <c r="C290" s="24" t="n"/>
      <c r="D290" s="121" t="n"/>
      <c r="E290" s="123" t="n"/>
      <c r="F290" s="56" t="n"/>
      <c r="G290" s="33" t="n"/>
      <c r="H290" s="241" t="n"/>
      <c r="I290" s="27" t="n"/>
      <c r="J290" s="28" t="n"/>
      <c r="K290" s="241" t="n"/>
      <c r="L290" s="27" t="n"/>
      <c r="M290" s="28" t="n"/>
      <c r="N290" s="241" t="n"/>
      <c r="O290" s="27" t="n"/>
      <c r="P290" s="28" t="n"/>
      <c r="Q290" s="241" t="n"/>
      <c r="R290" s="27" t="n"/>
      <c r="S290" s="28" t="n"/>
      <c r="T290" s="241" t="n"/>
      <c r="U290" s="27" t="n"/>
      <c r="V290" s="28" t="n"/>
      <c r="W290" s="241" t="n"/>
      <c r="X290" s="27" t="n"/>
      <c r="Y290" s="28" t="n"/>
      <c r="Z290" s="241" t="n"/>
      <c r="AA290" s="27" t="n"/>
      <c r="AB290" s="28" t="n"/>
      <c r="AC290" s="241" t="n"/>
      <c r="AD290" s="27" t="n"/>
      <c r="AE290" s="28" t="n"/>
      <c r="AF290" s="241" t="n"/>
      <c r="AG290" s="27" t="n"/>
      <c r="AH290" s="28" t="n"/>
      <c r="AI290" s="241" t="n"/>
      <c r="AJ290" s="27" t="n"/>
      <c r="AK290" s="28" t="n"/>
      <c r="AL290" s="241" t="n"/>
      <c r="AM290" s="27" t="n"/>
      <c r="AN290" s="28" t="n"/>
      <c r="AO290" s="241" t="n"/>
      <c r="AP290" s="27" t="n"/>
      <c r="AQ290" s="28" t="n"/>
      <c r="AR290" s="241">
        <f>SUMIFS($H290:$AO290,$H$5:$AO$5,"&lt;"&amp;MONTH(TODAY()),$H$6:$AO$6,"REAL 25")</f>
        <v/>
      </c>
      <c r="AS290" s="27">
        <f>SUMIFS($I290:$AP290,$I$5:$AP$5,"&lt;"&amp;MONTH(TODAY()),$I$6:$AP$6,"ORÇADO ")</f>
        <v/>
      </c>
      <c r="AT290" s="28">
        <f>SUMIFS($J290:$AQ290,$J$5:$AQ$5,"&lt;"&amp;MONTH(TODAY()),$J$6:$AQ$6,"REAL 26")</f>
        <v/>
      </c>
      <c r="AU290" s="241" t="n"/>
      <c r="AV290" s="27" t="n"/>
      <c r="AW290" s="28" t="n"/>
      <c r="AX290" s="241" t="n"/>
      <c r="AY290" s="27" t="n">
        <v>0</v>
      </c>
      <c r="AZ290" s="28" t="n"/>
      <c r="BA290" s="241" t="n"/>
      <c r="BB290" s="27" t="n">
        <v>0</v>
      </c>
      <c r="BC290" s="28" t="n"/>
      <c r="BD290" s="241" t="n"/>
      <c r="BE290" s="27" t="n">
        <v>0</v>
      </c>
      <c r="BF290" s="28" t="n"/>
      <c r="BG290" s="241" t="n"/>
      <c r="BH290" s="27" t="n">
        <v>0</v>
      </c>
      <c r="BI290" s="28" t="n"/>
    </row>
    <row r="291" hidden="1" outlineLevel="1" customFormat="1" s="498">
      <c r="A291" s="22" t="n"/>
      <c r="B291" s="23" t="n"/>
      <c r="C291" s="24" t="n"/>
      <c r="D291" s="121" t="n"/>
      <c r="E291" s="123" t="n"/>
      <c r="F291" s="56" t="n"/>
      <c r="G291" s="33" t="n"/>
      <c r="H291" s="241" t="n"/>
      <c r="I291" s="27" t="n"/>
      <c r="J291" s="28" t="n"/>
      <c r="K291" s="241" t="n"/>
      <c r="L291" s="27" t="n"/>
      <c r="M291" s="28" t="n"/>
      <c r="N291" s="241" t="n"/>
      <c r="O291" s="27" t="n"/>
      <c r="P291" s="28" t="n"/>
      <c r="Q291" s="241" t="n"/>
      <c r="R291" s="27" t="n"/>
      <c r="S291" s="28" t="n"/>
      <c r="T291" s="241" t="n"/>
      <c r="U291" s="27" t="n"/>
      <c r="V291" s="28" t="n"/>
      <c r="W291" s="241" t="n"/>
      <c r="X291" s="27" t="n"/>
      <c r="Y291" s="28" t="n"/>
      <c r="Z291" s="241" t="n"/>
      <c r="AA291" s="27" t="n"/>
      <c r="AB291" s="28" t="n"/>
      <c r="AC291" s="241" t="n"/>
      <c r="AD291" s="27" t="n"/>
      <c r="AE291" s="28" t="n"/>
      <c r="AF291" s="241" t="n"/>
      <c r="AG291" s="27" t="n"/>
      <c r="AH291" s="28" t="n"/>
      <c r="AI291" s="241" t="n"/>
      <c r="AJ291" s="27" t="n"/>
      <c r="AK291" s="28" t="n"/>
      <c r="AL291" s="241" t="n"/>
      <c r="AM291" s="27" t="n"/>
      <c r="AN291" s="28" t="n"/>
      <c r="AO291" s="241" t="n"/>
      <c r="AP291" s="27" t="n"/>
      <c r="AQ291" s="28" t="n"/>
      <c r="AR291" s="241">
        <f>SUMIFS($H291:$AO291,$H$5:$AO$5,"&lt;"&amp;MONTH(TODAY()),$H$6:$AO$6,"REAL 25")</f>
        <v/>
      </c>
      <c r="AS291" s="27">
        <f>SUMIFS($I291:$AP291,$I$5:$AP$5,"&lt;"&amp;MONTH(TODAY()),$I$6:$AP$6,"ORÇADO ")</f>
        <v/>
      </c>
      <c r="AT291" s="28">
        <f>SUMIFS($J291:$AQ291,$J$5:$AQ$5,"&lt;"&amp;MONTH(TODAY()),$J$6:$AQ$6,"REAL 26")</f>
        <v/>
      </c>
      <c r="AU291" s="241" t="n"/>
      <c r="AV291" s="27" t="n"/>
      <c r="AW291" s="28" t="n"/>
      <c r="AX291" s="241" t="n"/>
      <c r="AY291" s="27" t="n">
        <v>0</v>
      </c>
      <c r="AZ291" s="28" t="n"/>
      <c r="BA291" s="241" t="n"/>
      <c r="BB291" s="27" t="n">
        <v>0</v>
      </c>
      <c r="BC291" s="28" t="n"/>
      <c r="BD291" s="241" t="n"/>
      <c r="BE291" s="27" t="n">
        <v>0</v>
      </c>
      <c r="BF291" s="28" t="n"/>
      <c r="BG291" s="241" t="n"/>
      <c r="BH291" s="27" t="n">
        <v>0</v>
      </c>
      <c r="BI291" s="28" t="n"/>
    </row>
    <row r="292" collapsed="1">
      <c r="A292" s="71" t="inlineStr">
        <is>
          <t>% sobre Receita Bruta</t>
        </is>
      </c>
      <c r="B292" s="59" t="n"/>
      <c r="C292" s="60" t="n"/>
      <c r="D292" s="61" t="n"/>
      <c r="E292" s="62" t="n"/>
      <c r="F292" s="63" t="n"/>
      <c r="G292" s="47" t="n"/>
      <c r="H292" s="245" t="n"/>
      <c r="I292" s="50">
        <f>IFERROR(I280/I8,0)</f>
        <v/>
      </c>
      <c r="J292" s="51">
        <f>IFERROR(J280/J8,0)+SUMIFS(Aut_Ajustes_Manuais!$G:$G,Aut_Ajustes_Manuais!$I:$I,DRE!H$4,Aut_Ajustes_Manuais!$F:$F,"% sobre Receita Bruta")</f>
        <v/>
      </c>
      <c r="K292" s="245" t="n"/>
      <c r="L292" s="50">
        <f>IFERROR(L280/L8,0)</f>
        <v/>
      </c>
      <c r="M292" s="51">
        <f>IFERROR(M280/M8,0)+SUMIFS(Aut_Ajustes_Manuais!$G:$G,Aut_Ajustes_Manuais!$I:$I,DRE!K$4,Aut_Ajustes_Manuais!$F:$F,"% sobre Receita Bruta")</f>
        <v/>
      </c>
      <c r="N292" s="245" t="n"/>
      <c r="O292" s="50">
        <f>IFERROR(O280/O8,0)</f>
        <v/>
      </c>
      <c r="P292" s="51">
        <f>IFERROR(P280/P8,0)+SUMIFS(Aut_Ajustes_Manuais!$G:$G,Aut_Ajustes_Manuais!$I:$I,DRE!N$4,Aut_Ajustes_Manuais!$F:$F,"% sobre Receita Bruta")</f>
        <v/>
      </c>
      <c r="Q292" s="245" t="n"/>
      <c r="R292" s="50">
        <f>IFERROR(R280/R8,0)</f>
        <v/>
      </c>
      <c r="S292" s="51">
        <f>IFERROR(S280/S8,0)+SUMIFS(Aut_Ajustes_Manuais!$G:$G,Aut_Ajustes_Manuais!$I:$I,DRE!Q$4,Aut_Ajustes_Manuais!$F:$F,"% sobre Receita Bruta")</f>
        <v/>
      </c>
      <c r="T292" s="245" t="n"/>
      <c r="U292" s="50">
        <f>IFERROR(U280/U8,0)</f>
        <v/>
      </c>
      <c r="V292" s="51">
        <f>IFERROR(V280/V8,0)+SUMIFS(Aut_Ajustes_Manuais!$G:$G,Aut_Ajustes_Manuais!$I:$I,DRE!T$4,Aut_Ajustes_Manuais!$F:$F,"% sobre Receita Bruta")</f>
        <v/>
      </c>
      <c r="W292" s="245" t="n"/>
      <c r="X292" s="50">
        <f>IFERROR(X280/X8,0)</f>
        <v/>
      </c>
      <c r="Y292" s="51">
        <f>IFERROR(Y280/Y8,0)+SUMIFS(Aut_Ajustes_Manuais!$G:$G,Aut_Ajustes_Manuais!$I:$I,DRE!W$4,Aut_Ajustes_Manuais!$F:$F,"% sobre Receita Bruta")</f>
        <v/>
      </c>
      <c r="Z292" s="245" t="n"/>
      <c r="AA292" s="50">
        <f>IFERROR(AA280/AA8,0)</f>
        <v/>
      </c>
      <c r="AB292" s="51">
        <f>IFERROR(AB280/AB8,0)+SUMIFS(Aut_Ajustes_Manuais!$G:$G,Aut_Ajustes_Manuais!$I:$I,DRE!Z$4,Aut_Ajustes_Manuais!$F:$F,"% sobre Receita Bruta")</f>
        <v/>
      </c>
      <c r="AC292" s="245" t="n"/>
      <c r="AD292" s="50">
        <f>IFERROR(AD280/AD8,0)</f>
        <v/>
      </c>
      <c r="AE292" s="51">
        <f>IFERROR(AE280/AE8,0)+SUMIFS(Aut_Ajustes_Manuais!$G:$G,Aut_Ajustes_Manuais!$I:$I,DRE!AC$4,Aut_Ajustes_Manuais!$F:$F,"% sobre Receita Bruta")</f>
        <v/>
      </c>
      <c r="AF292" s="245" t="n"/>
      <c r="AG292" s="50">
        <f>IFERROR(AG280/AG8,0)</f>
        <v/>
      </c>
      <c r="AH292" s="51">
        <f>IFERROR(AH280/AH8,0)+SUMIFS(Aut_Ajustes_Manuais!$G:$G,Aut_Ajustes_Manuais!$I:$I,DRE!AF$4,Aut_Ajustes_Manuais!$F:$F,"% sobre Receita Bruta")</f>
        <v/>
      </c>
      <c r="AI292" s="245" t="n"/>
      <c r="AJ292" s="50">
        <f>IFERROR(AJ280/AJ8,0)</f>
        <v/>
      </c>
      <c r="AK292" s="51">
        <f>IFERROR(AK280/AK8,0)+SUMIFS(Aut_Ajustes_Manuais!$G:$G,Aut_Ajustes_Manuais!$I:$I,DRE!AI$4,Aut_Ajustes_Manuais!$F:$F,"% sobre Receita Bruta")</f>
        <v/>
      </c>
      <c r="AL292" s="245" t="n"/>
      <c r="AM292" s="50">
        <f>IFERROR(AM280/AM8,0)</f>
        <v/>
      </c>
      <c r="AN292" s="51">
        <f>IFERROR(AN280/AN8,0)+SUMIFS(Aut_Ajustes_Manuais!$G:$G,Aut_Ajustes_Manuais!$I:$I,DRE!AL$4,Aut_Ajustes_Manuais!$F:$F,"% sobre Receita Bruta")</f>
        <v/>
      </c>
      <c r="AO292" s="245" t="n"/>
      <c r="AP292" s="50">
        <f>IFERROR(AP280/AP8,0)</f>
        <v/>
      </c>
      <c r="AQ292" s="51">
        <f>IFERROR(AQ280/AQ8,0)+SUMIFS(Aut_Ajustes_Manuais!$G:$G,Aut_Ajustes_Manuais!$I:$I,DRE!AO$4,Aut_Ajustes_Manuais!$F:$F,"% sobre Receita Bruta")</f>
        <v/>
      </c>
      <c r="AR292" s="245">
        <f>IFERROR(AR280/AR8,0)</f>
        <v/>
      </c>
      <c r="AS292" s="50">
        <f>IFERROR(AS280/AS8,0)</f>
        <v/>
      </c>
      <c r="AT292" s="51">
        <f>IFERROR(AT280/AT8,0)</f>
        <v/>
      </c>
      <c r="AU292" s="245">
        <f>IFERROR(AU280/AU8,0)</f>
        <v/>
      </c>
      <c r="AV292" s="50">
        <f>IFERROR(AV280/AV8,0)</f>
        <v/>
      </c>
      <c r="AW292" s="51">
        <f>IFERROR(AW280/AW8,0)</f>
        <v/>
      </c>
      <c r="AX292" s="245">
        <f>IFERROR(AX280/AX8,0)</f>
        <v/>
      </c>
      <c r="AY292" s="50">
        <f>IFERROR(AY280/AY8,0)</f>
        <v/>
      </c>
      <c r="AZ292" s="51">
        <f>IFERROR(AZ280/AZ8,0)</f>
        <v/>
      </c>
      <c r="BA292" s="245">
        <f>IFERROR(BA280/BA8,0)</f>
        <v/>
      </c>
      <c r="BB292" s="50">
        <f>IFERROR(BB280/BB8,0)</f>
        <v/>
      </c>
      <c r="BC292" s="51">
        <f>IFERROR(BC280/BC8,0)</f>
        <v/>
      </c>
      <c r="BD292" s="245">
        <f>IFERROR(BD280/BD8,0)</f>
        <v/>
      </c>
      <c r="BE292" s="50">
        <f>IFERROR(BE280/BE8,0)</f>
        <v/>
      </c>
      <c r="BF292" s="51">
        <f>IFERROR(BF280/BF8,0)</f>
        <v/>
      </c>
      <c r="BG292" s="245">
        <f>IFERROR(BG280/BG8,0)</f>
        <v/>
      </c>
      <c r="BH292" s="50">
        <f>IFERROR(BH280/BH8,0)</f>
        <v/>
      </c>
      <c r="BI292" s="51">
        <f>IFERROR(BI280/BI8,0)</f>
        <v/>
      </c>
    </row>
    <row r="293">
      <c r="A293" s="18" t="n"/>
      <c r="E293" s="16" t="n"/>
      <c r="F293" s="17" t="n"/>
      <c r="G293" s="47" t="n"/>
      <c r="H293" s="256" t="n"/>
      <c r="I293" s="232" t="n"/>
      <c r="J293" s="85" t="n"/>
      <c r="K293" s="256" t="n"/>
      <c r="L293" s="232" t="n"/>
      <c r="M293" s="85" t="n"/>
      <c r="N293" s="256" t="n"/>
      <c r="O293" s="232" t="n"/>
      <c r="P293" s="85" t="n"/>
      <c r="Q293" s="256" t="n"/>
      <c r="R293" s="232" t="n"/>
      <c r="S293" s="85" t="n"/>
      <c r="T293" s="256" t="n"/>
      <c r="U293" s="232" t="n"/>
      <c r="V293" s="85" t="n"/>
      <c r="W293" s="256" t="n"/>
      <c r="X293" s="232" t="n"/>
      <c r="Y293" s="85" t="n"/>
      <c r="Z293" s="256" t="n"/>
      <c r="AA293" s="232" t="n"/>
      <c r="AB293" s="85" t="n"/>
      <c r="AC293" s="256" t="n"/>
      <c r="AD293" s="232" t="n"/>
      <c r="AE293" s="85" t="n"/>
      <c r="AF293" s="256" t="n"/>
      <c r="AG293" s="232" t="n"/>
      <c r="AH293" s="85" t="n"/>
      <c r="AI293" s="256" t="n"/>
      <c r="AJ293" s="232" t="n"/>
      <c r="AK293" s="85" t="n"/>
      <c r="AL293" s="256" t="n"/>
      <c r="AM293" s="232" t="n"/>
      <c r="AN293" s="85" t="n"/>
      <c r="AO293" s="256" t="n"/>
      <c r="AP293" s="232" t="n"/>
      <c r="AQ293" s="85" t="n"/>
      <c r="AR293" s="256" t="n"/>
      <c r="AS293" s="505" t="n"/>
      <c r="AT293" s="507" t="n"/>
      <c r="AU293" s="444" t="n"/>
      <c r="AV293" s="232" t="n"/>
      <c r="AW293" s="85" t="n"/>
      <c r="AX293" s="256" t="n"/>
      <c r="AY293" s="232" t="n"/>
      <c r="AZ293" s="85" t="n"/>
      <c r="BA293" s="256" t="n"/>
      <c r="BB293" s="232" t="n"/>
      <c r="BC293" s="85" t="n"/>
      <c r="BD293" s="256" t="n"/>
      <c r="BE293" s="232" t="n"/>
      <c r="BF293" s="85" t="n"/>
      <c r="BG293" s="256" t="n"/>
      <c r="BH293" s="232" t="n"/>
      <c r="BI293" s="85" t="n"/>
    </row>
    <row r="294">
      <c r="A294" s="39" t="inlineStr">
        <is>
          <t>Locação de Equipamentos</t>
        </is>
      </c>
      <c r="C294" s="40" t="inlineStr">
        <is>
          <t>Premissas</t>
        </is>
      </c>
      <c r="D294" s="40" t="inlineStr">
        <is>
          <t>Valores</t>
        </is>
      </c>
      <c r="E294" s="40" t="inlineStr">
        <is>
          <t>Acréscimo</t>
        </is>
      </c>
      <c r="F294" s="41" t="n"/>
      <c r="G294" s="47" t="n"/>
      <c r="H294" s="244" t="n"/>
      <c r="I294" s="42">
        <f>SUM(I295:I298)</f>
        <v/>
      </c>
      <c r="J294" s="43">
        <f>SUM(J295:J298)+SUMIFS(Aut_Ajustes_Manuais!$G:$G,Aut_Ajustes_Manuais!$I:$I,DRE!H$4,Aut_Ajustes_Manuais!$F:$F,"Locação de Equipamentos")</f>
        <v/>
      </c>
      <c r="K294" s="244" t="n"/>
      <c r="L294" s="42">
        <f>SUM(L295:L298)</f>
        <v/>
      </c>
      <c r="M294" s="43">
        <f>SUM(M295:M298)+SUMIFS(Aut_Ajustes_Manuais!$G:$G,Aut_Ajustes_Manuais!$I:$I,DRE!K$4,Aut_Ajustes_Manuais!$F:$F,"Locação de Equipamentos")</f>
        <v/>
      </c>
      <c r="N294" s="244" t="n"/>
      <c r="O294" s="42">
        <f>SUM(O295:O298)</f>
        <v/>
      </c>
      <c r="P294" s="43">
        <f>SUM(P295:P298)+SUMIFS(Aut_Ajustes_Manuais!$G:$G,Aut_Ajustes_Manuais!$I:$I,DRE!N$4,Aut_Ajustes_Manuais!$F:$F,"Locação de Equipamentos")</f>
        <v/>
      </c>
      <c r="Q294" s="244" t="n"/>
      <c r="R294" s="42">
        <f>SUM(R295:R298)</f>
        <v/>
      </c>
      <c r="S294" s="43">
        <f>SUM(S295:S298)+SUMIFS(Aut_Ajustes_Manuais!$G:$G,Aut_Ajustes_Manuais!$I:$I,DRE!Q$4,Aut_Ajustes_Manuais!$F:$F,"Locação de Equipamentos")</f>
        <v/>
      </c>
      <c r="T294" s="244" t="n"/>
      <c r="U294" s="42">
        <f>SUM(U295:U298)</f>
        <v/>
      </c>
      <c r="V294" s="43">
        <f>SUM(V295:V298)+SUMIFS(Aut_Ajustes_Manuais!$G:$G,Aut_Ajustes_Manuais!$I:$I,DRE!T$4,Aut_Ajustes_Manuais!$F:$F,"Locação de Equipamentos")</f>
        <v/>
      </c>
      <c r="W294" s="244" t="n"/>
      <c r="X294" s="42">
        <f>SUM(X295:X298)</f>
        <v/>
      </c>
      <c r="Y294" s="43">
        <f>SUM(Y295:Y298)+SUMIFS(Aut_Ajustes_Manuais!$G:$G,Aut_Ajustes_Manuais!$I:$I,DRE!W$4,Aut_Ajustes_Manuais!$F:$F,"Locação de Equipamentos")</f>
        <v/>
      </c>
      <c r="Z294" s="244" t="n"/>
      <c r="AA294" s="42">
        <f>SUM(AA295:AA298)</f>
        <v/>
      </c>
      <c r="AB294" s="43">
        <f>SUM(AB295:AB298)+SUMIFS(Aut_Ajustes_Manuais!$G:$G,Aut_Ajustes_Manuais!$I:$I,DRE!Z$4,Aut_Ajustes_Manuais!$F:$F,"Locação de Equipamentos")</f>
        <v/>
      </c>
      <c r="AC294" s="244" t="n"/>
      <c r="AD294" s="42">
        <f>SUM(AD295:AD298)</f>
        <v/>
      </c>
      <c r="AE294" s="43">
        <f>SUM(AE295:AE298)+SUMIFS(Aut_Ajustes_Manuais!$G:$G,Aut_Ajustes_Manuais!$I:$I,DRE!AC$4,Aut_Ajustes_Manuais!$F:$F,"Locação de Equipamentos")</f>
        <v/>
      </c>
      <c r="AF294" s="244" t="n"/>
      <c r="AG294" s="42">
        <f>SUM(AG295:AG298)</f>
        <v/>
      </c>
      <c r="AH294" s="43">
        <f>SUM(AH295:AH298)+SUMIFS(Aut_Ajustes_Manuais!$G:$G,Aut_Ajustes_Manuais!$I:$I,DRE!AF$4,Aut_Ajustes_Manuais!$F:$F,"Locação de Equipamentos")</f>
        <v/>
      </c>
      <c r="AI294" s="244" t="n"/>
      <c r="AJ294" s="42">
        <f>SUM(AJ295:AJ298)</f>
        <v/>
      </c>
      <c r="AK294" s="43">
        <f>SUM(AK295:AK298)+SUMIFS(Aut_Ajustes_Manuais!$G:$G,Aut_Ajustes_Manuais!$I:$I,DRE!AI$4,Aut_Ajustes_Manuais!$F:$F,"Locação de Equipamentos")</f>
        <v/>
      </c>
      <c r="AL294" s="244" t="n"/>
      <c r="AM294" s="42">
        <f>SUM(AM295:AM298)</f>
        <v/>
      </c>
      <c r="AN294" s="43">
        <f>SUM(AN295:AN298)+SUMIFS(Aut_Ajustes_Manuais!$G:$G,Aut_Ajustes_Manuais!$I:$I,DRE!AL$4,Aut_Ajustes_Manuais!$F:$F,"Locação de Equipamentos")</f>
        <v/>
      </c>
      <c r="AO294" s="244" t="n"/>
      <c r="AP294" s="42">
        <f>SUM(AP295:AP298)</f>
        <v/>
      </c>
      <c r="AQ294" s="43">
        <f>SUM(AQ295:AQ298)+SUMIFS(Aut_Ajustes_Manuais!$G:$G,Aut_Ajustes_Manuais!$I:$I,DRE!AO$4,Aut_Ajustes_Manuais!$F:$F,"Locação de Equipamentos")</f>
        <v/>
      </c>
      <c r="AR294" s="244">
        <f>SUM(AR295:AR298)</f>
        <v/>
      </c>
      <c r="AS294" s="42">
        <f>SUM(AS295:AS298)</f>
        <v/>
      </c>
      <c r="AT294" s="43">
        <f>SUM(AT295:AT298)</f>
        <v/>
      </c>
      <c r="AU294" s="244">
        <f>SUM(AU295:AU298)</f>
        <v/>
      </c>
      <c r="AV294" s="42">
        <f>SUM(AV295:AV298)</f>
        <v/>
      </c>
      <c r="AW294" s="43">
        <f>SUM(AW295:AW298)</f>
        <v/>
      </c>
      <c r="AX294" s="244">
        <f>SUM(AX295:AX298)</f>
        <v/>
      </c>
      <c r="AY294" s="42">
        <f>SUM(AY295:AY298)</f>
        <v/>
      </c>
      <c r="AZ294" s="43">
        <f>SUM(AZ295:AZ298)</f>
        <v/>
      </c>
      <c r="BA294" s="244">
        <f>SUM(BA295:BA298)</f>
        <v/>
      </c>
      <c r="BB294" s="42">
        <f>SUM(BB295:BB298)</f>
        <v/>
      </c>
      <c r="BC294" s="43">
        <f>SUM(BC295:BC298)</f>
        <v/>
      </c>
      <c r="BD294" s="244">
        <f>SUM(BD295:BD298)</f>
        <v/>
      </c>
      <c r="BE294" s="42">
        <f>SUM(BE295:BE298)</f>
        <v/>
      </c>
      <c r="BF294" s="43">
        <f>SUM(BF295:BF298)</f>
        <v/>
      </c>
      <c r="BG294" s="244">
        <f>SUM(BG295:BG298)</f>
        <v/>
      </c>
      <c r="BH294" s="42">
        <f>SUM(BH295:BH298)</f>
        <v/>
      </c>
      <c r="BI294" s="43">
        <f>SUM(BI295:BI298)</f>
        <v/>
      </c>
    </row>
    <row r="295" hidden="1" outlineLevel="1" customFormat="1" s="498">
      <c r="A295" s="22" t="inlineStr">
        <is>
          <t>Locações de Equipamentos - Operacionais</t>
        </is>
      </c>
      <c r="B295" s="23" t="n"/>
      <c r="C295" s="24" t="inlineStr">
        <is>
          <t>Contr/Prov</t>
        </is>
      </c>
      <c r="D295" s="116" t="n"/>
      <c r="E295" s="116" t="n"/>
      <c r="F295" s="56" t="n"/>
      <c r="G295" s="33" t="n"/>
      <c r="H295" s="241" t="n"/>
      <c r="I295" s="27">
        <f>-SUMIFS(T_ORCAMENTOS!$E:$E,T_ORCAMENTOS!$C:$C,"Locações de Equipamentos - Operacionais",T_ORCAMENTOS!$H:$H,"1/2026")</f>
        <v/>
      </c>
      <c r="J295" s="28">
        <f>SUMIFS(Aut_BlueMe_Sem_Pedido!$J:$J,Aut_BlueMe_Sem_Pedido!$Q:$Q,DRE!H$4,Aut_BlueMe_Sem_Pedido!$H:$H,DRE!$A295)+SUMIFS(Aut_Ajustes_Manuais!$G:$G,Aut_Ajustes_Manuais!$I:$I,DRE!H$4,Aut_Ajustes_Manuais!$F:$F,"Locações de Equipamentos - Operacionais")</f>
        <v/>
      </c>
      <c r="K295" s="241" t="n"/>
      <c r="L295" s="27">
        <f>-SUMIFS(T_ORCAMENTOS!$E:$E,T_ORCAMENTOS!$C:$C,"Locações de Equipamentos - Operacionais",T_ORCAMENTOS!$H:$H,"2/2026")</f>
        <v/>
      </c>
      <c r="M295" s="28">
        <f>SUMIFS(Aut_BlueMe_Sem_Pedido!$J:$J,Aut_BlueMe_Sem_Pedido!$Q:$Q,DRE!K$4,Aut_BlueMe_Sem_Pedido!$H:$H,DRE!$A295)+SUMIFS(Aut_Ajustes_Manuais!$G:$G,Aut_Ajustes_Manuais!$I:$I,DRE!K$4,Aut_Ajustes_Manuais!$F:$F,"Locações de Equipamentos - Operacionais")</f>
        <v/>
      </c>
      <c r="N295" s="241" t="n"/>
      <c r="O295" s="27">
        <f>-SUMIFS(T_ORCAMENTOS!$E:$E,T_ORCAMENTOS!$C:$C,"Locações de Equipamentos - Operacionais",T_ORCAMENTOS!$H:$H,"3/2026")</f>
        <v/>
      </c>
      <c r="P295" s="28">
        <f>SUMIFS(Aut_BlueMe_Sem_Pedido!$J:$J,Aut_BlueMe_Sem_Pedido!$Q:$Q,DRE!N$4,Aut_BlueMe_Sem_Pedido!$H:$H,DRE!$A295)+SUMIFS(Aut_Ajustes_Manuais!$G:$G,Aut_Ajustes_Manuais!$I:$I,DRE!N$4,Aut_Ajustes_Manuais!$F:$F,"Locações de Equipamentos - Operacionais")</f>
        <v/>
      </c>
      <c r="Q295" s="241" t="n"/>
      <c r="R295" s="27">
        <f>-SUMIFS(T_ORCAMENTOS!$E:$E,T_ORCAMENTOS!$C:$C,"Locações de Equipamentos - Operacionais",T_ORCAMENTOS!$H:$H,"4/2026")</f>
        <v/>
      </c>
      <c r="S295" s="28">
        <f>SUMIFS(Aut_BlueMe_Sem_Pedido!$J:$J,Aut_BlueMe_Sem_Pedido!$Q:$Q,DRE!Q$4,Aut_BlueMe_Sem_Pedido!$H:$H,DRE!$A295)+SUMIFS(Aut_Ajustes_Manuais!$G:$G,Aut_Ajustes_Manuais!$I:$I,DRE!Q$4,Aut_Ajustes_Manuais!$F:$F,"Locações de Equipamentos - Operacionais")</f>
        <v/>
      </c>
      <c r="T295" s="241" t="n"/>
      <c r="U295" s="27">
        <f>-SUMIFS(T_ORCAMENTOS!$E:$E,T_ORCAMENTOS!$C:$C,"Locações de Equipamentos - Operacionais",T_ORCAMENTOS!$H:$H,"5/2026")</f>
        <v/>
      </c>
      <c r="V295" s="28">
        <f>SUMIFS(Aut_BlueMe_Sem_Pedido!$J:$J,Aut_BlueMe_Sem_Pedido!$Q:$Q,DRE!T$4,Aut_BlueMe_Sem_Pedido!$H:$H,DRE!$A295)+SUMIFS(Aut_Ajustes_Manuais!$G:$G,Aut_Ajustes_Manuais!$I:$I,DRE!T$4,Aut_Ajustes_Manuais!$F:$F,"Locações de Equipamentos - Operacionais")</f>
        <v/>
      </c>
      <c r="W295" s="241" t="n"/>
      <c r="X295" s="27">
        <f>-SUMIFS(T_ORCAMENTOS!$E:$E,T_ORCAMENTOS!$C:$C,"Locações de Equipamentos - Operacionais",T_ORCAMENTOS!$H:$H,"6/2026")</f>
        <v/>
      </c>
      <c r="Y295" s="28">
        <f>SUMIFS(Aut_BlueMe_Sem_Pedido!$J:$J,Aut_BlueMe_Sem_Pedido!$Q:$Q,DRE!W$4,Aut_BlueMe_Sem_Pedido!$H:$H,DRE!$A295)+SUMIFS(Aut_Ajustes_Manuais!$G:$G,Aut_Ajustes_Manuais!$I:$I,DRE!W$4,Aut_Ajustes_Manuais!$F:$F,"Locações de Equipamentos - Operacionais")</f>
        <v/>
      </c>
      <c r="Z295" s="241" t="n"/>
      <c r="AA295" s="27">
        <f>-SUMIFS(T_ORCAMENTOS!$E:$E,T_ORCAMENTOS!$C:$C,"Locações de Equipamentos - Operacionais",T_ORCAMENTOS!$H:$H,"7/2026")</f>
        <v/>
      </c>
      <c r="AB295" s="28">
        <f>SUMIFS(Aut_BlueMe_Sem_Pedido!$J:$J,Aut_BlueMe_Sem_Pedido!$Q:$Q,DRE!Z$4,Aut_BlueMe_Sem_Pedido!$H:$H,DRE!$A295)+SUMIFS(Aut_Ajustes_Manuais!$G:$G,Aut_Ajustes_Manuais!$I:$I,DRE!Z$4,Aut_Ajustes_Manuais!$F:$F,"Locações de Equipamentos - Operacionais")</f>
        <v/>
      </c>
      <c r="AC295" s="241" t="n"/>
      <c r="AD295" s="27">
        <f>-SUMIFS(T_ORCAMENTOS!$E:$E,T_ORCAMENTOS!$C:$C,"Locações de Equipamentos - Operacionais",T_ORCAMENTOS!$H:$H,"8/2026")</f>
        <v/>
      </c>
      <c r="AE295" s="28">
        <f>SUMIFS(Aut_BlueMe_Sem_Pedido!$J:$J,Aut_BlueMe_Sem_Pedido!$Q:$Q,DRE!AC$4,Aut_BlueMe_Sem_Pedido!$H:$H,DRE!$A295)+SUMIFS(Aut_Ajustes_Manuais!$G:$G,Aut_Ajustes_Manuais!$I:$I,DRE!AC$4,Aut_Ajustes_Manuais!$F:$F,"Locações de Equipamentos - Operacionais")</f>
        <v/>
      </c>
      <c r="AF295" s="241" t="n"/>
      <c r="AG295" s="27">
        <f>-SUMIFS(T_ORCAMENTOS!$E:$E,T_ORCAMENTOS!$C:$C,"Locações de Equipamentos - Operacionais",T_ORCAMENTOS!$H:$H,"9/2026")</f>
        <v/>
      </c>
      <c r="AH295" s="28">
        <f>SUMIFS(Aut_BlueMe_Sem_Pedido!$J:$J,Aut_BlueMe_Sem_Pedido!$Q:$Q,DRE!AF$4,Aut_BlueMe_Sem_Pedido!$H:$H,DRE!$A295)+SUMIFS(Aut_Ajustes_Manuais!$G:$G,Aut_Ajustes_Manuais!$I:$I,DRE!AF$4,Aut_Ajustes_Manuais!$F:$F,"Locações de Equipamentos - Operacionais")</f>
        <v/>
      </c>
      <c r="AI295" s="241" t="n"/>
      <c r="AJ295" s="27">
        <f>-SUMIFS(T_ORCAMENTOS!$E:$E,T_ORCAMENTOS!$C:$C,"Locações de Equipamentos - Operacionais",T_ORCAMENTOS!$H:$H,"10/2026")</f>
        <v/>
      </c>
      <c r="AK295" s="28">
        <f>SUMIFS(Aut_BlueMe_Sem_Pedido!$J:$J,Aut_BlueMe_Sem_Pedido!$Q:$Q,DRE!AI$4,Aut_BlueMe_Sem_Pedido!$H:$H,DRE!$A295)+SUMIFS(Aut_Ajustes_Manuais!$G:$G,Aut_Ajustes_Manuais!$I:$I,DRE!AI$4,Aut_Ajustes_Manuais!$F:$F,"Locações de Equipamentos - Operacionais")</f>
        <v/>
      </c>
      <c r="AL295" s="241" t="n"/>
      <c r="AM295" s="27">
        <f>-SUMIFS(T_ORCAMENTOS!$E:$E,T_ORCAMENTOS!$C:$C,"Locações de Equipamentos - Operacionais",T_ORCAMENTOS!$H:$H,"11/2026")</f>
        <v/>
      </c>
      <c r="AN295" s="28">
        <f>SUMIFS(Aut_BlueMe_Sem_Pedido!$J:$J,Aut_BlueMe_Sem_Pedido!$Q:$Q,DRE!AL$4,Aut_BlueMe_Sem_Pedido!$H:$H,DRE!$A295)+SUMIFS(Aut_Ajustes_Manuais!$G:$G,Aut_Ajustes_Manuais!$I:$I,DRE!AL$4,Aut_Ajustes_Manuais!$F:$F,"Locações de Equipamentos - Operacionais")</f>
        <v/>
      </c>
      <c r="AO295" s="241" t="n"/>
      <c r="AP295" s="27">
        <f>-SUMIFS(T_ORCAMENTOS!$E:$E,T_ORCAMENTOS!$C:$C,"Locações de Equipamentos - Operacionais",T_ORCAMENTOS!$H:$H,"12/2026")</f>
        <v/>
      </c>
      <c r="AQ295" s="28">
        <f>SUMIFS(Aut_BlueMe_Sem_Pedido!$J:$J,Aut_BlueMe_Sem_Pedido!$Q:$Q,DRE!AO$4,Aut_BlueMe_Sem_Pedido!$H:$H,DRE!$A295)+SUMIFS(Aut_Ajustes_Manuais!$G:$G,Aut_Ajustes_Manuais!$I:$I,DRE!AO$4,Aut_Ajustes_Manuais!$F:$F,"Locações de Equipamentos - Operacionais")</f>
        <v/>
      </c>
      <c r="AR295" s="241">
        <f>SUMIFS($H295:$AO295,$H$5:$AO$5,"&lt;"&amp;MONTH(TODAY()),$H$6:$AO$6,"REAL 25")</f>
        <v/>
      </c>
      <c r="AS295" s="27">
        <f>SUMIFS($I295:$AP295,$I$5:$AP$5,"&lt;"&amp;MONTH(TODAY()),$I$6:$AP$6,"ORÇADO ")</f>
        <v/>
      </c>
      <c r="AT295" s="28">
        <f>SUMIFS($J295:$AQ295,$J$5:$AQ$5,"&lt;"&amp;MONTH(TODAY()),$J$6:$AQ$6,"REAL 26")</f>
        <v/>
      </c>
      <c r="AU295" s="241">
        <f>SUM(H295,K295,N295,Q295,T295,W295,Z295,AC295,AF295,AI295,AL295,AO295)</f>
        <v/>
      </c>
      <c r="AV295" s="27">
        <f>SUM(I295,L295,O295,R295,U295,X295,AA295,AD295,AG295,AJ295,AM295,AP295)</f>
        <v/>
      </c>
      <c r="AW295" s="28">
        <f>SUM(J295,M295,P295,S295,V295,Y295,AB295,AE295,AH295,AK295,AN295,AQ295)</f>
        <v/>
      </c>
      <c r="AX295" s="241">
        <f>SUM(H295,K295,N295)</f>
        <v/>
      </c>
      <c r="AY295" s="27">
        <f>SUM(I295,L295,O295)</f>
        <v/>
      </c>
      <c r="AZ295" s="28">
        <f>SUM(J295,M295,P295)</f>
        <v/>
      </c>
      <c r="BA295" s="241">
        <f>SUM(Q295,T295,W295)</f>
        <v/>
      </c>
      <c r="BB295" s="27">
        <f>SUM(R295,U295,X295)</f>
        <v/>
      </c>
      <c r="BC295" s="28">
        <f>SUM(S295,V295,Y295)</f>
        <v/>
      </c>
      <c r="BD295" s="241">
        <f>SUM(Z295,AC295,AF295)</f>
        <v/>
      </c>
      <c r="BE295" s="27">
        <f>SUM(AA295,AD295,AG295)</f>
        <v/>
      </c>
      <c r="BF295" s="28">
        <f>SUM(AB295,AE295,AH295)</f>
        <v/>
      </c>
      <c r="BG295" s="241">
        <f>SUM(AI295,AL295,AO295)</f>
        <v/>
      </c>
      <c r="BH295" s="27">
        <f>SUM(AJ295,AM295,AP295)</f>
        <v/>
      </c>
      <c r="BI295" s="28">
        <f>SUM(AK295,AN295,AQ295)</f>
        <v/>
      </c>
    </row>
    <row r="296" hidden="1" outlineLevel="1" customFormat="1" s="498">
      <c r="A296" s="22" t="inlineStr">
        <is>
          <t>Locação de Equipamentos - Informatica e TI</t>
        </is>
      </c>
      <c r="B296" s="23" t="n"/>
      <c r="C296" s="24" t="inlineStr">
        <is>
          <t>Contr/Prov</t>
        </is>
      </c>
      <c r="D296" s="116" t="n"/>
      <c r="E296" s="116" t="n"/>
      <c r="F296" s="56" t="n"/>
      <c r="G296" s="33" t="n"/>
      <c r="H296" s="241" t="n"/>
      <c r="I296" s="27">
        <f>-SUMIFS(T_ORCAMENTOS!$E:$E,T_ORCAMENTOS!$C:$C,"Locação de Equipamentos - Informatica e TI",T_ORCAMENTOS!$H:$H,"1/2026")</f>
        <v/>
      </c>
      <c r="J296" s="28">
        <f>SUMIFS(Aut_BlueMe_Sem_Pedido!$J:$J,Aut_BlueMe_Sem_Pedido!$Q:$Q,DRE!H$4,Aut_BlueMe_Sem_Pedido!$H:$H,DRE!$A296)+SUMIFS(Aut_Ajustes_Manuais!$G:$G,Aut_Ajustes_Manuais!$I:$I,DRE!H$4,Aut_Ajustes_Manuais!$F:$F,"Locação de Equipamentos - Informatica e TI")</f>
        <v/>
      </c>
      <c r="K296" s="241" t="n"/>
      <c r="L296" s="27">
        <f>-SUMIFS(T_ORCAMENTOS!$E:$E,T_ORCAMENTOS!$C:$C,"Locação de Equipamentos - Informatica e TI",T_ORCAMENTOS!$H:$H,"2/2026")</f>
        <v/>
      </c>
      <c r="M296" s="28">
        <f>SUMIFS(Aut_BlueMe_Sem_Pedido!$J:$J,Aut_BlueMe_Sem_Pedido!$Q:$Q,DRE!K$4,Aut_BlueMe_Sem_Pedido!$H:$H,DRE!$A296)+SUMIFS(Aut_Ajustes_Manuais!$G:$G,Aut_Ajustes_Manuais!$I:$I,DRE!K$4,Aut_Ajustes_Manuais!$F:$F,"Locação de Equipamentos - Informatica e TI")</f>
        <v/>
      </c>
      <c r="N296" s="241" t="n"/>
      <c r="O296" s="27">
        <f>-SUMIFS(T_ORCAMENTOS!$E:$E,T_ORCAMENTOS!$C:$C,"Locação de Equipamentos - Informatica e TI",T_ORCAMENTOS!$H:$H,"3/2026")</f>
        <v/>
      </c>
      <c r="P296" s="28">
        <f>SUMIFS(Aut_BlueMe_Sem_Pedido!$J:$J,Aut_BlueMe_Sem_Pedido!$Q:$Q,DRE!N$4,Aut_BlueMe_Sem_Pedido!$H:$H,DRE!$A296)+SUMIFS(Aut_Ajustes_Manuais!$G:$G,Aut_Ajustes_Manuais!$I:$I,DRE!N$4,Aut_Ajustes_Manuais!$F:$F,"Locação de Equipamentos - Informatica e TI")</f>
        <v/>
      </c>
      <c r="Q296" s="241" t="n"/>
      <c r="R296" s="27">
        <f>-SUMIFS(T_ORCAMENTOS!$E:$E,T_ORCAMENTOS!$C:$C,"Locação de Equipamentos - Informatica e TI",T_ORCAMENTOS!$H:$H,"4/2026")</f>
        <v/>
      </c>
      <c r="S296" s="28">
        <f>SUMIFS(Aut_BlueMe_Sem_Pedido!$J:$J,Aut_BlueMe_Sem_Pedido!$Q:$Q,DRE!Q$4,Aut_BlueMe_Sem_Pedido!$H:$H,DRE!$A296)+SUMIFS(Aut_Ajustes_Manuais!$G:$G,Aut_Ajustes_Manuais!$I:$I,DRE!Q$4,Aut_Ajustes_Manuais!$F:$F,"Locação de Equipamentos - Informatica e TI")</f>
        <v/>
      </c>
      <c r="T296" s="241" t="n"/>
      <c r="U296" s="27">
        <f>-SUMIFS(T_ORCAMENTOS!$E:$E,T_ORCAMENTOS!$C:$C,"Locação de Equipamentos - Informatica e TI",T_ORCAMENTOS!$H:$H,"5/2026")</f>
        <v/>
      </c>
      <c r="V296" s="28">
        <f>SUMIFS(Aut_BlueMe_Sem_Pedido!$J:$J,Aut_BlueMe_Sem_Pedido!$Q:$Q,DRE!T$4,Aut_BlueMe_Sem_Pedido!$H:$H,DRE!$A296)+SUMIFS(Aut_Ajustes_Manuais!$G:$G,Aut_Ajustes_Manuais!$I:$I,DRE!T$4,Aut_Ajustes_Manuais!$F:$F,"Locação de Equipamentos - Informatica e TI")</f>
        <v/>
      </c>
      <c r="W296" s="241" t="n"/>
      <c r="X296" s="27">
        <f>-SUMIFS(T_ORCAMENTOS!$E:$E,T_ORCAMENTOS!$C:$C,"Locação de Equipamentos - Informatica e TI",T_ORCAMENTOS!$H:$H,"6/2026")</f>
        <v/>
      </c>
      <c r="Y296" s="28">
        <f>SUMIFS(Aut_BlueMe_Sem_Pedido!$J:$J,Aut_BlueMe_Sem_Pedido!$Q:$Q,DRE!W$4,Aut_BlueMe_Sem_Pedido!$H:$H,DRE!$A296)+SUMIFS(Aut_Ajustes_Manuais!$G:$G,Aut_Ajustes_Manuais!$I:$I,DRE!W$4,Aut_Ajustes_Manuais!$F:$F,"Locação de Equipamentos - Informatica e TI")</f>
        <v/>
      </c>
      <c r="Z296" s="241" t="n"/>
      <c r="AA296" s="27">
        <f>-SUMIFS(T_ORCAMENTOS!$E:$E,T_ORCAMENTOS!$C:$C,"Locação de Equipamentos - Informatica e TI",T_ORCAMENTOS!$H:$H,"7/2026")</f>
        <v/>
      </c>
      <c r="AB296" s="28">
        <f>SUMIFS(Aut_BlueMe_Sem_Pedido!$J:$J,Aut_BlueMe_Sem_Pedido!$Q:$Q,DRE!Z$4,Aut_BlueMe_Sem_Pedido!$H:$H,DRE!$A296)+SUMIFS(Aut_Ajustes_Manuais!$G:$G,Aut_Ajustes_Manuais!$I:$I,DRE!Z$4,Aut_Ajustes_Manuais!$F:$F,"Locação de Equipamentos - Informatica e TI")</f>
        <v/>
      </c>
      <c r="AC296" s="241" t="n"/>
      <c r="AD296" s="27">
        <f>-SUMIFS(T_ORCAMENTOS!$E:$E,T_ORCAMENTOS!$C:$C,"Locação de Equipamentos - Informatica e TI",T_ORCAMENTOS!$H:$H,"8/2026")</f>
        <v/>
      </c>
      <c r="AE296" s="28">
        <f>SUMIFS(Aut_BlueMe_Sem_Pedido!$J:$J,Aut_BlueMe_Sem_Pedido!$Q:$Q,DRE!AC$4,Aut_BlueMe_Sem_Pedido!$H:$H,DRE!$A296)+SUMIFS(Aut_Ajustes_Manuais!$G:$G,Aut_Ajustes_Manuais!$I:$I,DRE!AC$4,Aut_Ajustes_Manuais!$F:$F,"Locação de Equipamentos - Informatica e TI")</f>
        <v/>
      </c>
      <c r="AF296" s="241" t="n"/>
      <c r="AG296" s="27">
        <f>-SUMIFS(T_ORCAMENTOS!$E:$E,T_ORCAMENTOS!$C:$C,"Locação de Equipamentos - Informatica e TI",T_ORCAMENTOS!$H:$H,"9/2026")</f>
        <v/>
      </c>
      <c r="AH296" s="28">
        <f>SUMIFS(Aut_BlueMe_Sem_Pedido!$J:$J,Aut_BlueMe_Sem_Pedido!$Q:$Q,DRE!AF$4,Aut_BlueMe_Sem_Pedido!$H:$H,DRE!$A296)+SUMIFS(Aut_Ajustes_Manuais!$G:$G,Aut_Ajustes_Manuais!$I:$I,DRE!AF$4,Aut_Ajustes_Manuais!$F:$F,"Locação de Equipamentos - Informatica e TI")</f>
        <v/>
      </c>
      <c r="AI296" s="241" t="n"/>
      <c r="AJ296" s="27">
        <f>-SUMIFS(T_ORCAMENTOS!$E:$E,T_ORCAMENTOS!$C:$C,"Locação de Equipamentos - Informatica e TI",T_ORCAMENTOS!$H:$H,"10/2026")</f>
        <v/>
      </c>
      <c r="AK296" s="28">
        <f>SUMIFS(Aut_BlueMe_Sem_Pedido!$J:$J,Aut_BlueMe_Sem_Pedido!$Q:$Q,DRE!AI$4,Aut_BlueMe_Sem_Pedido!$H:$H,DRE!$A296)+SUMIFS(Aut_Ajustes_Manuais!$G:$G,Aut_Ajustes_Manuais!$I:$I,DRE!AI$4,Aut_Ajustes_Manuais!$F:$F,"Locação de Equipamentos - Informatica e TI")</f>
        <v/>
      </c>
      <c r="AL296" s="241" t="n"/>
      <c r="AM296" s="27">
        <f>-SUMIFS(T_ORCAMENTOS!$E:$E,T_ORCAMENTOS!$C:$C,"Locação de Equipamentos - Informatica e TI",T_ORCAMENTOS!$H:$H,"11/2026")</f>
        <v/>
      </c>
      <c r="AN296" s="28">
        <f>SUMIFS(Aut_BlueMe_Sem_Pedido!$J:$J,Aut_BlueMe_Sem_Pedido!$Q:$Q,DRE!AL$4,Aut_BlueMe_Sem_Pedido!$H:$H,DRE!$A296)+SUMIFS(Aut_Ajustes_Manuais!$G:$G,Aut_Ajustes_Manuais!$I:$I,DRE!AL$4,Aut_Ajustes_Manuais!$F:$F,"Locação de Equipamentos - Informatica e TI")</f>
        <v/>
      </c>
      <c r="AO296" s="241" t="n"/>
      <c r="AP296" s="27">
        <f>-SUMIFS(T_ORCAMENTOS!$E:$E,T_ORCAMENTOS!$C:$C,"Locação de Equipamentos - Informatica e TI",T_ORCAMENTOS!$H:$H,"12/2026")</f>
        <v/>
      </c>
      <c r="AQ296" s="28">
        <f>SUMIFS(Aut_BlueMe_Sem_Pedido!$J:$J,Aut_BlueMe_Sem_Pedido!$Q:$Q,DRE!AO$4,Aut_BlueMe_Sem_Pedido!$H:$H,DRE!$A296)+SUMIFS(Aut_Ajustes_Manuais!$G:$G,Aut_Ajustes_Manuais!$I:$I,DRE!AO$4,Aut_Ajustes_Manuais!$F:$F,"Locação de Equipamentos - Informatica e TI")</f>
        <v/>
      </c>
      <c r="AR296" s="241">
        <f>SUMIFS($H296:$AO296,$H$5:$AO$5,"&lt;"&amp;MONTH(TODAY()),$H$6:$AO$6,"REAL 25")</f>
        <v/>
      </c>
      <c r="AS296" s="27">
        <f>SUMIFS($I296:$AP296,$I$5:$AP$5,"&lt;"&amp;MONTH(TODAY()),$I$6:$AP$6,"ORÇADO ")</f>
        <v/>
      </c>
      <c r="AT296" s="28">
        <f>SUMIFS($J296:$AQ296,$J$5:$AQ$5,"&lt;"&amp;MONTH(TODAY()),$J$6:$AQ$6,"REAL 26")</f>
        <v/>
      </c>
      <c r="AU296" s="241">
        <f>SUM(H296,K296,N296,Q296,T296,W296,Z296,AC296,AF296,AI296,AL296,AO296)</f>
        <v/>
      </c>
      <c r="AV296" s="27">
        <f>SUM(I296,L296,O296,R296,U296,X296,AA296,AD296,AG296,AJ296,AM296,AP296)</f>
        <v/>
      </c>
      <c r="AW296" s="28">
        <f>SUM(J296,M296,P296,S296,V296,Y296,AB296,AE296,AH296,AK296,AN296,AQ296)</f>
        <v/>
      </c>
      <c r="AX296" s="241">
        <f>SUM(H296,K296,N296)</f>
        <v/>
      </c>
      <c r="AY296" s="27">
        <f>SUM(I296,L296,O296)</f>
        <v/>
      </c>
      <c r="AZ296" s="28">
        <f>SUM(J296,M296,P296)</f>
        <v/>
      </c>
      <c r="BA296" s="241">
        <f>SUM(Q296,T296,W296)</f>
        <v/>
      </c>
      <c r="BB296" s="27">
        <f>SUM(R296,U296,X296)</f>
        <v/>
      </c>
      <c r="BC296" s="28">
        <f>SUM(S296,V296,Y296)</f>
        <v/>
      </c>
      <c r="BD296" s="241">
        <f>SUM(Z296,AC296,AF296)</f>
        <v/>
      </c>
      <c r="BE296" s="27">
        <f>SUM(AA296,AD296,AG296)</f>
        <v/>
      </c>
      <c r="BF296" s="28">
        <f>SUM(AB296,AE296,AH296)</f>
        <v/>
      </c>
      <c r="BG296" s="241">
        <f>SUM(AI296,AL296,AO296)</f>
        <v/>
      </c>
      <c r="BH296" s="27">
        <f>SUM(AJ296,AM296,AP296)</f>
        <v/>
      </c>
      <c r="BI296" s="28">
        <f>SUM(AK296,AN296,AQ296)</f>
        <v/>
      </c>
    </row>
    <row r="297" hidden="1" outlineLevel="1" ht="25.2" customFormat="1" customHeight="1" s="498">
      <c r="A297" s="22" t="inlineStr">
        <is>
          <t>Locações de Equipamentos - Comunicação e Marketing</t>
        </is>
      </c>
      <c r="B297" s="23" t="n"/>
      <c r="C297" s="24" t="inlineStr">
        <is>
          <t>Contr/Prov</t>
        </is>
      </c>
      <c r="D297" s="116" t="n"/>
      <c r="E297" s="116" t="n"/>
      <c r="F297" s="56" t="n"/>
      <c r="G297" s="33" t="n"/>
      <c r="H297" s="241" t="n"/>
      <c r="I297" s="27">
        <f>-SUMIFS(T_ORCAMENTOS!$E:$E,T_ORCAMENTOS!$C:$C,"Locações de Equipamentos - Comunicação e Marketing",T_ORCAMENTOS!$H:$H,"1/2026")</f>
        <v/>
      </c>
      <c r="J297" s="28">
        <f>SUMIFS(Aut_BlueMe_Sem_Pedido!$J:$J,Aut_BlueMe_Sem_Pedido!$Q:$Q,DRE!H$4,Aut_BlueMe_Sem_Pedido!$H:$H,DRE!$A297)+SUMIFS(Aut_Ajustes_Manuais!$G:$G,Aut_Ajustes_Manuais!$I:$I,DRE!H$4,Aut_Ajustes_Manuais!$F:$F,"Locações de Equipamentos - Comunicação e Marketing")</f>
        <v/>
      </c>
      <c r="K297" s="241" t="n"/>
      <c r="L297" s="27">
        <f>-SUMIFS(T_ORCAMENTOS!$E:$E,T_ORCAMENTOS!$C:$C,"Locações de Equipamentos - Comunicação e Marketing",T_ORCAMENTOS!$H:$H,"2/2026")</f>
        <v/>
      </c>
      <c r="M297" s="28">
        <f>SUMIFS(Aut_BlueMe_Sem_Pedido!$J:$J,Aut_BlueMe_Sem_Pedido!$Q:$Q,DRE!K$4,Aut_BlueMe_Sem_Pedido!$H:$H,DRE!$A297)+SUMIFS(Aut_Ajustes_Manuais!$G:$G,Aut_Ajustes_Manuais!$I:$I,DRE!K$4,Aut_Ajustes_Manuais!$F:$F,"Locações de Equipamentos - Comunicação e Marketing")</f>
        <v/>
      </c>
      <c r="N297" s="241" t="n"/>
      <c r="O297" s="27">
        <f>-SUMIFS(T_ORCAMENTOS!$E:$E,T_ORCAMENTOS!$C:$C,"Locações de Equipamentos - Comunicação e Marketing",T_ORCAMENTOS!$H:$H,"3/2026")</f>
        <v/>
      </c>
      <c r="P297" s="28">
        <f>SUMIFS(Aut_BlueMe_Sem_Pedido!$J:$J,Aut_BlueMe_Sem_Pedido!$Q:$Q,DRE!N$4,Aut_BlueMe_Sem_Pedido!$H:$H,DRE!$A297)+SUMIFS(Aut_Ajustes_Manuais!$G:$G,Aut_Ajustes_Manuais!$I:$I,DRE!N$4,Aut_Ajustes_Manuais!$F:$F,"Locações de Equipamentos - Comunicação e Marketing")</f>
        <v/>
      </c>
      <c r="Q297" s="241" t="n"/>
      <c r="R297" s="27">
        <f>-SUMIFS(T_ORCAMENTOS!$E:$E,T_ORCAMENTOS!$C:$C,"Locações de Equipamentos - Comunicação e Marketing",T_ORCAMENTOS!$H:$H,"4/2026")</f>
        <v/>
      </c>
      <c r="S297" s="28">
        <f>SUMIFS(Aut_BlueMe_Sem_Pedido!$J:$J,Aut_BlueMe_Sem_Pedido!$Q:$Q,DRE!Q$4,Aut_BlueMe_Sem_Pedido!$H:$H,DRE!$A297)+SUMIFS(Aut_Ajustes_Manuais!$G:$G,Aut_Ajustes_Manuais!$I:$I,DRE!Q$4,Aut_Ajustes_Manuais!$F:$F,"Locações de Equipamentos - Comunicação e Marketing")</f>
        <v/>
      </c>
      <c r="T297" s="241" t="n"/>
      <c r="U297" s="27">
        <f>-SUMIFS(T_ORCAMENTOS!$E:$E,T_ORCAMENTOS!$C:$C,"Locações de Equipamentos - Comunicação e Marketing",T_ORCAMENTOS!$H:$H,"5/2026")</f>
        <v/>
      </c>
      <c r="V297" s="28">
        <f>SUMIFS(Aut_BlueMe_Sem_Pedido!$J:$J,Aut_BlueMe_Sem_Pedido!$Q:$Q,DRE!T$4,Aut_BlueMe_Sem_Pedido!$H:$H,DRE!$A297)+SUMIFS(Aut_Ajustes_Manuais!$G:$G,Aut_Ajustes_Manuais!$I:$I,DRE!T$4,Aut_Ajustes_Manuais!$F:$F,"Locações de Equipamentos - Comunicação e Marketing")</f>
        <v/>
      </c>
      <c r="W297" s="241" t="n"/>
      <c r="X297" s="27">
        <f>-SUMIFS(T_ORCAMENTOS!$E:$E,T_ORCAMENTOS!$C:$C,"Locações de Equipamentos - Comunicação e Marketing",T_ORCAMENTOS!$H:$H,"6/2026")</f>
        <v/>
      </c>
      <c r="Y297" s="28">
        <f>SUMIFS(Aut_BlueMe_Sem_Pedido!$J:$J,Aut_BlueMe_Sem_Pedido!$Q:$Q,DRE!W$4,Aut_BlueMe_Sem_Pedido!$H:$H,DRE!$A297)+SUMIFS(Aut_Ajustes_Manuais!$G:$G,Aut_Ajustes_Manuais!$I:$I,DRE!W$4,Aut_Ajustes_Manuais!$F:$F,"Locações de Equipamentos - Comunicação e Marketing")</f>
        <v/>
      </c>
      <c r="Z297" s="241" t="n"/>
      <c r="AA297" s="27">
        <f>-SUMIFS(T_ORCAMENTOS!$E:$E,T_ORCAMENTOS!$C:$C,"Locações de Equipamentos - Comunicação e Marketing",T_ORCAMENTOS!$H:$H,"7/2026")</f>
        <v/>
      </c>
      <c r="AB297" s="28">
        <f>SUMIFS(Aut_BlueMe_Sem_Pedido!$J:$J,Aut_BlueMe_Sem_Pedido!$Q:$Q,DRE!Z$4,Aut_BlueMe_Sem_Pedido!$H:$H,DRE!$A297)+SUMIFS(Aut_Ajustes_Manuais!$G:$G,Aut_Ajustes_Manuais!$I:$I,DRE!Z$4,Aut_Ajustes_Manuais!$F:$F,"Locações de Equipamentos - Comunicação e Marketing")</f>
        <v/>
      </c>
      <c r="AC297" s="241" t="n"/>
      <c r="AD297" s="27">
        <f>-SUMIFS(T_ORCAMENTOS!$E:$E,T_ORCAMENTOS!$C:$C,"Locações de Equipamentos - Comunicação e Marketing",T_ORCAMENTOS!$H:$H,"8/2026")</f>
        <v/>
      </c>
      <c r="AE297" s="28">
        <f>SUMIFS(Aut_BlueMe_Sem_Pedido!$J:$J,Aut_BlueMe_Sem_Pedido!$Q:$Q,DRE!AC$4,Aut_BlueMe_Sem_Pedido!$H:$H,DRE!$A297)+SUMIFS(Aut_Ajustes_Manuais!$G:$G,Aut_Ajustes_Manuais!$I:$I,DRE!AC$4,Aut_Ajustes_Manuais!$F:$F,"Locações de Equipamentos - Comunicação e Marketing")</f>
        <v/>
      </c>
      <c r="AF297" s="241" t="n"/>
      <c r="AG297" s="27">
        <f>-SUMIFS(T_ORCAMENTOS!$E:$E,T_ORCAMENTOS!$C:$C,"Locações de Equipamentos - Comunicação e Marketing",T_ORCAMENTOS!$H:$H,"9/2026")</f>
        <v/>
      </c>
      <c r="AH297" s="28">
        <f>SUMIFS(Aut_BlueMe_Sem_Pedido!$J:$J,Aut_BlueMe_Sem_Pedido!$Q:$Q,DRE!AF$4,Aut_BlueMe_Sem_Pedido!$H:$H,DRE!$A297)+SUMIFS(Aut_Ajustes_Manuais!$G:$G,Aut_Ajustes_Manuais!$I:$I,DRE!AF$4,Aut_Ajustes_Manuais!$F:$F,"Locações de Equipamentos - Comunicação e Marketing")</f>
        <v/>
      </c>
      <c r="AI297" s="241" t="n"/>
      <c r="AJ297" s="27">
        <f>-SUMIFS(T_ORCAMENTOS!$E:$E,T_ORCAMENTOS!$C:$C,"Locações de Equipamentos - Comunicação e Marketing",T_ORCAMENTOS!$H:$H,"10/2026")</f>
        <v/>
      </c>
      <c r="AK297" s="28">
        <f>SUMIFS(Aut_BlueMe_Sem_Pedido!$J:$J,Aut_BlueMe_Sem_Pedido!$Q:$Q,DRE!AI$4,Aut_BlueMe_Sem_Pedido!$H:$H,DRE!$A297)+SUMIFS(Aut_Ajustes_Manuais!$G:$G,Aut_Ajustes_Manuais!$I:$I,DRE!AI$4,Aut_Ajustes_Manuais!$F:$F,"Locações de Equipamentos - Comunicação e Marketing")</f>
        <v/>
      </c>
      <c r="AL297" s="241" t="n"/>
      <c r="AM297" s="27">
        <f>-SUMIFS(T_ORCAMENTOS!$E:$E,T_ORCAMENTOS!$C:$C,"Locações de Equipamentos - Comunicação e Marketing",T_ORCAMENTOS!$H:$H,"11/2026")</f>
        <v/>
      </c>
      <c r="AN297" s="28">
        <f>SUMIFS(Aut_BlueMe_Sem_Pedido!$J:$J,Aut_BlueMe_Sem_Pedido!$Q:$Q,DRE!AL$4,Aut_BlueMe_Sem_Pedido!$H:$H,DRE!$A297)+SUMIFS(Aut_Ajustes_Manuais!$G:$G,Aut_Ajustes_Manuais!$I:$I,DRE!AL$4,Aut_Ajustes_Manuais!$F:$F,"Locações de Equipamentos - Comunicação e Marketing")</f>
        <v/>
      </c>
      <c r="AO297" s="241" t="n"/>
      <c r="AP297" s="27">
        <f>-SUMIFS(T_ORCAMENTOS!$E:$E,T_ORCAMENTOS!$C:$C,"Locações de Equipamentos - Comunicação e Marketing",T_ORCAMENTOS!$H:$H,"12/2026")</f>
        <v/>
      </c>
      <c r="AQ297" s="28">
        <f>SUMIFS(Aut_BlueMe_Sem_Pedido!$J:$J,Aut_BlueMe_Sem_Pedido!$Q:$Q,DRE!AO$4,Aut_BlueMe_Sem_Pedido!$H:$H,DRE!$A297)+SUMIFS(Aut_Ajustes_Manuais!$G:$G,Aut_Ajustes_Manuais!$I:$I,DRE!AO$4,Aut_Ajustes_Manuais!$F:$F,"Locações de Equipamentos - Comunicação e Marketing")</f>
        <v/>
      </c>
      <c r="AR297" s="241">
        <f>SUMIFS($H297:$AO297,$H$5:$AO$5,"&lt;"&amp;MONTH(TODAY()),$H$6:$AO$6,"REAL 25")</f>
        <v/>
      </c>
      <c r="AS297" s="27">
        <f>SUMIFS($I297:$AP297,$I$5:$AP$5,"&lt;"&amp;MONTH(TODAY()),$I$6:$AP$6,"ORÇADO ")</f>
        <v/>
      </c>
      <c r="AT297" s="28">
        <f>SUMIFS($J297:$AQ297,$J$5:$AQ$5,"&lt;"&amp;MONTH(TODAY()),$J$6:$AQ$6,"REAL 26")</f>
        <v/>
      </c>
      <c r="AU297" s="241">
        <f>SUM(H297,K297,N297,Q297,T297,W297,Z297,AC297,AF297,AI297,AL297,AO297)</f>
        <v/>
      </c>
      <c r="AV297" s="27">
        <f>SUM(I297,L297,O297,R297,U297,X297,AA297,AD297,AG297,AJ297,AM297,AP297)</f>
        <v/>
      </c>
      <c r="AW297" s="28">
        <f>SUM(J297,M297,P297,S297,V297,Y297,AB297,AE297,AH297,AK297,AN297,AQ297)</f>
        <v/>
      </c>
      <c r="AX297" s="241">
        <f>SUM(H297,K297,N297)</f>
        <v/>
      </c>
      <c r="AY297" s="27">
        <f>SUM(I297,L297,O297)</f>
        <v/>
      </c>
      <c r="AZ297" s="28">
        <f>SUM(J297,M297,P297)</f>
        <v/>
      </c>
      <c r="BA297" s="241">
        <f>SUM(Q297,T297,W297)</f>
        <v/>
      </c>
      <c r="BB297" s="27">
        <f>SUM(R297,U297,X297)</f>
        <v/>
      </c>
      <c r="BC297" s="28">
        <f>SUM(S297,V297,Y297)</f>
        <v/>
      </c>
      <c r="BD297" s="241">
        <f>SUM(Z297,AC297,AF297)</f>
        <v/>
      </c>
      <c r="BE297" s="27">
        <f>SUM(AA297,AD297,AG297)</f>
        <v/>
      </c>
      <c r="BF297" s="28">
        <f>SUM(AB297,AE297,AH297)</f>
        <v/>
      </c>
      <c r="BG297" s="241">
        <f>SUM(AI297,AL297,AO297)</f>
        <v/>
      </c>
      <c r="BH297" s="27">
        <f>SUM(AJ297,AM297,AP297)</f>
        <v/>
      </c>
      <c r="BI297" s="28">
        <f>SUM(AK297,AN297,AQ297)</f>
        <v/>
      </c>
    </row>
    <row r="298" hidden="1" outlineLevel="1" customFormat="1" s="498">
      <c r="A298" s="22" t="inlineStr">
        <is>
          <t>Locação de Utensílios</t>
        </is>
      </c>
      <c r="B298" s="23" t="n"/>
      <c r="C298" s="24" t="inlineStr">
        <is>
          <t>Contr/Prov</t>
        </is>
      </c>
      <c r="D298" s="116" t="n"/>
      <c r="E298" s="115" t="n"/>
      <c r="F298" s="56" t="n"/>
      <c r="G298" s="33" t="n"/>
      <c r="H298" s="241" t="n"/>
      <c r="I298" s="27">
        <f>-SUMIFS(T_ORCAMENTOS!$E:$E,T_ORCAMENTOS!$C:$C,"Locação de Utensílios",T_ORCAMENTOS!$H:$H,"1/2026")</f>
        <v/>
      </c>
      <c r="J298" s="28">
        <f>SUMIFS(Aut_BlueMe_Sem_Pedido!$J:$J,Aut_BlueMe_Sem_Pedido!$Q:$Q,DRE!H$4,Aut_BlueMe_Sem_Pedido!$H:$H,DRE!$A298)+SUMIFS(Aut_Ajustes_Manuais!$G:$G,Aut_Ajustes_Manuais!$I:$I,DRE!H$4,Aut_Ajustes_Manuais!$F:$F,"Locação de Utensílios")</f>
        <v/>
      </c>
      <c r="K298" s="241" t="n"/>
      <c r="L298" s="27">
        <f>-SUMIFS(T_ORCAMENTOS!$E:$E,T_ORCAMENTOS!$C:$C,"Locação de Utensílios",T_ORCAMENTOS!$H:$H,"2/2026")</f>
        <v/>
      </c>
      <c r="M298" s="28">
        <f>SUMIFS(Aut_BlueMe_Sem_Pedido!$J:$J,Aut_BlueMe_Sem_Pedido!$Q:$Q,DRE!K$4,Aut_BlueMe_Sem_Pedido!$H:$H,DRE!$A298)+SUMIFS(Aut_Ajustes_Manuais!$G:$G,Aut_Ajustes_Manuais!$I:$I,DRE!K$4,Aut_Ajustes_Manuais!$F:$F,"Locação de Utensílios")</f>
        <v/>
      </c>
      <c r="N298" s="241" t="n"/>
      <c r="O298" s="27">
        <f>-SUMIFS(T_ORCAMENTOS!$E:$E,T_ORCAMENTOS!$C:$C,"Locação de Utensílios",T_ORCAMENTOS!$H:$H,"3/2026")</f>
        <v/>
      </c>
      <c r="P298" s="28">
        <f>SUMIFS(Aut_BlueMe_Sem_Pedido!$J:$J,Aut_BlueMe_Sem_Pedido!$Q:$Q,DRE!N$4,Aut_BlueMe_Sem_Pedido!$H:$H,DRE!$A298)+SUMIFS(Aut_Ajustes_Manuais!$G:$G,Aut_Ajustes_Manuais!$I:$I,DRE!N$4,Aut_Ajustes_Manuais!$F:$F,"Locação de Utensílios")</f>
        <v/>
      </c>
      <c r="Q298" s="241" t="n"/>
      <c r="R298" s="27">
        <f>-SUMIFS(T_ORCAMENTOS!$E:$E,T_ORCAMENTOS!$C:$C,"Locação de Utensílios",T_ORCAMENTOS!$H:$H,"4/2026")</f>
        <v/>
      </c>
      <c r="S298" s="28">
        <f>SUMIFS(Aut_BlueMe_Sem_Pedido!$J:$J,Aut_BlueMe_Sem_Pedido!$Q:$Q,DRE!Q$4,Aut_BlueMe_Sem_Pedido!$H:$H,DRE!$A298)+SUMIFS(Aut_Ajustes_Manuais!$G:$G,Aut_Ajustes_Manuais!$I:$I,DRE!Q$4,Aut_Ajustes_Manuais!$F:$F,"Locação de Utensílios")</f>
        <v/>
      </c>
      <c r="T298" s="241" t="n"/>
      <c r="U298" s="27">
        <f>-SUMIFS(T_ORCAMENTOS!$E:$E,T_ORCAMENTOS!$C:$C,"Locação de Utensílios",T_ORCAMENTOS!$H:$H,"5/2026")</f>
        <v/>
      </c>
      <c r="V298" s="28">
        <f>SUMIFS(Aut_BlueMe_Sem_Pedido!$J:$J,Aut_BlueMe_Sem_Pedido!$Q:$Q,DRE!T$4,Aut_BlueMe_Sem_Pedido!$H:$H,DRE!$A298)+SUMIFS(Aut_Ajustes_Manuais!$G:$G,Aut_Ajustes_Manuais!$I:$I,DRE!T$4,Aut_Ajustes_Manuais!$F:$F,"Locação de Utensílios")</f>
        <v/>
      </c>
      <c r="W298" s="241" t="n"/>
      <c r="X298" s="27">
        <f>-SUMIFS(T_ORCAMENTOS!$E:$E,T_ORCAMENTOS!$C:$C,"Locação de Utensílios",T_ORCAMENTOS!$H:$H,"6/2026")</f>
        <v/>
      </c>
      <c r="Y298" s="28">
        <f>SUMIFS(Aut_BlueMe_Sem_Pedido!$J:$J,Aut_BlueMe_Sem_Pedido!$Q:$Q,DRE!W$4,Aut_BlueMe_Sem_Pedido!$H:$H,DRE!$A298)+SUMIFS(Aut_Ajustes_Manuais!$G:$G,Aut_Ajustes_Manuais!$I:$I,DRE!W$4,Aut_Ajustes_Manuais!$F:$F,"Locação de Utensílios")</f>
        <v/>
      </c>
      <c r="Z298" s="241" t="n"/>
      <c r="AA298" s="27">
        <f>-SUMIFS(T_ORCAMENTOS!$E:$E,T_ORCAMENTOS!$C:$C,"Locação de Utensílios",T_ORCAMENTOS!$H:$H,"7/2026")</f>
        <v/>
      </c>
      <c r="AB298" s="28">
        <f>SUMIFS(Aut_BlueMe_Sem_Pedido!$J:$J,Aut_BlueMe_Sem_Pedido!$Q:$Q,DRE!Z$4,Aut_BlueMe_Sem_Pedido!$H:$H,DRE!$A298)+SUMIFS(Aut_Ajustes_Manuais!$G:$G,Aut_Ajustes_Manuais!$I:$I,DRE!Z$4,Aut_Ajustes_Manuais!$F:$F,"Locação de Utensílios")</f>
        <v/>
      </c>
      <c r="AC298" s="241" t="n"/>
      <c r="AD298" s="27">
        <f>-SUMIFS(T_ORCAMENTOS!$E:$E,T_ORCAMENTOS!$C:$C,"Locação de Utensílios",T_ORCAMENTOS!$H:$H,"8/2026")</f>
        <v/>
      </c>
      <c r="AE298" s="28">
        <f>SUMIFS(Aut_BlueMe_Sem_Pedido!$J:$J,Aut_BlueMe_Sem_Pedido!$Q:$Q,DRE!AC$4,Aut_BlueMe_Sem_Pedido!$H:$H,DRE!$A298)+SUMIFS(Aut_Ajustes_Manuais!$G:$G,Aut_Ajustes_Manuais!$I:$I,DRE!AC$4,Aut_Ajustes_Manuais!$F:$F,"Locação de Utensílios")</f>
        <v/>
      </c>
      <c r="AF298" s="241" t="n"/>
      <c r="AG298" s="27">
        <f>-SUMIFS(T_ORCAMENTOS!$E:$E,T_ORCAMENTOS!$C:$C,"Locação de Utensílios",T_ORCAMENTOS!$H:$H,"9/2026")</f>
        <v/>
      </c>
      <c r="AH298" s="28">
        <f>SUMIFS(Aut_BlueMe_Sem_Pedido!$J:$J,Aut_BlueMe_Sem_Pedido!$Q:$Q,DRE!AF$4,Aut_BlueMe_Sem_Pedido!$H:$H,DRE!$A298)+SUMIFS(Aut_Ajustes_Manuais!$G:$G,Aut_Ajustes_Manuais!$I:$I,DRE!AF$4,Aut_Ajustes_Manuais!$F:$F,"Locação de Utensílios")</f>
        <v/>
      </c>
      <c r="AI298" s="241" t="n"/>
      <c r="AJ298" s="27">
        <f>-SUMIFS(T_ORCAMENTOS!$E:$E,T_ORCAMENTOS!$C:$C,"Locação de Utensílios",T_ORCAMENTOS!$H:$H,"10/2026")</f>
        <v/>
      </c>
      <c r="AK298" s="28">
        <f>SUMIFS(Aut_BlueMe_Sem_Pedido!$J:$J,Aut_BlueMe_Sem_Pedido!$Q:$Q,DRE!AI$4,Aut_BlueMe_Sem_Pedido!$H:$H,DRE!$A298)+SUMIFS(Aut_Ajustes_Manuais!$G:$G,Aut_Ajustes_Manuais!$I:$I,DRE!AI$4,Aut_Ajustes_Manuais!$F:$F,"Locação de Utensílios")</f>
        <v/>
      </c>
      <c r="AL298" s="241" t="n"/>
      <c r="AM298" s="27">
        <f>-SUMIFS(T_ORCAMENTOS!$E:$E,T_ORCAMENTOS!$C:$C,"Locação de Utensílios",T_ORCAMENTOS!$H:$H,"11/2026")</f>
        <v/>
      </c>
      <c r="AN298" s="28">
        <f>SUMIFS(Aut_BlueMe_Sem_Pedido!$J:$J,Aut_BlueMe_Sem_Pedido!$Q:$Q,DRE!AL$4,Aut_BlueMe_Sem_Pedido!$H:$H,DRE!$A298)+SUMIFS(Aut_Ajustes_Manuais!$G:$G,Aut_Ajustes_Manuais!$I:$I,DRE!AL$4,Aut_Ajustes_Manuais!$F:$F,"Locação de Utensílios")</f>
        <v/>
      </c>
      <c r="AO298" s="241" t="n"/>
      <c r="AP298" s="27">
        <f>-SUMIFS(T_ORCAMENTOS!$E:$E,T_ORCAMENTOS!$C:$C,"Locação de Utensílios",T_ORCAMENTOS!$H:$H,"12/2026")</f>
        <v/>
      </c>
      <c r="AQ298" s="28">
        <f>SUMIFS(Aut_BlueMe_Sem_Pedido!$J:$J,Aut_BlueMe_Sem_Pedido!$Q:$Q,DRE!AO$4,Aut_BlueMe_Sem_Pedido!$H:$H,DRE!$A298)+SUMIFS(Aut_Ajustes_Manuais!$G:$G,Aut_Ajustes_Manuais!$I:$I,DRE!AO$4,Aut_Ajustes_Manuais!$F:$F,"Locação de Utensílios")</f>
        <v/>
      </c>
      <c r="AR298" s="241">
        <f>SUMIFS($H298:$AO298,$H$5:$AO$5,"&lt;"&amp;MONTH(TODAY()),$H$6:$AO$6,"REAL 25")</f>
        <v/>
      </c>
      <c r="AS298" s="27">
        <f>SUMIFS($I298:$AP298,$I$5:$AP$5,"&lt;"&amp;MONTH(TODAY()),$I$6:$AP$6,"ORÇADO ")</f>
        <v/>
      </c>
      <c r="AT298" s="28">
        <f>SUMIFS($J298:$AQ298,$J$5:$AQ$5,"&lt;"&amp;MONTH(TODAY()),$J$6:$AQ$6,"REAL 26")</f>
        <v/>
      </c>
      <c r="AU298" s="241">
        <f>SUM(H298,K298,N298,Q298,T298,W298,Z298,AC298,AF298,AI298,AL298,AO298)</f>
        <v/>
      </c>
      <c r="AV298" s="27">
        <f>SUM(I298,L298,O298,R298,U298,X298,AA298,AD298,AG298,AJ298,AM298,AP298)</f>
        <v/>
      </c>
      <c r="AW298" s="28">
        <f>SUM(J298,M298,P298,S298,V298,Y298,AB298,AE298,AH298,AK298,AN298,AQ298)</f>
        <v/>
      </c>
      <c r="AX298" s="241">
        <f>SUM(H298,K298,N298)</f>
        <v/>
      </c>
      <c r="AY298" s="27">
        <f>SUM(I298,L298,O298)</f>
        <v/>
      </c>
      <c r="AZ298" s="28">
        <f>SUM(J298,M298,P298)</f>
        <v/>
      </c>
      <c r="BA298" s="241">
        <f>SUM(Q298,T298,W298)</f>
        <v/>
      </c>
      <c r="BB298" s="27">
        <f>SUM(R298,U298,X298)</f>
        <v/>
      </c>
      <c r="BC298" s="28">
        <f>SUM(S298,V298,Y298)</f>
        <v/>
      </c>
      <c r="BD298" s="241">
        <f>SUM(Z298,AC298,AF298)</f>
        <v/>
      </c>
      <c r="BE298" s="27">
        <f>SUM(AA298,AD298,AG298)</f>
        <v/>
      </c>
      <c r="BF298" s="28">
        <f>SUM(AB298,AE298,AH298)</f>
        <v/>
      </c>
      <c r="BG298" s="241">
        <f>SUM(AI298,AL298,AO298)</f>
        <v/>
      </c>
      <c r="BH298" s="27">
        <f>SUM(AJ298,AM298,AP298)</f>
        <v/>
      </c>
      <c r="BI298" s="28">
        <f>SUM(AK298,AN298,AQ298)</f>
        <v/>
      </c>
    </row>
    <row r="299" hidden="1" outlineLevel="1" customFormat="1" s="498">
      <c r="A299" s="22" t="n"/>
      <c r="B299" s="23" t="n"/>
      <c r="C299" s="24" t="n"/>
      <c r="D299" s="116" t="n"/>
      <c r="E299" s="116" t="n"/>
      <c r="F299" s="56" t="n"/>
      <c r="G299" s="33" t="n"/>
      <c r="H299" s="241" t="n"/>
      <c r="I299" s="27" t="n"/>
      <c r="J299" s="28" t="n"/>
      <c r="K299" s="241" t="n"/>
      <c r="L299" s="27" t="n"/>
      <c r="M299" s="28" t="n"/>
      <c r="N299" s="241" t="n"/>
      <c r="O299" s="27" t="n"/>
      <c r="P299" s="28" t="n"/>
      <c r="Q299" s="241" t="n"/>
      <c r="R299" s="27" t="n"/>
      <c r="S299" s="28" t="n"/>
      <c r="T299" s="241" t="n"/>
      <c r="U299" s="27" t="n"/>
      <c r="V299" s="28" t="n"/>
      <c r="W299" s="241" t="n"/>
      <c r="X299" s="27" t="n"/>
      <c r="Y299" s="28" t="n"/>
      <c r="Z299" s="241" t="n"/>
      <c r="AA299" s="27" t="n"/>
      <c r="AB299" s="28" t="n"/>
      <c r="AC299" s="241" t="n"/>
      <c r="AD299" s="27" t="n"/>
      <c r="AE299" s="28" t="n"/>
      <c r="AF299" s="241" t="n"/>
      <c r="AG299" s="27" t="n"/>
      <c r="AH299" s="28" t="n"/>
      <c r="AI299" s="241" t="n"/>
      <c r="AJ299" s="27" t="n"/>
      <c r="AK299" s="28" t="n"/>
      <c r="AL299" s="241" t="n"/>
      <c r="AM299" s="27" t="n"/>
      <c r="AN299" s="28" t="n"/>
      <c r="AO299" s="241" t="n"/>
      <c r="AP299" s="27" t="n"/>
      <c r="AQ299" s="28" t="n"/>
      <c r="AR299" s="241">
        <f>SUMIFS($H299:$AO299,$H$5:$AO$5,"&lt;"&amp;MONTH(TODAY()),$H$6:$AO$6,"REAL 25")</f>
        <v/>
      </c>
      <c r="AS299" s="27">
        <f>SUMIFS($I299:$AP299,$I$5:$AP$5,"&lt;"&amp;MONTH(TODAY()),$I$6:$AP$6,"ORÇADO ")</f>
        <v/>
      </c>
      <c r="AT299" s="28">
        <f>SUMIFS($J299:$AQ299,$J$5:$AQ$5,"&lt;"&amp;MONTH(TODAY()),$J$6:$AQ$6,"REAL 26")</f>
        <v/>
      </c>
      <c r="AU299" s="241">
        <f>SUM(H299,K299,N299,Q299,T299,W299,Z299,AC299,AF299,AI299,AL299,AO299)</f>
        <v/>
      </c>
      <c r="AV299" s="27">
        <f>SUM(I299,L299,O299,R299,U299,X299,AA299,AD299,AG299,AJ299,AM299,AP299)</f>
        <v/>
      </c>
      <c r="AW299" s="28">
        <f>SUM(J299,M299,P299,S299,V299,Y299,AB299,AE299,AH299,AK299,AN299,AQ299)</f>
        <v/>
      </c>
      <c r="AX299" s="241">
        <f>SUM(H299,K299,N299)</f>
        <v/>
      </c>
      <c r="AY299" s="27">
        <f>SUM(I299,L299,O299)</f>
        <v/>
      </c>
      <c r="AZ299" s="28">
        <f>SUM(J299,M299,P299)</f>
        <v/>
      </c>
      <c r="BA299" s="241">
        <f>SUM(Q299,T299,W299)</f>
        <v/>
      </c>
      <c r="BB299" s="27">
        <f>SUM(R299,U299,X299)</f>
        <v/>
      </c>
      <c r="BC299" s="28">
        <f>SUM(S299,V299,Y299)</f>
        <v/>
      </c>
      <c r="BD299" s="241">
        <f>SUM(Z299,AC299,AF299)</f>
        <v/>
      </c>
      <c r="BE299" s="27">
        <f>SUM(AA299,AD299,AG299)</f>
        <v/>
      </c>
      <c r="BF299" s="28">
        <f>SUM(AB299,AE299,AH299)</f>
        <v/>
      </c>
      <c r="BG299" s="241">
        <f>SUM(AI299,AL299,AO299)</f>
        <v/>
      </c>
      <c r="BH299" s="27">
        <f>SUM(AJ299,AM299,AP299)</f>
        <v/>
      </c>
      <c r="BI299" s="28">
        <f>SUM(AK299,AN299,AQ299)</f>
        <v/>
      </c>
    </row>
    <row r="300" collapsed="1">
      <c r="A300" s="71" t="inlineStr">
        <is>
          <t>% sobre Receita Bruta</t>
        </is>
      </c>
      <c r="B300" s="59" t="n"/>
      <c r="C300" s="60" t="n"/>
      <c r="D300" s="61" t="n"/>
      <c r="E300" s="62" t="n"/>
      <c r="F300" s="63" t="n"/>
      <c r="G300" s="47" t="n"/>
      <c r="H300" s="245" t="n"/>
      <c r="I300" s="50">
        <f>IFERROR(I294/I8,0)</f>
        <v/>
      </c>
      <c r="J300" s="51">
        <f>IFERROR(J294/J8,0)+SUMIFS(Aut_Ajustes_Manuais!$G:$G,Aut_Ajustes_Manuais!$I:$I,DRE!H$4,Aut_Ajustes_Manuais!$F:$F,"% sobre Receita Bruta")</f>
        <v/>
      </c>
      <c r="K300" s="245" t="n"/>
      <c r="L300" s="50">
        <f>IFERROR(L294/L8,0)</f>
        <v/>
      </c>
      <c r="M300" s="51">
        <f>IFERROR(M294/M8,0)+SUMIFS(Aut_Ajustes_Manuais!$G:$G,Aut_Ajustes_Manuais!$I:$I,DRE!K$4,Aut_Ajustes_Manuais!$F:$F,"% sobre Receita Bruta")</f>
        <v/>
      </c>
      <c r="N300" s="245" t="n"/>
      <c r="O300" s="50">
        <f>IFERROR(O294/O8,0)</f>
        <v/>
      </c>
      <c r="P300" s="51">
        <f>IFERROR(P294/P8,0)+SUMIFS(Aut_Ajustes_Manuais!$G:$G,Aut_Ajustes_Manuais!$I:$I,DRE!N$4,Aut_Ajustes_Manuais!$F:$F,"% sobre Receita Bruta")</f>
        <v/>
      </c>
      <c r="Q300" s="245" t="n"/>
      <c r="R300" s="50">
        <f>IFERROR(R294/R8,0)</f>
        <v/>
      </c>
      <c r="S300" s="51">
        <f>IFERROR(S294/S8,0)+SUMIFS(Aut_Ajustes_Manuais!$G:$G,Aut_Ajustes_Manuais!$I:$I,DRE!Q$4,Aut_Ajustes_Manuais!$F:$F,"% sobre Receita Bruta")</f>
        <v/>
      </c>
      <c r="T300" s="245" t="n"/>
      <c r="U300" s="50">
        <f>IFERROR(U294/U8,0)</f>
        <v/>
      </c>
      <c r="V300" s="51">
        <f>IFERROR(V294/V8,0)+SUMIFS(Aut_Ajustes_Manuais!$G:$G,Aut_Ajustes_Manuais!$I:$I,DRE!T$4,Aut_Ajustes_Manuais!$F:$F,"% sobre Receita Bruta")</f>
        <v/>
      </c>
      <c r="W300" s="245" t="n"/>
      <c r="X300" s="50">
        <f>IFERROR(X294/X8,0)</f>
        <v/>
      </c>
      <c r="Y300" s="51">
        <f>IFERROR(Y294/Y8,0)+SUMIFS(Aut_Ajustes_Manuais!$G:$G,Aut_Ajustes_Manuais!$I:$I,DRE!W$4,Aut_Ajustes_Manuais!$F:$F,"% sobre Receita Bruta")</f>
        <v/>
      </c>
      <c r="Z300" s="245" t="n"/>
      <c r="AA300" s="50">
        <f>IFERROR(AA294/AA8,0)</f>
        <v/>
      </c>
      <c r="AB300" s="51">
        <f>IFERROR(AB294/AB8,0)+SUMIFS(Aut_Ajustes_Manuais!$G:$G,Aut_Ajustes_Manuais!$I:$I,DRE!Z$4,Aut_Ajustes_Manuais!$F:$F,"% sobre Receita Bruta")</f>
        <v/>
      </c>
      <c r="AC300" s="245" t="n"/>
      <c r="AD300" s="50">
        <f>IFERROR(AD294/AD8,0)</f>
        <v/>
      </c>
      <c r="AE300" s="51">
        <f>IFERROR(AE294/AE8,0)+SUMIFS(Aut_Ajustes_Manuais!$G:$G,Aut_Ajustes_Manuais!$I:$I,DRE!AC$4,Aut_Ajustes_Manuais!$F:$F,"% sobre Receita Bruta")</f>
        <v/>
      </c>
      <c r="AF300" s="245" t="n"/>
      <c r="AG300" s="50">
        <f>IFERROR(AG294/AG8,0)</f>
        <v/>
      </c>
      <c r="AH300" s="51">
        <f>IFERROR(AH294/AH8,0)+SUMIFS(Aut_Ajustes_Manuais!$G:$G,Aut_Ajustes_Manuais!$I:$I,DRE!AF$4,Aut_Ajustes_Manuais!$F:$F,"% sobre Receita Bruta")</f>
        <v/>
      </c>
      <c r="AI300" s="245" t="n"/>
      <c r="AJ300" s="50">
        <f>IFERROR(AJ294/AJ8,0)</f>
        <v/>
      </c>
      <c r="AK300" s="51">
        <f>IFERROR(AK294/AK8,0)+SUMIFS(Aut_Ajustes_Manuais!$G:$G,Aut_Ajustes_Manuais!$I:$I,DRE!AI$4,Aut_Ajustes_Manuais!$F:$F,"% sobre Receita Bruta")</f>
        <v/>
      </c>
      <c r="AL300" s="245" t="n"/>
      <c r="AM300" s="50">
        <f>IFERROR(AM294/AM8,0)</f>
        <v/>
      </c>
      <c r="AN300" s="51">
        <f>IFERROR(AN294/AN8,0)+SUMIFS(Aut_Ajustes_Manuais!$G:$G,Aut_Ajustes_Manuais!$I:$I,DRE!AL$4,Aut_Ajustes_Manuais!$F:$F,"% sobre Receita Bruta")</f>
        <v/>
      </c>
      <c r="AO300" s="245" t="n"/>
      <c r="AP300" s="50">
        <f>IFERROR(AP294/AP8,0)</f>
        <v/>
      </c>
      <c r="AQ300" s="51">
        <f>IFERROR(AQ294/AQ8,0)+SUMIFS(Aut_Ajustes_Manuais!$G:$G,Aut_Ajustes_Manuais!$I:$I,DRE!AO$4,Aut_Ajustes_Manuais!$F:$F,"% sobre Receita Bruta")</f>
        <v/>
      </c>
      <c r="AR300" s="245">
        <f>IFERROR(AR294/AR8,0)</f>
        <v/>
      </c>
      <c r="AS300" s="50">
        <f>IFERROR(AS294/AS8,0)</f>
        <v/>
      </c>
      <c r="AT300" s="51">
        <f>IFERROR(AT294/AT8,0)</f>
        <v/>
      </c>
      <c r="AU300" s="245">
        <f>IFERROR(AU294/AU8,0)</f>
        <v/>
      </c>
      <c r="AV300" s="50">
        <f>IFERROR(AV294/AV8,0)</f>
        <v/>
      </c>
      <c r="AW300" s="51">
        <f>IFERROR(AW294/AW8,0)</f>
        <v/>
      </c>
      <c r="AX300" s="245">
        <f>IFERROR(AX294/AX8,0)</f>
        <v/>
      </c>
      <c r="AY300" s="50">
        <f>IFERROR(AY294/AY8,0)</f>
        <v/>
      </c>
      <c r="AZ300" s="51">
        <f>IFERROR(AZ294/AZ8,0)</f>
        <v/>
      </c>
      <c r="BA300" s="245">
        <f>IFERROR(BA294/BA8,0)</f>
        <v/>
      </c>
      <c r="BB300" s="50">
        <f>IFERROR(BB294/BB8,0)</f>
        <v/>
      </c>
      <c r="BC300" s="51">
        <f>IFERROR(BC294/BC8,0)</f>
        <v/>
      </c>
      <c r="BD300" s="245">
        <f>IFERROR(BD294/BD8,0)</f>
        <v/>
      </c>
      <c r="BE300" s="50">
        <f>IFERROR(BE294/BE8,0)</f>
        <v/>
      </c>
      <c r="BF300" s="51">
        <f>IFERROR(BF294/BF8,0)</f>
        <v/>
      </c>
      <c r="BG300" s="245">
        <f>IFERROR(BG294/BG8,0)</f>
        <v/>
      </c>
      <c r="BH300" s="50">
        <f>IFERROR(BH294/BH8,0)</f>
        <v/>
      </c>
      <c r="BI300" s="51">
        <f>IFERROR(BI294/BI8,0)</f>
        <v/>
      </c>
    </row>
    <row r="301">
      <c r="A301" s="18" t="n"/>
      <c r="E301" s="16" t="n"/>
      <c r="F301" s="17" t="n"/>
      <c r="G301" s="47" t="n"/>
      <c r="H301" s="256" t="n"/>
      <c r="I301" s="232" t="n"/>
      <c r="J301" s="85" t="n"/>
      <c r="K301" s="256" t="n"/>
      <c r="L301" s="232" t="n"/>
      <c r="M301" s="85" t="n"/>
      <c r="N301" s="256" t="n"/>
      <c r="O301" s="232" t="n"/>
      <c r="P301" s="85" t="n"/>
      <c r="Q301" s="256" t="n"/>
      <c r="R301" s="232" t="n"/>
      <c r="S301" s="85" t="n"/>
      <c r="T301" s="256" t="n"/>
      <c r="U301" s="232" t="n"/>
      <c r="V301" s="85" t="n"/>
      <c r="W301" s="256" t="n"/>
      <c r="X301" s="232" t="n"/>
      <c r="Y301" s="85" t="n"/>
      <c r="Z301" s="256" t="n"/>
      <c r="AA301" s="232" t="n"/>
      <c r="AB301" s="85" t="n"/>
      <c r="AC301" s="256" t="n"/>
      <c r="AD301" s="232" t="n"/>
      <c r="AE301" s="85" t="n"/>
      <c r="AF301" s="256" t="n"/>
      <c r="AG301" s="232" t="n"/>
      <c r="AH301" s="85" t="n"/>
      <c r="AI301" s="256" t="n"/>
      <c r="AJ301" s="232" t="n"/>
      <c r="AK301" s="85" t="n"/>
      <c r="AL301" s="256" t="n"/>
      <c r="AM301" s="232" t="n"/>
      <c r="AN301" s="85" t="n"/>
      <c r="AO301" s="256" t="n"/>
      <c r="AP301" s="232" t="n"/>
      <c r="AQ301" s="85" t="n"/>
      <c r="AR301" s="256" t="n"/>
      <c r="AS301" s="505" t="n"/>
      <c r="AT301" s="507" t="n"/>
      <c r="AU301" s="256" t="n"/>
      <c r="AV301" s="232" t="n"/>
      <c r="AW301" s="85" t="n"/>
      <c r="AX301" s="256" t="n"/>
      <c r="AY301" s="232" t="n"/>
      <c r="AZ301" s="85" t="n"/>
      <c r="BA301" s="256" t="n"/>
      <c r="BB301" s="232" t="n"/>
      <c r="BC301" s="85" t="n"/>
      <c r="BD301" s="256" t="n"/>
      <c r="BE301" s="232" t="n"/>
      <c r="BF301" s="85" t="n"/>
      <c r="BG301" s="256" t="n"/>
      <c r="BH301" s="232" t="n"/>
      <c r="BI301" s="85" t="n"/>
    </row>
    <row r="302">
      <c r="A302" s="39" t="inlineStr">
        <is>
          <t>Sistema de Franquias</t>
        </is>
      </c>
      <c r="C302" s="40" t="inlineStr">
        <is>
          <t>Premissas</t>
        </is>
      </c>
      <c r="D302" s="40" t="inlineStr">
        <is>
          <t>Valores</t>
        </is>
      </c>
      <c r="E302" s="40" t="inlineStr">
        <is>
          <t>Acréscimo</t>
        </is>
      </c>
      <c r="F302" s="41" t="n"/>
      <c r="G302" s="47" t="n"/>
      <c r="H302" s="244" t="n"/>
      <c r="I302" s="42">
        <f>SUM(I303:I305)</f>
        <v/>
      </c>
      <c r="J302" s="43">
        <f>SUM(J303:J305)+SUMIFS(Aut_Ajustes_Manuais!$G:$G,Aut_Ajustes_Manuais!$I:$I,DRE!H$4,Aut_Ajustes_Manuais!$F:$F,"Sistema de Franquias")</f>
        <v/>
      </c>
      <c r="K302" s="244" t="n"/>
      <c r="L302" s="42">
        <f>SUM(L303:L305)</f>
        <v/>
      </c>
      <c r="M302" s="43">
        <f>SUM(M303:M305)+SUMIFS(Aut_Ajustes_Manuais!$G:$G,Aut_Ajustes_Manuais!$I:$I,DRE!K$4,Aut_Ajustes_Manuais!$F:$F,"Sistema de Franquias")</f>
        <v/>
      </c>
      <c r="N302" s="244" t="n"/>
      <c r="O302" s="42">
        <f>SUM(O303:O305)</f>
        <v/>
      </c>
      <c r="P302" s="42">
        <f>SUM(P303:P305)+SUMIFS(Aut_Ajustes_Manuais!$G:$G,Aut_Ajustes_Manuais!$I:$I,DRE!N$4,Aut_Ajustes_Manuais!$F:$F,"Sistema de Franquias")</f>
        <v/>
      </c>
      <c r="Q302" s="244" t="n"/>
      <c r="R302" s="42">
        <f>SUM(R303:R305)</f>
        <v/>
      </c>
      <c r="S302" s="42">
        <f>SUM(S303:S305)+SUMIFS(Aut_Ajustes_Manuais!$G:$G,Aut_Ajustes_Manuais!$I:$I,DRE!Q$4,Aut_Ajustes_Manuais!$F:$F,"Sistema de Franquias")</f>
        <v/>
      </c>
      <c r="T302" s="244" t="n"/>
      <c r="U302" s="42">
        <f>SUM(U303:U305)</f>
        <v/>
      </c>
      <c r="V302" s="43">
        <f>SUM(V303:V305)+SUMIFS(Aut_Ajustes_Manuais!$G:$G,Aut_Ajustes_Manuais!$I:$I,DRE!T$4,Aut_Ajustes_Manuais!$F:$F,"Sistema de Franquias")</f>
        <v/>
      </c>
      <c r="W302" s="244" t="n"/>
      <c r="X302" s="42">
        <f>SUM(X303:X305)</f>
        <v/>
      </c>
      <c r="Y302" s="43">
        <f>SUM(Y303:Y305)+SUMIFS(Aut_Ajustes_Manuais!$G:$G,Aut_Ajustes_Manuais!$I:$I,DRE!W$4,Aut_Ajustes_Manuais!$F:$F,"Sistema de Franquias")</f>
        <v/>
      </c>
      <c r="Z302" s="244" t="n"/>
      <c r="AA302" s="42">
        <f>SUM(AA303:AA305)</f>
        <v/>
      </c>
      <c r="AB302" s="43">
        <f>SUM(AB303:AB305)+SUMIFS(Aut_Ajustes_Manuais!$G:$G,Aut_Ajustes_Manuais!$I:$I,DRE!Z$4,Aut_Ajustes_Manuais!$F:$F,"Sistema de Franquias")</f>
        <v/>
      </c>
      <c r="AC302" s="244" t="n"/>
      <c r="AD302" s="42">
        <f>SUM(AD303:AD305)</f>
        <v/>
      </c>
      <c r="AE302" s="43">
        <f>SUM(AE303:AE305)+SUMIFS(Aut_Ajustes_Manuais!$G:$G,Aut_Ajustes_Manuais!$I:$I,DRE!AC$4,Aut_Ajustes_Manuais!$F:$F,"Sistema de Franquias")</f>
        <v/>
      </c>
      <c r="AF302" s="244" t="n"/>
      <c r="AG302" s="42">
        <f>SUM(AG303:AG305)</f>
        <v/>
      </c>
      <c r="AH302" s="43">
        <f>SUM(AH303:AH305)+SUMIFS(Aut_Ajustes_Manuais!$G:$G,Aut_Ajustes_Manuais!$I:$I,DRE!AF$4,Aut_Ajustes_Manuais!$F:$F,"Sistema de Franquias")</f>
        <v/>
      </c>
      <c r="AI302" s="244" t="n"/>
      <c r="AJ302" s="42">
        <f>SUM(AJ303:AJ305)</f>
        <v/>
      </c>
      <c r="AK302" s="43">
        <f>SUM(AK303:AK305)+SUMIFS(Aut_Ajustes_Manuais!$G:$G,Aut_Ajustes_Manuais!$I:$I,DRE!AI$4,Aut_Ajustes_Manuais!$F:$F,"Sistema de Franquias")</f>
        <v/>
      </c>
      <c r="AL302" s="244" t="n"/>
      <c r="AM302" s="42">
        <f>SUM(AM303:AM305)</f>
        <v/>
      </c>
      <c r="AN302" s="43">
        <f>SUM(AN303:AN305)+SUMIFS(Aut_Ajustes_Manuais!$G:$G,Aut_Ajustes_Manuais!$I:$I,DRE!AL$4,Aut_Ajustes_Manuais!$F:$F,"Sistema de Franquias")</f>
        <v/>
      </c>
      <c r="AO302" s="244" t="n"/>
      <c r="AP302" s="42">
        <f>SUM(AP303:AP305)</f>
        <v/>
      </c>
      <c r="AQ302" s="43">
        <f>SUM(AQ303:AQ305)+SUMIFS(Aut_Ajustes_Manuais!$G:$G,Aut_Ajustes_Manuais!$I:$I,DRE!AO$4,Aut_Ajustes_Manuais!$F:$F,"Sistema de Franquias")</f>
        <v/>
      </c>
      <c r="AR302" s="244">
        <f>SUM(AR303:AR305)</f>
        <v/>
      </c>
      <c r="AS302" s="42">
        <f>SUM(AS303:AS305)</f>
        <v/>
      </c>
      <c r="AT302" s="43">
        <f>SUM(AT303:AT305)</f>
        <v/>
      </c>
      <c r="AU302" s="244">
        <f>SUM(AU303:AU305)</f>
        <v/>
      </c>
      <c r="AV302" s="42">
        <f>SUM(AV303:AV305)</f>
        <v/>
      </c>
      <c r="AW302" s="43">
        <f>SUM(AW303:AW305)</f>
        <v/>
      </c>
      <c r="AX302" s="244">
        <f>SUM(AX303:AX305)</f>
        <v/>
      </c>
      <c r="AY302" s="42">
        <f>SUM(AY303:AY305)</f>
        <v/>
      </c>
      <c r="AZ302" s="43">
        <f>SUM(AZ303:AZ305)</f>
        <v/>
      </c>
      <c r="BA302" s="244">
        <f>SUM(BA303:BA305)</f>
        <v/>
      </c>
      <c r="BB302" s="42">
        <f>SUM(BB303:BB305)</f>
        <v/>
      </c>
      <c r="BC302" s="43">
        <f>SUM(BC303:BC305)</f>
        <v/>
      </c>
      <c r="BD302" s="244">
        <f>SUM(BD303:BD305)</f>
        <v/>
      </c>
      <c r="BE302" s="42">
        <f>SUM(BE303:BE305)</f>
        <v/>
      </c>
      <c r="BF302" s="43">
        <f>SUM(BF303:BF305)</f>
        <v/>
      </c>
      <c r="BG302" s="244">
        <f>SUM(BG303:BG305)</f>
        <v/>
      </c>
      <c r="BH302" s="42">
        <f>SUM(BH303:BH305)</f>
        <v/>
      </c>
      <c r="BI302" s="43">
        <f>SUM(BI303:BI305)</f>
        <v/>
      </c>
    </row>
    <row r="303" hidden="1" outlineLevel="1" customFormat="1" s="498">
      <c r="A303" s="22" t="inlineStr">
        <is>
          <t>Royalties</t>
        </is>
      </c>
      <c r="B303" s="23" t="n"/>
      <c r="C303" s="24" t="inlineStr">
        <is>
          <t>Estim. Mensal</t>
        </is>
      </c>
      <c r="D303" s="25" t="n"/>
      <c r="E303" s="124" t="n"/>
      <c r="F303" s="56" t="n"/>
      <c r="G303" s="33" t="n"/>
      <c r="H303" s="241" t="n"/>
      <c r="I303" s="27">
        <f>-SUMIFS(T_ORCAMENTOS!$E:$E,T_ORCAMENTOS!$C:$C,"Royalties",T_ORCAMENTOS!$H:$H,"1/2026")</f>
        <v/>
      </c>
      <c r="J303" s="27">
        <f>SUMIFS(Aut_BlueMe_Sem_Pedido!$J:$J,Aut_BlueMe_Sem_Pedido!$Q:$Q,DRE!H$4,Aut_BlueMe_Sem_Pedido!$H:$H,DRE!$A303)+SUMIFS(Aut_Ajustes_Manuais!$G:$G,Aut_Ajustes_Manuais!$I:$I,DRE!H$4,Aut_Ajustes_Manuais!$F:$F,"Royalties")</f>
        <v/>
      </c>
      <c r="K303" s="241" t="n"/>
      <c r="L303" s="27">
        <f>-SUMIFS(T_ORCAMENTOS!$E:$E,T_ORCAMENTOS!$C:$C,"Royalties",T_ORCAMENTOS!$H:$H,"2/2026")</f>
        <v/>
      </c>
      <c r="M303" s="27">
        <f>SUMIFS(Aut_BlueMe_Sem_Pedido!$J:$J,Aut_BlueMe_Sem_Pedido!$Q:$Q,DRE!K$4,Aut_BlueMe_Sem_Pedido!$H:$H,DRE!$A303)+SUMIFS(Aut_Ajustes_Manuais!$G:$G,Aut_Ajustes_Manuais!$I:$I,DRE!K$4,Aut_Ajustes_Manuais!$F:$F,"Royalties")</f>
        <v/>
      </c>
      <c r="N303" s="241" t="n"/>
      <c r="O303" s="27">
        <f>-SUMIFS(T_ORCAMENTOS!$E:$E,T_ORCAMENTOS!$C:$C,"Royalties",T_ORCAMENTOS!$H:$H,"3/2026")</f>
        <v/>
      </c>
      <c r="P303" s="28">
        <f>SUMIFS(Aut_BlueMe_Sem_Pedido!$J:$J,Aut_BlueMe_Sem_Pedido!$Q:$Q,DRE!N$4,Aut_BlueMe_Sem_Pedido!$H:$H,DRE!$A303)+SUMIFS(Aut_Ajustes_Manuais!$G:$G,Aut_Ajustes_Manuais!$I:$I,DRE!N$4,Aut_Ajustes_Manuais!$F:$F,"Royalties")</f>
        <v/>
      </c>
      <c r="Q303" s="241" t="n"/>
      <c r="R303" s="27">
        <f>-SUMIFS(T_ORCAMENTOS!$E:$E,T_ORCAMENTOS!$C:$C,"Royalties",T_ORCAMENTOS!$H:$H,"4/2026")</f>
        <v/>
      </c>
      <c r="S303" s="27">
        <f>SUMIFS(Aut_BlueMe_Sem_Pedido!$J:$J,Aut_BlueMe_Sem_Pedido!$Q:$Q,DRE!Q$4,Aut_BlueMe_Sem_Pedido!$H:$H,DRE!$A303)+SUMIFS(Aut_Ajustes_Manuais!$G:$G,Aut_Ajustes_Manuais!$I:$I,DRE!Q$4,Aut_Ajustes_Manuais!$F:$F,"Royalties")</f>
        <v/>
      </c>
      <c r="T303" s="241" t="n"/>
      <c r="U303" s="27">
        <f>-SUMIFS(T_ORCAMENTOS!$E:$E,T_ORCAMENTOS!$C:$C,"Royalties",T_ORCAMENTOS!$H:$H,"5/2026")</f>
        <v/>
      </c>
      <c r="V303" s="27">
        <f>SUMIFS(Aut_BlueMe_Sem_Pedido!$J:$J,Aut_BlueMe_Sem_Pedido!$Q:$Q,DRE!T$4,Aut_BlueMe_Sem_Pedido!$H:$H,DRE!$A303)+SUMIFS(Aut_Ajustes_Manuais!$G:$G,Aut_Ajustes_Manuais!$I:$I,DRE!T$4,Aut_Ajustes_Manuais!$F:$F,"Royalties")</f>
        <v/>
      </c>
      <c r="W303" s="241" t="n"/>
      <c r="X303" s="27">
        <f>-SUMIFS(T_ORCAMENTOS!$E:$E,T_ORCAMENTOS!$C:$C,"Royalties",T_ORCAMENTOS!$H:$H,"6/2026")</f>
        <v/>
      </c>
      <c r="Y303" s="28">
        <f>SUMIFS(Aut_BlueMe_Sem_Pedido!$J:$J,Aut_BlueMe_Sem_Pedido!$Q:$Q,DRE!W$4,Aut_BlueMe_Sem_Pedido!$H:$H,DRE!$A303)+SUMIFS(Aut_Ajustes_Manuais!$G:$G,Aut_Ajustes_Manuais!$I:$I,DRE!W$4,Aut_Ajustes_Manuais!$F:$F,"Royalties")</f>
        <v/>
      </c>
      <c r="Z303" s="241" t="n"/>
      <c r="AA303" s="27">
        <f>-SUMIFS(T_ORCAMENTOS!$E:$E,T_ORCAMENTOS!$C:$C,"Royalties",T_ORCAMENTOS!$H:$H,"7/2026")</f>
        <v/>
      </c>
      <c r="AB303" s="28">
        <f>SUMIFS(Aut_BlueMe_Sem_Pedido!$J:$J,Aut_BlueMe_Sem_Pedido!$Q:$Q,DRE!Z$4,Aut_BlueMe_Sem_Pedido!$H:$H,DRE!$A303)+SUMIFS(Aut_Ajustes_Manuais!$G:$G,Aut_Ajustes_Manuais!$I:$I,DRE!Z$4,Aut_Ajustes_Manuais!$F:$F,"Royalties")</f>
        <v/>
      </c>
      <c r="AC303" s="241" t="n"/>
      <c r="AD303" s="27">
        <f>-SUMIFS(T_ORCAMENTOS!$E:$E,T_ORCAMENTOS!$C:$C,"Royalties",T_ORCAMENTOS!$H:$H,"8/2026")</f>
        <v/>
      </c>
      <c r="AE303" s="28">
        <f>SUMIFS(Aut_BlueMe_Sem_Pedido!$J:$J,Aut_BlueMe_Sem_Pedido!$Q:$Q,DRE!AC$4,Aut_BlueMe_Sem_Pedido!$H:$H,DRE!$A303)+SUMIFS(Aut_Ajustes_Manuais!$G:$G,Aut_Ajustes_Manuais!$I:$I,DRE!AC$4,Aut_Ajustes_Manuais!$F:$F,"Royalties")</f>
        <v/>
      </c>
      <c r="AF303" s="241" t="n"/>
      <c r="AG303" s="27">
        <f>-SUMIFS(T_ORCAMENTOS!$E:$E,T_ORCAMENTOS!$C:$C,"Royalties",T_ORCAMENTOS!$H:$H,"9/2026")</f>
        <v/>
      </c>
      <c r="AH303" s="28">
        <f>SUMIFS(Aut_BlueMe_Sem_Pedido!$J:$J,Aut_BlueMe_Sem_Pedido!$Q:$Q,DRE!AF$4,Aut_BlueMe_Sem_Pedido!$H:$H,DRE!$A303)+SUMIFS(Aut_Ajustes_Manuais!$G:$G,Aut_Ajustes_Manuais!$I:$I,DRE!AF$4,Aut_Ajustes_Manuais!$F:$F,"Royalties")</f>
        <v/>
      </c>
      <c r="AI303" s="241" t="n"/>
      <c r="AJ303" s="27">
        <f>-SUMIFS(T_ORCAMENTOS!$E:$E,T_ORCAMENTOS!$C:$C,"Royalties",T_ORCAMENTOS!$H:$H,"10/2026")</f>
        <v/>
      </c>
      <c r="AK303" s="28">
        <f>SUMIFS(Aut_BlueMe_Sem_Pedido!$J:$J,Aut_BlueMe_Sem_Pedido!$Q:$Q,DRE!AI$4,Aut_BlueMe_Sem_Pedido!$H:$H,DRE!$A303)+SUMIFS(Aut_Ajustes_Manuais!$G:$G,Aut_Ajustes_Manuais!$I:$I,DRE!AI$4,Aut_Ajustes_Manuais!$F:$F,"Royalties")</f>
        <v/>
      </c>
      <c r="AL303" s="241" t="n"/>
      <c r="AM303" s="27">
        <f>-SUMIFS(T_ORCAMENTOS!$E:$E,T_ORCAMENTOS!$C:$C,"Royalties",T_ORCAMENTOS!$H:$H,"11/2026")</f>
        <v/>
      </c>
      <c r="AN303" s="28">
        <f>SUMIFS(Aut_BlueMe_Sem_Pedido!$J:$J,Aut_BlueMe_Sem_Pedido!$Q:$Q,DRE!AL$4,Aut_BlueMe_Sem_Pedido!$H:$H,DRE!$A303)+SUMIFS(Aut_Ajustes_Manuais!$G:$G,Aut_Ajustes_Manuais!$I:$I,DRE!AL$4,Aut_Ajustes_Manuais!$F:$F,"Royalties")</f>
        <v/>
      </c>
      <c r="AO303" s="241" t="n"/>
      <c r="AP303" s="27">
        <f>-SUMIFS(T_ORCAMENTOS!$E:$E,T_ORCAMENTOS!$C:$C,"Royalties",T_ORCAMENTOS!$H:$H,"12/2026")</f>
        <v/>
      </c>
      <c r="AQ303" s="28">
        <f>SUMIFS(Aut_BlueMe_Sem_Pedido!$J:$J,Aut_BlueMe_Sem_Pedido!$Q:$Q,DRE!AO$4,Aut_BlueMe_Sem_Pedido!$H:$H,DRE!$A303)+SUMIFS(Aut_Ajustes_Manuais!$G:$G,Aut_Ajustes_Manuais!$I:$I,DRE!AO$4,Aut_Ajustes_Manuais!$F:$F,"Royalties")</f>
        <v/>
      </c>
      <c r="AR303" s="241">
        <f>SUMIFS($H303:$AO303,$H$5:$AO$5,"&lt;"&amp;MONTH(TODAY()),$H$6:$AO$6,"REAL 25")</f>
        <v/>
      </c>
      <c r="AS303" s="27">
        <f>SUMIFS($I303:$AP303,$I$5:$AP$5,"&lt;"&amp;MONTH(TODAY()),$I$6:$AP$6,"ORÇADO ")</f>
        <v/>
      </c>
      <c r="AT303" s="28">
        <f>SUMIFS($J303:$AQ303,$J$5:$AQ$5,"&lt;"&amp;MONTH(TODAY()),$J$6:$AQ$6,"REAL 26")</f>
        <v/>
      </c>
      <c r="AU303" s="241">
        <f>SUM(H303,K303,N303,Q303,T303,W303,Z303,AC303,AF303,AI303,AL303,AO303)</f>
        <v/>
      </c>
      <c r="AV303" s="27">
        <f>SUM(I303,L303,O303,R303,U303,X303,AA303,AD303,AG303,AJ303,AM303,AP303)</f>
        <v/>
      </c>
      <c r="AW303" s="28">
        <f>SUM(J303,M303,P303,S303,V303,Y303,AB303,AE303,AH303,AK303,AN303,AQ303)</f>
        <v/>
      </c>
      <c r="AX303" s="241">
        <f>SUM(H303,K303,N303)</f>
        <v/>
      </c>
      <c r="AY303" s="27">
        <f>SUM(I303,L303,O303)</f>
        <v/>
      </c>
      <c r="AZ303" s="28">
        <f>SUM(J303,M303,P303)</f>
        <v/>
      </c>
      <c r="BA303" s="241">
        <f>SUM(Q303,T303,W303)</f>
        <v/>
      </c>
      <c r="BB303" s="27">
        <f>SUM(R303,U303,X303)</f>
        <v/>
      </c>
      <c r="BC303" s="28">
        <f>SUM(S303,V303,Y303)</f>
        <v/>
      </c>
      <c r="BD303" s="241">
        <f>SUM(Z303,AC303,AF303)</f>
        <v/>
      </c>
      <c r="BE303" s="27">
        <f>SUM(AA303,AD303,AG303)</f>
        <v/>
      </c>
      <c r="BF303" s="28">
        <f>SUM(AB303,AE303,AH303)</f>
        <v/>
      </c>
      <c r="BG303" s="241">
        <f>SUM(AI303,AL303,AO303)</f>
        <v/>
      </c>
      <c r="BH303" s="27">
        <f>SUM(AJ303,AM303,AP303)</f>
        <v/>
      </c>
      <c r="BI303" s="28">
        <f>SUM(AK303,AN303,AQ303)</f>
        <v/>
      </c>
    </row>
    <row r="304" hidden="1" outlineLevel="1" customFormat="1" s="498">
      <c r="A304" s="22" t="inlineStr">
        <is>
          <t>Fundo de Propaganda</t>
        </is>
      </c>
      <c r="B304" s="23" t="n"/>
      <c r="C304" s="24" t="inlineStr">
        <is>
          <t>Estim. Mensal</t>
        </is>
      </c>
      <c r="D304" s="25" t="n"/>
      <c r="E304" s="124" t="n"/>
      <c r="F304" s="56" t="n"/>
      <c r="G304" s="33" t="n"/>
      <c r="H304" s="241" t="n"/>
      <c r="I304" s="27">
        <f>-SUMIFS(T_ORCAMENTOS!$E:$E,T_ORCAMENTOS!$C:$C,"Fundo de Propaganda",T_ORCAMENTOS!$H:$H,"1/2026")</f>
        <v/>
      </c>
      <c r="J304" s="28">
        <f>SUMIFS(Aut_BlueMe_Sem_Pedido!$J:$J,Aut_BlueMe_Sem_Pedido!$Q:$Q,DRE!H$4,Aut_BlueMe_Sem_Pedido!$H:$H,DRE!$A304)+SUMIFS(Aut_Ajustes_Manuais!$G:$G,Aut_Ajustes_Manuais!$I:$I,DRE!H$4,Aut_Ajustes_Manuais!$F:$F,"Fundo de Propaganda")</f>
        <v/>
      </c>
      <c r="K304" s="241" t="n"/>
      <c r="L304" s="27">
        <f>-SUMIFS(T_ORCAMENTOS!$E:$E,T_ORCAMENTOS!$C:$C,"Fundo de Propaganda",T_ORCAMENTOS!$H:$H,"2/2026")</f>
        <v/>
      </c>
      <c r="M304" s="28">
        <f>SUMIFS(Aut_BlueMe_Sem_Pedido!$J:$J,Aut_BlueMe_Sem_Pedido!$Q:$Q,DRE!K$4,Aut_BlueMe_Sem_Pedido!$H:$H,DRE!$A304)+SUMIFS(Aut_Ajustes_Manuais!$G:$G,Aut_Ajustes_Manuais!$I:$I,DRE!K$4,Aut_Ajustes_Manuais!$F:$F,"Fundo de Propaganda")</f>
        <v/>
      </c>
      <c r="N304" s="241" t="n"/>
      <c r="O304" s="27">
        <f>-SUMIFS(T_ORCAMENTOS!$E:$E,T_ORCAMENTOS!$C:$C,"Fundo de Propaganda",T_ORCAMENTOS!$H:$H,"3/2026")</f>
        <v/>
      </c>
      <c r="P304" s="28">
        <f>SUMIFS(Aut_BlueMe_Sem_Pedido!$J:$J,Aut_BlueMe_Sem_Pedido!$Q:$Q,DRE!N$4,Aut_BlueMe_Sem_Pedido!$H:$H,DRE!$A304)+SUMIFS(Aut_Ajustes_Manuais!$G:$G,Aut_Ajustes_Manuais!$I:$I,DRE!N$4,Aut_Ajustes_Manuais!$F:$F,"Fundo de Propaganda")</f>
        <v/>
      </c>
      <c r="Q304" s="241" t="n"/>
      <c r="R304" s="27">
        <f>-SUMIFS(T_ORCAMENTOS!$E:$E,T_ORCAMENTOS!$C:$C,"Fundo de Propaganda",T_ORCAMENTOS!$H:$H,"4/2026")</f>
        <v/>
      </c>
      <c r="S304" s="28">
        <f>SUMIFS(Aut_BlueMe_Sem_Pedido!$J:$J,Aut_BlueMe_Sem_Pedido!$Q:$Q,DRE!Q$4,Aut_BlueMe_Sem_Pedido!$H:$H,DRE!$A304)+SUMIFS(Aut_Ajustes_Manuais!$G:$G,Aut_Ajustes_Manuais!$I:$I,DRE!Q$4,Aut_Ajustes_Manuais!$F:$F,"Fundo de Propaganda")</f>
        <v/>
      </c>
      <c r="T304" s="241" t="n"/>
      <c r="U304" s="27">
        <f>-SUMIFS(T_ORCAMENTOS!$E:$E,T_ORCAMENTOS!$C:$C,"Fundo de Propaganda",T_ORCAMENTOS!$H:$H,"5/2026")</f>
        <v/>
      </c>
      <c r="V304" s="28">
        <f>SUMIFS(Aut_BlueMe_Sem_Pedido!$J:$J,Aut_BlueMe_Sem_Pedido!$Q:$Q,DRE!T$4,Aut_BlueMe_Sem_Pedido!$H:$H,DRE!$A304)+SUMIFS(Aut_Ajustes_Manuais!$G:$G,Aut_Ajustes_Manuais!$I:$I,DRE!T$4,Aut_Ajustes_Manuais!$F:$F,"Fundo de Propaganda")</f>
        <v/>
      </c>
      <c r="W304" s="241" t="n"/>
      <c r="X304" s="27">
        <f>-SUMIFS(T_ORCAMENTOS!$E:$E,T_ORCAMENTOS!$C:$C,"Fundo de Propaganda",T_ORCAMENTOS!$H:$H,"6/2026")</f>
        <v/>
      </c>
      <c r="Y304" s="28">
        <f>SUMIFS(Aut_BlueMe_Sem_Pedido!$J:$J,Aut_BlueMe_Sem_Pedido!$Q:$Q,DRE!W$4,Aut_BlueMe_Sem_Pedido!$H:$H,DRE!$A304)+SUMIFS(Aut_Ajustes_Manuais!$G:$G,Aut_Ajustes_Manuais!$I:$I,DRE!W$4,Aut_Ajustes_Manuais!$F:$F,"Fundo de Propaganda")</f>
        <v/>
      </c>
      <c r="Z304" s="241" t="n"/>
      <c r="AA304" s="27">
        <f>-SUMIFS(T_ORCAMENTOS!$E:$E,T_ORCAMENTOS!$C:$C,"Fundo de Propaganda",T_ORCAMENTOS!$H:$H,"7/2026")</f>
        <v/>
      </c>
      <c r="AB304" s="28">
        <f>SUMIFS(Aut_BlueMe_Sem_Pedido!$J:$J,Aut_BlueMe_Sem_Pedido!$Q:$Q,DRE!Z$4,Aut_BlueMe_Sem_Pedido!$H:$H,DRE!$A304)+SUMIFS(Aut_Ajustes_Manuais!$G:$G,Aut_Ajustes_Manuais!$I:$I,DRE!Z$4,Aut_Ajustes_Manuais!$F:$F,"Fundo de Propaganda")</f>
        <v/>
      </c>
      <c r="AC304" s="241" t="n"/>
      <c r="AD304" s="27">
        <f>-SUMIFS(T_ORCAMENTOS!$E:$E,T_ORCAMENTOS!$C:$C,"Fundo de Propaganda",T_ORCAMENTOS!$H:$H,"8/2026")</f>
        <v/>
      </c>
      <c r="AE304" s="28">
        <f>SUMIFS(Aut_BlueMe_Sem_Pedido!$J:$J,Aut_BlueMe_Sem_Pedido!$Q:$Q,DRE!AC$4,Aut_BlueMe_Sem_Pedido!$H:$H,DRE!$A304)+SUMIFS(Aut_Ajustes_Manuais!$G:$G,Aut_Ajustes_Manuais!$I:$I,DRE!AC$4,Aut_Ajustes_Manuais!$F:$F,"Fundo de Propaganda")</f>
        <v/>
      </c>
      <c r="AF304" s="241" t="n"/>
      <c r="AG304" s="27">
        <f>-SUMIFS(T_ORCAMENTOS!$E:$E,T_ORCAMENTOS!$C:$C,"Fundo de Propaganda",T_ORCAMENTOS!$H:$H,"9/2026")</f>
        <v/>
      </c>
      <c r="AH304" s="28">
        <f>SUMIFS(Aut_BlueMe_Sem_Pedido!$J:$J,Aut_BlueMe_Sem_Pedido!$Q:$Q,DRE!AF$4,Aut_BlueMe_Sem_Pedido!$H:$H,DRE!$A304)+SUMIFS(Aut_Ajustes_Manuais!$G:$G,Aut_Ajustes_Manuais!$I:$I,DRE!AF$4,Aut_Ajustes_Manuais!$F:$F,"Fundo de Propaganda")</f>
        <v/>
      </c>
      <c r="AI304" s="241" t="n"/>
      <c r="AJ304" s="27">
        <f>-SUMIFS(T_ORCAMENTOS!$E:$E,T_ORCAMENTOS!$C:$C,"Fundo de Propaganda",T_ORCAMENTOS!$H:$H,"10/2026")</f>
        <v/>
      </c>
      <c r="AK304" s="28">
        <f>SUMIFS(Aut_BlueMe_Sem_Pedido!$J:$J,Aut_BlueMe_Sem_Pedido!$Q:$Q,DRE!AI$4,Aut_BlueMe_Sem_Pedido!$H:$H,DRE!$A304)+SUMIFS(Aut_Ajustes_Manuais!$G:$G,Aut_Ajustes_Manuais!$I:$I,DRE!AI$4,Aut_Ajustes_Manuais!$F:$F,"Fundo de Propaganda")</f>
        <v/>
      </c>
      <c r="AL304" s="241" t="n"/>
      <c r="AM304" s="27">
        <f>-SUMIFS(T_ORCAMENTOS!$E:$E,T_ORCAMENTOS!$C:$C,"Fundo de Propaganda",T_ORCAMENTOS!$H:$H,"11/2026")</f>
        <v/>
      </c>
      <c r="AN304" s="28">
        <f>SUMIFS(Aut_BlueMe_Sem_Pedido!$J:$J,Aut_BlueMe_Sem_Pedido!$Q:$Q,DRE!AL$4,Aut_BlueMe_Sem_Pedido!$H:$H,DRE!$A304)+SUMIFS(Aut_Ajustes_Manuais!$G:$G,Aut_Ajustes_Manuais!$I:$I,DRE!AL$4,Aut_Ajustes_Manuais!$F:$F,"Fundo de Propaganda")</f>
        <v/>
      </c>
      <c r="AO304" s="241" t="n"/>
      <c r="AP304" s="27">
        <f>-SUMIFS(T_ORCAMENTOS!$E:$E,T_ORCAMENTOS!$C:$C,"Fundo de Propaganda",T_ORCAMENTOS!$H:$H,"12/2026")</f>
        <v/>
      </c>
      <c r="AQ304" s="28">
        <f>SUMIFS(Aut_BlueMe_Sem_Pedido!$J:$J,Aut_BlueMe_Sem_Pedido!$Q:$Q,DRE!AO$4,Aut_BlueMe_Sem_Pedido!$H:$H,DRE!$A304)+SUMIFS(Aut_Ajustes_Manuais!$G:$G,Aut_Ajustes_Manuais!$I:$I,DRE!AO$4,Aut_Ajustes_Manuais!$F:$F,"Fundo de Propaganda")</f>
        <v/>
      </c>
      <c r="AR304" s="241">
        <f>SUMIFS($H304:$AO304,$H$5:$AO$5,"&lt;"&amp;MONTH(TODAY()),$H$6:$AO$6,"REAL 25")</f>
        <v/>
      </c>
      <c r="AS304" s="27">
        <f>SUMIFS($I304:$AP304,$I$5:$AP$5,"&lt;"&amp;MONTH(TODAY()),$I$6:$AP$6,"ORÇADO ")</f>
        <v/>
      </c>
      <c r="AT304" s="28">
        <f>SUMIFS($J304:$AQ304,$J$5:$AQ$5,"&lt;"&amp;MONTH(TODAY()),$J$6:$AQ$6,"REAL 26")</f>
        <v/>
      </c>
      <c r="AU304" s="241">
        <f>SUM(H304,K304,N304,Q304,T304,W304,Z304,AC304,AF304,AI304,AL304,AO304)</f>
        <v/>
      </c>
      <c r="AV304" s="27">
        <f>SUM(I304,L304,O304,R304,U304,X304,AA304,AD304,AG304,AJ304,AM304,AP304)</f>
        <v/>
      </c>
      <c r="AW304" s="28">
        <f>SUM(J304,M304,P304,S304,V304,Y304,AB304,AE304,AH304,AK304,AN304,AQ304)</f>
        <v/>
      </c>
      <c r="AX304" s="241">
        <f>SUM(H304,K304,N304)</f>
        <v/>
      </c>
      <c r="AY304" s="27">
        <f>SUM(I304,L304,O304)</f>
        <v/>
      </c>
      <c r="AZ304" s="28">
        <f>SUM(J304,M304,P304)</f>
        <v/>
      </c>
      <c r="BA304" s="241">
        <f>SUM(Q304,T304,W304)</f>
        <v/>
      </c>
      <c r="BB304" s="27">
        <f>SUM(R304,U304,X304)</f>
        <v/>
      </c>
      <c r="BC304" s="28">
        <f>SUM(S304,V304,Y304)</f>
        <v/>
      </c>
      <c r="BD304" s="241">
        <f>SUM(Z304,AC304,AF304)</f>
        <v/>
      </c>
      <c r="BE304" s="27">
        <f>SUM(AA304,AD304,AG304)</f>
        <v/>
      </c>
      <c r="BF304" s="28">
        <f>SUM(AB304,AE304,AH304)</f>
        <v/>
      </c>
      <c r="BG304" s="241">
        <f>SUM(AI304,AL304,AO304)</f>
        <v/>
      </c>
      <c r="BH304" s="27">
        <f>SUM(AJ304,AM304,AP304)</f>
        <v/>
      </c>
      <c r="BI304" s="28">
        <f>SUM(AK304,AN304,AQ304)</f>
        <v/>
      </c>
    </row>
    <row r="305" hidden="1" outlineLevel="1" customFormat="1" s="498">
      <c r="A305" s="22" t="inlineStr">
        <is>
          <t>Fee Gestão FB</t>
        </is>
      </c>
      <c r="B305" s="23" t="n"/>
      <c r="C305" s="24" t="inlineStr">
        <is>
          <t>Contrato %</t>
        </is>
      </c>
      <c r="D305" s="25" t="n">
        <v>-20000</v>
      </c>
      <c r="E305" s="124" t="n">
        <v>0</v>
      </c>
      <c r="F305" s="56" t="n"/>
      <c r="G305" s="33" t="n"/>
      <c r="H305" s="241" t="n"/>
      <c r="I305" s="27">
        <f>-SUMIFS(T_ORCAMENTOS!$E:$E,T_ORCAMENTOS!$C:$C,"Fee Gestão FB",T_ORCAMENTOS!$H:$H,"1/2026")</f>
        <v/>
      </c>
      <c r="J305" s="28">
        <f>SUMIFS(Aut_BlueMe_Sem_Pedido!$J:$J,Aut_BlueMe_Sem_Pedido!$Q:$Q,DRE!H$4,Aut_BlueMe_Sem_Pedido!$H:$H,DRE!$A305)+SUMIFS(Aut_Ajustes_Manuais!$G:$G,Aut_Ajustes_Manuais!$I:$I,DRE!H$4,Aut_Ajustes_Manuais!$F:$F,"Fee Gestão FB")</f>
        <v/>
      </c>
      <c r="K305" s="241" t="n"/>
      <c r="L305" s="27">
        <f>-SUMIFS(T_ORCAMENTOS!$E:$E,T_ORCAMENTOS!$C:$C,"Fee Gestão FB",T_ORCAMENTOS!$H:$H,"2/2026")</f>
        <v/>
      </c>
      <c r="M305" s="28">
        <f>SUMIFS(Aut_BlueMe_Sem_Pedido!$J:$J,Aut_BlueMe_Sem_Pedido!$Q:$Q,DRE!K$4,Aut_BlueMe_Sem_Pedido!$H:$H,DRE!$A305)+SUMIFS(Aut_Ajustes_Manuais!$G:$G,Aut_Ajustes_Manuais!$I:$I,DRE!K$4,Aut_Ajustes_Manuais!$F:$F,"Fee Gestão FB")</f>
        <v/>
      </c>
      <c r="N305" s="241" t="n"/>
      <c r="O305" s="27">
        <f>-SUMIFS(T_ORCAMENTOS!$E:$E,T_ORCAMENTOS!$C:$C,"Fee Gestão FB",T_ORCAMENTOS!$H:$H,"3/2026")</f>
        <v/>
      </c>
      <c r="P305" s="27">
        <f>SUMIFS(Aut_BlueMe_Sem_Pedido!$J:$J,Aut_BlueMe_Sem_Pedido!$Q:$Q,DRE!N$4,Aut_BlueMe_Sem_Pedido!$H:$H,DRE!$A305)+SUMIFS(Aut_Ajustes_Manuais!$G:$G,Aut_Ajustes_Manuais!$I:$I,DRE!N$4,Aut_Ajustes_Manuais!$F:$F,"Fee Gestão FB")</f>
        <v/>
      </c>
      <c r="Q305" s="241" t="n"/>
      <c r="R305" s="27">
        <f>-SUMIFS(T_ORCAMENTOS!$E:$E,T_ORCAMENTOS!$C:$C,"Fee Gestão FB",T_ORCAMENTOS!$H:$H,"4/2026")</f>
        <v/>
      </c>
      <c r="S305" s="27">
        <f>SUMIFS(Aut_BlueMe_Sem_Pedido!$J:$J,Aut_BlueMe_Sem_Pedido!$Q:$Q,DRE!Q$4,Aut_BlueMe_Sem_Pedido!$H:$H,DRE!$A305)+SUMIFS(Aut_Ajustes_Manuais!$G:$G,Aut_Ajustes_Manuais!$I:$I,DRE!Q$4,Aut_Ajustes_Manuais!$F:$F,"Fee Gestão FB")</f>
        <v/>
      </c>
      <c r="T305" s="241" t="n"/>
      <c r="U305" s="27">
        <f>-SUMIFS(T_ORCAMENTOS!$E:$E,T_ORCAMENTOS!$C:$C,"Fee Gestão FB",T_ORCAMENTOS!$H:$H,"5/2026")</f>
        <v/>
      </c>
      <c r="V305" s="27">
        <f>SUMIFS(Aut_BlueMe_Sem_Pedido!$J:$J,Aut_BlueMe_Sem_Pedido!$Q:$Q,DRE!T$4,Aut_BlueMe_Sem_Pedido!$H:$H,DRE!$A305)+SUMIFS(Aut_Ajustes_Manuais!$G:$G,Aut_Ajustes_Manuais!$I:$I,DRE!T$4,Aut_Ajustes_Manuais!$F:$F,"Fee Gestão FB")</f>
        <v/>
      </c>
      <c r="W305" s="241" t="n"/>
      <c r="X305" s="27">
        <f>-SUMIFS(T_ORCAMENTOS!$E:$E,T_ORCAMENTOS!$C:$C,"Fee Gestão FB",T_ORCAMENTOS!$H:$H,"6/2026")</f>
        <v/>
      </c>
      <c r="Y305" s="28">
        <f>SUMIFS(Aut_BlueMe_Sem_Pedido!$J:$J,Aut_BlueMe_Sem_Pedido!$Q:$Q,DRE!W$4,Aut_BlueMe_Sem_Pedido!$H:$H,DRE!$A305)+SUMIFS(Aut_Ajustes_Manuais!$G:$G,Aut_Ajustes_Manuais!$I:$I,DRE!W$4,Aut_Ajustes_Manuais!$F:$F,"Fee Gestão FB")</f>
        <v/>
      </c>
      <c r="Z305" s="241" t="n"/>
      <c r="AA305" s="27">
        <f>-SUMIFS(T_ORCAMENTOS!$E:$E,T_ORCAMENTOS!$C:$C,"Fee Gestão FB",T_ORCAMENTOS!$H:$H,"7/2026")</f>
        <v/>
      </c>
      <c r="AB305" s="28">
        <f>SUMIFS(Aut_BlueMe_Sem_Pedido!$J:$J,Aut_BlueMe_Sem_Pedido!$Q:$Q,DRE!Z$4,Aut_BlueMe_Sem_Pedido!$H:$H,DRE!$A305)+SUMIFS(Aut_Ajustes_Manuais!$G:$G,Aut_Ajustes_Manuais!$I:$I,DRE!Z$4,Aut_Ajustes_Manuais!$F:$F,"Fee Gestão FB")</f>
        <v/>
      </c>
      <c r="AC305" s="241" t="n"/>
      <c r="AD305" s="27">
        <f>-SUMIFS(T_ORCAMENTOS!$E:$E,T_ORCAMENTOS!$C:$C,"Fee Gestão FB",T_ORCAMENTOS!$H:$H,"8/2026")</f>
        <v/>
      </c>
      <c r="AE305" s="28">
        <f>SUMIFS(Aut_BlueMe_Sem_Pedido!$J:$J,Aut_BlueMe_Sem_Pedido!$Q:$Q,DRE!AC$4,Aut_BlueMe_Sem_Pedido!$H:$H,DRE!$A305)+SUMIFS(Aut_Ajustes_Manuais!$G:$G,Aut_Ajustes_Manuais!$I:$I,DRE!AC$4,Aut_Ajustes_Manuais!$F:$F,"Fee Gestão FB")</f>
        <v/>
      </c>
      <c r="AF305" s="241" t="n"/>
      <c r="AG305" s="27">
        <f>-SUMIFS(T_ORCAMENTOS!$E:$E,T_ORCAMENTOS!$C:$C,"Fee Gestão FB",T_ORCAMENTOS!$H:$H,"9/2026")</f>
        <v/>
      </c>
      <c r="AH305" s="28">
        <f>SUMIFS(Aut_BlueMe_Sem_Pedido!$J:$J,Aut_BlueMe_Sem_Pedido!$Q:$Q,DRE!AF$4,Aut_BlueMe_Sem_Pedido!$H:$H,DRE!$A305)+SUMIFS(Aut_Ajustes_Manuais!$G:$G,Aut_Ajustes_Manuais!$I:$I,DRE!AF$4,Aut_Ajustes_Manuais!$F:$F,"Fee Gestão FB")</f>
        <v/>
      </c>
      <c r="AI305" s="241" t="n"/>
      <c r="AJ305" s="27">
        <f>-SUMIFS(T_ORCAMENTOS!$E:$E,T_ORCAMENTOS!$C:$C,"Fee Gestão FB",T_ORCAMENTOS!$H:$H,"10/2026")</f>
        <v/>
      </c>
      <c r="AK305" s="28">
        <f>SUMIFS(Aut_BlueMe_Sem_Pedido!$J:$J,Aut_BlueMe_Sem_Pedido!$Q:$Q,DRE!AI$4,Aut_BlueMe_Sem_Pedido!$H:$H,DRE!$A305)+SUMIFS(Aut_Ajustes_Manuais!$G:$G,Aut_Ajustes_Manuais!$I:$I,DRE!AI$4,Aut_Ajustes_Manuais!$F:$F,"Fee Gestão FB")</f>
        <v/>
      </c>
      <c r="AL305" s="241" t="n"/>
      <c r="AM305" s="27">
        <f>-SUMIFS(T_ORCAMENTOS!$E:$E,T_ORCAMENTOS!$C:$C,"Fee Gestão FB",T_ORCAMENTOS!$H:$H,"11/2026")</f>
        <v/>
      </c>
      <c r="AN305" s="28">
        <f>SUMIFS(Aut_BlueMe_Sem_Pedido!$J:$J,Aut_BlueMe_Sem_Pedido!$Q:$Q,DRE!AL$4,Aut_BlueMe_Sem_Pedido!$H:$H,DRE!$A305)+SUMIFS(Aut_Ajustes_Manuais!$G:$G,Aut_Ajustes_Manuais!$I:$I,DRE!AL$4,Aut_Ajustes_Manuais!$F:$F,"Fee Gestão FB")</f>
        <v/>
      </c>
      <c r="AO305" s="241" t="n"/>
      <c r="AP305" s="27">
        <f>-SUMIFS(T_ORCAMENTOS!$E:$E,T_ORCAMENTOS!$C:$C,"Fee Gestão FB",T_ORCAMENTOS!$H:$H,"12/2026")</f>
        <v/>
      </c>
      <c r="AQ305" s="28">
        <f>SUMIFS(Aut_BlueMe_Sem_Pedido!$J:$J,Aut_BlueMe_Sem_Pedido!$Q:$Q,DRE!AO$4,Aut_BlueMe_Sem_Pedido!$H:$H,DRE!$A305)+SUMIFS(Aut_Ajustes_Manuais!$G:$G,Aut_Ajustes_Manuais!$I:$I,DRE!AO$4,Aut_Ajustes_Manuais!$F:$F,"Fee Gestão FB")</f>
        <v/>
      </c>
      <c r="AR305" s="241">
        <f>SUMIFS($H305:$AO305,$H$5:$AO$5,"&lt;"&amp;MONTH(TODAY()),$H$6:$AO$6,"REAL 25")</f>
        <v/>
      </c>
      <c r="AS305" s="27">
        <f>SUMIFS($I305:$AP305,$I$5:$AP$5,"&lt;"&amp;MONTH(TODAY()),$I$6:$AP$6,"ORÇADO ")</f>
        <v/>
      </c>
      <c r="AT305" s="28">
        <f>SUMIFS($J305:$AQ305,$J$5:$AQ$5,"&lt;"&amp;MONTH(TODAY()),$J$6:$AQ$6,"REAL 26")</f>
        <v/>
      </c>
      <c r="AU305" s="241">
        <f>SUM(H305,K305,N305,Q305,T305,W305,Z305,AC305,AF305,AI305,AL305,AO305)</f>
        <v/>
      </c>
      <c r="AV305" s="27">
        <f>SUM(I305,L305,O305,R305,U305,X305,AA305,AD305,AG305,AJ305,AM305,AP305)</f>
        <v/>
      </c>
      <c r="AW305" s="28">
        <f>SUM(J305,M305,P305,S305,V305,Y305,AB305,AE305,AH305,AK305,AN305,AQ305)</f>
        <v/>
      </c>
      <c r="AX305" s="241">
        <f>SUM(H305,K305,N305)</f>
        <v/>
      </c>
      <c r="AY305" s="27">
        <f>SUM(I305,L305,O305)</f>
        <v/>
      </c>
      <c r="AZ305" s="28">
        <f>SUM(J305,M305,P305)</f>
        <v/>
      </c>
      <c r="BA305" s="241">
        <f>SUM(Q305,T305,W305)</f>
        <v/>
      </c>
      <c r="BB305" s="27">
        <f>SUM(R305,U305,X305)</f>
        <v/>
      </c>
      <c r="BC305" s="28">
        <f>SUM(S305,V305,Y305)</f>
        <v/>
      </c>
      <c r="BD305" s="241">
        <f>SUM(Z305,AC305,AF305)</f>
        <v/>
      </c>
      <c r="BE305" s="27">
        <f>SUM(AA305,AD305,AG305)</f>
        <v/>
      </c>
      <c r="BF305" s="28">
        <f>SUM(AB305,AE305,AH305)</f>
        <v/>
      </c>
      <c r="BG305" s="241">
        <f>SUM(AI305,AL305,AO305)</f>
        <v/>
      </c>
      <c r="BH305" s="27">
        <f>SUM(AJ305,AM305,AP305)</f>
        <v/>
      </c>
      <c r="BI305" s="28">
        <f>SUM(AK305,AN305,AQ305)</f>
        <v/>
      </c>
    </row>
    <row r="306" collapsed="1">
      <c r="A306" s="71" t="inlineStr">
        <is>
          <t>% sobre Receita Bruta</t>
        </is>
      </c>
      <c r="B306" s="59" t="n"/>
      <c r="C306" s="60" t="n"/>
      <c r="D306" s="61" t="n"/>
      <c r="E306" s="62" t="n"/>
      <c r="F306" s="63" t="n"/>
      <c r="G306" s="47" t="n"/>
      <c r="H306" s="245" t="n"/>
      <c r="I306" s="50">
        <f>IFERROR(I302/I8,0)</f>
        <v/>
      </c>
      <c r="J306" s="51">
        <f>IFERROR(J302/J8,0)+SUMIFS(Aut_Ajustes_Manuais!$G:$G,Aut_Ajustes_Manuais!$I:$I,DRE!H$4,Aut_Ajustes_Manuais!$F:$F,"% sobre Receita Bruta")</f>
        <v/>
      </c>
      <c r="K306" s="245" t="n"/>
      <c r="L306" s="50">
        <f>IFERROR(L302/L8,0)</f>
        <v/>
      </c>
      <c r="M306" s="51">
        <f>IFERROR(M302/M8,0)+SUMIFS(Aut_Ajustes_Manuais!$G:$G,Aut_Ajustes_Manuais!$I:$I,DRE!K$4,Aut_Ajustes_Manuais!$F:$F,"% sobre Receita Bruta")</f>
        <v/>
      </c>
      <c r="N306" s="245" t="n"/>
      <c r="O306" s="50">
        <f>IFERROR(O302/O8,0)</f>
        <v/>
      </c>
      <c r="P306" s="51">
        <f>IFERROR(P302/P8,0)+SUMIFS(Aut_Ajustes_Manuais!$G:$G,Aut_Ajustes_Manuais!$I:$I,DRE!N$4,Aut_Ajustes_Manuais!$F:$F,"% sobre Receita Bruta")</f>
        <v/>
      </c>
      <c r="Q306" s="245" t="n"/>
      <c r="R306" s="50">
        <f>IFERROR(R302/R8,0)</f>
        <v/>
      </c>
      <c r="S306" s="51">
        <f>IFERROR(S302/S8,0)+SUMIFS(Aut_Ajustes_Manuais!$G:$G,Aut_Ajustes_Manuais!$I:$I,DRE!Q$4,Aut_Ajustes_Manuais!$F:$F,"% sobre Receita Bruta")</f>
        <v/>
      </c>
      <c r="T306" s="245" t="n"/>
      <c r="U306" s="50">
        <f>IFERROR(U302/U8,0)</f>
        <v/>
      </c>
      <c r="V306" s="51">
        <f>IFERROR(V302/V8,0)+SUMIFS(Aut_Ajustes_Manuais!$G:$G,Aut_Ajustes_Manuais!$I:$I,DRE!T$4,Aut_Ajustes_Manuais!$F:$F,"% sobre Receita Bruta")</f>
        <v/>
      </c>
      <c r="W306" s="245" t="n"/>
      <c r="X306" s="50">
        <f>IFERROR(X302/X8,0)</f>
        <v/>
      </c>
      <c r="Y306" s="51">
        <f>IFERROR(Y302/Y8,0)+SUMIFS(Aut_Ajustes_Manuais!$G:$G,Aut_Ajustes_Manuais!$I:$I,DRE!W$4,Aut_Ajustes_Manuais!$F:$F,"% sobre Receita Bruta")</f>
        <v/>
      </c>
      <c r="Z306" s="245" t="n"/>
      <c r="AA306" s="50">
        <f>IFERROR(AA302/AA8,0)</f>
        <v/>
      </c>
      <c r="AB306" s="51">
        <f>IFERROR(AB302/AB8,0)+SUMIFS(Aut_Ajustes_Manuais!$G:$G,Aut_Ajustes_Manuais!$I:$I,DRE!Z$4,Aut_Ajustes_Manuais!$F:$F,"% sobre Receita Bruta")</f>
        <v/>
      </c>
      <c r="AC306" s="245" t="n"/>
      <c r="AD306" s="50">
        <f>IFERROR(AD302/AD8,0)</f>
        <v/>
      </c>
      <c r="AE306" s="51">
        <f>IFERROR(AE302/AE8,0)+SUMIFS(Aut_Ajustes_Manuais!$G:$G,Aut_Ajustes_Manuais!$I:$I,DRE!AC$4,Aut_Ajustes_Manuais!$F:$F,"% sobre Receita Bruta")</f>
        <v/>
      </c>
      <c r="AF306" s="245" t="n"/>
      <c r="AG306" s="50">
        <f>IFERROR(AG302/AG8,0)</f>
        <v/>
      </c>
      <c r="AH306" s="51">
        <f>IFERROR(AH302/AH8,0)+SUMIFS(Aut_Ajustes_Manuais!$G:$G,Aut_Ajustes_Manuais!$I:$I,DRE!AF$4,Aut_Ajustes_Manuais!$F:$F,"% sobre Receita Bruta")</f>
        <v/>
      </c>
      <c r="AI306" s="245" t="n"/>
      <c r="AJ306" s="50">
        <f>IFERROR(AJ302/AJ8,0)</f>
        <v/>
      </c>
      <c r="AK306" s="51">
        <f>IFERROR(AK302/AK8,0)+SUMIFS(Aut_Ajustes_Manuais!$G:$G,Aut_Ajustes_Manuais!$I:$I,DRE!AI$4,Aut_Ajustes_Manuais!$F:$F,"% sobre Receita Bruta")</f>
        <v/>
      </c>
      <c r="AL306" s="245" t="n"/>
      <c r="AM306" s="50">
        <f>IFERROR(AM302/AM8,0)</f>
        <v/>
      </c>
      <c r="AN306" s="51">
        <f>IFERROR(AN302/AN8,0)+SUMIFS(Aut_Ajustes_Manuais!$G:$G,Aut_Ajustes_Manuais!$I:$I,DRE!AL$4,Aut_Ajustes_Manuais!$F:$F,"% sobre Receita Bruta")</f>
        <v/>
      </c>
      <c r="AO306" s="245" t="n"/>
      <c r="AP306" s="50">
        <f>IFERROR(AP302/AP8,0)</f>
        <v/>
      </c>
      <c r="AQ306" s="51">
        <f>IFERROR(AQ302/AQ8,0)+SUMIFS(Aut_Ajustes_Manuais!$G:$G,Aut_Ajustes_Manuais!$I:$I,DRE!AO$4,Aut_Ajustes_Manuais!$F:$F,"% sobre Receita Bruta")</f>
        <v/>
      </c>
      <c r="AR306" s="245">
        <f>IFERROR(AR302/AR8,0)</f>
        <v/>
      </c>
      <c r="AS306" s="50">
        <f>IFERROR(AS302/AS8,0)</f>
        <v/>
      </c>
      <c r="AT306" s="51">
        <f>IFERROR(AT302/AT8,0)</f>
        <v/>
      </c>
      <c r="AU306" s="245">
        <f>IFERROR(AU302/AU8,0)</f>
        <v/>
      </c>
      <c r="AV306" s="50">
        <f>IFERROR(AV302/AV8,0)</f>
        <v/>
      </c>
      <c r="AW306" s="51">
        <f>IFERROR(AW302/AW8,0)</f>
        <v/>
      </c>
      <c r="AX306" s="245">
        <f>IFERROR(AX302/AX8,0)</f>
        <v/>
      </c>
      <c r="AY306" s="50">
        <f>IFERROR(AY302/AY8,0)</f>
        <v/>
      </c>
      <c r="AZ306" s="51">
        <f>IFERROR(AZ302/AZ8,0)</f>
        <v/>
      </c>
      <c r="BA306" s="245">
        <f>IFERROR(BA302/BA8,0)</f>
        <v/>
      </c>
      <c r="BB306" s="50">
        <f>IFERROR(BB302/BB8,0)</f>
        <v/>
      </c>
      <c r="BC306" s="51">
        <f>IFERROR(BC302/BC8,0)</f>
        <v/>
      </c>
      <c r="BD306" s="245">
        <f>IFERROR(BD302/BD8,0)</f>
        <v/>
      </c>
      <c r="BE306" s="50">
        <f>IFERROR(BE302/BE8,0)</f>
        <v/>
      </c>
      <c r="BF306" s="51">
        <f>IFERROR(BF302/BF8,0)</f>
        <v/>
      </c>
      <c r="BG306" s="245">
        <f>IFERROR(BG302/BG8,0)</f>
        <v/>
      </c>
      <c r="BH306" s="50">
        <f>IFERROR(BH302/BH8,0)</f>
        <v/>
      </c>
      <c r="BI306" s="51">
        <f>IFERROR(BI302/BI8,0)</f>
        <v/>
      </c>
    </row>
    <row r="307">
      <c r="A307" s="18" t="n"/>
      <c r="E307" s="16" t="n"/>
      <c r="F307" s="17" t="n"/>
      <c r="G307" s="47" t="n"/>
      <c r="H307" s="247" t="n"/>
      <c r="I307" s="17" t="n"/>
      <c r="J307" s="57" t="n"/>
      <c r="K307" s="247" t="n"/>
      <c r="L307" s="17" t="n"/>
      <c r="M307" s="57" t="n"/>
      <c r="N307" s="247" t="n"/>
      <c r="O307" s="17" t="n"/>
      <c r="P307" s="57" t="n"/>
      <c r="Q307" s="247" t="n"/>
      <c r="R307" s="17" t="n"/>
      <c r="S307" s="57" t="n"/>
      <c r="T307" s="247" t="n"/>
      <c r="U307" s="17" t="n"/>
      <c r="V307" s="57" t="n"/>
      <c r="W307" s="247" t="n"/>
      <c r="X307" s="17" t="n"/>
      <c r="Y307" s="57" t="n"/>
      <c r="Z307" s="247" t="n"/>
      <c r="AA307" s="17" t="n"/>
      <c r="AB307" s="57" t="n"/>
      <c r="AC307" s="247" t="n"/>
      <c r="AD307" s="17" t="n"/>
      <c r="AE307" s="57" t="n"/>
      <c r="AF307" s="247" t="n"/>
      <c r="AG307" s="17" t="n"/>
      <c r="AH307" s="57" t="n"/>
      <c r="AI307" s="247" t="n"/>
      <c r="AJ307" s="17" t="n"/>
      <c r="AK307" s="57" t="n"/>
      <c r="AL307" s="247" t="n"/>
      <c r="AM307" s="17" t="n"/>
      <c r="AN307" s="57" t="n"/>
      <c r="AO307" s="247" t="n"/>
      <c r="AP307" s="17" t="n"/>
      <c r="AQ307" s="57" t="n"/>
      <c r="AR307" s="247" t="n"/>
      <c r="AS307" s="505" t="n"/>
      <c r="AT307" s="507" t="n"/>
      <c r="AU307" s="463" t="n"/>
      <c r="AV307" s="17" t="n"/>
      <c r="AW307" s="57" t="n"/>
      <c r="AX307" s="247" t="n"/>
      <c r="AY307" s="17" t="n"/>
      <c r="AZ307" s="57" t="n"/>
      <c r="BA307" s="247" t="n"/>
      <c r="BB307" s="17" t="n"/>
      <c r="BC307" s="57" t="n"/>
      <c r="BD307" s="247" t="n"/>
      <c r="BE307" s="17" t="n"/>
      <c r="BF307" s="57" t="n"/>
      <c r="BG307" s="247" t="n"/>
      <c r="BH307" s="17" t="n"/>
      <c r="BI307" s="57" t="n"/>
    </row>
    <row r="308">
      <c r="A308" s="39" t="inlineStr">
        <is>
          <t>TOTAL - DESPESAS OPERATIVAS</t>
        </is>
      </c>
      <c r="B308" s="59" t="n"/>
      <c r="C308" s="60" t="n"/>
      <c r="D308" s="125" t="n"/>
      <c r="E308" s="62" t="n"/>
      <c r="F308" s="63" t="n"/>
      <c r="G308" s="47" t="n"/>
      <c r="H308" s="244" t="n"/>
      <c r="I308" s="42">
        <f>SUM(I302,I294,I280,I266,I255,I243,I226,I216,I106)</f>
        <v/>
      </c>
      <c r="J308" s="43">
        <f>SUM(J302,J294,J280,J266,J255,J243,J226,J216,J106)+SUMIFS(Aut_Ajustes_Manuais!$G:$G,Aut_Ajustes_Manuais!$I:$I,DRE!H$4,Aut_Ajustes_Manuais!$F:$F,"TOTAL - DESPESAS OPERATIVAS")</f>
        <v/>
      </c>
      <c r="K308" s="244" t="n"/>
      <c r="L308" s="42">
        <f>SUM(L302,L294,L280,L266,L255,L243,L226,L216,L106)</f>
        <v/>
      </c>
      <c r="M308" s="43">
        <f>SUM(M302,M294,M280,M266,M255,M243,M226,M216,M106)+SUMIFS(Aut_Ajustes_Manuais!$G:$G,Aut_Ajustes_Manuais!$I:$I,DRE!K$4,Aut_Ajustes_Manuais!$F:$F,"TOTAL - DESPESAS OPERATIVAS")</f>
        <v/>
      </c>
      <c r="N308" s="244" t="n"/>
      <c r="O308" s="42">
        <f>SUM(O302,O294,O280,O266,O255,O243,O226,O216,O106)</f>
        <v/>
      </c>
      <c r="P308" s="43">
        <f>SUM(P302,P294,P280,P266,P255,P243,P226,P216,P106)+SUMIFS(Aut_Ajustes_Manuais!$G:$G,Aut_Ajustes_Manuais!$I:$I,DRE!N$4,Aut_Ajustes_Manuais!$F:$F,"TOTAL - DESPESAS OPERATIVAS")</f>
        <v/>
      </c>
      <c r="Q308" s="244" t="n"/>
      <c r="R308" s="42">
        <f>SUM(R302,R294,R280,R266,R255,R243,R226,R216,R106)</f>
        <v/>
      </c>
      <c r="S308" s="43">
        <f>SUM(S302,S294,S280,S266,S255,S243,S226,S216,S106)+SUMIFS(Aut_Ajustes_Manuais!$G:$G,Aut_Ajustes_Manuais!$I:$I,DRE!Q$4,Aut_Ajustes_Manuais!$F:$F,"TOTAL - DESPESAS OPERATIVAS")</f>
        <v/>
      </c>
      <c r="T308" s="244" t="n"/>
      <c r="U308" s="42">
        <f>SUM(U302,U294,U280,U266,U255,U243,U226,U216,U106)</f>
        <v/>
      </c>
      <c r="V308" s="43">
        <f>SUM(V302,V294,V280,V266,V255,V243,V226,V216,V106)+SUMIFS(Aut_Ajustes_Manuais!$G:$G,Aut_Ajustes_Manuais!$I:$I,DRE!T$4,Aut_Ajustes_Manuais!$F:$F,"TOTAL - DESPESAS OPERATIVAS")</f>
        <v/>
      </c>
      <c r="W308" s="244" t="n"/>
      <c r="X308" s="42">
        <f>SUM(X302,X294,X280,X266,X255,X243,X226,X216,X106)</f>
        <v/>
      </c>
      <c r="Y308" s="43">
        <f>SUM(Y302,Y294,Y280,Y266,Y255,Y243,Y226,Y216,Y106)+SUMIFS(Aut_Ajustes_Manuais!$G:$G,Aut_Ajustes_Manuais!$I:$I,DRE!W$4,Aut_Ajustes_Manuais!$F:$F,"TOTAL - DESPESAS OPERATIVAS")</f>
        <v/>
      </c>
      <c r="Z308" s="244" t="n"/>
      <c r="AA308" s="42">
        <f>SUM(AA302,AA294,AA280,AA266,AA255,AA243,AA226,AA216,AA106)</f>
        <v/>
      </c>
      <c r="AB308" s="43">
        <f>SUM(AB302,AB294,AB280,AB266,AB255,AB243,AB226,AB216,AB106)+SUMIFS(Aut_Ajustes_Manuais!$G:$G,Aut_Ajustes_Manuais!$I:$I,DRE!Z$4,Aut_Ajustes_Manuais!$F:$F,"TOTAL - DESPESAS OPERATIVAS")</f>
        <v/>
      </c>
      <c r="AC308" s="244" t="n"/>
      <c r="AD308" s="42">
        <f>SUM(AD302,AD294,AD280,AD266,AD255,AD243,AD226,AD216,AD106)</f>
        <v/>
      </c>
      <c r="AE308" s="43">
        <f>SUM(AE302,AE294,AE280,AE266,AE255,AE243,AE226,AE216,AE106)+SUMIFS(Aut_Ajustes_Manuais!$G:$G,Aut_Ajustes_Manuais!$I:$I,DRE!AC$4,Aut_Ajustes_Manuais!$F:$F,"TOTAL - DESPESAS OPERATIVAS")</f>
        <v/>
      </c>
      <c r="AF308" s="244" t="n"/>
      <c r="AG308" s="42">
        <f>SUM(AG302,AG294,AG280,AG266,AG255,AG243,AG226,AG216,AG106)</f>
        <v/>
      </c>
      <c r="AH308" s="43">
        <f>SUM(AH302,AH294,AH280,AH266,AH255,AH243,AH226,AH216,AH106)+SUMIFS(Aut_Ajustes_Manuais!$G:$G,Aut_Ajustes_Manuais!$I:$I,DRE!AF$4,Aut_Ajustes_Manuais!$F:$F,"TOTAL - DESPESAS OPERATIVAS")</f>
        <v/>
      </c>
      <c r="AI308" s="244" t="n"/>
      <c r="AJ308" s="42">
        <f>SUM(AJ302,AJ294,AJ280,AJ266,AJ255,AJ243,AJ226,AJ216,AJ106)</f>
        <v/>
      </c>
      <c r="AK308" s="43">
        <f>SUM(AK302,AK294,AK280,AK266,AK255,AK243,AK226,AK216,AK106)+SUMIFS(Aut_Ajustes_Manuais!$G:$G,Aut_Ajustes_Manuais!$I:$I,DRE!AI$4,Aut_Ajustes_Manuais!$F:$F,"TOTAL - DESPESAS OPERATIVAS")</f>
        <v/>
      </c>
      <c r="AL308" s="244" t="n"/>
      <c r="AM308" s="42">
        <f>SUM(AM302,AM294,AM280,AM266,AM255,AM243,AM226,AM216,AM106)</f>
        <v/>
      </c>
      <c r="AN308" s="43">
        <f>SUM(AN302,AN294,AN280,AN266,AN255,AN243,AN226,AN216,AN106)+SUMIFS(Aut_Ajustes_Manuais!$G:$G,Aut_Ajustes_Manuais!$I:$I,DRE!AL$4,Aut_Ajustes_Manuais!$F:$F,"TOTAL - DESPESAS OPERATIVAS")</f>
        <v/>
      </c>
      <c r="AO308" s="244" t="n"/>
      <c r="AP308" s="42">
        <f>SUM(AP302,AP294,AP280,AP266,AP255,AP243,AP226,AP216,AP106)</f>
        <v/>
      </c>
      <c r="AQ308" s="43">
        <f>SUM(AQ302,AQ294,AQ280,AQ266,AQ255,AQ243,AQ226,AQ216,AQ106)+SUMIFS(Aut_Ajustes_Manuais!$G:$G,Aut_Ajustes_Manuais!$I:$I,DRE!AO$4,Aut_Ajustes_Manuais!$F:$F,"TOTAL - DESPESAS OPERATIVAS")</f>
        <v/>
      </c>
      <c r="AR308" s="244">
        <f>SUM(AR302,AR294,AR280,AR266,AR255,AR243,AR226,AR216,,AR106)</f>
        <v/>
      </c>
      <c r="AS308" s="42">
        <f>SUM(AS302,AS294,AS280,AS266,AS255,AS243,AS226,AS216,,AS106)</f>
        <v/>
      </c>
      <c r="AT308" s="43">
        <f>SUM(AT302,AT294,AT280,AT266,AT255,AT243,AT226,AT216,,AT106)</f>
        <v/>
      </c>
      <c r="AU308" s="244">
        <f>SUM(AU302,AU294,AU280,AU266,AU255,AU243,AU226,AU216,AU106)</f>
        <v/>
      </c>
      <c r="AV308" s="42">
        <f>SUM(AV302,AV294,AV280,AV266,AV255,AV243,AV226,AV216,AV106)</f>
        <v/>
      </c>
      <c r="AW308" s="43">
        <f>SUM(AW302,AW294,AW280,AW266,AW255,AW243,AW226,AW216,AW106)</f>
        <v/>
      </c>
      <c r="AX308" s="244">
        <f>SUM(AX302,AX294,AX280,AX266,AX255,AX243,AX226,AX216,AX106)</f>
        <v/>
      </c>
      <c r="AY308" s="42">
        <f>SUM(AY302,AY294,AY280,AY266,AY255,AY243,AY226,AY216,AY106)</f>
        <v/>
      </c>
      <c r="AZ308" s="43">
        <f>SUM(AZ302,AZ294,AZ280,AZ266,AZ255,AZ243,AZ226,AZ216,AZ106)</f>
        <v/>
      </c>
      <c r="BA308" s="244">
        <f>SUM(BA302,BA294,BA280,BA266,BA255,BA243,BA226,BA216,BA106)</f>
        <v/>
      </c>
      <c r="BB308" s="42">
        <f>SUM(BB302,BB294,BB280,BB266,BB255,BB243,BB226,BB216,BB106)</f>
        <v/>
      </c>
      <c r="BC308" s="43">
        <f>SUM(BC302,BC294,BC280,BC266,BC255,BC243,BC226,BC216,BC106)</f>
        <v/>
      </c>
      <c r="BD308" s="244">
        <f>SUM(BD302,BD294,BD280,BD266,BD255,BD243,BD226,BD216,BD106)</f>
        <v/>
      </c>
      <c r="BE308" s="42">
        <f>SUM(BE302,BE294,BE280,BE266,BE255,BE243,BE226,BE216,BE106)</f>
        <v/>
      </c>
      <c r="BF308" s="43">
        <f>SUM(BF302,BF294,BF280,BF266,BF255,BF243,BF226,BF216,BF106)</f>
        <v/>
      </c>
      <c r="BG308" s="244">
        <f>SUM(BG302,BG294,BG280,BG266,BG255,BG243,BG226,BG216,BG106)</f>
        <v/>
      </c>
      <c r="BH308" s="42">
        <f>SUM(BH302,BH294,BH280,BH266,BH255,BH243,BH226,BH216,BH106)</f>
        <v/>
      </c>
      <c r="BI308" s="43">
        <f>SUM(BI302,BI294,BI280,BI266,BI255,BI243,BI226,BI216,BI106)</f>
        <v/>
      </c>
    </row>
    <row r="309">
      <c r="A309" s="71" t="inlineStr">
        <is>
          <t>% sobre Receita Bruta</t>
        </is>
      </c>
      <c r="B309" s="59" t="n"/>
      <c r="C309" s="60" t="n"/>
      <c r="D309" s="62" t="n"/>
      <c r="E309" s="62" t="n"/>
      <c r="F309" s="63" t="n"/>
      <c r="G309" s="47" t="n"/>
      <c r="H309" s="245" t="n"/>
      <c r="I309" s="50">
        <f>IFERROR(I308/I8,0)</f>
        <v/>
      </c>
      <c r="J309" s="51">
        <f>IFERROR(J308/J8,0)+SUMIFS(Aut_Ajustes_Manuais!$G:$G,Aut_Ajustes_Manuais!$I:$I,DRE!H$4,Aut_Ajustes_Manuais!$F:$F,"% sobre Receita Bruta")</f>
        <v/>
      </c>
      <c r="K309" s="245" t="n"/>
      <c r="L309" s="50">
        <f>IFERROR(L308/L8,0)</f>
        <v/>
      </c>
      <c r="M309" s="51">
        <f>IFERROR(M308/M8,0)+SUMIFS(Aut_Ajustes_Manuais!$G:$G,Aut_Ajustes_Manuais!$I:$I,DRE!K$4,Aut_Ajustes_Manuais!$F:$F,"% sobre Receita Bruta")</f>
        <v/>
      </c>
      <c r="N309" s="245" t="n"/>
      <c r="O309" s="50">
        <f>IFERROR(O308/O8,0)</f>
        <v/>
      </c>
      <c r="P309" s="51">
        <f>IFERROR(P308/P8,0)+SUMIFS(Aut_Ajustes_Manuais!$G:$G,Aut_Ajustes_Manuais!$I:$I,DRE!N$4,Aut_Ajustes_Manuais!$F:$F,"% sobre Receita Bruta")</f>
        <v/>
      </c>
      <c r="Q309" s="245" t="n"/>
      <c r="R309" s="50">
        <f>IFERROR(R308/R8,0)</f>
        <v/>
      </c>
      <c r="S309" s="51">
        <f>IFERROR(S308/S8,0)+SUMIFS(Aut_Ajustes_Manuais!$G:$G,Aut_Ajustes_Manuais!$I:$I,DRE!Q$4,Aut_Ajustes_Manuais!$F:$F,"% sobre Receita Bruta")</f>
        <v/>
      </c>
      <c r="T309" s="245" t="n"/>
      <c r="U309" s="50">
        <f>IFERROR(U308/U8,0)</f>
        <v/>
      </c>
      <c r="V309" s="51">
        <f>IFERROR(V308/V8,0)+SUMIFS(Aut_Ajustes_Manuais!$G:$G,Aut_Ajustes_Manuais!$I:$I,DRE!T$4,Aut_Ajustes_Manuais!$F:$F,"% sobre Receita Bruta")</f>
        <v/>
      </c>
      <c r="W309" s="245" t="n"/>
      <c r="X309" s="50">
        <f>IFERROR(X308/X8,0)</f>
        <v/>
      </c>
      <c r="Y309" s="51">
        <f>IFERROR(Y308/Y8,0)+SUMIFS(Aut_Ajustes_Manuais!$G:$G,Aut_Ajustes_Manuais!$I:$I,DRE!W$4,Aut_Ajustes_Manuais!$F:$F,"% sobre Receita Bruta")</f>
        <v/>
      </c>
      <c r="Z309" s="245" t="n"/>
      <c r="AA309" s="50">
        <f>IFERROR(AA308/AA8,0)</f>
        <v/>
      </c>
      <c r="AB309" s="51">
        <f>IFERROR(AB308/AB8,0)+SUMIFS(Aut_Ajustes_Manuais!$G:$G,Aut_Ajustes_Manuais!$I:$I,DRE!Z$4,Aut_Ajustes_Manuais!$F:$F,"% sobre Receita Bruta")</f>
        <v/>
      </c>
      <c r="AC309" s="245" t="n"/>
      <c r="AD309" s="50">
        <f>IFERROR(AD308/AD8,0)</f>
        <v/>
      </c>
      <c r="AE309" s="51">
        <f>IFERROR(AE308/AE8,0)+SUMIFS(Aut_Ajustes_Manuais!$G:$G,Aut_Ajustes_Manuais!$I:$I,DRE!AC$4,Aut_Ajustes_Manuais!$F:$F,"% sobre Receita Bruta")</f>
        <v/>
      </c>
      <c r="AF309" s="245" t="n"/>
      <c r="AG309" s="50">
        <f>IFERROR(AG308/AG8,0)</f>
        <v/>
      </c>
      <c r="AH309" s="51">
        <f>IFERROR(AH308/AH8,0)+SUMIFS(Aut_Ajustes_Manuais!$G:$G,Aut_Ajustes_Manuais!$I:$I,DRE!AF$4,Aut_Ajustes_Manuais!$F:$F,"% sobre Receita Bruta")</f>
        <v/>
      </c>
      <c r="AI309" s="245" t="n"/>
      <c r="AJ309" s="50">
        <f>IFERROR(AJ308/AJ8,0)</f>
        <v/>
      </c>
      <c r="AK309" s="51">
        <f>IFERROR(AK308/AK8,0)+SUMIFS(Aut_Ajustes_Manuais!$G:$G,Aut_Ajustes_Manuais!$I:$I,DRE!AI$4,Aut_Ajustes_Manuais!$F:$F,"% sobre Receita Bruta")</f>
        <v/>
      </c>
      <c r="AL309" s="245" t="n"/>
      <c r="AM309" s="50">
        <f>IFERROR(AM308/AM8,0)</f>
        <v/>
      </c>
      <c r="AN309" s="51">
        <f>IFERROR(AN308/AN8,0)+SUMIFS(Aut_Ajustes_Manuais!$G:$G,Aut_Ajustes_Manuais!$I:$I,DRE!AL$4,Aut_Ajustes_Manuais!$F:$F,"% sobre Receita Bruta")</f>
        <v/>
      </c>
      <c r="AO309" s="245" t="n"/>
      <c r="AP309" s="50">
        <f>IFERROR(AP308/AP8,0)</f>
        <v/>
      </c>
      <c r="AQ309" s="51">
        <f>IFERROR(AQ308/AQ8,0)+SUMIFS(Aut_Ajustes_Manuais!$G:$G,Aut_Ajustes_Manuais!$I:$I,DRE!AO$4,Aut_Ajustes_Manuais!$F:$F,"% sobre Receita Bruta")</f>
        <v/>
      </c>
      <c r="AR309" s="245">
        <f>IFERROR(AR308/AR8,0)</f>
        <v/>
      </c>
      <c r="AS309" s="50">
        <f>IFERROR(AS308/AS8,0)</f>
        <v/>
      </c>
      <c r="AT309" s="51">
        <f>IFERROR(AT308/AT8,0)</f>
        <v/>
      </c>
      <c r="AU309" s="245">
        <f>IFERROR(AU308/AU8,0)</f>
        <v/>
      </c>
      <c r="AV309" s="50">
        <f>IFERROR(AV308/AV8,0)</f>
        <v/>
      </c>
      <c r="AW309" s="51">
        <f>IFERROR(AW308/AW8,0)</f>
        <v/>
      </c>
      <c r="AX309" s="245">
        <f>IFERROR(AX308/AX8,0)</f>
        <v/>
      </c>
      <c r="AY309" s="50">
        <f>IFERROR(AY308/AY8,0)</f>
        <v/>
      </c>
      <c r="AZ309" s="51">
        <f>IFERROR(AZ308/AZ8,0)</f>
        <v/>
      </c>
      <c r="BA309" s="245">
        <f>IFERROR(BA308/BA8,0)</f>
        <v/>
      </c>
      <c r="BB309" s="50">
        <f>IFERROR(BB308/BB8,0)</f>
        <v/>
      </c>
      <c r="BC309" s="51">
        <f>IFERROR(BC308/BC8,0)</f>
        <v/>
      </c>
      <c r="BD309" s="245">
        <f>IFERROR(BD308/BD8,0)</f>
        <v/>
      </c>
      <c r="BE309" s="50">
        <f>IFERROR(BE308/BE8,0)</f>
        <v/>
      </c>
      <c r="BF309" s="51">
        <f>IFERROR(BF308/BF8,0)</f>
        <v/>
      </c>
      <c r="BG309" s="245">
        <f>IFERROR(BG308/BG8,0)</f>
        <v/>
      </c>
      <c r="BH309" s="50">
        <f>IFERROR(BH308/BH8,0)</f>
        <v/>
      </c>
      <c r="BI309" s="51">
        <f>IFERROR(BI308/BI8,0)</f>
        <v/>
      </c>
    </row>
    <row r="310">
      <c r="A310" s="18" t="n"/>
      <c r="E310" s="16" t="n"/>
      <c r="F310" s="17" t="n"/>
      <c r="G310" s="47" t="n"/>
      <c r="H310" s="247" t="n"/>
      <c r="I310" s="17" t="n"/>
      <c r="J310" s="430" t="n"/>
      <c r="K310" s="247" t="n"/>
      <c r="L310" s="17" t="n"/>
      <c r="M310" s="57" t="n"/>
      <c r="N310" s="247" t="n"/>
      <c r="O310" s="17" t="n"/>
      <c r="P310" s="57" t="n"/>
      <c r="Q310" s="247" t="n"/>
      <c r="R310" s="17" t="n"/>
      <c r="S310" s="57" t="n"/>
      <c r="T310" s="247" t="n"/>
      <c r="U310" s="17" t="n"/>
      <c r="V310" s="57" t="n"/>
      <c r="W310" s="247" t="n"/>
      <c r="X310" s="17" t="n"/>
      <c r="Y310" s="57" t="n"/>
      <c r="Z310" s="247" t="n"/>
      <c r="AA310" s="17" t="n"/>
      <c r="AB310" s="57" t="n"/>
      <c r="AC310" s="247" t="n"/>
      <c r="AD310" s="17" t="n"/>
      <c r="AE310" s="57" t="n"/>
      <c r="AF310" s="247" t="n"/>
      <c r="AG310" s="17" t="n"/>
      <c r="AH310" s="57" t="n"/>
      <c r="AI310" s="247" t="n"/>
      <c r="AJ310" s="17" t="n"/>
      <c r="AK310" s="57" t="n"/>
      <c r="AL310" s="247" t="n"/>
      <c r="AM310" s="17" t="n"/>
      <c r="AN310" s="57" t="n"/>
      <c r="AO310" s="247" t="n"/>
      <c r="AP310" s="17" t="n"/>
      <c r="AQ310" s="57" t="n"/>
      <c r="AR310" s="247" t="n"/>
      <c r="AS310" s="17" t="n"/>
      <c r="AT310" s="450" t="n"/>
      <c r="AU310" s="247" t="n"/>
      <c r="AV310" s="17" t="n"/>
      <c r="AW310" s="57" t="n"/>
      <c r="AX310" s="247" t="n"/>
      <c r="AY310" s="17" t="n"/>
      <c r="AZ310" s="57" t="n"/>
      <c r="BA310" s="247" t="n"/>
      <c r="BB310" s="17" t="n"/>
      <c r="BC310" s="57" t="n"/>
      <c r="BD310" s="247" t="n"/>
      <c r="BE310" s="17" t="n"/>
      <c r="BF310" s="57" t="n"/>
      <c r="BG310" s="247" t="n"/>
      <c r="BH310" s="17" t="n"/>
      <c r="BI310" s="57" t="n"/>
    </row>
    <row r="311">
      <c r="A311" s="58" t="inlineStr">
        <is>
          <t>EBITDA</t>
        </is>
      </c>
      <c r="B311" s="59" t="n"/>
      <c r="C311" s="60" t="n"/>
      <c r="D311" s="61" t="n"/>
      <c r="E311" s="62" t="n"/>
      <c r="F311" s="63" t="n"/>
      <c r="G311" s="47" t="n"/>
      <c r="H311" s="248" t="n"/>
      <c r="I311" s="64">
        <f>SUM(I308,I102)</f>
        <v/>
      </c>
      <c r="J311" s="65">
        <f>SUM(J308,J102)+SUMIFS(Aut_Ajustes_Manuais!$G:$G,Aut_Ajustes_Manuais!$I:$I,DRE!H$4,Aut_Ajustes_Manuais!$F:$F,"EBITDA")</f>
        <v/>
      </c>
      <c r="K311" s="248" t="n"/>
      <c r="L311" s="64">
        <f>SUM(L308,L102)</f>
        <v/>
      </c>
      <c r="M311" s="65">
        <f>SUM(M308,M102)+SUMIFS(Aut_Ajustes_Manuais!$G:$G,Aut_Ajustes_Manuais!$I:$I,DRE!K$4,Aut_Ajustes_Manuais!$F:$F,"EBITDA")</f>
        <v/>
      </c>
      <c r="N311" s="248" t="n"/>
      <c r="O311" s="64">
        <f>SUM(O308,O102)</f>
        <v/>
      </c>
      <c r="P311" s="65">
        <f>SUM(P308,P102)+SUMIFS(Aut_Ajustes_Manuais!$G:$G,Aut_Ajustes_Manuais!$I:$I,DRE!N$4,Aut_Ajustes_Manuais!$F:$F,"EBITDA")</f>
        <v/>
      </c>
      <c r="Q311" s="248" t="n"/>
      <c r="R311" s="64">
        <f>SUM(R308,R102)</f>
        <v/>
      </c>
      <c r="S311" s="65">
        <f>SUM(S308,S102)+SUMIFS(Aut_Ajustes_Manuais!$G:$G,Aut_Ajustes_Manuais!$I:$I,DRE!Q$4,Aut_Ajustes_Manuais!$F:$F,"EBITDA")</f>
        <v/>
      </c>
      <c r="T311" s="248" t="n"/>
      <c r="U311" s="64">
        <f>SUM(U308,U102)</f>
        <v/>
      </c>
      <c r="V311" s="65">
        <f>SUM(V308,V102)+SUMIFS(Aut_Ajustes_Manuais!$G:$G,Aut_Ajustes_Manuais!$I:$I,DRE!T$4,Aut_Ajustes_Manuais!$F:$F,"EBITDA")</f>
        <v/>
      </c>
      <c r="W311" s="248" t="n"/>
      <c r="X311" s="64">
        <f>SUM(X308,X102)</f>
        <v/>
      </c>
      <c r="Y311" s="65">
        <f>SUM(Y308,Y102)+SUMIFS(Aut_Ajustes_Manuais!$G:$G,Aut_Ajustes_Manuais!$I:$I,DRE!W$4,Aut_Ajustes_Manuais!$F:$F,"EBITDA")</f>
        <v/>
      </c>
      <c r="Z311" s="248" t="n"/>
      <c r="AA311" s="64">
        <f>SUM(AA308,AA102)</f>
        <v/>
      </c>
      <c r="AB311" s="65">
        <f>SUM(AB308,AB102)+SUMIFS(Aut_Ajustes_Manuais!$G:$G,Aut_Ajustes_Manuais!$I:$I,DRE!Z$4,Aut_Ajustes_Manuais!$F:$F,"EBITDA")</f>
        <v/>
      </c>
      <c r="AC311" s="248" t="n"/>
      <c r="AD311" s="64">
        <f>SUM(AD308,AD102)</f>
        <v/>
      </c>
      <c r="AE311" s="65">
        <f>SUM(AE308,AE102)+SUMIFS(Aut_Ajustes_Manuais!$G:$G,Aut_Ajustes_Manuais!$I:$I,DRE!AC$4,Aut_Ajustes_Manuais!$F:$F,"EBITDA")</f>
        <v/>
      </c>
      <c r="AF311" s="248" t="n"/>
      <c r="AG311" s="64">
        <f>SUM(AG308,AG102)</f>
        <v/>
      </c>
      <c r="AH311" s="65">
        <f>SUM(AH308,AH102)+SUMIFS(Aut_Ajustes_Manuais!$G:$G,Aut_Ajustes_Manuais!$I:$I,DRE!AF$4,Aut_Ajustes_Manuais!$F:$F,"EBITDA")</f>
        <v/>
      </c>
      <c r="AI311" s="248" t="n"/>
      <c r="AJ311" s="64">
        <f>SUM(AJ308,AJ102)</f>
        <v/>
      </c>
      <c r="AK311" s="65">
        <f>SUM(AK308,AK102)+SUMIFS(Aut_Ajustes_Manuais!$G:$G,Aut_Ajustes_Manuais!$I:$I,DRE!AI$4,Aut_Ajustes_Manuais!$F:$F,"EBITDA")</f>
        <v/>
      </c>
      <c r="AL311" s="248" t="n"/>
      <c r="AM311" s="64">
        <f>SUM(AM308,AM102)</f>
        <v/>
      </c>
      <c r="AN311" s="65">
        <f>SUM(AN308,AN102)+SUMIFS(Aut_Ajustes_Manuais!$G:$G,Aut_Ajustes_Manuais!$I:$I,DRE!AL$4,Aut_Ajustes_Manuais!$F:$F,"EBITDA")</f>
        <v/>
      </c>
      <c r="AO311" s="248" t="n"/>
      <c r="AP311" s="64">
        <f>SUM(AP308,AP102)</f>
        <v/>
      </c>
      <c r="AQ311" s="65">
        <f>SUM(AQ308,AQ102)+SUMIFS(Aut_Ajustes_Manuais!$G:$G,Aut_Ajustes_Manuais!$I:$I,DRE!AO$4,Aut_Ajustes_Manuais!$F:$F,"EBITDA")</f>
        <v/>
      </c>
      <c r="AR311" s="248">
        <f>SUM(AR308,AR102)</f>
        <v/>
      </c>
      <c r="AS311" s="64">
        <f>SUM(AS308,AS102)</f>
        <v/>
      </c>
      <c r="AT311" s="65">
        <f>SUM(AT308,AT102)</f>
        <v/>
      </c>
      <c r="AU311" s="248">
        <f>SUM(AU308,AU102)</f>
        <v/>
      </c>
      <c r="AV311" s="64">
        <f>SUM(AV308,AV102)</f>
        <v/>
      </c>
      <c r="AW311" s="65">
        <f>SUM(AW308,AW102)</f>
        <v/>
      </c>
      <c r="AX311" s="248">
        <f>SUM(AX308,AX102)</f>
        <v/>
      </c>
      <c r="AY311" s="64">
        <f>SUM(AY308,AY102)</f>
        <v/>
      </c>
      <c r="AZ311" s="65">
        <f>SUM(AZ308,AZ102)</f>
        <v/>
      </c>
      <c r="BA311" s="248">
        <f>SUM(BA308,BA102)</f>
        <v/>
      </c>
      <c r="BB311" s="64">
        <f>SUM(BB308,BB102)</f>
        <v/>
      </c>
      <c r="BC311" s="65">
        <f>SUM(BC308,BC102)</f>
        <v/>
      </c>
      <c r="BD311" s="248">
        <f>SUM(BD308,BD102)</f>
        <v/>
      </c>
      <c r="BE311" s="64">
        <f>SUM(BE308,BE102)</f>
        <v/>
      </c>
      <c r="BF311" s="65">
        <f>SUM(BF308,BF102)</f>
        <v/>
      </c>
      <c r="BG311" s="248">
        <f>SUM(BG308,BG102)</f>
        <v/>
      </c>
      <c r="BH311" s="64">
        <f>SUM(BH308,BH102)</f>
        <v/>
      </c>
      <c r="BI311" s="65">
        <f>SUM(BI308,BI102)</f>
        <v/>
      </c>
    </row>
    <row r="312" ht="15" customHeight="1" thickBot="1">
      <c r="A312" s="126" t="inlineStr">
        <is>
          <t>% sobre Receita Bruta</t>
        </is>
      </c>
      <c r="B312" s="127" t="n"/>
      <c r="C312" s="128" t="n"/>
      <c r="D312" s="129" t="n"/>
      <c r="E312" s="130" t="n"/>
      <c r="F312" s="131" t="n"/>
      <c r="G312" s="132" t="n"/>
      <c r="H312" s="262" t="n"/>
      <c r="I312" s="133">
        <f>IFERROR(I311/I8,0)</f>
        <v/>
      </c>
      <c r="J312" s="134">
        <f>IFERROR(J311/J8,0)+SUMIFS(Aut_Ajustes_Manuais!$G:$G,Aut_Ajustes_Manuais!$I:$I,DRE!H$4,Aut_Ajustes_Manuais!$F:$F,"% sobre Receita Bruta")</f>
        <v/>
      </c>
      <c r="K312" s="262" t="n"/>
      <c r="L312" s="133">
        <f>IFERROR(L311/L8,0)</f>
        <v/>
      </c>
      <c r="M312" s="134">
        <f>IFERROR(M311/M8,0)+SUMIFS(Aut_Ajustes_Manuais!$G:$G,Aut_Ajustes_Manuais!$I:$I,DRE!K$4,Aut_Ajustes_Manuais!$F:$F,"% sobre Receita Bruta")</f>
        <v/>
      </c>
      <c r="N312" s="262" t="n"/>
      <c r="O312" s="133">
        <f>IFERROR(O311/O8,0)</f>
        <v/>
      </c>
      <c r="P312" s="134">
        <f>IFERROR(P311/P8,0)+SUMIFS(Aut_Ajustes_Manuais!$G:$G,Aut_Ajustes_Manuais!$I:$I,DRE!N$4,Aut_Ajustes_Manuais!$F:$F,"% sobre Receita Bruta")</f>
        <v/>
      </c>
      <c r="Q312" s="262" t="n"/>
      <c r="R312" s="133">
        <f>IFERROR(R311/R8,0)</f>
        <v/>
      </c>
      <c r="S312" s="134">
        <f>IFERROR(S311/S8,0)+SUMIFS(Aut_Ajustes_Manuais!$G:$G,Aut_Ajustes_Manuais!$I:$I,DRE!Q$4,Aut_Ajustes_Manuais!$F:$F,"% sobre Receita Bruta")</f>
        <v/>
      </c>
      <c r="T312" s="262" t="n"/>
      <c r="U312" s="133">
        <f>IFERROR(U311/U8,0)</f>
        <v/>
      </c>
      <c r="V312" s="134">
        <f>IFERROR(V311/V8,0)+SUMIFS(Aut_Ajustes_Manuais!$G:$G,Aut_Ajustes_Manuais!$I:$I,DRE!T$4,Aut_Ajustes_Manuais!$F:$F,"% sobre Receita Bruta")</f>
        <v/>
      </c>
      <c r="W312" s="262" t="n"/>
      <c r="X312" s="133">
        <f>IFERROR(X311/X8,0)</f>
        <v/>
      </c>
      <c r="Y312" s="134">
        <f>IFERROR(Y311/Y8,0)+SUMIFS(Aut_Ajustes_Manuais!$G:$G,Aut_Ajustes_Manuais!$I:$I,DRE!W$4,Aut_Ajustes_Manuais!$F:$F,"% sobre Receita Bruta")</f>
        <v/>
      </c>
      <c r="Z312" s="262" t="n"/>
      <c r="AA312" s="133">
        <f>IFERROR(AA311/AA8,0)</f>
        <v/>
      </c>
      <c r="AB312" s="134">
        <f>IFERROR(AB311/AB8,0)+SUMIFS(Aut_Ajustes_Manuais!$G:$G,Aut_Ajustes_Manuais!$I:$I,DRE!Z$4,Aut_Ajustes_Manuais!$F:$F,"% sobre Receita Bruta")</f>
        <v/>
      </c>
      <c r="AC312" s="262" t="n"/>
      <c r="AD312" s="133">
        <f>IFERROR(AD311/AD8,0)</f>
        <v/>
      </c>
      <c r="AE312" s="134">
        <f>IFERROR(AE311/AE8,0)+SUMIFS(Aut_Ajustes_Manuais!$G:$G,Aut_Ajustes_Manuais!$I:$I,DRE!AC$4,Aut_Ajustes_Manuais!$F:$F,"% sobre Receita Bruta")</f>
        <v/>
      </c>
      <c r="AF312" s="262" t="n"/>
      <c r="AG312" s="133">
        <f>IFERROR(AG311/AG8,0)</f>
        <v/>
      </c>
      <c r="AH312" s="134">
        <f>IFERROR(AH311/AH8,0)+SUMIFS(Aut_Ajustes_Manuais!$G:$G,Aut_Ajustes_Manuais!$I:$I,DRE!AF$4,Aut_Ajustes_Manuais!$F:$F,"% sobre Receita Bruta")</f>
        <v/>
      </c>
      <c r="AI312" s="262" t="n"/>
      <c r="AJ312" s="133">
        <f>IFERROR(AJ311/AJ8,0)</f>
        <v/>
      </c>
      <c r="AK312" s="134">
        <f>IFERROR(AK311/AK8,0)+SUMIFS(Aut_Ajustes_Manuais!$G:$G,Aut_Ajustes_Manuais!$I:$I,DRE!AI$4,Aut_Ajustes_Manuais!$F:$F,"% sobre Receita Bruta")</f>
        <v/>
      </c>
      <c r="AL312" s="262" t="n"/>
      <c r="AM312" s="133">
        <f>IFERROR(AM311/AM8,0)</f>
        <v/>
      </c>
      <c r="AN312" s="134">
        <f>IFERROR(AN311/AN8,0)+SUMIFS(Aut_Ajustes_Manuais!$G:$G,Aut_Ajustes_Manuais!$I:$I,DRE!AL$4,Aut_Ajustes_Manuais!$F:$F,"% sobre Receita Bruta")</f>
        <v/>
      </c>
      <c r="AO312" s="262" t="n"/>
      <c r="AP312" s="133">
        <f>IFERROR(AP311/AP8,0)</f>
        <v/>
      </c>
      <c r="AQ312" s="134">
        <f>IFERROR(AQ311/AQ8,0)+SUMIFS(Aut_Ajustes_Manuais!$G:$G,Aut_Ajustes_Manuais!$I:$I,DRE!AO$4,Aut_Ajustes_Manuais!$F:$F,"% sobre Receita Bruta")</f>
        <v/>
      </c>
      <c r="AR312" s="262">
        <f>IFERROR(AR311/AR8,0)</f>
        <v/>
      </c>
      <c r="AS312" s="133">
        <f>IFERROR(AS311/AS8,0)</f>
        <v/>
      </c>
      <c r="AT312" s="134">
        <f>IFERROR(AT311/AT8,0)</f>
        <v/>
      </c>
      <c r="AU312" s="262">
        <f>IFERROR(AU311/AU8,0)</f>
        <v/>
      </c>
      <c r="AV312" s="133">
        <f>IFERROR(AV311/AV8,0)</f>
        <v/>
      </c>
      <c r="AW312" s="134">
        <f>IFERROR(AW311/AW8,0)</f>
        <v/>
      </c>
      <c r="AX312" s="262">
        <f>IFERROR(AX311/AX8,0)</f>
        <v/>
      </c>
      <c r="AY312" s="133">
        <f>IFERROR(AY311/AY8,0)</f>
        <v/>
      </c>
      <c r="AZ312" s="134">
        <f>IFERROR(AZ311/AZ8,0)</f>
        <v/>
      </c>
      <c r="BA312" s="262">
        <f>IFERROR(BA311/BA8,0)</f>
        <v/>
      </c>
      <c r="BB312" s="133">
        <f>IFERROR(BB311/BB8,0)</f>
        <v/>
      </c>
      <c r="BC312" s="134">
        <f>IFERROR(BC311/BC8,0)</f>
        <v/>
      </c>
      <c r="BD312" s="262">
        <f>IFERROR(BD311/BD8,0)</f>
        <v/>
      </c>
      <c r="BE312" s="133">
        <f>IFERROR(BE311/BE8,0)</f>
        <v/>
      </c>
      <c r="BF312" s="134">
        <f>IFERROR(BF311/BF8,0)</f>
        <v/>
      </c>
      <c r="BG312" s="262">
        <f>IFERROR(BG311/BG8,0)</f>
        <v/>
      </c>
      <c r="BH312" s="133">
        <f>IFERROR(BH311/BH8,0)</f>
        <v/>
      </c>
      <c r="BI312" s="134">
        <f>IFERROR(BI311/BI8,0)</f>
        <v/>
      </c>
    </row>
    <row r="313">
      <c r="A313" s="18" t="n"/>
      <c r="E313" s="16" t="n"/>
      <c r="F313" s="17" t="n"/>
      <c r="G313" s="47" t="n"/>
      <c r="H313" s="247" t="n"/>
      <c r="I313" s="17" t="n"/>
      <c r="J313" s="57" t="n"/>
      <c r="K313" s="247" t="n"/>
      <c r="L313" s="17" t="n"/>
      <c r="M313" s="57" t="n"/>
      <c r="N313" s="247" t="n"/>
      <c r="O313" s="17" t="n"/>
      <c r="P313" s="57" t="n"/>
      <c r="Q313" s="247" t="n"/>
      <c r="R313" s="17" t="n"/>
      <c r="S313" s="452" t="n"/>
      <c r="T313" s="247" t="n"/>
      <c r="U313" s="17" t="n"/>
      <c r="V313" s="57" t="n"/>
      <c r="W313" s="247" t="n"/>
      <c r="X313" s="17" t="n"/>
      <c r="Y313" s="57" t="n"/>
      <c r="Z313" s="247" t="n"/>
      <c r="AA313" s="17" t="n"/>
      <c r="AB313" s="57" t="n"/>
      <c r="AC313" s="247" t="n"/>
      <c r="AD313" s="17" t="n"/>
      <c r="AE313" s="57" t="n"/>
      <c r="AF313" s="247" t="n"/>
      <c r="AG313" s="17" t="n"/>
      <c r="AH313" s="57" t="n"/>
      <c r="AI313" s="247" t="n"/>
      <c r="AJ313" s="17" t="n"/>
      <c r="AK313" s="57" t="n"/>
      <c r="AL313" s="247" t="n"/>
      <c r="AM313" s="17" t="n"/>
      <c r="AN313" s="57" t="n"/>
      <c r="AO313" s="247" t="n"/>
      <c r="AP313" s="17" t="n"/>
      <c r="AQ313" s="57" t="n"/>
      <c r="AR313" s="247" t="n"/>
      <c r="AS313" s="505" t="n"/>
      <c r="AT313" s="521" t="n"/>
      <c r="AU313" s="247" t="n"/>
      <c r="AV313" s="17" t="n"/>
      <c r="AW313" s="57" t="n"/>
      <c r="AX313" s="247" t="n"/>
      <c r="AY313" s="17" t="n"/>
      <c r="AZ313" s="57" t="n"/>
      <c r="BA313" s="247" t="n"/>
      <c r="BB313" s="17" t="n"/>
      <c r="BC313" s="57" t="n"/>
      <c r="BD313" s="247" t="n"/>
      <c r="BE313" s="17" t="n"/>
      <c r="BF313" s="57" t="n"/>
      <c r="BG313" s="247" t="n"/>
      <c r="BH313" s="17" t="n"/>
      <c r="BI313" s="57" t="n"/>
    </row>
    <row r="314">
      <c r="A314" s="39" t="inlineStr">
        <is>
          <t>(-) Depreciação/Amortização</t>
        </is>
      </c>
      <c r="B314" s="59" t="n"/>
      <c r="C314" s="135" t="inlineStr">
        <is>
          <t>CAPEX / 60</t>
        </is>
      </c>
      <c r="D314" s="61" t="n"/>
      <c r="E314" s="62" t="n"/>
      <c r="F314" s="63" t="n"/>
      <c r="G314" s="47" t="n"/>
      <c r="H314" s="244" t="n"/>
      <c r="I314" s="42" t="n"/>
      <c r="J314" s="43" t="n"/>
      <c r="K314" s="244" t="n"/>
      <c r="L314" s="42" t="n"/>
      <c r="M314" s="43" t="n"/>
      <c r="N314" s="244" t="n"/>
      <c r="O314" s="42" t="n"/>
      <c r="P314" s="43" t="n"/>
      <c r="Q314" s="244" t="n"/>
      <c r="R314" s="42" t="n"/>
      <c r="S314" s="43" t="n"/>
      <c r="T314" s="244" t="n"/>
      <c r="U314" s="42" t="n"/>
      <c r="V314" s="43" t="n"/>
      <c r="W314" s="244" t="n"/>
      <c r="X314" s="42" t="n"/>
      <c r="Y314" s="43" t="n"/>
      <c r="Z314" s="244" t="n"/>
      <c r="AA314" s="42" t="n"/>
      <c r="AB314" s="43" t="n"/>
      <c r="AC314" s="244" t="n"/>
      <c r="AD314" s="42" t="n"/>
      <c r="AE314" s="43" t="n"/>
      <c r="AF314" s="244" t="n"/>
      <c r="AG314" s="42" t="n"/>
      <c r="AH314" s="43" t="n"/>
      <c r="AI314" s="244" t="n"/>
      <c r="AJ314" s="42" t="n"/>
      <c r="AK314" s="43" t="n"/>
      <c r="AL314" s="244" t="n"/>
      <c r="AM314" s="42" t="n"/>
      <c r="AN314" s="43" t="n"/>
      <c r="AO314" s="244" t="n"/>
      <c r="AP314" s="42" t="n"/>
      <c r="AQ314" s="43" t="n"/>
      <c r="AR314" s="244">
        <f>SUMIFS($H314:$AO314,$H$5:$AO$5,"&lt;"&amp;MONTH(TODAY()),$H$6:$AO$6,"REAL 25")</f>
        <v/>
      </c>
      <c r="AS314" s="42">
        <f>SUMIFS($I314:$AP314,$I$5:$AP$5,"&lt;"&amp;MONTH(TODAY()),$I$6:$AP$6,"ORÇADO ")</f>
        <v/>
      </c>
      <c r="AT314" s="43">
        <f>SUMIFS($J314:$AQ314,$J$5:$AQ$5,"&lt;"&amp;MONTH(TODAY()),$J$6:$AQ$6,"REAL 26")</f>
        <v/>
      </c>
      <c r="AU314" s="244">
        <f>SUM(H314,K314,N314,Q314,T314,W314,Z314,AC314,AF314,AI314,AL314,AO314)</f>
        <v/>
      </c>
      <c r="AV314" s="42">
        <f>SUM(I314,L314,O314,R314,U314,X314,AA314,AD314,AG314,AJ314,AM314,AP314)</f>
        <v/>
      </c>
      <c r="AW314" s="43">
        <f>SUM(J314,M314,P314,S314,V314,Y314,AB314,AE314,AH314,AK314,AN314,AQ314)</f>
        <v/>
      </c>
      <c r="AX314" s="244">
        <f>SUM(H314,K314,N314)</f>
        <v/>
      </c>
      <c r="AY314" s="42">
        <f>SUM(I314,L314,O314)</f>
        <v/>
      </c>
      <c r="AZ314" s="43">
        <f>SUM(J314,M314,P314)</f>
        <v/>
      </c>
      <c r="BA314" s="244">
        <f>SUM(Q314,T314,W314)</f>
        <v/>
      </c>
      <c r="BB314" s="42">
        <f>SUM(R314,U314,X314)</f>
        <v/>
      </c>
      <c r="BC314" s="43">
        <f>SUM(S314,V314,Y314)</f>
        <v/>
      </c>
      <c r="BD314" s="244">
        <f>SUM(Z314,AC314,AF314)</f>
        <v/>
      </c>
      <c r="BE314" s="42">
        <f>SUM(AA314,AD314,AG314)</f>
        <v/>
      </c>
      <c r="BF314" s="43">
        <f>SUM(AB314,AE314,AH314)</f>
        <v/>
      </c>
      <c r="BG314" s="244">
        <f>SUM(AI314,AL314,AO314)</f>
        <v/>
      </c>
      <c r="BH314" s="42">
        <f>SUM(AJ314,AM314,AP314)</f>
        <v/>
      </c>
      <c r="BI314" s="43">
        <f>SUM(AK314,AN314,AQ314)</f>
        <v/>
      </c>
    </row>
    <row r="315">
      <c r="A315" s="18" t="n"/>
      <c r="E315" s="16" t="n"/>
      <c r="F315" s="17" t="n"/>
      <c r="G315" s="47" t="n"/>
      <c r="H315" s="247" t="n"/>
      <c r="I315" s="17" t="n"/>
      <c r="J315" s="57" t="n"/>
      <c r="K315" s="247" t="n"/>
      <c r="L315" s="17" t="n"/>
      <c r="M315" s="57" t="n"/>
      <c r="N315" s="247" t="n"/>
      <c r="O315" s="17" t="n"/>
      <c r="P315" s="57" t="n"/>
      <c r="Q315" s="247" t="n"/>
      <c r="R315" s="17" t="n"/>
      <c r="S315" s="57" t="n"/>
      <c r="T315" s="247" t="n"/>
      <c r="U315" s="17" t="n"/>
      <c r="V315" s="57" t="n"/>
      <c r="W315" s="247" t="n"/>
      <c r="X315" s="17" t="n"/>
      <c r="Y315" s="57" t="n"/>
      <c r="Z315" s="247" t="n"/>
      <c r="AA315" s="17" t="n"/>
      <c r="AB315" s="57" t="n"/>
      <c r="AC315" s="247" t="n"/>
      <c r="AD315" s="17" t="n"/>
      <c r="AE315" s="57" t="n"/>
      <c r="AF315" s="247" t="n"/>
      <c r="AG315" s="17" t="n"/>
      <c r="AH315" s="57" t="n"/>
      <c r="AI315" s="247" t="n"/>
      <c r="AJ315" s="17" t="n"/>
      <c r="AK315" s="57" t="n"/>
      <c r="AL315" s="247" t="n"/>
      <c r="AM315" s="17" t="n"/>
      <c r="AN315" s="57" t="n"/>
      <c r="AO315" s="247" t="n"/>
      <c r="AP315" s="17" t="n"/>
      <c r="AQ315" s="57" t="n"/>
      <c r="AR315" s="247" t="n"/>
      <c r="AS315" s="17" t="n"/>
      <c r="AT315" s="57" t="n"/>
      <c r="AU315" s="247" t="n"/>
      <c r="AV315" s="17" t="n"/>
      <c r="AW315" s="57" t="n"/>
      <c r="AX315" s="247" t="n"/>
      <c r="AY315" s="17" t="n"/>
      <c r="AZ315" s="57" t="n"/>
      <c r="BA315" s="247" t="n"/>
      <c r="BB315" s="17" t="n"/>
      <c r="BC315" s="57" t="n"/>
      <c r="BD315" s="247" t="n"/>
      <c r="BE315" s="17" t="n"/>
      <c r="BF315" s="57" t="n"/>
      <c r="BG315" s="247" t="n"/>
      <c r="BH315" s="17" t="n"/>
      <c r="BI315" s="57" t="n"/>
    </row>
    <row r="316">
      <c r="A316" s="58" t="inlineStr">
        <is>
          <t>EBIT</t>
        </is>
      </c>
      <c r="B316" s="59" t="n"/>
      <c r="C316" s="60" t="n"/>
      <c r="D316" s="61" t="n"/>
      <c r="E316" s="62" t="n"/>
      <c r="F316" s="63" t="n"/>
      <c r="G316" s="47" t="n"/>
      <c r="H316" s="248">
        <f>SUM(H314,H311)</f>
        <v/>
      </c>
      <c r="I316" s="64">
        <f>SUM(I314,I311)</f>
        <v/>
      </c>
      <c r="J316" s="65">
        <f>SUM(J314,J311)+SUMIFS(Aut_Ajustes_Manuais!$G:$G,Aut_Ajustes_Manuais!$I:$I,DRE!H$4,Aut_Ajustes_Manuais!$F:$F,"EBIT")</f>
        <v/>
      </c>
      <c r="K316" s="248">
        <f>SUM(K314,K311)</f>
        <v/>
      </c>
      <c r="L316" s="64">
        <f>SUM(L314,L311)</f>
        <v/>
      </c>
      <c r="M316" s="65">
        <f>SUM(M314,M311)+SUMIFS(Aut_Ajustes_Manuais!$G:$G,Aut_Ajustes_Manuais!$I:$I,DRE!K$4,Aut_Ajustes_Manuais!$F:$F,"EBIT")</f>
        <v/>
      </c>
      <c r="N316" s="248">
        <f>SUM(N314,N311)</f>
        <v/>
      </c>
      <c r="O316" s="64">
        <f>SUM(O314,O311)</f>
        <v/>
      </c>
      <c r="P316" s="65">
        <f>SUM(P314,P311)+SUMIFS(Aut_Ajustes_Manuais!$G:$G,Aut_Ajustes_Manuais!$I:$I,DRE!N$4,Aut_Ajustes_Manuais!$F:$F,"EBIT")</f>
        <v/>
      </c>
      <c r="Q316" s="248">
        <f>SUM(Q314,Q311)</f>
        <v/>
      </c>
      <c r="R316" s="64">
        <f>SUM(R314,R311)</f>
        <v/>
      </c>
      <c r="S316" s="65">
        <f>SUM(S314,S311)+SUMIFS(Aut_Ajustes_Manuais!$G:$G,Aut_Ajustes_Manuais!$I:$I,DRE!Q$4,Aut_Ajustes_Manuais!$F:$F,"EBIT")</f>
        <v/>
      </c>
      <c r="T316" s="248">
        <f>SUM(T314,T311)</f>
        <v/>
      </c>
      <c r="U316" s="64">
        <f>SUM(U314,U311)</f>
        <v/>
      </c>
      <c r="V316" s="65">
        <f>SUM(V314,V311)+SUMIFS(Aut_Ajustes_Manuais!$G:$G,Aut_Ajustes_Manuais!$I:$I,DRE!T$4,Aut_Ajustes_Manuais!$F:$F,"EBIT")</f>
        <v/>
      </c>
      <c r="W316" s="248">
        <f>SUM(W314,W311)</f>
        <v/>
      </c>
      <c r="X316" s="64">
        <f>SUM(X314,X311)</f>
        <v/>
      </c>
      <c r="Y316" s="65">
        <f>SUM(Y314,Y311)+SUMIFS(Aut_Ajustes_Manuais!$G:$G,Aut_Ajustes_Manuais!$I:$I,DRE!W$4,Aut_Ajustes_Manuais!$F:$F,"EBIT")</f>
        <v/>
      </c>
      <c r="Z316" s="248">
        <f>SUM(Z314,Z311)</f>
        <v/>
      </c>
      <c r="AA316" s="64">
        <f>SUM(AA314,AA311)</f>
        <v/>
      </c>
      <c r="AB316" s="65">
        <f>SUM(AB314,AB311)+SUMIFS(Aut_Ajustes_Manuais!$G:$G,Aut_Ajustes_Manuais!$I:$I,DRE!Z$4,Aut_Ajustes_Manuais!$F:$F,"EBIT")</f>
        <v/>
      </c>
      <c r="AC316" s="248">
        <f>SUM(AC314,AC311)</f>
        <v/>
      </c>
      <c r="AD316" s="64">
        <f>SUM(AD314,AD311)</f>
        <v/>
      </c>
      <c r="AE316" s="65">
        <f>SUM(AE314,AE311)+SUMIFS(Aut_Ajustes_Manuais!$G:$G,Aut_Ajustes_Manuais!$I:$I,DRE!AC$4,Aut_Ajustes_Manuais!$F:$F,"EBIT")</f>
        <v/>
      </c>
      <c r="AF316" s="248">
        <f>SUM(AF314,AF311)</f>
        <v/>
      </c>
      <c r="AG316" s="64">
        <f>SUM(AG314,AG311)</f>
        <v/>
      </c>
      <c r="AH316" s="65">
        <f>SUM(AH314,AH311)+SUMIFS(Aut_Ajustes_Manuais!$G:$G,Aut_Ajustes_Manuais!$I:$I,DRE!AF$4,Aut_Ajustes_Manuais!$F:$F,"EBIT")</f>
        <v/>
      </c>
      <c r="AI316" s="248">
        <f>SUM(AI314,AI311)</f>
        <v/>
      </c>
      <c r="AJ316" s="64">
        <f>SUM(AJ314,AJ311)</f>
        <v/>
      </c>
      <c r="AK316" s="65">
        <f>SUM(AK314,AK311)+SUMIFS(Aut_Ajustes_Manuais!$G:$G,Aut_Ajustes_Manuais!$I:$I,DRE!AI$4,Aut_Ajustes_Manuais!$F:$F,"EBIT")</f>
        <v/>
      </c>
      <c r="AL316" s="248">
        <f>SUM(AL314,AL311)</f>
        <v/>
      </c>
      <c r="AM316" s="64">
        <f>SUM(AM314,AM311)</f>
        <v/>
      </c>
      <c r="AN316" s="65">
        <f>SUM(AN314,AN311)+SUMIFS(Aut_Ajustes_Manuais!$G:$G,Aut_Ajustes_Manuais!$I:$I,DRE!AL$4,Aut_Ajustes_Manuais!$F:$F,"EBIT")</f>
        <v/>
      </c>
      <c r="AO316" s="248">
        <f>SUM(AO314,AO311)</f>
        <v/>
      </c>
      <c r="AP316" s="64">
        <f>SUM(AP314,AP311)</f>
        <v/>
      </c>
      <c r="AQ316" s="65">
        <f>SUM(AQ314,AQ311)+SUMIFS(Aut_Ajustes_Manuais!$G:$G,Aut_Ajustes_Manuais!$I:$I,DRE!AO$4,Aut_Ajustes_Manuais!$F:$F,"EBIT")</f>
        <v/>
      </c>
      <c r="AR316" s="248">
        <f>SUM(AR314,AR311)</f>
        <v/>
      </c>
      <c r="AS316" s="64">
        <f>SUM(AS314,AS311)</f>
        <v/>
      </c>
      <c r="AT316" s="65">
        <f>SUM(AT314,AT311)</f>
        <v/>
      </c>
      <c r="AU316" s="248">
        <f>SUM(AU314,AU311)</f>
        <v/>
      </c>
      <c r="AV316" s="64">
        <f>SUM(AV314,AV311)</f>
        <v/>
      </c>
      <c r="AW316" s="65">
        <f>SUM(AW314,AW311)</f>
        <v/>
      </c>
      <c r="AX316" s="248">
        <f>SUM(AX314,AX311)</f>
        <v/>
      </c>
      <c r="AY316" s="64">
        <f>SUM(AY314,AY311)</f>
        <v/>
      </c>
      <c r="AZ316" s="65">
        <f>SUM(AZ314,AZ311)</f>
        <v/>
      </c>
      <c r="BA316" s="248">
        <f>SUM(BA314,BA311)</f>
        <v/>
      </c>
      <c r="BB316" s="64">
        <f>SUM(BB314,BB311)</f>
        <v/>
      </c>
      <c r="BC316" s="65">
        <f>SUM(BC314,BC311)</f>
        <v/>
      </c>
      <c r="BD316" s="248">
        <f>SUM(BD314,BD311)</f>
        <v/>
      </c>
      <c r="BE316" s="64">
        <f>SUM(BE314,BE311)</f>
        <v/>
      </c>
      <c r="BF316" s="65">
        <f>SUM(BF314,BF311)</f>
        <v/>
      </c>
      <c r="BG316" s="248">
        <f>SUM(BG314,BG311)</f>
        <v/>
      </c>
      <c r="BH316" s="64">
        <f>SUM(BH314,BH311)</f>
        <v/>
      </c>
      <c r="BI316" s="65">
        <f>SUM(BI314,BI311)</f>
        <v/>
      </c>
    </row>
    <row r="317">
      <c r="A317" s="18" t="n"/>
      <c r="E317" s="16" t="n"/>
      <c r="F317" s="17" t="n"/>
      <c r="G317" s="47" t="n"/>
      <c r="H317" s="247" t="n"/>
      <c r="I317" s="17" t="n"/>
      <c r="J317" s="57" t="n"/>
      <c r="K317" s="247" t="n"/>
      <c r="L317" s="17" t="n"/>
      <c r="M317" s="57" t="n"/>
      <c r="N317" s="247" t="n"/>
      <c r="O317" s="17" t="n"/>
      <c r="P317" s="57" t="n"/>
      <c r="Q317" s="247" t="n"/>
      <c r="R317" s="17" t="n"/>
      <c r="S317" s="57" t="n"/>
      <c r="T317" s="247" t="n"/>
      <c r="U317" s="17" t="n"/>
      <c r="V317" s="57" t="n"/>
      <c r="W317" s="247" t="n"/>
      <c r="X317" s="17" t="n"/>
      <c r="Y317" s="57" t="n"/>
      <c r="Z317" s="247" t="n"/>
      <c r="AA317" s="17" t="n"/>
      <c r="AB317" s="57" t="n"/>
      <c r="AC317" s="247" t="n"/>
      <c r="AD317" s="17" t="n"/>
      <c r="AE317" s="57" t="n"/>
      <c r="AF317" s="247" t="n"/>
      <c r="AG317" s="17" t="n"/>
      <c r="AH317" s="57" t="n"/>
      <c r="AI317" s="247" t="n"/>
      <c r="AJ317" s="17" t="n"/>
      <c r="AK317" s="57" t="n"/>
      <c r="AL317" s="247" t="n"/>
      <c r="AM317" s="17" t="n"/>
      <c r="AN317" s="57" t="n"/>
      <c r="AO317" s="247" t="n"/>
      <c r="AP317" s="17" t="n"/>
      <c r="AQ317" s="57" t="n"/>
      <c r="AR317" s="247" t="n"/>
      <c r="AS317" s="17" t="n"/>
      <c r="AT317" s="57" t="n"/>
      <c r="AU317" s="247" t="n"/>
      <c r="AV317" s="17" t="n"/>
      <c r="AW317" s="57" t="n"/>
      <c r="AX317" s="247" t="n"/>
      <c r="AY317" s="17" t="n"/>
      <c r="AZ317" s="57" t="n"/>
      <c r="BA317" s="247" t="n"/>
      <c r="BB317" s="17" t="n"/>
      <c r="BC317" s="57" t="n"/>
      <c r="BD317" s="247" t="n"/>
      <c r="BE317" s="17" t="n"/>
      <c r="BF317" s="57" t="n"/>
      <c r="BG317" s="247" t="n"/>
      <c r="BH317" s="17" t="n"/>
      <c r="BI317" s="57" t="n"/>
    </row>
    <row r="318">
      <c r="A318" s="39" t="inlineStr">
        <is>
          <t>(+/-) Receitas/Despesas Financeiras</t>
        </is>
      </c>
      <c r="B318" s="59" t="n"/>
      <c r="C318" s="136" t="inlineStr">
        <is>
          <t>Estim. Mensal</t>
        </is>
      </c>
      <c r="D318" s="137" t="n">
        <v>0.0015</v>
      </c>
      <c r="E318" s="62" t="n"/>
      <c r="F318" s="63" t="n"/>
      <c r="G318" s="47" t="n"/>
      <c r="H318" s="244" t="n"/>
      <c r="I318" s="42">
        <f>SUMIFS(T_ORCAMENTOS!$E:$E,T_ORCAMENTOS!$C:$C,"(+/-) Receitas/Despesas Financeiras",T_ORCAMENTOS!$H:$H,"1/2026")</f>
        <v/>
      </c>
      <c r="J318" s="421">
        <f>SUMIFS(Aut_BlueMe_Sem_Pedido!$J:$J,Aut_BlueMe_Sem_Pedido!$Q:$Q,DRE!H$4,Aut_BlueMe_Sem_Pedido!$H:$H,"Tarifas Bancárias")+SUMIFS(Aut_Ajustes_Manuais!$G:$G,Aut_Ajustes_Manuais!$I:$I,DRE!H$4,Aut_Ajustes_Manuais!$E:$E,"Despesas Financeiras")+SUMIFS(Aut_Ajustes_Manuais!$G:$G,Aut_Ajustes_Manuais!$I:$I,DRE!H$4,Aut_Ajustes_Manuais!$E:$E,"Receitas Financeiras")</f>
        <v/>
      </c>
      <c r="K318" s="244" t="n"/>
      <c r="L318" s="42">
        <f>SUMIFS(T_ORCAMENTOS!$E:$E,T_ORCAMENTOS!$C:$C,"(+/-) Receitas/Despesas Financeiras",T_ORCAMENTOS!$H:$H,"2/2026")</f>
        <v/>
      </c>
      <c r="M318" s="43">
        <f>SUMIFS(Aut_BlueMe_Sem_Pedido!$J:$J,Aut_BlueMe_Sem_Pedido!$Q:$Q,DRE!K$4,Aut_BlueMe_Sem_Pedido!$H:$H,"Tarifas Bancárias")+SUMIFS(Aut_Ajustes_Manuais!$G:$G,Aut_Ajustes_Manuais!$I:$I,DRE!K$4,Aut_Ajustes_Manuais!$E:$E,"Despesas Financeiras")+SUMIFS(Aut_Ajustes_Manuais!$G:$G,Aut_Ajustes_Manuais!$I:$I,DRE!K$4,Aut_Ajustes_Manuais!$E:$E,"Receitas Financeiras")</f>
        <v/>
      </c>
      <c r="N318" s="244" t="n"/>
      <c r="O318" s="42">
        <f>SUMIFS(T_ORCAMENTOS!$E:$E,T_ORCAMENTOS!$C:$C,"(+/-) Receitas/Despesas Financeiras",T_ORCAMENTOS!$H:$H,"3/2026")</f>
        <v/>
      </c>
      <c r="P318" s="43">
        <f>SUMIFS(Aut_BlueMe_Sem_Pedido!$J:$J,Aut_BlueMe_Sem_Pedido!$Q:$Q,DRE!N$4,Aut_BlueMe_Sem_Pedido!$H:$H,"Tarifas Bancárias")+SUMIFS(Aut_Ajustes_Manuais!$G:$G,Aut_Ajustes_Manuais!$I:$I,DRE!N$4,Aut_Ajustes_Manuais!$E:$E,"Despesas Financeiras")+SUMIFS(Aut_Ajustes_Manuais!$G:$G,Aut_Ajustes_Manuais!$I:$I,DRE!N$4,Aut_Ajustes_Manuais!$E:$E,"Receitas Financeiras")</f>
        <v/>
      </c>
      <c r="Q318" s="244" t="n"/>
      <c r="R318" s="42">
        <f>SUMIFS(T_ORCAMENTOS!$E:$E,T_ORCAMENTOS!$C:$C,"(+/-) Receitas/Despesas Financeiras",T_ORCAMENTOS!$H:$H,"4/2026")</f>
        <v/>
      </c>
      <c r="S318" s="43">
        <f>SUMIFS(Aut_BlueMe_Sem_Pedido!$J:$J,Aut_BlueMe_Sem_Pedido!$Q:$Q,DRE!Q$4,Aut_BlueMe_Sem_Pedido!$H:$H,"Tarifas Bancárias")+SUMIFS(Aut_Ajustes_Manuais!$G:$G,Aut_Ajustes_Manuais!$I:$I,DRE!Q$4,Aut_Ajustes_Manuais!$E:$E,"Despesas Financeiras")+SUMIFS(Aut_Ajustes_Manuais!$G:$G,Aut_Ajustes_Manuais!$I:$I,DRE!Q$4,Aut_Ajustes_Manuais!$E:$E,"Receitas Financeiras")</f>
        <v/>
      </c>
      <c r="T318" s="244" t="n"/>
      <c r="U318" s="42">
        <f>SUMIFS(T_ORCAMENTOS!$E:$E,T_ORCAMENTOS!$C:$C,"(+/-) Receitas/Despesas Financeiras",T_ORCAMENTOS!$H:$H,"5/2026")</f>
        <v/>
      </c>
      <c r="V318" s="43">
        <f>SUMIFS(Aut_BlueMe_Sem_Pedido!$J:$J,Aut_BlueMe_Sem_Pedido!$Q:$Q,DRE!T$4,Aut_BlueMe_Sem_Pedido!$H:$H,"Tarifas Bancárias")+SUMIFS(Aut_Ajustes_Manuais!$G:$G,Aut_Ajustes_Manuais!$I:$I,DRE!T$4,Aut_Ajustes_Manuais!$E:$E,"Despesas Financeiras")+SUMIFS(Aut_Ajustes_Manuais!$G:$G,Aut_Ajustes_Manuais!$I:$I,DRE!T$4,Aut_Ajustes_Manuais!$E:$E,"Receitas Financeiras")</f>
        <v/>
      </c>
      <c r="W318" s="244" t="n"/>
      <c r="X318" s="42">
        <f>SUMIFS(T_ORCAMENTOS!$E:$E,T_ORCAMENTOS!$C:$C,"(+/-) Receitas/Despesas Financeiras",T_ORCAMENTOS!$H:$H,"6/2026")</f>
        <v/>
      </c>
      <c r="Y318" s="43">
        <f>SUMIFS(Aut_BlueMe_Sem_Pedido!$J:$J,Aut_BlueMe_Sem_Pedido!$Q:$Q,DRE!W$4,Aut_BlueMe_Sem_Pedido!$H:$H,"Tarifas Bancárias")+SUMIFS(Aut_Ajustes_Manuais!$G:$G,Aut_Ajustes_Manuais!$I:$I,DRE!W$4,Aut_Ajustes_Manuais!$E:$E,"Despesas Financeiras")+SUMIFS(Aut_Ajustes_Manuais!$G:$G,Aut_Ajustes_Manuais!$I:$I,DRE!W$4,Aut_Ajustes_Manuais!$E:$E,"Receitas Financeiras")</f>
        <v/>
      </c>
      <c r="Z318" s="244" t="n"/>
      <c r="AA318" s="42">
        <f>SUMIFS(T_ORCAMENTOS!$E:$E,T_ORCAMENTOS!$C:$C,"(+/-) Receitas/Despesas Financeiras",T_ORCAMENTOS!$H:$H,"7/2026")</f>
        <v/>
      </c>
      <c r="AB318" s="43">
        <f>SUMIFS(Aut_BlueMe_Sem_Pedido!$J:$J,Aut_BlueMe_Sem_Pedido!$Q:$Q,DRE!Z$4,Aut_BlueMe_Sem_Pedido!$H:$H,"Tarifas Bancárias")+SUMIFS(Aut_Ajustes_Manuais!$G:$G,Aut_Ajustes_Manuais!$I:$I,DRE!Z$4,Aut_Ajustes_Manuais!$E:$E,"Despesas Financeiras")+SUMIFS(Aut_Ajustes_Manuais!$G:$G,Aut_Ajustes_Manuais!$I:$I,DRE!Z$4,Aut_Ajustes_Manuais!$E:$E,"Receitas Financeiras")</f>
        <v/>
      </c>
      <c r="AC318" s="244" t="n"/>
      <c r="AD318" s="42">
        <f>SUMIFS(T_ORCAMENTOS!$E:$E,T_ORCAMENTOS!$C:$C,"(+/-) Receitas/Despesas Financeiras",T_ORCAMENTOS!$H:$H,"8/2026")</f>
        <v/>
      </c>
      <c r="AE318" s="43">
        <f>SUMIFS(Aut_BlueMe_Sem_Pedido!$J:$J,Aut_BlueMe_Sem_Pedido!$Q:$Q,DRE!AC$4,Aut_BlueMe_Sem_Pedido!$H:$H,"Tarifas Bancárias")+SUMIFS(Aut_Ajustes_Manuais!$G:$G,Aut_Ajustes_Manuais!$I:$I,DRE!AC$4,Aut_Ajustes_Manuais!$E:$E,"Despesas Financeiras")+SUMIFS(Aut_Ajustes_Manuais!$G:$G,Aut_Ajustes_Manuais!$I:$I,DRE!AC$4,Aut_Ajustes_Manuais!$E:$E,"Receitas Financeiras")</f>
        <v/>
      </c>
      <c r="AF318" s="244" t="n"/>
      <c r="AG318" s="42">
        <f>SUMIFS(T_ORCAMENTOS!$E:$E,T_ORCAMENTOS!$C:$C,"(+/-) Receitas/Despesas Financeiras",T_ORCAMENTOS!$H:$H,"9/2026")</f>
        <v/>
      </c>
      <c r="AH318" s="43">
        <f>SUMIFS(Aut_BlueMe_Sem_Pedido!$J:$J,Aut_BlueMe_Sem_Pedido!$Q:$Q,DRE!AF$4,Aut_BlueMe_Sem_Pedido!$H:$H,"Tarifas Bancárias")+SUMIFS(Aut_Ajustes_Manuais!$G:$G,Aut_Ajustes_Manuais!$I:$I,DRE!AF$4,Aut_Ajustes_Manuais!$E:$E,"Despesas Financeiras")+SUMIFS(Aut_Ajustes_Manuais!$G:$G,Aut_Ajustes_Manuais!$I:$I,DRE!AF$4,Aut_Ajustes_Manuais!$E:$E,"Receitas Financeiras")</f>
        <v/>
      </c>
      <c r="AI318" s="244" t="n"/>
      <c r="AJ318" s="42">
        <f>SUMIFS(T_ORCAMENTOS!$E:$E,T_ORCAMENTOS!$C:$C,"(+/-) Receitas/Despesas Financeiras",T_ORCAMENTOS!$H:$H,"10/2026")</f>
        <v/>
      </c>
      <c r="AK318" s="43">
        <f>SUMIFS(Aut_BlueMe_Sem_Pedido!$J:$J,Aut_BlueMe_Sem_Pedido!$Q:$Q,DRE!AI$4,Aut_BlueMe_Sem_Pedido!$H:$H,"Tarifas Bancárias")+SUMIFS(Aut_Ajustes_Manuais!$G:$G,Aut_Ajustes_Manuais!$I:$I,DRE!AI$4,Aut_Ajustes_Manuais!$E:$E,"Despesas Financeiras")+SUMIFS(Aut_Ajustes_Manuais!$G:$G,Aut_Ajustes_Manuais!$I:$I,DRE!AI$4,Aut_Ajustes_Manuais!$E:$E,"Receitas Financeiras")</f>
        <v/>
      </c>
      <c r="AL318" s="244" t="n"/>
      <c r="AM318" s="42">
        <f>SUMIFS(T_ORCAMENTOS!$E:$E,T_ORCAMENTOS!$C:$C,"(+/-) Receitas/Despesas Financeiras",T_ORCAMENTOS!$H:$H,"11/2026")</f>
        <v/>
      </c>
      <c r="AN318" s="43">
        <f>SUMIFS(Aut_BlueMe_Sem_Pedido!$J:$J,Aut_BlueMe_Sem_Pedido!$Q:$Q,DRE!AL$4,Aut_BlueMe_Sem_Pedido!$H:$H,"Tarifas Bancárias")+SUMIFS(Aut_Ajustes_Manuais!$G:$G,Aut_Ajustes_Manuais!$I:$I,DRE!AL$4,Aut_Ajustes_Manuais!$E:$E,"Despesas Financeiras")+SUMIFS(Aut_Ajustes_Manuais!$G:$G,Aut_Ajustes_Manuais!$I:$I,DRE!AL$4,Aut_Ajustes_Manuais!$E:$E,"Receitas Financeiras")</f>
        <v/>
      </c>
      <c r="AO318" s="244" t="n"/>
      <c r="AP318" s="42">
        <f>SUMIFS(T_ORCAMENTOS!$E:$E,T_ORCAMENTOS!$C:$C,"(+/-) Receitas/Despesas Financeiras",T_ORCAMENTOS!$H:$H,"12/2026")</f>
        <v/>
      </c>
      <c r="AQ318" s="43">
        <f>SUMIFS(Aut_BlueMe_Sem_Pedido!$J:$J,Aut_BlueMe_Sem_Pedido!$Q:$Q,DRE!AO$4,Aut_BlueMe_Sem_Pedido!$H:$H,"Tarifas Bancárias")+SUMIFS(Aut_Ajustes_Manuais!$G:$G,Aut_Ajustes_Manuais!$I:$I,DRE!AO$4,Aut_Ajustes_Manuais!$E:$E,"Despesas Financeiras")+SUMIFS(Aut_Ajustes_Manuais!$G:$G,Aut_Ajustes_Manuais!$I:$I,DRE!AO$4,Aut_Ajustes_Manuais!$E:$E,"Receitas Financeiras")</f>
        <v/>
      </c>
      <c r="AR318" s="244">
        <f>SUMIFS($H318:$AO318,$H$5:$AO$5,"&lt;"&amp;MONTH(TODAY()),$H$6:$AO$6,"REAL 25")</f>
        <v/>
      </c>
      <c r="AS318" s="42">
        <f>SUMIFS($I318:$AP318,$I$5:$AP$5,"&lt;"&amp;MONTH(TODAY()),$I$6:$AP$6,"ORÇADO ")</f>
        <v/>
      </c>
      <c r="AT318" s="43">
        <f>SUMIFS($J318:$AQ318,$J$5:$AQ$5,"&lt;"&amp;MONTH(TODAY()),$J$6:$AQ$6,"REAL 26")</f>
        <v/>
      </c>
      <c r="AU318" s="244">
        <f>SUM(H318,K318,N318,Q318,T318,W318,Z318,AC318,AF318,AI318,AL318,AO318)</f>
        <v/>
      </c>
      <c r="AV318" s="42">
        <f>SUM(I318,L318,O318,R318,U318,X318,AA318,AD318,AG318,AJ318,AM318,AP318)</f>
        <v/>
      </c>
      <c r="AW318" s="43">
        <f>SUM(J318,M318,P318,S318,V318,Y318,AB318,AE318,AH318,AK318,AN318,AQ318)</f>
        <v/>
      </c>
      <c r="AX318" s="244">
        <f>SUM(H318,K318,N318)</f>
        <v/>
      </c>
      <c r="AY318" s="42">
        <f>SUM(I318,L318,O318)</f>
        <v/>
      </c>
      <c r="AZ318" s="43">
        <f>SUM(J318,M318,P318)</f>
        <v/>
      </c>
      <c r="BA318" s="244">
        <f>SUM(Q318,T318,W318)</f>
        <v/>
      </c>
      <c r="BB318" s="42">
        <f>SUM(R318,U318,X318)</f>
        <v/>
      </c>
      <c r="BC318" s="43">
        <f>SUM(S318,V318,Y318)</f>
        <v/>
      </c>
      <c r="BD318" s="244">
        <f>SUM(Z318,AC318,AF318)</f>
        <v/>
      </c>
      <c r="BE318" s="42">
        <f>SUM(AA318,AD318,AG318)</f>
        <v/>
      </c>
      <c r="BF318" s="43">
        <f>SUM(AB318,AE318,AH318)</f>
        <v/>
      </c>
      <c r="BG318" s="244">
        <f>SUM(AI318,AL318,AO318)</f>
        <v/>
      </c>
      <c r="BH318" s="42">
        <f>SUM(AJ318,AM318,AP318)</f>
        <v/>
      </c>
      <c r="BI318" s="43">
        <f>SUM(AK318,AN318,AQ318)</f>
        <v/>
      </c>
    </row>
    <row r="319">
      <c r="A319" s="18" t="n"/>
      <c r="E319" s="16" t="n"/>
      <c r="F319" s="17" t="n"/>
      <c r="G319" s="47" t="n"/>
      <c r="H319" s="247" t="n"/>
      <c r="I319" s="17" t="n">
        <v>1</v>
      </c>
      <c r="J319" s="57" t="n"/>
      <c r="K319" s="247" t="n"/>
      <c r="L319" s="17" t="n">
        <v>2</v>
      </c>
      <c r="M319" s="57" t="n"/>
      <c r="N319" s="247" t="n"/>
      <c r="O319" s="17" t="n">
        <v>3</v>
      </c>
      <c r="P319" s="57" t="n"/>
      <c r="Q319" s="247" t="n"/>
      <c r="R319" s="17" t="n">
        <v>4</v>
      </c>
      <c r="S319" s="57" t="n"/>
      <c r="T319" s="247" t="n"/>
      <c r="U319" s="17" t="n">
        <v>5</v>
      </c>
      <c r="V319" s="57" t="n"/>
      <c r="W319" s="247" t="n"/>
      <c r="X319" s="17" t="n">
        <v>6</v>
      </c>
      <c r="Y319" s="57" t="n"/>
      <c r="Z319" s="247" t="n"/>
      <c r="AA319" s="17" t="n">
        <v>7</v>
      </c>
      <c r="AB319" s="57" t="n"/>
      <c r="AC319" s="247" t="n"/>
      <c r="AD319" s="17" t="n">
        <v>8</v>
      </c>
      <c r="AE319" s="57" t="n"/>
      <c r="AF319" s="247" t="n"/>
      <c r="AG319" s="17" t="n">
        <v>9</v>
      </c>
      <c r="AH319" s="57" t="n"/>
      <c r="AI319" s="247" t="n"/>
      <c r="AJ319" s="17" t="n">
        <v>10</v>
      </c>
      <c r="AK319" s="57" t="n"/>
      <c r="AL319" s="247" t="n"/>
      <c r="AM319" s="17" t="n">
        <v>11</v>
      </c>
      <c r="AN319" s="57" t="n"/>
      <c r="AO319" s="247" t="n"/>
      <c r="AP319" s="17" t="n">
        <v>12</v>
      </c>
      <c r="AQ319" s="57" t="n"/>
      <c r="AR319" s="247" t="n"/>
      <c r="AS319" s="17" t="n"/>
      <c r="AT319" s="57" t="n"/>
      <c r="AU319" s="247" t="n"/>
      <c r="AV319" s="17" t="n"/>
      <c r="AW319" s="57" t="n"/>
      <c r="AX319" s="247" t="n"/>
      <c r="AY319" s="17" t="n"/>
      <c r="AZ319" s="57" t="n"/>
      <c r="BA319" s="247" t="n"/>
      <c r="BB319" s="17" t="n"/>
      <c r="BC319" s="57" t="n"/>
      <c r="BD319" s="247" t="n"/>
      <c r="BE319" s="17" t="n"/>
      <c r="BF319" s="57" t="n"/>
      <c r="BG319" s="247" t="n"/>
      <c r="BH319" s="17" t="n"/>
      <c r="BI319" s="57" t="n"/>
    </row>
    <row r="320">
      <c r="A320" s="39" t="inlineStr">
        <is>
          <t>(+) Receitas de Patrocínio</t>
        </is>
      </c>
      <c r="B320" s="59" t="n"/>
      <c r="C320" s="136" t="inlineStr">
        <is>
          <t xml:space="preserve">Base - COMERCIAL </t>
        </is>
      </c>
      <c r="D320" s="137" t="n"/>
      <c r="E320" s="62" t="n"/>
      <c r="F320" s="63" t="n"/>
      <c r="G320" s="47" t="n"/>
      <c r="H320" s="244" t="n"/>
      <c r="I320" s="42">
        <f>SUMIFS(T_ORCAMENTOS!$E:$E,T_ORCAMENTOS!$C:$C,"(+) Receitas de Patrocínio",T_ORCAMENTOS!$H:$H,"1/2026")</f>
        <v/>
      </c>
      <c r="J320" s="67">
        <f>SUMIFS(Aut_Ajustes_Manuais!$G:$G,Aut_Ajustes_Manuais!$I:$I,DRE!H$4,Aut_Ajustes_Manuais!$F:$F,"(+) Receitas de Patrocínio")</f>
        <v/>
      </c>
      <c r="K320" s="244" t="n"/>
      <c r="L320" s="42">
        <f>SUMIFS(T_ORCAMENTOS!$E:$E,T_ORCAMENTOS!$C:$C,"(+) Receitas de Patrocínio",T_ORCAMENTOS!$H:$H,"2/2026")</f>
        <v/>
      </c>
      <c r="M320" s="67">
        <f>SUMIFS(Aut_Ajustes_Manuais!$G:$G,Aut_Ajustes_Manuais!$I:$I,DRE!K$4,Aut_Ajustes_Manuais!$F:$F,"(+) Receitas de Patrocínio")</f>
        <v/>
      </c>
      <c r="N320" s="244" t="n"/>
      <c r="O320" s="42">
        <f>SUMIFS(T_ORCAMENTOS!$E:$E,T_ORCAMENTOS!$C:$C,"(+) Receitas de Patrocínio",T_ORCAMENTOS!$H:$H,"3/2026")</f>
        <v/>
      </c>
      <c r="P320" s="67">
        <f>SUMIFS(Aut_Ajustes_Manuais!$G:$G,Aut_Ajustes_Manuais!$I:$I,DRE!N$4,Aut_Ajustes_Manuais!$F:$F,"(+) Receitas de Patrocínio")</f>
        <v/>
      </c>
      <c r="Q320" s="244" t="n"/>
      <c r="R320" s="42">
        <f>SUMIFS(T_ORCAMENTOS!$E:$E,T_ORCAMENTOS!$C:$C,"(+) Receitas de Patrocínio",T_ORCAMENTOS!$H:$H,"4/2026")</f>
        <v/>
      </c>
      <c r="S320" s="67">
        <f>SUMIFS(Aut_Ajustes_Manuais!$G:$G,Aut_Ajustes_Manuais!$I:$I,DRE!Q$4,Aut_Ajustes_Manuais!$F:$F,"(+) Receitas de Patrocínio")</f>
        <v/>
      </c>
      <c r="T320" s="244" t="n"/>
      <c r="U320" s="42">
        <f>SUMIFS(T_ORCAMENTOS!$E:$E,T_ORCAMENTOS!$C:$C,"(+) Receitas de Patrocínio",T_ORCAMENTOS!$H:$H,"5/2026")</f>
        <v/>
      </c>
      <c r="V320" s="67">
        <f>SUMIFS(Aut_Ajustes_Manuais!$G:$G,Aut_Ajustes_Manuais!$I:$I,DRE!T$4,Aut_Ajustes_Manuais!$F:$F,"(+) Receitas de Patrocínio")</f>
        <v/>
      </c>
      <c r="W320" s="244" t="n"/>
      <c r="X320" s="42">
        <f>SUMIFS(T_ORCAMENTOS!$E:$E,T_ORCAMENTOS!$C:$C,"(+) Receitas de Patrocínio",T_ORCAMENTOS!$H:$H,"6/2026")</f>
        <v/>
      </c>
      <c r="Y320" s="43">
        <f>SUMIFS(Aut_Ajustes_Manuais!$G:$G,Aut_Ajustes_Manuais!$I:$I,DRE!W$4,Aut_Ajustes_Manuais!$F:$F,"(+) Receitas de Patrocínio")</f>
        <v/>
      </c>
      <c r="Z320" s="244" t="n"/>
      <c r="AA320" s="42">
        <f>SUMIFS(T_ORCAMENTOS!$E:$E,T_ORCAMENTOS!$C:$C,"(+) Receitas de Patrocínio",T_ORCAMENTOS!$H:$H,"7/2026")</f>
        <v/>
      </c>
      <c r="AB320" s="43">
        <f>SUMIFS(Aut_Ajustes_Manuais!$G:$G,Aut_Ajustes_Manuais!$I:$I,DRE!Z$4,Aut_Ajustes_Manuais!$F:$F,"(+) Receitas de Patrocínio")</f>
        <v/>
      </c>
      <c r="AC320" s="244" t="n"/>
      <c r="AD320" s="42">
        <f>SUMIFS(T_ORCAMENTOS!$E:$E,T_ORCAMENTOS!$C:$C,"(+) Receitas de Patrocínio",T_ORCAMENTOS!$H:$H,"8/2026")</f>
        <v/>
      </c>
      <c r="AE320" s="43">
        <f>SUMIFS(Aut_Ajustes_Manuais!$G:$G,Aut_Ajustes_Manuais!$I:$I,DRE!AC$4,Aut_Ajustes_Manuais!$F:$F,"(+) Receitas de Patrocínio")</f>
        <v/>
      </c>
      <c r="AF320" s="244" t="n"/>
      <c r="AG320" s="42">
        <f>SUMIFS(T_ORCAMENTOS!$E:$E,T_ORCAMENTOS!$C:$C,"(+) Receitas de Patrocínio",T_ORCAMENTOS!$H:$H,"9/2026")</f>
        <v/>
      </c>
      <c r="AH320" s="43">
        <f>SUMIFS(Aut_Ajustes_Manuais!$G:$G,Aut_Ajustes_Manuais!$I:$I,DRE!AF$4,Aut_Ajustes_Manuais!$F:$F,"(+) Receitas de Patrocínio")</f>
        <v/>
      </c>
      <c r="AI320" s="244" t="n"/>
      <c r="AJ320" s="42">
        <f>SUMIFS(T_ORCAMENTOS!$E:$E,T_ORCAMENTOS!$C:$C,"(+) Receitas de Patrocínio",T_ORCAMENTOS!$H:$H,"10/2026")</f>
        <v/>
      </c>
      <c r="AK320" s="43">
        <f>SUMIFS(Aut_Ajustes_Manuais!$G:$G,Aut_Ajustes_Manuais!$I:$I,DRE!AI$4,Aut_Ajustes_Manuais!$F:$F,"(+) Receitas de Patrocínio")</f>
        <v/>
      </c>
      <c r="AL320" s="244" t="n"/>
      <c r="AM320" s="42">
        <f>SUMIFS(T_ORCAMENTOS!$E:$E,T_ORCAMENTOS!$C:$C,"(+) Receitas de Patrocínio",T_ORCAMENTOS!$H:$H,"11/2026")</f>
        <v/>
      </c>
      <c r="AN320" s="43">
        <f>SUMIFS(Aut_Ajustes_Manuais!$G:$G,Aut_Ajustes_Manuais!$I:$I,DRE!AL$4,Aut_Ajustes_Manuais!$F:$F,"(+) Receitas de Patrocínio")</f>
        <v/>
      </c>
      <c r="AO320" s="244" t="n"/>
      <c r="AP320" s="42">
        <f>SUMIFS(T_ORCAMENTOS!$E:$E,T_ORCAMENTOS!$C:$C,"(+) Receitas de Patrocínio",T_ORCAMENTOS!$H:$H,"12/2026")</f>
        <v/>
      </c>
      <c r="AQ320" s="43">
        <f>SUMIFS(Aut_Ajustes_Manuais!$G:$G,Aut_Ajustes_Manuais!$I:$I,DRE!AO$4,Aut_Ajustes_Manuais!$F:$F,"(+) Receitas de Patrocínio")</f>
        <v/>
      </c>
      <c r="AR320" s="244">
        <f>SUMIFS($H320:$AO320,$H$5:$AO$5,"&lt;"&amp;MONTH(TODAY()),$H$6:$AO$6,"REAL 25")</f>
        <v/>
      </c>
      <c r="AS320" s="42">
        <f>SUMIFS($I320:$AP320,$I$5:$AP$5,"&lt;"&amp;MONTH(TODAY()),$I$6:$AP$6,"ORÇADO ")</f>
        <v/>
      </c>
      <c r="AT320" s="43">
        <f>SUMIFS($J320:$AQ320,$J$5:$AQ$5,"&lt;"&amp;MONTH(TODAY()),$J$6:$AQ$6,"REAL 26")</f>
        <v/>
      </c>
      <c r="AU320" s="244">
        <f>SUM(H320,K320,N320,Q320,T320,W320,Z320,AC320,AF320,AI320,AL320,AO320)</f>
        <v/>
      </c>
      <c r="AV320" s="42">
        <f>SUM(I320,L320,O320,R320,U320,X320,AA320,AD320,AG320,AJ320,AM320,AP320)</f>
        <v/>
      </c>
      <c r="AW320" s="43">
        <f>SUM(J320,M320,P320,S320,V320,Y320,AB320,AE320,AH320,AK320,AN320,AQ320)</f>
        <v/>
      </c>
      <c r="AX320" s="244">
        <f>SUM(H320,K320,N320)</f>
        <v/>
      </c>
      <c r="AY320" s="42">
        <f>SUM(I320,L320,O320)</f>
        <v/>
      </c>
      <c r="AZ320" s="43">
        <f>SUM(J320,M320,P320)</f>
        <v/>
      </c>
      <c r="BA320" s="244">
        <f>SUM(Q320,T320,W320)</f>
        <v/>
      </c>
      <c r="BB320" s="42">
        <f>SUM(R320,U320,X320)</f>
        <v/>
      </c>
      <c r="BC320" s="43">
        <f>SUM(S320,V320,Y320)</f>
        <v/>
      </c>
      <c r="BD320" s="244">
        <f>SUM(Z320,AC320,AF320)</f>
        <v/>
      </c>
      <c r="BE320" s="42">
        <f>SUM(AA320,AD320,AG320)</f>
        <v/>
      </c>
      <c r="BF320" s="43">
        <f>SUM(AB320,AE320,AH320)</f>
        <v/>
      </c>
      <c r="BG320" s="244">
        <f>SUM(AI320,AL320,AO320)</f>
        <v/>
      </c>
      <c r="BH320" s="42">
        <f>SUM(AJ320,AM320,AP320)</f>
        <v/>
      </c>
      <c r="BI320" s="43">
        <f>SUM(AK320,AN320,AQ320)</f>
        <v/>
      </c>
    </row>
    <row r="321" ht="19.95" customHeight="1">
      <c r="A321" s="39" t="inlineStr">
        <is>
          <t>(-) Despesas de Patrocínio</t>
        </is>
      </c>
      <c r="B321" s="59" t="n"/>
      <c r="C321" s="138" t="inlineStr">
        <is>
          <t>Base - DESPESA COMERCIAL</t>
        </is>
      </c>
      <c r="D321" s="139" t="n">
        <v>0</v>
      </c>
      <c r="E321" s="62" t="n"/>
      <c r="F321" s="63" t="n"/>
      <c r="G321" s="47" t="n"/>
      <c r="H321" s="477" t="n"/>
      <c r="I321" s="140">
        <f>-SUMIFS(T_ORCAMENTOS!$E:$E,T_ORCAMENTOS!$C:$C,"(-) Despesas de Patrocínio",T_ORCAMENTOS!$H:$H,"1/2026")</f>
        <v/>
      </c>
      <c r="J321" s="141">
        <f>SUMIFS(Aut_BlueMe_Sem_Pedido!$J:$J,Aut_BlueMe_Sem_Pedido!$Q:$Q,DRE!H$4,Aut_BlueMe_Sem_Pedido!$H:$H,DRE!$A321)-SUMIFS(Aut_Descontos!$F:$F,Aut_Descontos!$L:$L,DRE!H$4,Aut_Descontos!$K:$K,A$321)+SUMIFS(Aut_Ajustes_Manuais!$G:$G,Aut_Ajustes_Manuais!$I:$I,DRE!H$4,Aut_Ajustes_Manuais!$F:$F,"(-) Despesas de Patrocínio")</f>
        <v/>
      </c>
      <c r="K321" s="263" t="n"/>
      <c r="L321" s="476">
        <f>-SUMIFS(T_ORCAMENTOS!$E:$E,T_ORCAMENTOS!$C:$C,"(-) Despesas de Patrocínio",T_ORCAMENTOS!$H:$H,"2/2026")</f>
        <v/>
      </c>
      <c r="M321" s="141">
        <f>SUMIFS(Aut_BlueMe_Sem_Pedido!$J:$J,Aut_BlueMe_Sem_Pedido!$Q:$Q,DRE!K$4,Aut_BlueMe_Sem_Pedido!$H:$H,DRE!$A321)-SUMIFS(Aut_Descontos!$F:$F,Aut_Descontos!$L:$L,DRE!K$4,Aut_Descontos!$K:$K,A$321)+SUMIFS(Aut_Ajustes_Manuais!$G:$G,Aut_Ajustes_Manuais!$I:$I,DRE!K$4,Aut_Ajustes_Manuais!$F:$F,"(-) Despesas de Patrocínio")</f>
        <v/>
      </c>
      <c r="N321" s="477" t="n"/>
      <c r="O321" s="140">
        <f>-SUMIFS(T_ORCAMENTOS!$E:$E,T_ORCAMENTOS!$C:$C,"(-) Despesas de Patrocínio",T_ORCAMENTOS!$H:$H,"3/2026")</f>
        <v/>
      </c>
      <c r="P321" s="141">
        <f>SUMIFS(Aut_BlueMe_Sem_Pedido!$J:$J,Aut_BlueMe_Sem_Pedido!$Q:$Q,DRE!N$4,Aut_BlueMe_Sem_Pedido!$H:$H,DRE!$A321)-SUMIFS(Aut_Descontos!$F:$F,Aut_Descontos!$L:$L,DRE!N$4,Aut_Descontos!$K:$K,A$321)+SUMIFS(Aut_Ajustes_Manuais!$G:$G,Aut_Ajustes_Manuais!$I:$I,DRE!N$4,Aut_Ajustes_Manuais!$F:$F,"(-) Despesas de Patrocínio")</f>
        <v/>
      </c>
      <c r="Q321" s="477" t="n"/>
      <c r="R321" s="140">
        <f>-SUMIFS(T_ORCAMENTOS!$E:$E,T_ORCAMENTOS!$C:$C,"(-) Despesas de Patrocínio",T_ORCAMENTOS!$H:$H,"4/2026")</f>
        <v/>
      </c>
      <c r="S321" s="141">
        <f>SUMIFS(Aut_BlueMe_Sem_Pedido!$J:$J,Aut_BlueMe_Sem_Pedido!$Q:$Q,DRE!Q$4,Aut_BlueMe_Sem_Pedido!$H:$H,DRE!$A321)-SUMIFS(Aut_Descontos!$F:$F,Aut_Descontos!$L:$L,DRE!Q$4,Aut_Descontos!$K:$K,A$321)+SUMIFS(Aut_Ajustes_Manuais!$G:$G,Aut_Ajustes_Manuais!$I:$I,DRE!Q$4,Aut_Ajustes_Manuais!$F:$F,"(-) Despesas de Patrocínio")</f>
        <v/>
      </c>
      <c r="T321" s="263" t="n"/>
      <c r="U321" s="140">
        <f>-SUMIFS(T_ORCAMENTOS!$E:$E,T_ORCAMENTOS!$C:$C,"(-) Despesas de Patrocínio",T_ORCAMENTOS!$H:$H,"5/2026")</f>
        <v/>
      </c>
      <c r="V321" s="141">
        <f>SUMIFS(Aut_BlueMe_Sem_Pedido!$J:$J,Aut_BlueMe_Sem_Pedido!$Q:$Q,DRE!T$4,Aut_BlueMe_Sem_Pedido!$H:$H,DRE!$A321)-SUMIFS(Aut_Descontos!$F:$F,Aut_Descontos!$L:$L,DRE!T$4,Aut_Descontos!$K:$K,A$321)+SUMIFS(Aut_Ajustes_Manuais!$G:$G,Aut_Ajustes_Manuais!$I:$I,DRE!T$4,Aut_Ajustes_Manuais!$F:$F,"(-) Despesas de Patrocínio")</f>
        <v/>
      </c>
      <c r="W321" s="263" t="n"/>
      <c r="X321" s="140">
        <f>-SUMIFS(T_ORCAMENTOS!$E:$E,T_ORCAMENTOS!$C:$C,"(-) Despesas de Patrocínio",T_ORCAMENTOS!$H:$H,"6/2026")</f>
        <v/>
      </c>
      <c r="Y321" s="141">
        <f>SUMIFS(Aut_BlueMe_Sem_Pedido!$J:$J,Aut_BlueMe_Sem_Pedido!$Q:$Q,DRE!W$4,Aut_BlueMe_Sem_Pedido!$H:$H,DRE!$A321)-SUMIFS(Aut_Descontos!$F:$F,Aut_Descontos!$L:$L,DRE!W$4,Aut_Descontos!$K:$K,A$321)+SUMIFS(Aut_Ajustes_Manuais!$G:$G,Aut_Ajustes_Manuais!$I:$I,DRE!W$4,Aut_Ajustes_Manuais!$F:$F,"(-) Despesas de Patrocínio")</f>
        <v/>
      </c>
      <c r="Z321" s="263" t="n"/>
      <c r="AA321" s="140">
        <f>-SUMIFS(T_ORCAMENTOS!$E:$E,T_ORCAMENTOS!$C:$C,"(-) Despesas de Patrocínio",T_ORCAMENTOS!$H:$H,"7/2026")</f>
        <v/>
      </c>
      <c r="AB321" s="141">
        <f>SUMIFS(Aut_BlueMe_Sem_Pedido!$J:$J,Aut_BlueMe_Sem_Pedido!$Q:$Q,DRE!Z$4,Aut_BlueMe_Sem_Pedido!$H:$H,DRE!$A321)-SUMIFS(Aut_Descontos!$F:$F,Aut_Descontos!$L:$L,DRE!Z$4,Aut_Descontos!$K:$K,A$321)+SUMIFS(Aut_Ajustes_Manuais!$G:$G,Aut_Ajustes_Manuais!$I:$I,DRE!Z$4,Aut_Ajustes_Manuais!$F:$F,"(-) Despesas de Patrocínio")</f>
        <v/>
      </c>
      <c r="AC321" s="263" t="n"/>
      <c r="AD321" s="140">
        <f>-SUMIFS(T_ORCAMENTOS!$E:$E,T_ORCAMENTOS!$C:$C,"(-) Despesas de Patrocínio",T_ORCAMENTOS!$H:$H,"8/2026")</f>
        <v/>
      </c>
      <c r="AE321" s="141">
        <f>SUMIFS(Aut_BlueMe_Sem_Pedido!$J:$J,Aut_BlueMe_Sem_Pedido!$Q:$Q,DRE!AC$4,Aut_BlueMe_Sem_Pedido!$H:$H,DRE!$A321)-SUMIFS(Aut_Descontos!$F:$F,Aut_Descontos!$L:$L,DRE!AC$4,Aut_Descontos!$K:$K,A$321)+SUMIFS(Aut_Ajustes_Manuais!$G:$G,Aut_Ajustes_Manuais!$I:$I,DRE!AC$4,Aut_Ajustes_Manuais!$F:$F,"(-) Despesas de Patrocínio")</f>
        <v/>
      </c>
      <c r="AF321" s="263" t="n"/>
      <c r="AG321" s="140">
        <f>-SUMIFS(T_ORCAMENTOS!$E:$E,T_ORCAMENTOS!$C:$C,"(-) Despesas de Patrocínio",T_ORCAMENTOS!$H:$H,"9/2026")</f>
        <v/>
      </c>
      <c r="AH321" s="141">
        <f>SUMIFS(Aut_BlueMe_Sem_Pedido!$J:$J,Aut_BlueMe_Sem_Pedido!$Q:$Q,DRE!AF$4,Aut_BlueMe_Sem_Pedido!$H:$H,DRE!$A321)-SUMIFS(Aut_Descontos!$F:$F,Aut_Descontos!$L:$L,DRE!AF$4,Aut_Descontos!$K:$K,A$321)+SUMIFS(Aut_Ajustes_Manuais!$G:$G,Aut_Ajustes_Manuais!$I:$I,DRE!AF$4,Aut_Ajustes_Manuais!$F:$F,"(-) Despesas de Patrocínio")</f>
        <v/>
      </c>
      <c r="AI321" s="263" t="n"/>
      <c r="AJ321" s="140">
        <f>-SUMIFS(T_ORCAMENTOS!$E:$E,T_ORCAMENTOS!$C:$C,"(-) Despesas de Patrocínio",T_ORCAMENTOS!$H:$H,"10/2026")</f>
        <v/>
      </c>
      <c r="AK321" s="141">
        <f>SUMIFS(Aut_BlueMe_Sem_Pedido!$J:$J,Aut_BlueMe_Sem_Pedido!$Q:$Q,DRE!AI$4,Aut_BlueMe_Sem_Pedido!$H:$H,DRE!$A321)-SUMIFS(Aut_Descontos!$F:$F,Aut_Descontos!$L:$L,DRE!AI$4,Aut_Descontos!$K:$K,A$321)+SUMIFS(Aut_Ajustes_Manuais!$G:$G,Aut_Ajustes_Manuais!$I:$I,DRE!AI$4,Aut_Ajustes_Manuais!$F:$F,"(-) Despesas de Patrocínio")</f>
        <v/>
      </c>
      <c r="AL321" s="263" t="n"/>
      <c r="AM321" s="140">
        <f>-SUMIFS(T_ORCAMENTOS!$E:$E,T_ORCAMENTOS!$C:$C,"(-) Despesas de Patrocínio",T_ORCAMENTOS!$H:$H,"11/2026")</f>
        <v/>
      </c>
      <c r="AN321" s="141">
        <f>SUMIFS(Aut_BlueMe_Sem_Pedido!$J:$J,Aut_BlueMe_Sem_Pedido!$Q:$Q,DRE!AL$4,Aut_BlueMe_Sem_Pedido!$H:$H,DRE!$A321)-SUMIFS(Aut_Descontos!$F:$F,Aut_Descontos!$L:$L,DRE!AL$4,Aut_Descontos!$K:$K,A$321)+SUMIFS(Aut_Ajustes_Manuais!$G:$G,Aut_Ajustes_Manuais!$I:$I,DRE!AL$4,Aut_Ajustes_Manuais!$F:$F,"(-) Despesas de Patrocínio")</f>
        <v/>
      </c>
      <c r="AO321" s="263" t="n"/>
      <c r="AP321" s="140">
        <f>-SUMIFS(T_ORCAMENTOS!$E:$E,T_ORCAMENTOS!$C:$C,"(-) Despesas de Patrocínio",T_ORCAMENTOS!$H:$H,"12/2026")</f>
        <v/>
      </c>
      <c r="AQ321" s="141">
        <f>SUMIFS(Aut_BlueMe_Sem_Pedido!$J:$J,Aut_BlueMe_Sem_Pedido!$Q:$Q,DRE!AO$4,Aut_BlueMe_Sem_Pedido!$H:$H,DRE!$A321)-SUMIFS(Aut_Descontos!$F:$F,Aut_Descontos!$L:$L,DRE!AO$4,Aut_Descontos!$K:$K,A$321)+SUMIFS(Aut_Ajustes_Manuais!$G:$G,Aut_Ajustes_Manuais!$I:$I,DRE!AO$4,Aut_Ajustes_Manuais!$F:$F,"(-) Despesas de Patrocínio")</f>
        <v/>
      </c>
      <c r="AR321" s="263">
        <f>SUMIFS($H321:$AO321,$H$5:$AO$5,"&lt;"&amp;MONTH(TODAY()),$H$6:$AO$6,"REAL 25")</f>
        <v/>
      </c>
      <c r="AS321" s="140">
        <f>SUMIFS($I321:$AP321,$I$5:$AP$5,"&lt;"&amp;MONTH(TODAY()),$I$6:$AP$6,"ORÇADO ")</f>
        <v/>
      </c>
      <c r="AT321" s="141">
        <f>SUMIFS($J321:$AQ321,$J$5:$AQ$5,"&lt;"&amp;MONTH(TODAY()),$J$6:$AQ$6,"REAL 26")</f>
        <v/>
      </c>
      <c r="AU321" s="263">
        <f>SUM(H321,K321,N321,Q321,T321,W321,Z321,AC321,AF321,AI321,AL321,AO321)</f>
        <v/>
      </c>
      <c r="AV321" s="140">
        <f>SUM(I321,L321,O321,R321,U321,X321,AA321,AD321,AG321,AJ321,AM321,AP321)</f>
        <v/>
      </c>
      <c r="AW321" s="141">
        <f>SUM(J321,M321,P321,S321,V321,Y321,AB321,AE321,AH321,AK321,AN321,AQ321)</f>
        <v/>
      </c>
      <c r="AX321" s="263">
        <f>SUM(H321,K321,N321)</f>
        <v/>
      </c>
      <c r="AY321" s="140">
        <f>SUM(I321,L321,O321)</f>
        <v/>
      </c>
      <c r="AZ321" s="141">
        <f>SUM(J321,M321,P321)</f>
        <v/>
      </c>
      <c r="BA321" s="263">
        <f>SUM(Q321,T321,W321)</f>
        <v/>
      </c>
      <c r="BB321" s="140">
        <f>SUM(R321,U321,X321)</f>
        <v/>
      </c>
      <c r="BC321" s="141">
        <f>SUM(S321,V321,Y321)</f>
        <v/>
      </c>
      <c r="BD321" s="263">
        <f>SUM(Z321,AC321,AF321)</f>
        <v/>
      </c>
      <c r="BE321" s="140">
        <f>SUM(AA321,AD321,AG321)</f>
        <v/>
      </c>
      <c r="BF321" s="141">
        <f>SUM(AB321,AE321,AH321)</f>
        <v/>
      </c>
      <c r="BG321" s="263">
        <f>SUM(AI321,AL321,AO321)</f>
        <v/>
      </c>
      <c r="BH321" s="140">
        <f>SUM(AJ321,AM321,AP321)</f>
        <v/>
      </c>
      <c r="BI321" s="141">
        <f>SUM(AK321,AN321,AQ321)</f>
        <v/>
      </c>
    </row>
    <row r="322">
      <c r="A322" s="18" t="n"/>
      <c r="E322" s="16" t="n"/>
      <c r="F322" s="17" t="n"/>
      <c r="G322" s="47" t="n"/>
      <c r="H322" s="264" t="n"/>
      <c r="I322" s="237" t="n"/>
      <c r="J322" s="265" t="n"/>
      <c r="K322" s="264" t="n"/>
      <c r="L322" s="237" t="n"/>
      <c r="M322" s="265" t="n"/>
      <c r="N322" s="264" t="n"/>
      <c r="O322" s="237" t="n"/>
      <c r="P322" s="265" t="n"/>
      <c r="Q322" s="264" t="n"/>
      <c r="R322" s="237" t="n"/>
      <c r="S322" s="265" t="n"/>
      <c r="T322" s="264" t="n"/>
      <c r="U322" s="237" t="n"/>
      <c r="V322" s="265" t="n"/>
      <c r="W322" s="264" t="n"/>
      <c r="X322" s="237" t="n"/>
      <c r="Y322" s="265" t="n"/>
      <c r="Z322" s="264" t="n"/>
      <c r="AA322" s="237" t="n"/>
      <c r="AB322" s="265" t="n"/>
      <c r="AC322" s="264" t="n"/>
      <c r="AD322" s="237" t="n"/>
      <c r="AE322" s="265" t="n"/>
      <c r="AF322" s="264" t="n"/>
      <c r="AG322" s="237" t="n"/>
      <c r="AH322" s="265" t="n"/>
      <c r="AI322" s="264" t="n"/>
      <c r="AJ322" s="237" t="n"/>
      <c r="AK322" s="265" t="n"/>
      <c r="AL322" s="264" t="n"/>
      <c r="AM322" s="237" t="n"/>
      <c r="AN322" s="265" t="n"/>
      <c r="AO322" s="264" t="n"/>
      <c r="AP322" s="237" t="n"/>
      <c r="AQ322" s="265" t="n"/>
      <c r="AR322" s="264" t="n"/>
      <c r="AS322" s="237" t="n"/>
      <c r="AT322" s="265" t="n"/>
      <c r="AU322" s="264" t="n"/>
      <c r="AV322" s="237" t="n"/>
      <c r="AW322" s="265" t="n"/>
      <c r="AX322" s="264" t="n"/>
      <c r="AY322" s="237" t="n"/>
      <c r="AZ322" s="265" t="n"/>
      <c r="BA322" s="264" t="n"/>
      <c r="BB322" s="237" t="n"/>
      <c r="BC322" s="265" t="n"/>
      <c r="BD322" s="264" t="n"/>
      <c r="BE322" s="237" t="n"/>
      <c r="BF322" s="265" t="n"/>
      <c r="BG322" s="264" t="n"/>
      <c r="BH322" s="237" t="n"/>
      <c r="BI322" s="265" t="n"/>
    </row>
    <row r="323">
      <c r="A323" s="58" t="inlineStr">
        <is>
          <t>Resultado Antes do IR</t>
        </is>
      </c>
      <c r="B323" s="59" t="n"/>
      <c r="C323" s="60" t="n"/>
      <c r="D323" s="61" t="n"/>
      <c r="E323" s="62" t="n"/>
      <c r="F323" s="63" t="n"/>
      <c r="G323" s="47" t="n"/>
      <c r="H323" s="248">
        <f>SUM(H321,H320,H318,H316)</f>
        <v/>
      </c>
      <c r="I323" s="64">
        <f>SUM(I321,I320,I318,I316)</f>
        <v/>
      </c>
      <c r="J323" s="65">
        <f>SUM(J321,J320,J318,J316)+SUMIFS(Aut_Ajustes_Manuais!$G:$G,Aut_Ajustes_Manuais!$I:$I,DRE!H$4,Aut_Ajustes_Manuais!$F:$F,"Resultado Antes do IR")</f>
        <v/>
      </c>
      <c r="K323" s="248">
        <f>SUM(K321,K320,K318,K316)</f>
        <v/>
      </c>
      <c r="L323" s="64">
        <f>SUM(L321,L320,L318,L316)</f>
        <v/>
      </c>
      <c r="M323" s="65">
        <f>SUM(M321,M320,M318,M316)+SUMIFS(Aut_Ajustes_Manuais!$G:$G,Aut_Ajustes_Manuais!$I:$I,DRE!K$4,Aut_Ajustes_Manuais!$F:$F,"Resultado Antes do IR")</f>
        <v/>
      </c>
      <c r="N323" s="248">
        <f>SUM(N321,N320,N318,N316)</f>
        <v/>
      </c>
      <c r="O323" s="64">
        <f>SUM(O321,O320,O318,O316)</f>
        <v/>
      </c>
      <c r="P323" s="65">
        <f>SUM(P321,P320,P318,P316)+SUMIFS(Aut_Ajustes_Manuais!$G:$G,Aut_Ajustes_Manuais!$I:$I,DRE!N$4,Aut_Ajustes_Manuais!$F:$F,"Resultado Antes do IR")</f>
        <v/>
      </c>
      <c r="Q323" s="248">
        <f>SUM(Q321,Q320,Q318,Q316)</f>
        <v/>
      </c>
      <c r="R323" s="64">
        <f>SUM(R321,R320,R318,R316)</f>
        <v/>
      </c>
      <c r="S323" s="65">
        <f>SUM(S321,S320,S318,S316)+SUMIFS(Aut_Ajustes_Manuais!$G:$G,Aut_Ajustes_Manuais!$I:$I,DRE!Q$4,Aut_Ajustes_Manuais!$F:$F,"Resultado Antes do IR")</f>
        <v/>
      </c>
      <c r="T323" s="248">
        <f>SUM(T321,T320,T318,T316)</f>
        <v/>
      </c>
      <c r="U323" s="64">
        <f>SUM(U321,U320,U318,U316)</f>
        <v/>
      </c>
      <c r="V323" s="65">
        <f>SUM(V321,V320,V318,V316)+SUMIFS(Aut_Ajustes_Manuais!$G:$G,Aut_Ajustes_Manuais!$I:$I,DRE!T$4,Aut_Ajustes_Manuais!$F:$F,"Resultado Antes do IR")</f>
        <v/>
      </c>
      <c r="W323" s="248">
        <f>SUM(W321,W320,W318,W316)</f>
        <v/>
      </c>
      <c r="X323" s="64">
        <f>SUM(X321,X320,X318,X316)</f>
        <v/>
      </c>
      <c r="Y323" s="65">
        <f>SUM(Y321,Y320,Y318,Y316)+SUMIFS(Aut_Ajustes_Manuais!$G:$G,Aut_Ajustes_Manuais!$I:$I,DRE!W$4,Aut_Ajustes_Manuais!$F:$F,"Resultado Antes do IR")</f>
        <v/>
      </c>
      <c r="Z323" s="248">
        <f>SUM(Z321,Z320,Z318,Z316)</f>
        <v/>
      </c>
      <c r="AA323" s="64">
        <f>SUM(AA321,AA320,AA318,AA316)</f>
        <v/>
      </c>
      <c r="AB323" s="65">
        <f>SUM(AB321,AB320,AB318,AB316)+SUMIFS(Aut_Ajustes_Manuais!$G:$G,Aut_Ajustes_Manuais!$I:$I,DRE!Z$4,Aut_Ajustes_Manuais!$F:$F,"Resultado Antes do IR")</f>
        <v/>
      </c>
      <c r="AC323" s="248">
        <f>SUM(AC321,AC320,AC318,AC316)</f>
        <v/>
      </c>
      <c r="AD323" s="64">
        <f>SUM(AD321,AD320,AD318,AD316)</f>
        <v/>
      </c>
      <c r="AE323" s="65">
        <f>SUM(AE321,AE320,AE318,AE316)+SUMIFS(Aut_Ajustes_Manuais!$G:$G,Aut_Ajustes_Manuais!$I:$I,DRE!AC$4,Aut_Ajustes_Manuais!$F:$F,"Resultado Antes do IR")</f>
        <v/>
      </c>
      <c r="AF323" s="248">
        <f>SUM(AF321,AF320,AF318,AF316)</f>
        <v/>
      </c>
      <c r="AG323" s="64">
        <f>SUM(AG321,AG320,AG318,AG316)</f>
        <v/>
      </c>
      <c r="AH323" s="65">
        <f>SUM(AH321,AH320,AH318,AH316)+SUMIFS(Aut_Ajustes_Manuais!$G:$G,Aut_Ajustes_Manuais!$I:$I,DRE!AF$4,Aut_Ajustes_Manuais!$F:$F,"Resultado Antes do IR")</f>
        <v/>
      </c>
      <c r="AI323" s="248">
        <f>SUM(AI321,AI320,AI318,AI316)</f>
        <v/>
      </c>
      <c r="AJ323" s="64">
        <f>SUM(AJ321,AJ320,AJ318,AJ316)</f>
        <v/>
      </c>
      <c r="AK323" s="65">
        <f>SUM(AK321,AK320,AK318,AK316)+SUMIFS(Aut_Ajustes_Manuais!$G:$G,Aut_Ajustes_Manuais!$I:$I,DRE!AI$4,Aut_Ajustes_Manuais!$F:$F,"Resultado Antes do IR")</f>
        <v/>
      </c>
      <c r="AL323" s="248">
        <f>SUM(AL321,AL320,AL318,AL316)</f>
        <v/>
      </c>
      <c r="AM323" s="64">
        <f>SUM(AM321,AM320,AM318,AM316)</f>
        <v/>
      </c>
      <c r="AN323" s="65">
        <f>SUM(AN321,AN320,AN318,AN316)+SUMIFS(Aut_Ajustes_Manuais!$G:$G,Aut_Ajustes_Manuais!$I:$I,DRE!AL$4,Aut_Ajustes_Manuais!$F:$F,"Resultado Antes do IR")</f>
        <v/>
      </c>
      <c r="AO323" s="248">
        <f>SUM(AO321,AO320,AO318,AO316)</f>
        <v/>
      </c>
      <c r="AP323" s="64">
        <f>SUM(AP321,AP320,AP318,AP316)</f>
        <v/>
      </c>
      <c r="AQ323" s="65">
        <f>SUM(AQ321,AQ320,AQ318,AQ316)+SUMIFS(Aut_Ajustes_Manuais!$G:$G,Aut_Ajustes_Manuais!$I:$I,DRE!AO$4,Aut_Ajustes_Manuais!$F:$F,"Resultado Antes do IR")</f>
        <v/>
      </c>
      <c r="AR323" s="248">
        <f>SUM(AR321,AR320,AR318,AR316)</f>
        <v/>
      </c>
      <c r="AS323" s="64">
        <f>SUM(AS321,AS320,AS318,AS316)</f>
        <v/>
      </c>
      <c r="AT323" s="65">
        <f>SUM(AT321,AT320,AT318,AT316)</f>
        <v/>
      </c>
      <c r="AU323" s="248">
        <f>SUM(AU321,AU320,AU318,AU316)</f>
        <v/>
      </c>
      <c r="AV323" s="64">
        <f>SUM(AV321,AV320,AV318,AV316)</f>
        <v/>
      </c>
      <c r="AW323" s="65">
        <f>SUM(AW321,AW320,AW318,AW316)</f>
        <v/>
      </c>
      <c r="AX323" s="248">
        <f>SUM(AX321,AX320,AX318,AX316)</f>
        <v/>
      </c>
      <c r="AY323" s="64">
        <f>SUM(AY321,AY320,AY318,AY316)</f>
        <v/>
      </c>
      <c r="AZ323" s="65">
        <f>SUM(AZ321,AZ320,AZ318,AZ316)</f>
        <v/>
      </c>
      <c r="BA323" s="248">
        <f>SUM(BA321,BA320,BA318,BA316)</f>
        <v/>
      </c>
      <c r="BB323" s="64">
        <f>SUM(BB321,BB320,BB318,BB316)</f>
        <v/>
      </c>
      <c r="BC323" s="65">
        <f>SUM(BC321,BC320,BC318,BC316)</f>
        <v/>
      </c>
      <c r="BD323" s="248">
        <f>SUM(BD321,BD320,BD318,BD316)</f>
        <v/>
      </c>
      <c r="BE323" s="64">
        <f>SUM(BE321,BE320,BE318,BE316)</f>
        <v/>
      </c>
      <c r="BF323" s="65">
        <f>SUM(BF321,BF320,BF318,BF316)</f>
        <v/>
      </c>
      <c r="BG323" s="248">
        <f>SUM(BG321,BG320,BG318,BG316)</f>
        <v/>
      </c>
      <c r="BH323" s="64">
        <f>SUM(BH321,BH320,BH318,BH316)</f>
        <v/>
      </c>
      <c r="BI323" s="65">
        <f>SUM(BI321,BI320,BI318,BI316)</f>
        <v/>
      </c>
    </row>
    <row r="324">
      <c r="A324" s="18" t="n"/>
      <c r="E324" s="16" t="n"/>
      <c r="F324" s="17" t="n"/>
      <c r="G324" s="47" t="n"/>
      <c r="H324" s="266" t="n"/>
      <c r="I324" s="142" t="n"/>
      <c r="J324" s="267" t="n"/>
      <c r="K324" s="266" t="n"/>
      <c r="L324" s="142" t="n"/>
      <c r="M324" s="267" t="n"/>
      <c r="N324" s="266" t="n"/>
      <c r="O324" s="142" t="n"/>
      <c r="P324" s="267" t="n"/>
      <c r="Q324" s="266" t="n"/>
      <c r="R324" s="142" t="n"/>
      <c r="S324" s="267" t="n"/>
      <c r="T324" s="266" t="n"/>
      <c r="U324" s="142" t="n"/>
      <c r="V324" s="267" t="n"/>
      <c r="W324" s="266" t="n"/>
      <c r="X324" s="142" t="n"/>
      <c r="Y324" s="267" t="n"/>
      <c r="Z324" s="266" t="n"/>
      <c r="AA324" s="142" t="n"/>
      <c r="AB324" s="267" t="n"/>
      <c r="AC324" s="266" t="n"/>
      <c r="AD324" s="142" t="n"/>
      <c r="AE324" s="267" t="n"/>
      <c r="AF324" s="266" t="n"/>
      <c r="AG324" s="142" t="n"/>
      <c r="AH324" s="267" t="n"/>
      <c r="AI324" s="266" t="n"/>
      <c r="AJ324" s="142" t="n"/>
      <c r="AK324" s="267" t="n"/>
      <c r="AL324" s="266" t="n"/>
      <c r="AM324" s="142" t="n"/>
      <c r="AN324" s="267" t="n"/>
      <c r="AO324" s="266" t="n"/>
      <c r="AP324" s="142" t="n"/>
      <c r="AQ324" s="267" t="n"/>
      <c r="AR324" s="266" t="n"/>
      <c r="AS324" s="142" t="n"/>
      <c r="AT324" s="267" t="n"/>
      <c r="AU324" s="266" t="n"/>
      <c r="AV324" s="142" t="n"/>
      <c r="AW324" s="267" t="n"/>
      <c r="AX324" s="266" t="n"/>
      <c r="AY324" s="142" t="n"/>
      <c r="AZ324" s="267" t="n"/>
      <c r="BA324" s="266" t="n"/>
      <c r="BB324" s="142" t="n"/>
      <c r="BC324" s="267" t="n"/>
      <c r="BD324" s="266" t="n"/>
      <c r="BE324" s="142" t="n"/>
      <c r="BF324" s="267" t="n"/>
      <c r="BG324" s="266" t="n"/>
      <c r="BH324" s="142" t="n"/>
      <c r="BI324" s="267" t="n"/>
    </row>
    <row r="325" ht="16.95" customHeight="1">
      <c r="A325" s="39" t="inlineStr">
        <is>
          <t>(-) Impostos</t>
        </is>
      </c>
      <c r="B325" s="59" t="n"/>
      <c r="C325" s="40" t="inlineStr">
        <is>
          <t>Drivers</t>
        </is>
      </c>
      <c r="D325" s="40" t="inlineStr">
        <is>
          <t>Valores fixos</t>
        </is>
      </c>
      <c r="E325" s="40" t="inlineStr">
        <is>
          <t>Acréscimo</t>
        </is>
      </c>
      <c r="F325" s="63" t="n"/>
      <c r="G325" s="47" t="n"/>
      <c r="H325" s="244" t="n"/>
      <c r="I325" s="42">
        <f>SUM(I326:I329)</f>
        <v/>
      </c>
      <c r="J325" s="43">
        <f>SUM(J326:J329)+SUMIFS(Aut_Ajustes_Manuais!$G:$G,Aut_Ajustes_Manuais!$I:$I,DRE!H$4,Aut_Ajustes_Manuais!$F:$F,"(-) Impostos")</f>
        <v/>
      </c>
      <c r="K325" s="244" t="n"/>
      <c r="L325" s="42">
        <f>SUM(L326:L329)</f>
        <v/>
      </c>
      <c r="M325" s="43">
        <f>SUM(M326:M329)+SUMIFS(Aut_Ajustes_Manuais!$G:$G,Aut_Ajustes_Manuais!$I:$I,DRE!K$4,Aut_Ajustes_Manuais!$F:$F,"(-) Impostos")</f>
        <v/>
      </c>
      <c r="N325" s="244" t="n"/>
      <c r="O325" s="42">
        <f>SUM(O326:O329)</f>
        <v/>
      </c>
      <c r="P325" s="43">
        <f>SUM(P326:P329)+SUMIFS(Aut_Ajustes_Manuais!$G:$G,Aut_Ajustes_Manuais!$I:$I,DRE!N$4,Aut_Ajustes_Manuais!$F:$F,"(-) Impostos")</f>
        <v/>
      </c>
      <c r="Q325" s="244" t="n"/>
      <c r="R325" s="42">
        <f>SUM(R326:R329)</f>
        <v/>
      </c>
      <c r="S325" s="43">
        <f>SUM(S326:S329)+SUMIFS(Aut_Ajustes_Manuais!$G:$G,Aut_Ajustes_Manuais!$I:$I,DRE!Q$4,Aut_Ajustes_Manuais!$F:$F,"(-) Impostos")</f>
        <v/>
      </c>
      <c r="T325" s="244" t="n"/>
      <c r="U325" s="42">
        <f>SUM(U326:U329)</f>
        <v/>
      </c>
      <c r="V325" s="43">
        <f>SUM(V326:V329)+SUMIFS(Aut_Ajustes_Manuais!$G:$G,Aut_Ajustes_Manuais!$I:$I,DRE!T$4,Aut_Ajustes_Manuais!$F:$F,"(-) Impostos")</f>
        <v/>
      </c>
      <c r="W325" s="244" t="n"/>
      <c r="X325" s="42">
        <f>SUM(X326:X329)</f>
        <v/>
      </c>
      <c r="Y325" s="43">
        <f>SUM(Y326:Y329)+SUMIFS(Aut_Ajustes_Manuais!$G:$G,Aut_Ajustes_Manuais!$I:$I,DRE!W$4,Aut_Ajustes_Manuais!$F:$F,"(-) Impostos")</f>
        <v/>
      </c>
      <c r="Z325" s="244" t="n"/>
      <c r="AA325" s="42">
        <f>SUM(AA326:AA329)</f>
        <v/>
      </c>
      <c r="AB325" s="43">
        <f>SUM(AB326:AB329)+SUMIFS(Aut_Ajustes_Manuais!$G:$G,Aut_Ajustes_Manuais!$I:$I,DRE!Z$4,Aut_Ajustes_Manuais!$F:$F,"(-) Impostos")</f>
        <v/>
      </c>
      <c r="AC325" s="244" t="n"/>
      <c r="AD325" s="42">
        <f>SUM(AD326:AD329)</f>
        <v/>
      </c>
      <c r="AE325" s="43">
        <f>SUM(AE326:AE329)+SUMIFS(Aut_Ajustes_Manuais!$G:$G,Aut_Ajustes_Manuais!$I:$I,DRE!AC$4,Aut_Ajustes_Manuais!$F:$F,"(-) Impostos")</f>
        <v/>
      </c>
      <c r="AF325" s="244" t="n"/>
      <c r="AG325" s="42">
        <f>SUM(AG326:AG329)</f>
        <v/>
      </c>
      <c r="AH325" s="43">
        <f>SUM(AH326:AH329)+SUMIFS(Aut_Ajustes_Manuais!$G:$G,Aut_Ajustes_Manuais!$I:$I,DRE!AF$4,Aut_Ajustes_Manuais!$F:$F,"(-) Impostos")</f>
        <v/>
      </c>
      <c r="AI325" s="244" t="n"/>
      <c r="AJ325" s="42">
        <f>SUM(AJ326:AJ329)</f>
        <v/>
      </c>
      <c r="AK325" s="43">
        <f>SUM(AK326:AK329)+SUMIFS(Aut_Ajustes_Manuais!$G:$G,Aut_Ajustes_Manuais!$I:$I,DRE!AI$4,Aut_Ajustes_Manuais!$F:$F,"(-) Impostos")</f>
        <v/>
      </c>
      <c r="AL325" s="244" t="n"/>
      <c r="AM325" s="42">
        <f>SUM(AM326:AM329)</f>
        <v/>
      </c>
      <c r="AN325" s="43">
        <f>SUM(AN326:AN329)+SUMIFS(Aut_Ajustes_Manuais!$G:$G,Aut_Ajustes_Manuais!$I:$I,DRE!AL$4,Aut_Ajustes_Manuais!$F:$F,"(-) Impostos")</f>
        <v/>
      </c>
      <c r="AO325" s="244" t="n"/>
      <c r="AP325" s="42">
        <f>SUM(AP326:AP329)</f>
        <v/>
      </c>
      <c r="AQ325" s="43">
        <f>SUM(AQ326:AQ329)+SUMIFS(Aut_Ajustes_Manuais!$G:$G,Aut_Ajustes_Manuais!$I:$I,DRE!AO$4,Aut_Ajustes_Manuais!$F:$F,"(-) Impostos")</f>
        <v/>
      </c>
      <c r="AR325" s="244">
        <f>SUM(AR326:AR329)</f>
        <v/>
      </c>
      <c r="AS325" s="42">
        <f>SUM(AS326:AS329)</f>
        <v/>
      </c>
      <c r="AT325" s="43">
        <f>SUM(AT326:AT329)</f>
        <v/>
      </c>
      <c r="AU325" s="244">
        <f>SUM(AU326:AU329)</f>
        <v/>
      </c>
      <c r="AV325" s="42">
        <f>SUM(AV326:AV329)</f>
        <v/>
      </c>
      <c r="AW325" s="43">
        <f>SUM(AW326:AW329)</f>
        <v/>
      </c>
      <c r="AX325" s="244">
        <f>SUM(AX326:AX329)</f>
        <v/>
      </c>
      <c r="AY325" s="42">
        <f>SUM(AY326:AY329)</f>
        <v/>
      </c>
      <c r="AZ325" s="43">
        <f>SUM(AZ326:AZ329)</f>
        <v/>
      </c>
      <c r="BA325" s="244">
        <f>SUM(BA326:BA329)</f>
        <v/>
      </c>
      <c r="BB325" s="42">
        <f>SUM(BB326:BB329)</f>
        <v/>
      </c>
      <c r="BC325" s="43">
        <f>SUM(BC326:BC329)</f>
        <v/>
      </c>
      <c r="BD325" s="244">
        <f>SUM(BD326:BD329)</f>
        <v/>
      </c>
      <c r="BE325" s="42">
        <f>SUM(BE326:BE329)</f>
        <v/>
      </c>
      <c r="BF325" s="43">
        <f>SUM(BF326:BF329)</f>
        <v/>
      </c>
      <c r="BG325" s="244">
        <f>SUM(BG326:BG329)</f>
        <v/>
      </c>
      <c r="BH325" s="42">
        <f>SUM(BH326:BH329)</f>
        <v/>
      </c>
      <c r="BI325" s="43">
        <f>SUM(BI326:BI329)</f>
        <v/>
      </c>
    </row>
    <row r="326" hidden="1" outlineLevel="1" customFormat="1" s="498">
      <c r="A326" s="22" t="inlineStr">
        <is>
          <t>SIMPLES</t>
        </is>
      </c>
      <c r="B326" s="59" t="n"/>
      <c r="C326" s="24" t="inlineStr">
        <is>
          <t>Estim. Mensal - Base Fiscal</t>
        </is>
      </c>
      <c r="D326" s="25" t="n"/>
      <c r="E326" s="25" t="n"/>
      <c r="F326" s="63" t="n"/>
      <c r="G326" s="33" t="n"/>
      <c r="H326" s="241" t="n"/>
      <c r="I326" s="27">
        <f>-SUMIFS(T_ORCAMENTOS!$E:$E,T_ORCAMENTOS!$C:$C,"SIMPLES",T_ORCAMENTOS!$H:$H,"1/2026")</f>
        <v/>
      </c>
      <c r="J326" s="28">
        <f>-Fiscal!M59+SUMIFS(Aut_Ajustes_Manuais!$G:$G,Aut_Ajustes_Manuais!$I:$I,DRE!H$4,Aut_Ajustes_Manuais!$F:$F,"SIMPLES")</f>
        <v/>
      </c>
      <c r="K326" s="241" t="n"/>
      <c r="L326" s="27">
        <f>-SUMIFS(T_ORCAMENTOS!$E:$E,T_ORCAMENTOS!$C:$C,"SIMPLES",T_ORCAMENTOS!$H:$H,"2/2026")</f>
        <v/>
      </c>
      <c r="M326" s="28">
        <f>-Fiscal!M60+SUMIFS(Aut_Ajustes_Manuais!$G:$G,Aut_Ajustes_Manuais!$I:$I,DRE!K$4,Aut_Ajustes_Manuais!$F:$F,"SIMPLES")</f>
        <v/>
      </c>
      <c r="N326" s="241" t="n"/>
      <c r="O326" s="27">
        <f>-SUMIFS(T_ORCAMENTOS!$E:$E,T_ORCAMENTOS!$C:$C,"SIMPLES",T_ORCAMENTOS!$H:$H,"3/2026")</f>
        <v/>
      </c>
      <c r="P326" s="28">
        <f>-Fiscal!M61+SUMIFS(Aut_Ajustes_Manuais!$G:$G,Aut_Ajustes_Manuais!$I:$I,DRE!N$4,Aut_Ajustes_Manuais!$F:$F,"SIMPLES")</f>
        <v/>
      </c>
      <c r="Q326" s="241" t="n"/>
      <c r="R326" s="27">
        <f>-SUMIFS(T_ORCAMENTOS!$E:$E,T_ORCAMENTOS!$C:$C,"SIMPLES",T_ORCAMENTOS!$H:$H,"4/2026")</f>
        <v/>
      </c>
      <c r="S326" s="28">
        <f>-Fiscal!M62+SUMIFS(Aut_Ajustes_Manuais!$G:$G,Aut_Ajustes_Manuais!$I:$I,DRE!Q$4,Aut_Ajustes_Manuais!$F:$F,"SIMPLES")</f>
        <v/>
      </c>
      <c r="T326" s="241" t="n"/>
      <c r="U326" s="27">
        <f>-SUMIFS(T_ORCAMENTOS!$E:$E,T_ORCAMENTOS!$C:$C,"SIMPLES",T_ORCAMENTOS!$H:$H,"5/2026")</f>
        <v/>
      </c>
      <c r="V326" s="28">
        <f>-Fiscal!M63+SUMIFS(Aut_Ajustes_Manuais!$G:$G,Aut_Ajustes_Manuais!$I:$I,DRE!T$4,Aut_Ajustes_Manuais!$F:$F,"SIMPLES")</f>
        <v/>
      </c>
      <c r="W326" s="241" t="n"/>
      <c r="X326" s="27">
        <f>-SUMIFS(T_ORCAMENTOS!$E:$E,T_ORCAMENTOS!$C:$C,"SIMPLES",T_ORCAMENTOS!$H:$H,"6/2026")</f>
        <v/>
      </c>
      <c r="Y326" s="28">
        <f>-Fiscal!M64+SUMIFS(Aut_Ajustes_Manuais!$G:$G,Aut_Ajustes_Manuais!$I:$I,DRE!W$4,Aut_Ajustes_Manuais!$F:$F,"SIMPLES")</f>
        <v/>
      </c>
      <c r="Z326" s="241" t="n"/>
      <c r="AA326" s="27">
        <f>-SUMIFS(T_ORCAMENTOS!$E:$E,T_ORCAMENTOS!$C:$C,"SIMPLES",T_ORCAMENTOS!$H:$H,"7/2026")</f>
        <v/>
      </c>
      <c r="AB326" s="28">
        <f>-Fiscal!M65+SUMIFS(Aut_Ajustes_Manuais!$G:$G,Aut_Ajustes_Manuais!$I:$I,DRE!Z$4,Aut_Ajustes_Manuais!$F:$F,"SIMPLES")</f>
        <v/>
      </c>
      <c r="AC326" s="241" t="n"/>
      <c r="AD326" s="27">
        <f>-SUMIFS(T_ORCAMENTOS!$E:$E,T_ORCAMENTOS!$C:$C,"SIMPLES",T_ORCAMENTOS!$H:$H,"8/2026")</f>
        <v/>
      </c>
      <c r="AE326" s="28">
        <f>-Fiscal!M66+SUMIFS(Aut_Ajustes_Manuais!$G:$G,Aut_Ajustes_Manuais!$I:$I,DRE!AC$4,Aut_Ajustes_Manuais!$F:$F,"SIMPLES")</f>
        <v/>
      </c>
      <c r="AF326" s="241" t="n"/>
      <c r="AG326" s="27">
        <f>-SUMIFS(T_ORCAMENTOS!$E:$E,T_ORCAMENTOS!$C:$C,"SIMPLES",T_ORCAMENTOS!$H:$H,"9/2026")</f>
        <v/>
      </c>
      <c r="AH326" s="28">
        <f>-Fiscal!M67+SUMIFS(Aut_Ajustes_Manuais!$G:$G,Aut_Ajustes_Manuais!$I:$I,DRE!AF$4,Aut_Ajustes_Manuais!$F:$F,"SIMPLES")</f>
        <v/>
      </c>
      <c r="AI326" s="241" t="n"/>
      <c r="AJ326" s="27">
        <f>-SUMIFS(T_ORCAMENTOS!$E:$E,T_ORCAMENTOS!$C:$C,"SIMPLES",T_ORCAMENTOS!$H:$H,"10/2026")</f>
        <v/>
      </c>
      <c r="AK326" s="28">
        <f>-Fiscal!M68+SUMIFS(Aut_Ajustes_Manuais!$G:$G,Aut_Ajustes_Manuais!$I:$I,DRE!AI$4,Aut_Ajustes_Manuais!$F:$F,"SIMPLES")</f>
        <v/>
      </c>
      <c r="AL326" s="241" t="n"/>
      <c r="AM326" s="27">
        <f>-SUMIFS(T_ORCAMENTOS!$E:$E,T_ORCAMENTOS!$C:$C,"SIMPLES",T_ORCAMENTOS!$H:$H,"11/2026")</f>
        <v/>
      </c>
      <c r="AN326" s="28">
        <f>-Fiscal!M69+SUMIFS(Aut_Ajustes_Manuais!$G:$G,Aut_Ajustes_Manuais!$I:$I,DRE!AL$4,Aut_Ajustes_Manuais!$F:$F,"SIMPLES")</f>
        <v/>
      </c>
      <c r="AO326" s="241" t="n"/>
      <c r="AP326" s="27">
        <f>-SUMIFS(T_ORCAMENTOS!$E:$E,T_ORCAMENTOS!$C:$C,"SIMPLES",T_ORCAMENTOS!$H:$H,"12/2026")</f>
        <v/>
      </c>
      <c r="AQ326" s="28">
        <f>-Fiscal!M70+SUMIFS(Aut_Ajustes_Manuais!$G:$G,Aut_Ajustes_Manuais!$I:$I,DRE!AO$4,Aut_Ajustes_Manuais!$F:$F,"SIMPLES")</f>
        <v/>
      </c>
      <c r="AR326" s="241">
        <f>SUMIFS($H326:$AO326,$H$5:$AO$5,"&lt;"&amp;MONTH(TODAY()),$H$6:$AO$6,"REAL 25")</f>
        <v/>
      </c>
      <c r="AS326" s="27">
        <f>SUMIFS($I326:$AP326,$I$5:$AP$5,"&lt;"&amp;MONTH(TODAY()),$I$6:$AP$6,"ORÇADO ")</f>
        <v/>
      </c>
      <c r="AT326" s="28">
        <f>SUMIFS($J326:$AQ326,$J$5:$AQ$5,"&lt;"&amp;MONTH(TODAY()),$J$6:$AQ$6,"REAL 26")</f>
        <v/>
      </c>
      <c r="AU326" s="241">
        <f>SUM(H326,K326,N326,Q326,T326,W326,Z326,AC326,AF326,AI326,AL326,AO326)</f>
        <v/>
      </c>
      <c r="AV326" s="27">
        <f>SUM(I326,L326,O326,R326,U326,X326,AA326,AD326,AG326,AJ326,AM326,AP326)</f>
        <v/>
      </c>
      <c r="AW326" s="28">
        <f>SUM(J326,M326,P326,S326,V326,Y326,AB326,AE326,AH326,AK326,AN326,AQ326)</f>
        <v/>
      </c>
      <c r="AX326" s="241">
        <f>SUM(H326,K326,N326)</f>
        <v/>
      </c>
      <c r="AY326" s="27">
        <f>SUM(I326,L326,O326)</f>
        <v/>
      </c>
      <c r="AZ326" s="28">
        <f>SUM(J326,M326,P326)</f>
        <v/>
      </c>
      <c r="BA326" s="241">
        <f>SUM(Q326,T326,W326)</f>
        <v/>
      </c>
      <c r="BB326" s="27">
        <f>SUM(R326,U326,X326)</f>
        <v/>
      </c>
      <c r="BC326" s="28">
        <f>SUM(S326,V326,Y326)</f>
        <v/>
      </c>
      <c r="BD326" s="241">
        <f>SUM(Z326,AC326,AF326)</f>
        <v/>
      </c>
      <c r="BE326" s="27">
        <f>SUM(AA326,AD326,AG326)</f>
        <v/>
      </c>
      <c r="BF326" s="28">
        <f>SUM(AB326,AE326,AH326)</f>
        <v/>
      </c>
      <c r="BG326" s="241">
        <f>SUM(AI326,AL326,AO326)</f>
        <v/>
      </c>
      <c r="BH326" s="27">
        <f>SUM(AJ326,AM326,AP326)</f>
        <v/>
      </c>
      <c r="BI326" s="28">
        <f>SUM(AK326,AN326,AQ326)</f>
        <v/>
      </c>
    </row>
    <row r="327" hidden="1" outlineLevel="1" customFormat="1" s="498">
      <c r="A327" s="22" t="inlineStr">
        <is>
          <t>IRPJ</t>
        </is>
      </c>
      <c r="B327" s="59" t="n"/>
      <c r="C327" s="24" t="inlineStr">
        <is>
          <t>Estim. Mensal - Base Fiscal</t>
        </is>
      </c>
      <c r="D327" s="25" t="n"/>
      <c r="E327" s="25" t="n"/>
      <c r="F327" s="63" t="n"/>
      <c r="G327" s="33" t="n"/>
      <c r="H327" s="241" t="n"/>
      <c r="I327" s="27">
        <f>-SUMIFS(T_ORCAMENTOS!$E:$E,T_ORCAMENTOS!$C:$C,"IRPJ",T_ORCAMENTOS!$H:$H,"1/2026")</f>
        <v/>
      </c>
      <c r="J327" s="28">
        <f>-Fiscal!D29+SUMIFS(Aut_Ajustes_Manuais!$G:$G,Aut_Ajustes_Manuais!$I:$I,DRE!H$4,Aut_Ajustes_Manuais!$F:$F,"IRPJ")</f>
        <v/>
      </c>
      <c r="K327" s="241" t="n"/>
      <c r="L327" s="27">
        <f>-SUMIFS(T_ORCAMENTOS!$E:$E,T_ORCAMENTOS!$C:$C,"IRPJ",T_ORCAMENTOS!$H:$H,"2/2026")</f>
        <v/>
      </c>
      <c r="M327" s="28">
        <f>-Fiscal!E29+SUMIFS(Aut_Ajustes_Manuais!$G:$G,Aut_Ajustes_Manuais!$I:$I,DRE!K$4,Aut_Ajustes_Manuais!$F:$F,"IRPJ")</f>
        <v/>
      </c>
      <c r="N327" s="241" t="n"/>
      <c r="O327" s="27">
        <f>-SUMIFS(T_ORCAMENTOS!$E:$E,T_ORCAMENTOS!$C:$C,"IRPJ",T_ORCAMENTOS!$H:$H,"3/2026")</f>
        <v/>
      </c>
      <c r="P327" s="28">
        <f>-Fiscal!F29+SUMIFS(Aut_Ajustes_Manuais!$G:$G,Aut_Ajustes_Manuais!$I:$I,DRE!N$4,Aut_Ajustes_Manuais!$F:$F,"IRPJ")</f>
        <v/>
      </c>
      <c r="Q327" s="241" t="n"/>
      <c r="R327" s="27">
        <f>-SUMIFS(T_ORCAMENTOS!$E:$E,T_ORCAMENTOS!$C:$C,"IRPJ",T_ORCAMENTOS!$H:$H,"4/2026")</f>
        <v/>
      </c>
      <c r="S327" s="28">
        <f>-Fiscal!H29+SUMIFS(Aut_Ajustes_Manuais!$G:$G,Aut_Ajustes_Manuais!$I:$I,DRE!Q$4,Aut_Ajustes_Manuais!$F:$F,"IRPJ")</f>
        <v/>
      </c>
      <c r="T327" s="241" t="n"/>
      <c r="U327" s="27">
        <f>-SUMIFS(T_ORCAMENTOS!$E:$E,T_ORCAMENTOS!$C:$C,"IRPJ",T_ORCAMENTOS!$H:$H,"5/2026")</f>
        <v/>
      </c>
      <c r="V327" s="28">
        <f>-Fiscal!I29+SUMIFS(Aut_Ajustes_Manuais!$G:$G,Aut_Ajustes_Manuais!$I:$I,DRE!T$4,Aut_Ajustes_Manuais!$F:$F,"IRPJ")</f>
        <v/>
      </c>
      <c r="W327" s="241" t="n"/>
      <c r="X327" s="27">
        <f>-SUMIFS(T_ORCAMENTOS!$E:$E,T_ORCAMENTOS!$C:$C,"IRPJ",T_ORCAMENTOS!$H:$H,"6/2026")</f>
        <v/>
      </c>
      <c r="Y327" s="28">
        <f>-Fiscal!J29+SUMIFS(Aut_Ajustes_Manuais!$G:$G,Aut_Ajustes_Manuais!$I:$I,DRE!W$4,Aut_Ajustes_Manuais!$F:$F,"IRPJ")</f>
        <v/>
      </c>
      <c r="Z327" s="241" t="n"/>
      <c r="AA327" s="27">
        <f>-SUMIFS(T_ORCAMENTOS!$E:$E,T_ORCAMENTOS!$C:$C,"IRPJ",T_ORCAMENTOS!$H:$H,"7/2026")</f>
        <v/>
      </c>
      <c r="AB327" s="28">
        <f>-Fiscal!L29+SUMIFS(Aut_Ajustes_Manuais!$G:$G,Aut_Ajustes_Manuais!$I:$I,DRE!Z$4,Aut_Ajustes_Manuais!$F:$F,"IRPJ")</f>
        <v/>
      </c>
      <c r="AC327" s="241" t="n"/>
      <c r="AD327" s="27">
        <f>-SUMIFS(T_ORCAMENTOS!$E:$E,T_ORCAMENTOS!$C:$C,"IRPJ",T_ORCAMENTOS!$H:$H,"8/2026")</f>
        <v/>
      </c>
      <c r="AE327" s="28">
        <f>-Fiscal!M29+SUMIFS(Aut_Ajustes_Manuais!$G:$G,Aut_Ajustes_Manuais!$I:$I,DRE!AC$4,Aut_Ajustes_Manuais!$F:$F,"IRPJ")</f>
        <v/>
      </c>
      <c r="AF327" s="241" t="n"/>
      <c r="AG327" s="27">
        <f>-SUMIFS(T_ORCAMENTOS!$E:$E,T_ORCAMENTOS!$C:$C,"IRPJ",T_ORCAMENTOS!$H:$H,"9/2026")</f>
        <v/>
      </c>
      <c r="AH327" s="28">
        <f>-Fiscal!N29+SUMIFS(Aut_Ajustes_Manuais!$G:$G,Aut_Ajustes_Manuais!$I:$I,DRE!AF$4,Aut_Ajustes_Manuais!$F:$F,"IRPJ")</f>
        <v/>
      </c>
      <c r="AI327" s="241" t="n"/>
      <c r="AJ327" s="27">
        <f>-SUMIFS(T_ORCAMENTOS!$E:$E,T_ORCAMENTOS!$C:$C,"IRPJ",T_ORCAMENTOS!$H:$H,"10/2026")</f>
        <v/>
      </c>
      <c r="AK327" s="28">
        <f>-Fiscal!P29+SUMIFS(Aut_Ajustes_Manuais!$G:$G,Aut_Ajustes_Manuais!$I:$I,DRE!AI$4,Aut_Ajustes_Manuais!$F:$F,"IRPJ")</f>
        <v/>
      </c>
      <c r="AL327" s="241" t="n"/>
      <c r="AM327" s="27">
        <f>-SUMIFS(T_ORCAMENTOS!$E:$E,T_ORCAMENTOS!$C:$C,"IRPJ",T_ORCAMENTOS!$H:$H,"11/2026")</f>
        <v/>
      </c>
      <c r="AN327" s="28">
        <f>-Fiscal!Q29+SUMIFS(Aut_Ajustes_Manuais!$G:$G,Aut_Ajustes_Manuais!$I:$I,DRE!AL$4,Aut_Ajustes_Manuais!$F:$F,"IRPJ")</f>
        <v/>
      </c>
      <c r="AO327" s="241" t="n"/>
      <c r="AP327" s="27">
        <f>-SUMIFS(T_ORCAMENTOS!$E:$E,T_ORCAMENTOS!$C:$C,"IRPJ",T_ORCAMENTOS!$H:$H,"12/2026")</f>
        <v/>
      </c>
      <c r="AQ327" s="28">
        <f>-Fiscal!R29+SUMIFS(Aut_Ajustes_Manuais!$G:$G,Aut_Ajustes_Manuais!$I:$I,DRE!AO$4,Aut_Ajustes_Manuais!$F:$F,"IRPJ")</f>
        <v/>
      </c>
      <c r="AR327" s="241">
        <f>SUMIFS($H327:$AO327,$H$5:$AO$5,"&lt;"&amp;MONTH(TODAY()),$H$6:$AO$6,"REAL 25")</f>
        <v/>
      </c>
      <c r="AS327" s="27">
        <f>SUMIFS($I327:$AP327,$I$5:$AP$5,"&lt;"&amp;MONTH(TODAY()),$I$6:$AP$6,"ORÇADO ")</f>
        <v/>
      </c>
      <c r="AT327" s="28">
        <f>SUMIFS($J327:$AQ327,$J$5:$AQ$5,"&lt;"&amp;MONTH(TODAY()),$J$6:$AQ$6,"REAL 26")</f>
        <v/>
      </c>
      <c r="AU327" s="241">
        <f>SUM(H327,K327,N327,Q327,T327,W327,Z327,AC327,AF327,AI327,AL327,AO327)</f>
        <v/>
      </c>
      <c r="AV327" s="27">
        <f>SUM(I327,L327,O327,R327,U327,X327,AA327,AD327,AG327,AJ327,AM327,AP327)</f>
        <v/>
      </c>
      <c r="AW327" s="28">
        <f>SUM(J327,M327,P327,S327,V327,Y327,AB327,AE327,AH327,AK327,AN327,AQ327)</f>
        <v/>
      </c>
      <c r="AX327" s="241">
        <f>SUM(H327,K327,N327)</f>
        <v/>
      </c>
      <c r="AY327" s="27">
        <f>SUM(I327,L327,O327)</f>
        <v/>
      </c>
      <c r="AZ327" s="28">
        <f>SUM(J327,M327,P327)</f>
        <v/>
      </c>
      <c r="BA327" s="241">
        <f>SUM(Q327,T327,W327)</f>
        <v/>
      </c>
      <c r="BB327" s="27">
        <f>SUM(R327,U327,X327)</f>
        <v/>
      </c>
      <c r="BC327" s="28">
        <f>SUM(S327,V327,Y327)</f>
        <v/>
      </c>
      <c r="BD327" s="241">
        <f>SUM(Z327,AC327,AF327)</f>
        <v/>
      </c>
      <c r="BE327" s="27">
        <f>SUM(AA327,AD327,AG327)</f>
        <v/>
      </c>
      <c r="BF327" s="28">
        <f>SUM(AB327,AE327,AH327)</f>
        <v/>
      </c>
      <c r="BG327" s="241">
        <f>SUM(AI327,AL327,AO327)</f>
        <v/>
      </c>
      <c r="BH327" s="27">
        <f>SUM(AJ327,AM327,AP327)</f>
        <v/>
      </c>
      <c r="BI327" s="28">
        <f>SUM(AK327,AN327,AQ327)</f>
        <v/>
      </c>
    </row>
    <row r="328" hidden="1" outlineLevel="1" customFormat="1" s="498">
      <c r="A328" s="22" t="inlineStr">
        <is>
          <t>IRPJ 10%</t>
        </is>
      </c>
      <c r="B328" s="59" t="n"/>
      <c r="C328" s="24" t="inlineStr">
        <is>
          <t>Estim. Mensal - Base Fiscal</t>
        </is>
      </c>
      <c r="D328" s="25" t="n"/>
      <c r="E328" s="25" t="n"/>
      <c r="F328" s="63" t="n"/>
      <c r="G328" s="33" t="n"/>
      <c r="H328" s="241" t="n"/>
      <c r="I328" s="27">
        <f>-SUMIFS(T_ORCAMENTOS!$E:$E,T_ORCAMENTOS!$C:$C,"IRPJ 10%",T_ORCAMENTOS!$H:$H,"1/2026")</f>
        <v/>
      </c>
      <c r="J328" s="28" t="n"/>
      <c r="K328" s="241" t="n"/>
      <c r="L328" s="27">
        <f>-SUMIFS(T_ORCAMENTOS!$E:$E,T_ORCAMENTOS!$C:$C,"IRPJ 10%",T_ORCAMENTOS!$H:$H,"2/2026")</f>
        <v/>
      </c>
      <c r="M328" s="28" t="n"/>
      <c r="N328" s="241" t="n"/>
      <c r="O328" s="27">
        <f>-SUMIFS(T_ORCAMENTOS!$E:$E,T_ORCAMENTOS!$C:$C,"IRPJ 10%",T_ORCAMENTOS!$H:$H,"3/2026")</f>
        <v/>
      </c>
      <c r="P328" s="28">
        <f>-Fiscal!G28+SUMIFS(Aut_Ajustes_Manuais!$G:$G,Aut_Ajustes_Manuais!$I:$I,DRE!N$4,Aut_Ajustes_Manuais!$F:$F,"IRPJ 10%")</f>
        <v/>
      </c>
      <c r="Q328" s="241" t="n"/>
      <c r="R328" s="27">
        <f>-SUMIFS(T_ORCAMENTOS!$E:$E,T_ORCAMENTOS!$C:$C,"IRPJ 10%",T_ORCAMENTOS!$H:$H,"4/2026")</f>
        <v/>
      </c>
      <c r="S328" s="28" t="n">
        <v>0</v>
      </c>
      <c r="T328" s="241" t="n"/>
      <c r="U328" s="27">
        <f>-SUMIFS(T_ORCAMENTOS!$E:$E,T_ORCAMENTOS!$C:$C,"IRPJ 10%",T_ORCAMENTOS!$H:$H,"5/2026")</f>
        <v/>
      </c>
      <c r="V328" s="28" t="n"/>
      <c r="W328" s="241" t="n"/>
      <c r="X328" s="27">
        <f>-SUMIFS(T_ORCAMENTOS!$E:$E,T_ORCAMENTOS!$C:$C,"IRPJ 10%",T_ORCAMENTOS!$H:$H,"6/2026")</f>
        <v/>
      </c>
      <c r="Y328" s="28">
        <f>-Fiscal!K28+SUMIFS(Aut_Ajustes_Manuais!$G:$G,Aut_Ajustes_Manuais!$I:$I,DRE!W$4,Aut_Ajustes_Manuais!$F:$F,"IRPJ 10%")</f>
        <v/>
      </c>
      <c r="Z328" s="241" t="n"/>
      <c r="AA328" s="27">
        <f>-SUMIFS(T_ORCAMENTOS!$E:$E,T_ORCAMENTOS!$C:$C,"IRPJ 10%",T_ORCAMENTOS!$H:$H,"7/2026")</f>
        <v/>
      </c>
      <c r="AB328" s="28" t="n"/>
      <c r="AC328" s="241" t="n"/>
      <c r="AD328" s="27">
        <f>-SUMIFS(T_ORCAMENTOS!$E:$E,T_ORCAMENTOS!$C:$C,"IRPJ 10%",T_ORCAMENTOS!$H:$H,"8/2026")</f>
        <v/>
      </c>
      <c r="AE328" s="28" t="n"/>
      <c r="AF328" s="241" t="n"/>
      <c r="AG328" s="27">
        <f>-SUMIFS(T_ORCAMENTOS!$E:$E,T_ORCAMENTOS!$C:$C,"IRPJ 10%",T_ORCAMENTOS!$H:$H,"9/2026")</f>
        <v/>
      </c>
      <c r="AH328" s="28">
        <f>-Fiscal!O28+SUMIFS(Aut_Ajustes_Manuais!$G:$G,Aut_Ajustes_Manuais!$I:$I,DRE!AF$4,Aut_Ajustes_Manuais!$F:$F,"IRPJ 10%")</f>
        <v/>
      </c>
      <c r="AI328" s="241" t="n"/>
      <c r="AJ328" s="27">
        <f>-SUMIFS(T_ORCAMENTOS!$E:$E,T_ORCAMENTOS!$C:$C,"IRPJ 10%",T_ORCAMENTOS!$H:$H,"10/2026")</f>
        <v/>
      </c>
      <c r="AK328" s="28" t="n"/>
      <c r="AL328" s="241" t="n"/>
      <c r="AM328" s="27">
        <f>-SUMIFS(T_ORCAMENTOS!$E:$E,T_ORCAMENTOS!$C:$C,"IRPJ 10%",T_ORCAMENTOS!$H:$H,"11/2026")</f>
        <v/>
      </c>
      <c r="AN328" s="28" t="n"/>
      <c r="AO328" s="241" t="n"/>
      <c r="AP328" s="27">
        <f>-SUMIFS(T_ORCAMENTOS!$E:$E,T_ORCAMENTOS!$C:$C,"IRPJ 10%",T_ORCAMENTOS!$H:$H,"12/2026")</f>
        <v/>
      </c>
      <c r="AQ328" s="28">
        <f>-Fiscal!S28+SUMIFS(Aut_Ajustes_Manuais!$G:$G,Aut_Ajustes_Manuais!$I:$I,DRE!AO$4,Aut_Ajustes_Manuais!$F:$F,"IRPJ 10%")</f>
        <v/>
      </c>
      <c r="AR328" s="241">
        <f>SUMIFS($H328:$AO328,$H$5:$AO$5,"&lt;"&amp;MONTH(TODAY()),$H$6:$AO$6,"REAL 25")</f>
        <v/>
      </c>
      <c r="AS328" s="27">
        <f>SUMIFS($I328:$AP328,$I$5:$AP$5,"&lt;"&amp;MONTH(TODAY()),$I$6:$AP$6,"ORÇADO ")</f>
        <v/>
      </c>
      <c r="AT328" s="28">
        <f>SUMIFS($J328:$AQ328,$J$5:$AQ$5,"&lt;"&amp;MONTH(TODAY()),$J$6:$AQ$6,"REAL 26")</f>
        <v/>
      </c>
      <c r="AU328" s="241">
        <f>SUM(H328,K328,N328,Q328,T328,W328,Z328,AC328,AF328,AI328,AL328,AO328)</f>
        <v/>
      </c>
      <c r="AV328" s="27">
        <f>SUM(I328,L328,O328,R328,U328,X328,AA328,AD328,AG328,AJ328,AM328,AP328)</f>
        <v/>
      </c>
      <c r="AW328" s="28">
        <f>SUM(J328,M328,P328,S328,V328,Y328,AB328,AE328,AH328,AK328,AN328,AQ328)</f>
        <v/>
      </c>
      <c r="AX328" s="241">
        <f>SUM(H328,K328,N328)</f>
        <v/>
      </c>
      <c r="AY328" s="27">
        <f>SUM(I328,L328,O328)</f>
        <v/>
      </c>
      <c r="AZ328" s="28">
        <f>SUM(J328,M328,P328)</f>
        <v/>
      </c>
      <c r="BA328" s="241">
        <f>SUM(Q328,T328,W328)</f>
        <v/>
      </c>
      <c r="BB328" s="27">
        <f>SUM(R328,U328,X328)</f>
        <v/>
      </c>
      <c r="BC328" s="28">
        <f>SUM(S328,V328,Y328)</f>
        <v/>
      </c>
      <c r="BD328" s="241">
        <f>SUM(Z328,AC328,AF328)</f>
        <v/>
      </c>
      <c r="BE328" s="27">
        <f>SUM(AA328,AD328,AG328)</f>
        <v/>
      </c>
      <c r="BF328" s="28">
        <f>SUM(AB328,AE328,AH328)</f>
        <v/>
      </c>
      <c r="BG328" s="241">
        <f>SUM(AI328,AL328,AO328)</f>
        <v/>
      </c>
      <c r="BH328" s="27">
        <f>SUM(AJ328,AM328,AP328)</f>
        <v/>
      </c>
      <c r="BI328" s="28">
        <f>SUM(AK328,AN328,AQ328)</f>
        <v/>
      </c>
    </row>
    <row r="329" hidden="1" outlineLevel="1" customFormat="1" s="498">
      <c r="A329" s="22" t="inlineStr">
        <is>
          <t>CSLL</t>
        </is>
      </c>
      <c r="B329" s="59" t="n"/>
      <c r="C329" s="24" t="inlineStr">
        <is>
          <t>Estim. Mensal - Base Fiscal</t>
        </is>
      </c>
      <c r="D329" s="25" t="n"/>
      <c r="E329" s="25" t="n"/>
      <c r="F329" s="63" t="n"/>
      <c r="G329" s="33" t="n"/>
      <c r="H329" s="241" t="n"/>
      <c r="I329" s="27">
        <f>-SUMIFS(T_ORCAMENTOS!$E:$E,T_ORCAMENTOS!$C:$C,"CSLL",T_ORCAMENTOS!$H:$H,"1/2026")</f>
        <v/>
      </c>
      <c r="J329" s="28">
        <f>-Fiscal!D34+SUMIFS(Aut_Ajustes_Manuais!$G:$G,Aut_Ajustes_Manuais!$I:$I,DRE!H$4,Aut_Ajustes_Manuais!$F:$F,"CSLL")</f>
        <v/>
      </c>
      <c r="K329" s="241" t="n"/>
      <c r="L329" s="27">
        <f>-SUMIFS(T_ORCAMENTOS!$E:$E,T_ORCAMENTOS!$C:$C,"CSLL",T_ORCAMENTOS!$H:$H,"2/2026")</f>
        <v/>
      </c>
      <c r="M329" s="28">
        <f>-Fiscal!E34+SUMIFS(Aut_Ajustes_Manuais!$G:$G,Aut_Ajustes_Manuais!$I:$I,DRE!K$4,Aut_Ajustes_Manuais!$F:$F,"CSLL")</f>
        <v/>
      </c>
      <c r="N329" s="241" t="n"/>
      <c r="O329" s="27">
        <f>-SUMIFS(T_ORCAMENTOS!$E:$E,T_ORCAMENTOS!$C:$C,"CSLL",T_ORCAMENTOS!$H:$H,"3/2026")</f>
        <v/>
      </c>
      <c r="P329" s="28">
        <f>-Fiscal!F34+SUMIFS(Aut_Ajustes_Manuais!$G:$G,Aut_Ajustes_Manuais!$I:$I,DRE!N$4,Aut_Ajustes_Manuais!$F:$F,"CSLL")</f>
        <v/>
      </c>
      <c r="Q329" s="241" t="n"/>
      <c r="R329" s="27">
        <f>-SUMIFS(T_ORCAMENTOS!$E:$E,T_ORCAMENTOS!$C:$C,"CSLL",T_ORCAMENTOS!$H:$H,"4/2026")</f>
        <v/>
      </c>
      <c r="S329" s="28">
        <f>-Fiscal!H34+SUMIFS(Aut_Ajustes_Manuais!$G:$G,Aut_Ajustes_Manuais!$I:$I,DRE!Q$4,Aut_Ajustes_Manuais!$F:$F,"CSLL")</f>
        <v/>
      </c>
      <c r="T329" s="241" t="n"/>
      <c r="U329" s="27">
        <f>-SUMIFS(T_ORCAMENTOS!$E:$E,T_ORCAMENTOS!$C:$C,"CSLL",T_ORCAMENTOS!$H:$H,"5/2026")</f>
        <v/>
      </c>
      <c r="V329" s="28">
        <f>-Fiscal!I34+SUMIFS(Aut_Ajustes_Manuais!$G:$G,Aut_Ajustes_Manuais!$I:$I,DRE!T$4,Aut_Ajustes_Manuais!$F:$F,"CSLL")</f>
        <v/>
      </c>
      <c r="W329" s="241" t="n"/>
      <c r="X329" s="27">
        <f>-SUMIFS(T_ORCAMENTOS!$E:$E,T_ORCAMENTOS!$C:$C,"CSLL",T_ORCAMENTOS!$H:$H,"6/2026")</f>
        <v/>
      </c>
      <c r="Y329" s="28">
        <f>-Fiscal!J34+SUMIFS(Aut_Ajustes_Manuais!$G:$G,Aut_Ajustes_Manuais!$I:$I,DRE!W$4,Aut_Ajustes_Manuais!$F:$F,"CSLL")</f>
        <v/>
      </c>
      <c r="Z329" s="241" t="n"/>
      <c r="AA329" s="27">
        <f>-SUMIFS(T_ORCAMENTOS!$E:$E,T_ORCAMENTOS!$C:$C,"CSLL",T_ORCAMENTOS!$H:$H,"7/2026")</f>
        <v/>
      </c>
      <c r="AB329" s="28">
        <f>-Fiscal!L34+SUMIFS(Aut_Ajustes_Manuais!$G:$G,Aut_Ajustes_Manuais!$I:$I,DRE!Z$4,Aut_Ajustes_Manuais!$F:$F,"CSLL")</f>
        <v/>
      </c>
      <c r="AC329" s="241" t="n"/>
      <c r="AD329" s="27">
        <f>-SUMIFS(T_ORCAMENTOS!$E:$E,T_ORCAMENTOS!$C:$C,"CSLL",T_ORCAMENTOS!$H:$H,"8/2026")</f>
        <v/>
      </c>
      <c r="AE329" s="28">
        <f>-Fiscal!M34+SUMIFS(Aut_Ajustes_Manuais!$G:$G,Aut_Ajustes_Manuais!$I:$I,DRE!AC$4,Aut_Ajustes_Manuais!$F:$F,"CSLL")</f>
        <v/>
      </c>
      <c r="AF329" s="241" t="n"/>
      <c r="AG329" s="27">
        <f>-SUMIFS(T_ORCAMENTOS!$E:$E,T_ORCAMENTOS!$C:$C,"CSLL",T_ORCAMENTOS!$H:$H,"9/2026")</f>
        <v/>
      </c>
      <c r="AH329" s="28">
        <f>-Fiscal!N34+SUMIFS(Aut_Ajustes_Manuais!$G:$G,Aut_Ajustes_Manuais!$I:$I,DRE!AF$4,Aut_Ajustes_Manuais!$F:$F,"CSLL")</f>
        <v/>
      </c>
      <c r="AI329" s="241" t="n"/>
      <c r="AJ329" s="27">
        <f>-SUMIFS(T_ORCAMENTOS!$E:$E,T_ORCAMENTOS!$C:$C,"CSLL",T_ORCAMENTOS!$H:$H,"10/2026")</f>
        <v/>
      </c>
      <c r="AK329" s="28">
        <f>-Fiscal!P34+SUMIFS(Aut_Ajustes_Manuais!$G:$G,Aut_Ajustes_Manuais!$I:$I,DRE!AI$4,Aut_Ajustes_Manuais!$F:$F,"CSLL")</f>
        <v/>
      </c>
      <c r="AL329" s="241" t="n"/>
      <c r="AM329" s="27">
        <f>-SUMIFS(T_ORCAMENTOS!$E:$E,T_ORCAMENTOS!$C:$C,"CSLL",T_ORCAMENTOS!$H:$H,"11/2026")</f>
        <v/>
      </c>
      <c r="AN329" s="28">
        <f>-Fiscal!Q34+SUMIFS(Aut_Ajustes_Manuais!$G:$G,Aut_Ajustes_Manuais!$I:$I,DRE!AL$4,Aut_Ajustes_Manuais!$F:$F,"CSLL")</f>
        <v/>
      </c>
      <c r="AO329" s="241" t="n"/>
      <c r="AP329" s="27">
        <f>-SUMIFS(T_ORCAMENTOS!$E:$E,T_ORCAMENTOS!$C:$C,"CSLL",T_ORCAMENTOS!$H:$H,"12/2026")</f>
        <v/>
      </c>
      <c r="AQ329" s="28">
        <f>-Fiscal!R34+SUMIFS(Aut_Ajustes_Manuais!$G:$G,Aut_Ajustes_Manuais!$I:$I,DRE!AO$4,Aut_Ajustes_Manuais!$F:$F,"CSLL")</f>
        <v/>
      </c>
      <c r="AR329" s="241">
        <f>SUMIFS($H329:$AO329,$H$5:$AO$5,"&lt;"&amp;MONTH(TODAY()),$H$6:$AO$6,"REAL 25")</f>
        <v/>
      </c>
      <c r="AS329" s="27">
        <f>SUMIFS($I329:$AP329,$I$5:$AP$5,"&lt;"&amp;MONTH(TODAY()),$I$6:$AP$6,"ORÇADO ")</f>
        <v/>
      </c>
      <c r="AT329" s="28">
        <f>SUMIFS($J329:$AQ329,$J$5:$AQ$5,"&lt;"&amp;MONTH(TODAY()),$J$6:$AQ$6,"REAL 26")</f>
        <v/>
      </c>
      <c r="AU329" s="241">
        <f>SUM(H329,K329,N329,Q329,T329,W329,Z329,AC329,AF329,AI329,AL329,AO329)</f>
        <v/>
      </c>
      <c r="AV329" s="27">
        <f>SUM(I329,L329,O329,R329,U329,X329,AA329,AD329,AG329,AJ329,AM329,AP329)</f>
        <v/>
      </c>
      <c r="AW329" s="28">
        <f>SUM(J329,M329,P329,S329,V329,Y329,AB329,AE329,AH329,AK329,AN329,AQ329)</f>
        <v/>
      </c>
      <c r="AX329" s="241">
        <f>SUM(H329,K329,N329)</f>
        <v/>
      </c>
      <c r="AY329" s="27">
        <f>SUM(I329,L329,O329)</f>
        <v/>
      </c>
      <c r="AZ329" s="28">
        <f>SUM(J329,M329,P329)</f>
        <v/>
      </c>
      <c r="BA329" s="241">
        <f>SUM(Q329,T329,W329)</f>
        <v/>
      </c>
      <c r="BB329" s="27">
        <f>SUM(R329,U329,X329)</f>
        <v/>
      </c>
      <c r="BC329" s="28">
        <f>SUM(S329,V329,Y329)</f>
        <v/>
      </c>
      <c r="BD329" s="241">
        <f>SUM(Z329,AC329,AF329)</f>
        <v/>
      </c>
      <c r="BE329" s="27">
        <f>SUM(AA329,AD329,AG329)</f>
        <v/>
      </c>
      <c r="BF329" s="28">
        <f>SUM(AB329,AE329,AH329)</f>
        <v/>
      </c>
      <c r="BG329" s="241">
        <f>SUM(AI329,AL329,AO329)</f>
        <v/>
      </c>
      <c r="BH329" s="27">
        <f>SUM(AJ329,AM329,AP329)</f>
        <v/>
      </c>
      <c r="BI329" s="28">
        <f>SUM(AK329,AN329,AQ329)</f>
        <v/>
      </c>
    </row>
    <row r="330" collapsed="1">
      <c r="A330" s="18" t="n"/>
      <c r="E330" s="16" t="n"/>
      <c r="F330" s="17" t="n"/>
      <c r="G330" s="47" t="n"/>
      <c r="H330" s="246" t="n"/>
      <c r="I330" s="53" t="n"/>
      <c r="J330" s="54">
        <f>J325/J8</f>
        <v/>
      </c>
      <c r="K330" s="246" t="n"/>
      <c r="L330" s="53" t="n"/>
      <c r="M330" s="54">
        <f>M325/M8</f>
        <v/>
      </c>
      <c r="N330" s="246" t="n"/>
      <c r="O330" s="53" t="n"/>
      <c r="P330" s="54">
        <f>P325/P8</f>
        <v/>
      </c>
      <c r="Q330" s="246" t="n"/>
      <c r="R330" s="53">
        <f>R325/R8</f>
        <v/>
      </c>
      <c r="S330" s="54">
        <f>S325/S8</f>
        <v/>
      </c>
      <c r="T330" s="246" t="n"/>
      <c r="U330" s="53" t="n"/>
      <c r="V330" s="54">
        <f>V325/V8</f>
        <v/>
      </c>
      <c r="W330" s="246" t="n"/>
      <c r="X330" s="53" t="n"/>
      <c r="Y330" s="54">
        <f>Y325/Y8</f>
        <v/>
      </c>
      <c r="Z330" s="246" t="n"/>
      <c r="AA330" s="53" t="n"/>
      <c r="AB330" s="54">
        <f>AB325/AB8</f>
        <v/>
      </c>
      <c r="AC330" s="246" t="n"/>
      <c r="AD330" s="53" t="n"/>
      <c r="AE330" s="54">
        <f>AE325/AE8</f>
        <v/>
      </c>
      <c r="AF330" s="246" t="n"/>
      <c r="AG330" s="53" t="n"/>
      <c r="AH330" s="54">
        <f>AH325/AH8</f>
        <v/>
      </c>
      <c r="AI330" s="246" t="n"/>
      <c r="AJ330" s="53" t="n"/>
      <c r="AK330" s="54">
        <f>AK325/AK8</f>
        <v/>
      </c>
      <c r="AL330" s="246" t="n"/>
      <c r="AM330" s="53" t="n"/>
      <c r="AN330" s="54">
        <f>AN325/AN8</f>
        <v/>
      </c>
      <c r="AO330" s="246" t="n"/>
      <c r="AP330" s="53" t="n"/>
      <c r="AQ330" s="54">
        <f>AQ325/AQ8</f>
        <v/>
      </c>
      <c r="AR330" s="246" t="n"/>
      <c r="AS330" s="53" t="n">
        <v>-0.03284236536395604</v>
      </c>
      <c r="AT330" s="54" t="n"/>
      <c r="AU330" s="246" t="n"/>
      <c r="AV330" s="53" t="n"/>
      <c r="AW330" s="54" t="n"/>
      <c r="AX330" s="246" t="n"/>
      <c r="AY330" s="53" t="n"/>
      <c r="AZ330" s="54" t="n"/>
      <c r="BA330" s="246" t="n"/>
      <c r="BB330" s="53" t="n"/>
      <c r="BC330" s="54" t="n"/>
      <c r="BD330" s="246" t="n"/>
      <c r="BE330" s="53" t="n"/>
      <c r="BF330" s="54" t="n"/>
      <c r="BG330" s="246" t="n"/>
      <c r="BH330" s="53" t="n"/>
      <c r="BI330" s="54" t="n"/>
    </row>
    <row r="331">
      <c r="A331" s="58" t="inlineStr">
        <is>
          <t>Resultado Líquido</t>
        </is>
      </c>
      <c r="B331" s="59" t="n"/>
      <c r="C331" s="60" t="n"/>
      <c r="D331" s="61" t="n"/>
      <c r="E331" s="62" t="n"/>
      <c r="F331" s="63" t="n"/>
      <c r="G331" s="47" t="n"/>
      <c r="H331" s="248">
        <f>SUM(H325,H323)</f>
        <v/>
      </c>
      <c r="I331" s="64">
        <f>SUM(I325,I323)</f>
        <v/>
      </c>
      <c r="J331" s="65">
        <f>SUM(J325,J323)+SUMIFS(Aut_Ajustes_Manuais!$G:$G,Aut_Ajustes_Manuais!$I:$I,DRE!H$4,Aut_Ajustes_Manuais!$F:$F,"Resultado Líquido")</f>
        <v/>
      </c>
      <c r="K331" s="248">
        <f>SUM(K325,K323)</f>
        <v/>
      </c>
      <c r="L331" s="64">
        <f>SUM(L325,L323)</f>
        <v/>
      </c>
      <c r="M331" s="65">
        <f>SUM(M325,M323)+SUMIFS(Aut_Ajustes_Manuais!$G:$G,Aut_Ajustes_Manuais!$I:$I,DRE!K$4,Aut_Ajustes_Manuais!$F:$F,"Resultado Líquido")</f>
        <v/>
      </c>
      <c r="N331" s="248">
        <f>SUM(N325,N323)</f>
        <v/>
      </c>
      <c r="O331" s="64">
        <f>SUM(O325,O323)</f>
        <v/>
      </c>
      <c r="P331" s="65">
        <f>SUM(P325,P323)+SUMIFS(Aut_Ajustes_Manuais!$G:$G,Aut_Ajustes_Manuais!$I:$I,DRE!N$4,Aut_Ajustes_Manuais!$F:$F,"Resultado Líquido")</f>
        <v/>
      </c>
      <c r="Q331" s="248">
        <f>SUM(Q325,Q323)</f>
        <v/>
      </c>
      <c r="R331" s="64">
        <f>SUM(R325,R323)</f>
        <v/>
      </c>
      <c r="S331" s="65">
        <f>SUM(S325,S323)+SUMIFS(Aut_Ajustes_Manuais!$G:$G,Aut_Ajustes_Manuais!$I:$I,DRE!Q$4,Aut_Ajustes_Manuais!$F:$F,"Resultado Líquido")</f>
        <v/>
      </c>
      <c r="T331" s="248">
        <f>SUM(T325,T323)</f>
        <v/>
      </c>
      <c r="U331" s="64">
        <f>SUM(U325,U323)</f>
        <v/>
      </c>
      <c r="V331" s="65">
        <f>SUM(V325,V323)+SUMIFS(Aut_Ajustes_Manuais!$G:$G,Aut_Ajustes_Manuais!$I:$I,DRE!T$4,Aut_Ajustes_Manuais!$F:$F,"Resultado Líquido")</f>
        <v/>
      </c>
      <c r="W331" s="248">
        <f>SUM(W325,W323)</f>
        <v/>
      </c>
      <c r="X331" s="64">
        <f>SUM(X325,X323)</f>
        <v/>
      </c>
      <c r="Y331" s="65">
        <f>SUM(Y325,Y323)+SUMIFS(Aut_Ajustes_Manuais!$G:$G,Aut_Ajustes_Manuais!$I:$I,DRE!W$4,Aut_Ajustes_Manuais!$F:$F,"Resultado Líquido")</f>
        <v/>
      </c>
      <c r="Z331" s="248">
        <f>SUM(Z325,Z323)</f>
        <v/>
      </c>
      <c r="AA331" s="64">
        <f>SUM(AA325,AA323)</f>
        <v/>
      </c>
      <c r="AB331" s="65">
        <f>SUM(AB325,AB323)+SUMIFS(Aut_Ajustes_Manuais!$G:$G,Aut_Ajustes_Manuais!$I:$I,DRE!Z$4,Aut_Ajustes_Manuais!$F:$F,"Resultado Líquido")</f>
        <v/>
      </c>
      <c r="AC331" s="248">
        <f>SUM(AC325,AC323)</f>
        <v/>
      </c>
      <c r="AD331" s="64">
        <f>SUM(AD325,AD323)</f>
        <v/>
      </c>
      <c r="AE331" s="65">
        <f>SUM(AE325,AE323)+SUMIFS(Aut_Ajustes_Manuais!$G:$G,Aut_Ajustes_Manuais!$I:$I,DRE!AC$4,Aut_Ajustes_Manuais!$F:$F,"Resultado Líquido")</f>
        <v/>
      </c>
      <c r="AF331" s="248">
        <f>SUM(AF325,AF323)</f>
        <v/>
      </c>
      <c r="AG331" s="64">
        <f>SUM(AG325,AG323)</f>
        <v/>
      </c>
      <c r="AH331" s="65">
        <f>SUM(AH325,AH323)+SUMIFS(Aut_Ajustes_Manuais!$G:$G,Aut_Ajustes_Manuais!$I:$I,DRE!AF$4,Aut_Ajustes_Manuais!$F:$F,"Resultado Líquido")</f>
        <v/>
      </c>
      <c r="AI331" s="248">
        <f>SUM(AI325,AI323)</f>
        <v/>
      </c>
      <c r="AJ331" s="64">
        <f>SUM(AJ325,AJ323)</f>
        <v/>
      </c>
      <c r="AK331" s="65">
        <f>SUM(AK325,AK323)+SUMIFS(Aut_Ajustes_Manuais!$G:$G,Aut_Ajustes_Manuais!$I:$I,DRE!AI$4,Aut_Ajustes_Manuais!$F:$F,"Resultado Líquido")</f>
        <v/>
      </c>
      <c r="AL331" s="248">
        <f>SUM(AL325,AL323)</f>
        <v/>
      </c>
      <c r="AM331" s="64">
        <f>SUM(AM325,AM323)</f>
        <v/>
      </c>
      <c r="AN331" s="65">
        <f>SUM(AN325,AN323)+SUMIFS(Aut_Ajustes_Manuais!$G:$G,Aut_Ajustes_Manuais!$I:$I,DRE!AL$4,Aut_Ajustes_Manuais!$F:$F,"Resultado Líquido")</f>
        <v/>
      </c>
      <c r="AO331" s="248">
        <f>SUM(AO325,AO323)</f>
        <v/>
      </c>
      <c r="AP331" s="64">
        <f>SUM(AP325,AP323)</f>
        <v/>
      </c>
      <c r="AQ331" s="65">
        <f>SUM(AQ325,AQ323)+SUMIFS(Aut_Ajustes_Manuais!$G:$G,Aut_Ajustes_Manuais!$I:$I,DRE!AO$4,Aut_Ajustes_Manuais!$F:$F,"Resultado Líquido")</f>
        <v/>
      </c>
      <c r="AR331" s="248">
        <f>SUM(AR325,AR323)</f>
        <v/>
      </c>
      <c r="AS331" s="64">
        <f>SUM(AS325,AS323)</f>
        <v/>
      </c>
      <c r="AT331" s="65">
        <f>SUM(AT325,AT323)</f>
        <v/>
      </c>
      <c r="AU331" s="248">
        <f>SUM(AU325,AU323)</f>
        <v/>
      </c>
      <c r="AV331" s="64">
        <f>SUM(AV325,AV323)</f>
        <v/>
      </c>
      <c r="AW331" s="65">
        <f>SUM(AW325,AW323)</f>
        <v/>
      </c>
      <c r="AX331" s="248">
        <f>SUM(AX325,AX323)</f>
        <v/>
      </c>
      <c r="AY331" s="64">
        <f>SUM(AY325,AY323)</f>
        <v/>
      </c>
      <c r="AZ331" s="65">
        <f>SUM(AZ325,AZ323)</f>
        <v/>
      </c>
      <c r="BA331" s="248">
        <f>SUM(BA325,BA323)</f>
        <v/>
      </c>
      <c r="BB331" s="64">
        <f>SUM(BB325,BB323)</f>
        <v/>
      </c>
      <c r="BC331" s="65">
        <f>SUM(BC325,BC323)</f>
        <v/>
      </c>
      <c r="BD331" s="248">
        <f>SUM(BD325,BD323)</f>
        <v/>
      </c>
      <c r="BE331" s="64">
        <f>SUM(BE325,BE323)</f>
        <v/>
      </c>
      <c r="BF331" s="65">
        <f>SUM(BF325,BF323)</f>
        <v/>
      </c>
      <c r="BG331" s="248">
        <f>SUM(BG325,BG323)</f>
        <v/>
      </c>
      <c r="BH331" s="64">
        <f>SUM(BH325,BH323)</f>
        <v/>
      </c>
      <c r="BI331" s="65">
        <f>SUM(BI325,BI323)</f>
        <v/>
      </c>
    </row>
    <row r="332">
      <c r="A332" s="71" t="inlineStr">
        <is>
          <t>% sobre Receita Bruta</t>
        </is>
      </c>
      <c r="B332" s="59" t="n"/>
      <c r="C332" s="60" t="n"/>
      <c r="D332" s="61" t="n"/>
      <c r="E332" s="62" t="n"/>
      <c r="F332" s="63" t="n"/>
      <c r="G332" s="47" t="n"/>
      <c r="H332" s="245" t="n"/>
      <c r="I332" s="50">
        <f>IFERROR(I331/I8,0)</f>
        <v/>
      </c>
      <c r="J332" s="51">
        <f>IFERROR(J331/J8,0)+SUMIFS(Aut_Ajustes_Manuais!$G:$G,Aut_Ajustes_Manuais!$I:$I,DRE!H$4,Aut_Ajustes_Manuais!$F:$F,"% sobre Receita Bruta")</f>
        <v/>
      </c>
      <c r="K332" s="245" t="n"/>
      <c r="L332" s="50">
        <f>IFERROR(L331/L8,0)</f>
        <v/>
      </c>
      <c r="M332" s="51">
        <f>IFERROR(M331/M8,0)+SUMIFS(Aut_Ajustes_Manuais!$G:$G,Aut_Ajustes_Manuais!$I:$I,DRE!K$4,Aut_Ajustes_Manuais!$F:$F,"% sobre Receita Bruta")</f>
        <v/>
      </c>
      <c r="N332" s="245" t="n"/>
      <c r="O332" s="50">
        <f>IFERROR(O331/O8,0)</f>
        <v/>
      </c>
      <c r="P332" s="51">
        <f>IFERROR(P331/P8,0)+SUMIFS(Aut_Ajustes_Manuais!$G:$G,Aut_Ajustes_Manuais!$I:$I,DRE!N$4,Aut_Ajustes_Manuais!$F:$F,"% sobre Receita Bruta")</f>
        <v/>
      </c>
      <c r="Q332" s="245" t="n"/>
      <c r="R332" s="50">
        <f>IFERROR(R331/R8,0)</f>
        <v/>
      </c>
      <c r="S332" s="51">
        <f>IFERROR(S331/S8,0)+SUMIFS(Aut_Ajustes_Manuais!$G:$G,Aut_Ajustes_Manuais!$I:$I,DRE!Q$4,Aut_Ajustes_Manuais!$F:$F,"% sobre Receita Bruta")</f>
        <v/>
      </c>
      <c r="T332" s="245" t="n"/>
      <c r="U332" s="50">
        <f>IFERROR(U331/U8,0)</f>
        <v/>
      </c>
      <c r="V332" s="51">
        <f>IFERROR(V331/V8,0)+SUMIFS(Aut_Ajustes_Manuais!$G:$G,Aut_Ajustes_Manuais!$I:$I,DRE!T$4,Aut_Ajustes_Manuais!$F:$F,"% sobre Receita Bruta")</f>
        <v/>
      </c>
      <c r="W332" s="245" t="n"/>
      <c r="X332" s="50">
        <f>IFERROR(X331/X8,0)</f>
        <v/>
      </c>
      <c r="Y332" s="51">
        <f>IFERROR(Y331/Y8,0)+SUMIFS(Aut_Ajustes_Manuais!$G:$G,Aut_Ajustes_Manuais!$I:$I,DRE!W$4,Aut_Ajustes_Manuais!$F:$F,"% sobre Receita Bruta")</f>
        <v/>
      </c>
      <c r="Z332" s="245" t="n"/>
      <c r="AA332" s="50">
        <f>IFERROR(AA331/AA8,0)</f>
        <v/>
      </c>
      <c r="AB332" s="51">
        <f>IFERROR(AB331/AB8,0)+SUMIFS(Aut_Ajustes_Manuais!$G:$G,Aut_Ajustes_Manuais!$I:$I,DRE!Z$4,Aut_Ajustes_Manuais!$F:$F,"% sobre Receita Bruta")</f>
        <v/>
      </c>
      <c r="AC332" s="245" t="n"/>
      <c r="AD332" s="50">
        <f>IFERROR(AD331/AD8,0)</f>
        <v/>
      </c>
      <c r="AE332" s="51">
        <f>IFERROR(AE331/AE8,0)+SUMIFS(Aut_Ajustes_Manuais!$G:$G,Aut_Ajustes_Manuais!$I:$I,DRE!AC$4,Aut_Ajustes_Manuais!$F:$F,"% sobre Receita Bruta")</f>
        <v/>
      </c>
      <c r="AF332" s="245" t="n"/>
      <c r="AG332" s="50">
        <f>IFERROR(AG331/AG8,0)</f>
        <v/>
      </c>
      <c r="AH332" s="51">
        <f>IFERROR(AH331/AH8,0)+SUMIFS(Aut_Ajustes_Manuais!$G:$G,Aut_Ajustes_Manuais!$I:$I,DRE!AF$4,Aut_Ajustes_Manuais!$F:$F,"% sobre Receita Bruta")</f>
        <v/>
      </c>
      <c r="AI332" s="245" t="n"/>
      <c r="AJ332" s="50">
        <f>IFERROR(AJ331/AJ8,0)</f>
        <v/>
      </c>
      <c r="AK332" s="51">
        <f>IFERROR(AK331/AK8,0)+SUMIFS(Aut_Ajustes_Manuais!$G:$G,Aut_Ajustes_Manuais!$I:$I,DRE!AI$4,Aut_Ajustes_Manuais!$F:$F,"% sobre Receita Bruta")</f>
        <v/>
      </c>
      <c r="AL332" s="245" t="n"/>
      <c r="AM332" s="50">
        <f>IFERROR(AM331/AM8,0)</f>
        <v/>
      </c>
      <c r="AN332" s="51">
        <f>IFERROR(AN331/AN8,0)+SUMIFS(Aut_Ajustes_Manuais!$G:$G,Aut_Ajustes_Manuais!$I:$I,DRE!AL$4,Aut_Ajustes_Manuais!$F:$F,"% sobre Receita Bruta")</f>
        <v/>
      </c>
      <c r="AO332" s="245" t="n"/>
      <c r="AP332" s="50">
        <f>IFERROR(AP331/AP8,0)</f>
        <v/>
      </c>
      <c r="AQ332" s="51">
        <f>IFERROR(AQ331/AQ8,0)+SUMIFS(Aut_Ajustes_Manuais!$G:$G,Aut_Ajustes_Manuais!$I:$I,DRE!AO$4,Aut_Ajustes_Manuais!$F:$F,"% sobre Receita Bruta")</f>
        <v/>
      </c>
      <c r="AR332" s="245">
        <f>IFERROR(AR331/AR8,0)</f>
        <v/>
      </c>
      <c r="AS332" s="50">
        <f>IFERROR(AS331/AS8,0)</f>
        <v/>
      </c>
      <c r="AT332" s="51">
        <f>IFERROR(AT331/AT8,0)</f>
        <v/>
      </c>
      <c r="AU332" s="245">
        <f>IFERROR(AU331/AU8,0)</f>
        <v/>
      </c>
      <c r="AV332" s="50">
        <f>IFERROR(AV331/AV8,0)</f>
        <v/>
      </c>
      <c r="AW332" s="51">
        <f>IFERROR(AW331/AW8,0)</f>
        <v/>
      </c>
      <c r="AX332" s="245">
        <f>IFERROR(AX331/AX8,0)</f>
        <v/>
      </c>
      <c r="AY332" s="50">
        <f>IFERROR(AY331/AY8,0)</f>
        <v/>
      </c>
      <c r="AZ332" s="51">
        <f>IFERROR(AZ331/AZ8,0)</f>
        <v/>
      </c>
      <c r="BA332" s="245">
        <f>IFERROR(BA331/BA8,0)</f>
        <v/>
      </c>
      <c r="BB332" s="50">
        <f>IFERROR(BB331/BB8,0)</f>
        <v/>
      </c>
      <c r="BC332" s="51">
        <f>IFERROR(BC331/BC8,0)</f>
        <v/>
      </c>
      <c r="BD332" s="245">
        <f>IFERROR(BD331/BD8,0)</f>
        <v/>
      </c>
      <c r="BE332" s="50">
        <f>IFERROR(BE331/BE8,0)</f>
        <v/>
      </c>
      <c r="BF332" s="51">
        <f>IFERROR(BF331/BF8,0)</f>
        <v/>
      </c>
      <c r="BG332" s="245">
        <f>IFERROR(BG331/BG8,0)</f>
        <v/>
      </c>
      <c r="BH332" s="50">
        <f>IFERROR(BH331/BH8,0)</f>
        <v/>
      </c>
      <c r="BI332" s="51">
        <f>IFERROR(BI331/BI8,0)</f>
        <v/>
      </c>
    </row>
    <row r="333">
      <c r="A333" s="18" t="n"/>
      <c r="E333" s="16" t="n"/>
      <c r="F333" s="17" t="n"/>
      <c r="G333" s="47" t="n"/>
      <c r="H333" s="247" t="n"/>
      <c r="I333" s="17" t="n"/>
      <c r="J333" s="57" t="n"/>
      <c r="K333" s="247" t="n"/>
      <c r="L333" s="17" t="n"/>
      <c r="M333" s="57" t="n"/>
      <c r="N333" s="247" t="n"/>
      <c r="O333" s="17" t="n"/>
      <c r="P333" s="57" t="n"/>
      <c r="Q333" s="247" t="n"/>
      <c r="R333" s="17" t="n"/>
      <c r="S333" s="57" t="n"/>
      <c r="T333" s="247" t="n"/>
      <c r="U333" s="17" t="n"/>
      <c r="V333" s="57" t="n"/>
      <c r="W333" s="247" t="n"/>
      <c r="X333" s="17" t="n"/>
      <c r="Y333" s="57" t="n"/>
      <c r="Z333" s="247" t="n"/>
      <c r="AA333" s="17" t="n"/>
      <c r="AB333" s="57" t="n"/>
      <c r="AC333" s="247" t="n"/>
      <c r="AD333" s="17" t="n"/>
      <c r="AE333" s="57" t="n"/>
      <c r="AF333" s="247" t="n"/>
      <c r="AG333" s="17" t="n"/>
      <c r="AH333" s="57" t="n"/>
      <c r="AI333" s="247" t="n"/>
      <c r="AJ333" s="17" t="n"/>
      <c r="AK333" s="57" t="n"/>
      <c r="AL333" s="247" t="n"/>
      <c r="AM333" s="17" t="n"/>
      <c r="AN333" s="57" t="n"/>
      <c r="AO333" s="247" t="n"/>
      <c r="AP333" s="17" t="n"/>
      <c r="AQ333" s="57" t="n"/>
      <c r="AR333" s="247" t="n"/>
      <c r="AS333" s="17" t="n"/>
      <c r="AT333" s="267" t="n"/>
      <c r="AU333" s="247" t="n"/>
      <c r="AV333" s="17" t="n"/>
      <c r="AW333" s="57" t="n"/>
      <c r="AX333" s="247" t="n"/>
      <c r="AY333" s="17" t="n"/>
      <c r="AZ333" s="57" t="n"/>
      <c r="BA333" s="247" t="n"/>
      <c r="BB333" s="17" t="n"/>
      <c r="BC333" s="57" t="n"/>
      <c r="BD333" s="247" t="n"/>
      <c r="BE333" s="17" t="n"/>
      <c r="BF333" s="57" t="n"/>
      <c r="BG333" s="247" t="n"/>
      <c r="BH333" s="17" t="n"/>
      <c r="BI333" s="57" t="n"/>
    </row>
    <row r="334" ht="16.95" customHeight="1">
      <c r="A334" s="39" t="inlineStr">
        <is>
          <t>(-) CAPEX (Investimentos)</t>
        </is>
      </c>
      <c r="B334" s="59" t="n"/>
      <c r="C334" s="40" t="inlineStr">
        <is>
          <t>Drivers</t>
        </is>
      </c>
      <c r="D334" s="40" t="inlineStr">
        <is>
          <t>Valores fixos</t>
        </is>
      </c>
      <c r="E334" s="40" t="inlineStr">
        <is>
          <t>Acréscimo</t>
        </is>
      </c>
      <c r="F334" s="63" t="n"/>
      <c r="G334" s="47" t="n"/>
      <c r="H334" s="244" t="n"/>
      <c r="I334" s="42">
        <f>SUM(I335:I350)</f>
        <v/>
      </c>
      <c r="J334" s="43">
        <f>SUM(J335:J350)+SUMIFS(Aut_Ajustes_Manuais!$G:$G,Aut_Ajustes_Manuais!$I:$I,DRE!H$4,Aut_Ajustes_Manuais!$F:$F,"(-) CAPEX (Investimentos)")</f>
        <v/>
      </c>
      <c r="K334" s="244" t="n"/>
      <c r="L334" s="42">
        <f>SUM(L335:L350)</f>
        <v/>
      </c>
      <c r="M334" s="43">
        <f>SUM(M335:M350)+SUMIFS(Aut_Ajustes_Manuais!$G:$G,Aut_Ajustes_Manuais!$I:$I,DRE!K$4,Aut_Ajustes_Manuais!$F:$F,"(-) CAPEX (Investimentos)")</f>
        <v/>
      </c>
      <c r="N334" s="244" t="n"/>
      <c r="O334" s="42">
        <f>SUM(O335:O350)</f>
        <v/>
      </c>
      <c r="P334" s="43">
        <f>SUM(P335:P350)+SUMIFS(Aut_Ajustes_Manuais!$G:$G,Aut_Ajustes_Manuais!$I:$I,DRE!N$4,Aut_Ajustes_Manuais!$F:$F,"(-) CAPEX (Investimentos)")</f>
        <v/>
      </c>
      <c r="Q334" s="244" t="n"/>
      <c r="R334" s="42">
        <f>SUM(R335:R350)</f>
        <v/>
      </c>
      <c r="S334" s="43">
        <f>SUM(S335:S350)+SUMIFS(Aut_Ajustes_Manuais!$G:$G,Aut_Ajustes_Manuais!$I:$I,DRE!Q$4,Aut_Ajustes_Manuais!$F:$F,"(-) CAPEX (Investimentos)")</f>
        <v/>
      </c>
      <c r="T334" s="244" t="n"/>
      <c r="U334" s="42">
        <f>SUM(U335:U350)</f>
        <v/>
      </c>
      <c r="V334" s="43">
        <f>SUM(V335:V350)+SUMIFS(Aut_Ajustes_Manuais!$G:$G,Aut_Ajustes_Manuais!$I:$I,DRE!T$4,Aut_Ajustes_Manuais!$F:$F,"(-) CAPEX (Investimentos)")</f>
        <v/>
      </c>
      <c r="W334" s="244" t="n"/>
      <c r="X334" s="42">
        <f>SUM(X335:X350)</f>
        <v/>
      </c>
      <c r="Y334" s="43">
        <f>SUM(Y335:Y350)+SUMIFS(Aut_Ajustes_Manuais!$G:$G,Aut_Ajustes_Manuais!$I:$I,DRE!W$4,Aut_Ajustes_Manuais!$F:$F,"(-) CAPEX (Investimentos)")</f>
        <v/>
      </c>
      <c r="Z334" s="244" t="n"/>
      <c r="AA334" s="42">
        <f>SUM(AA335:AA350)</f>
        <v/>
      </c>
      <c r="AB334" s="43">
        <f>SUM(AB335:AB350)+SUMIFS(Aut_Ajustes_Manuais!$G:$G,Aut_Ajustes_Manuais!$I:$I,DRE!Z$4,Aut_Ajustes_Manuais!$F:$F,"(-) CAPEX (Investimentos)")</f>
        <v/>
      </c>
      <c r="AC334" s="244" t="n"/>
      <c r="AD334" s="42">
        <f>SUM(AD335:AD350)</f>
        <v/>
      </c>
      <c r="AE334" s="43">
        <f>SUM(AE335:AE350)+SUMIFS(Aut_Ajustes_Manuais!$G:$G,Aut_Ajustes_Manuais!$I:$I,DRE!AC$4,Aut_Ajustes_Manuais!$F:$F,"(-) CAPEX (Investimentos)")</f>
        <v/>
      </c>
      <c r="AF334" s="244" t="n"/>
      <c r="AG334" s="42">
        <f>SUM(AG335:AG350)</f>
        <v/>
      </c>
      <c r="AH334" s="43">
        <f>SUM(AH335:AH350)+SUMIFS(Aut_Ajustes_Manuais!$G:$G,Aut_Ajustes_Manuais!$I:$I,DRE!AF$4,Aut_Ajustes_Manuais!$F:$F,"(-) CAPEX (Investimentos)")</f>
        <v/>
      </c>
      <c r="AI334" s="244" t="n"/>
      <c r="AJ334" s="42">
        <f>SUM(AJ335:AJ350)</f>
        <v/>
      </c>
      <c r="AK334" s="43">
        <f>SUM(AK335:AK350)+SUMIFS(Aut_Ajustes_Manuais!$G:$G,Aut_Ajustes_Manuais!$I:$I,DRE!AI$4,Aut_Ajustes_Manuais!$F:$F,"(-) CAPEX (Investimentos)")</f>
        <v/>
      </c>
      <c r="AL334" s="244" t="n"/>
      <c r="AM334" s="42">
        <f>SUM(AM335:AM350)</f>
        <v/>
      </c>
      <c r="AN334" s="43">
        <f>SUM(AN335:AN350)+SUMIFS(Aut_Ajustes_Manuais!$G:$G,Aut_Ajustes_Manuais!$I:$I,DRE!AL$4,Aut_Ajustes_Manuais!$F:$F,"(-) CAPEX (Investimentos)")</f>
        <v/>
      </c>
      <c r="AO334" s="244" t="n"/>
      <c r="AP334" s="42">
        <f>SUM(AP335:AP350)</f>
        <v/>
      </c>
      <c r="AQ334" s="43">
        <f>SUM(AQ335:AQ350)+SUMIFS(Aut_Ajustes_Manuais!$G:$G,Aut_Ajustes_Manuais!$I:$I,DRE!AO$4,Aut_Ajustes_Manuais!$F:$F,"(-) CAPEX (Investimentos)")</f>
        <v/>
      </c>
      <c r="AR334" s="244">
        <f>SUM(AR335:AR351)</f>
        <v/>
      </c>
      <c r="AS334" s="42">
        <f>SUM(AS335:AS351)</f>
        <v/>
      </c>
      <c r="AT334" s="43">
        <f>SUM(AT335:AT351)</f>
        <v/>
      </c>
      <c r="AU334" s="244">
        <f>SUM(AU335:AU350)</f>
        <v/>
      </c>
      <c r="AV334" s="42">
        <f>SUM(AV335:AV350)</f>
        <v/>
      </c>
      <c r="AW334" s="43">
        <f>SUM(AW335:AW350)</f>
        <v/>
      </c>
      <c r="AX334" s="244">
        <f>SUM(AX335:AX350)</f>
        <v/>
      </c>
      <c r="AY334" s="42">
        <f>SUM(AY335:AY350)</f>
        <v/>
      </c>
      <c r="AZ334" s="43">
        <f>SUM(AZ335:AZ350)</f>
        <v/>
      </c>
      <c r="BA334" s="244">
        <f>SUM(BA335:BA350)</f>
        <v/>
      </c>
      <c r="BB334" s="42">
        <f>SUM(BB335:BB350)</f>
        <v/>
      </c>
      <c r="BC334" s="43">
        <f>SUM(BC335:BC350)</f>
        <v/>
      </c>
      <c r="BD334" s="244">
        <f>SUM(BD335:BD350)</f>
        <v/>
      </c>
      <c r="BE334" s="42">
        <f>SUM(BE335:BE350)</f>
        <v/>
      </c>
      <c r="BF334" s="43">
        <f>SUM(BF335:BF350)</f>
        <v/>
      </c>
      <c r="BG334" s="244">
        <f>SUM(BG335:BG350)</f>
        <v/>
      </c>
      <c r="BH334" s="42">
        <f>SUM(BH335:BH350)</f>
        <v/>
      </c>
      <c r="BI334" s="43">
        <f>SUM(BI335:BI350)</f>
        <v/>
      </c>
    </row>
    <row r="335" hidden="1" outlineLevel="1" customFormat="1" s="498">
      <c r="A335" s="22" t="inlineStr">
        <is>
          <t xml:space="preserve">Investimento - Construção - Obra </t>
        </is>
      </c>
      <c r="B335" s="59" t="n"/>
      <c r="C335" s="24" t="inlineStr">
        <is>
          <t>Estim. Mensal</t>
        </is>
      </c>
      <c r="D335" s="25" t="n"/>
      <c r="E335" s="25" t="n"/>
      <c r="F335" s="63" t="n"/>
      <c r="G335" s="33" t="n"/>
      <c r="H335" s="241" t="n"/>
      <c r="I335" s="81" t="n"/>
      <c r="J335" s="82">
        <f>SUMIFS(Aut_BlueMe_Sem_Pedido!$J:$J,Aut_BlueMe_Sem_Pedido!$Q:$Q,DRE!H$4,Aut_BlueMe_Sem_Pedido!$H:$H,DRE!$A335)+SUMIFS(Aut_Ajustes_Manuais!$G:$G,Aut_Ajustes_Manuais!$I:$I,DRE!H$4,Aut_Ajustes_Manuais!$F:$F,"Investimento - Construção - Obra ")</f>
        <v/>
      </c>
      <c r="K335" s="254" t="n"/>
      <c r="L335" s="81" t="n"/>
      <c r="M335" s="82">
        <f>SUMIFS(Aut_BlueMe_Sem_Pedido!$J:$J,Aut_BlueMe_Sem_Pedido!$Q:$Q,DRE!K$4,Aut_BlueMe_Sem_Pedido!$H:$H,DRE!$A335)+SUMIFS(Aut_Ajustes_Manuais!$G:$G,Aut_Ajustes_Manuais!$I:$I,DRE!K$4,Aut_Ajustes_Manuais!$F:$F,"Investimento - Construção - Obra ")</f>
        <v/>
      </c>
      <c r="N335" s="254" t="n"/>
      <c r="O335" s="81" t="n"/>
      <c r="P335" s="82">
        <f>SUMIFS(Aut_BlueMe_Sem_Pedido!$J:$J,Aut_BlueMe_Sem_Pedido!$Q:$Q,DRE!N$4,Aut_BlueMe_Sem_Pedido!$H:$H,DRE!$A335)+SUMIFS(Aut_Ajustes_Manuais!$G:$G,Aut_Ajustes_Manuais!$I:$I,DRE!N$4,Aut_Ajustes_Manuais!$F:$F,"Investimento - Construção - Obra ")</f>
        <v/>
      </c>
      <c r="Q335" s="241" t="n"/>
      <c r="R335" s="81" t="n"/>
      <c r="S335" s="82">
        <f>SUMIFS(Aut_BlueMe_Sem_Pedido!$J:$J,Aut_BlueMe_Sem_Pedido!$Q:$Q,DRE!Q$4,Aut_BlueMe_Sem_Pedido!$H:$H,DRE!$A335)+SUMIFS(Aut_Ajustes_Manuais!$G:$G,Aut_Ajustes_Manuais!$I:$I,DRE!Q$4,Aut_Ajustes_Manuais!$F:$F,"Investimento - Construção - Obra ")</f>
        <v/>
      </c>
      <c r="T335" s="241" t="n"/>
      <c r="U335" s="81" t="n"/>
      <c r="V335" s="82">
        <f>SUMIFS(Aut_BlueMe_Sem_Pedido!$J:$J,Aut_BlueMe_Sem_Pedido!$Q:$Q,DRE!T$4,Aut_BlueMe_Sem_Pedido!$H:$H,DRE!$A335)+SUMIFS(Aut_Ajustes_Manuais!$G:$G,Aut_Ajustes_Manuais!$I:$I,DRE!T$4,Aut_Ajustes_Manuais!$F:$F,"Investimento - Construção - Obra ")</f>
        <v/>
      </c>
      <c r="W335" s="241" t="n"/>
      <c r="X335" s="81" t="n"/>
      <c r="Y335" s="82">
        <f>SUMIFS(Aut_BlueMe_Sem_Pedido!$J:$J,Aut_BlueMe_Sem_Pedido!$Q:$Q,DRE!W$4,Aut_BlueMe_Sem_Pedido!$H:$H,DRE!$A335)+SUMIFS(Aut_Ajustes_Manuais!$G:$G,Aut_Ajustes_Manuais!$I:$I,DRE!W$4,Aut_Ajustes_Manuais!$F:$F,"Investimento - Construção - Obra ")</f>
        <v/>
      </c>
      <c r="Z335" s="241" t="n"/>
      <c r="AA335" s="81" t="n"/>
      <c r="AB335" s="82">
        <f>SUMIFS(Aut_BlueMe_Sem_Pedido!$J:$J,Aut_BlueMe_Sem_Pedido!$Q:$Q,DRE!Z$4,Aut_BlueMe_Sem_Pedido!$H:$H,DRE!$A335)+SUMIFS(Aut_Ajustes_Manuais!$G:$G,Aut_Ajustes_Manuais!$I:$I,DRE!Z$4,Aut_Ajustes_Manuais!$F:$F,"Investimento - Construção - Obra ")</f>
        <v/>
      </c>
      <c r="AC335" s="241" t="n"/>
      <c r="AD335" s="81" t="n"/>
      <c r="AE335" s="82">
        <f>SUMIFS(Aut_BlueMe_Sem_Pedido!$J:$J,Aut_BlueMe_Sem_Pedido!$Q:$Q,DRE!AC$4,Aut_BlueMe_Sem_Pedido!$H:$H,DRE!$A335)+SUMIFS(Aut_Ajustes_Manuais!$G:$G,Aut_Ajustes_Manuais!$I:$I,DRE!AC$4,Aut_Ajustes_Manuais!$F:$F,"Investimento - Construção - Obra ")</f>
        <v/>
      </c>
      <c r="AF335" s="241" t="n"/>
      <c r="AG335" s="81" t="n"/>
      <c r="AH335" s="82">
        <f>SUMIFS(Aut_BlueMe_Sem_Pedido!$J:$J,Aut_BlueMe_Sem_Pedido!$Q:$Q,DRE!AF$4,Aut_BlueMe_Sem_Pedido!$H:$H,DRE!$A335)+SUMIFS(Aut_Ajustes_Manuais!$G:$G,Aut_Ajustes_Manuais!$I:$I,DRE!AF$4,Aut_Ajustes_Manuais!$F:$F,"Investimento - Construção - Obra ")</f>
        <v/>
      </c>
      <c r="AI335" s="241" t="n"/>
      <c r="AJ335" s="81" t="n"/>
      <c r="AK335" s="82">
        <f>SUMIFS(Aut_BlueMe_Sem_Pedido!$J:$J,Aut_BlueMe_Sem_Pedido!$Q:$Q,DRE!AI$4,Aut_BlueMe_Sem_Pedido!$H:$H,DRE!$A335)+SUMIFS(Aut_Ajustes_Manuais!$G:$G,Aut_Ajustes_Manuais!$I:$I,DRE!AI$4,Aut_Ajustes_Manuais!$F:$F,"Investimento - Construção - Obra ")</f>
        <v/>
      </c>
      <c r="AL335" s="241" t="n"/>
      <c r="AM335" s="81" t="n"/>
      <c r="AN335" s="82">
        <f>SUMIFS(Aut_BlueMe_Sem_Pedido!$J:$J,Aut_BlueMe_Sem_Pedido!$Q:$Q,DRE!AL$4,Aut_BlueMe_Sem_Pedido!$H:$H,DRE!$A335)+SUMIFS(Aut_Ajustes_Manuais!$G:$G,Aut_Ajustes_Manuais!$I:$I,DRE!AL$4,Aut_Ajustes_Manuais!$F:$F,"Investimento - Construção - Obra ")</f>
        <v/>
      </c>
      <c r="AO335" s="241" t="n"/>
      <c r="AP335" s="81" t="n"/>
      <c r="AQ335" s="82">
        <f>SUMIFS(Aut_BlueMe_Sem_Pedido!$J:$J,Aut_BlueMe_Sem_Pedido!$Q:$Q,DRE!AO$4,Aut_BlueMe_Sem_Pedido!$H:$H,DRE!$A335)+SUMIFS(Aut_Ajustes_Manuais!$G:$G,Aut_Ajustes_Manuais!$I:$I,DRE!AO$4,Aut_Ajustes_Manuais!$F:$F,"Investimento - Construção - Obra ")</f>
        <v/>
      </c>
      <c r="AR335" s="241">
        <f>SUMIFS($H335:$AO335,$H$5:$AO$5,"&lt;"&amp;MONTH(TODAY()),$H$6:$AO$6,"REAL 25")</f>
        <v/>
      </c>
      <c r="AS335" s="81">
        <f>SUMIFS($I335:$AP335,$I$5:$AP$5,"&lt;"&amp;MONTH(TODAY()),$I$6:$AP$6,"ORÇADO ")</f>
        <v/>
      </c>
      <c r="AT335" s="82">
        <f>SUMIFS($J335:$AQ335,$J$5:$AQ$5,"&lt;"&amp;MONTH(TODAY()),$J$6:$AQ$6,"REAL 26")</f>
        <v/>
      </c>
      <c r="AU335" s="241">
        <f>SUM(H335,K335,N335,Q335,T335,W335,Z335,AC335,AF335,AI335,AL335,AO335)</f>
        <v/>
      </c>
      <c r="AV335" s="81">
        <f>SUM(I335,L335,O335,R335,U335,X335,AA335,AD335,AG335,AJ335,AM335,AP335)</f>
        <v/>
      </c>
      <c r="AW335" s="82">
        <f>SUM(J335,M335,P335,S335,V335,Y335,AB335,AE335,AH335,AK335,AN335,AQ335)</f>
        <v/>
      </c>
      <c r="AX335" s="241">
        <f>SUM(H335,K335,N335)</f>
        <v/>
      </c>
      <c r="AY335" s="81">
        <f>SUM(I335,L335,O335)</f>
        <v/>
      </c>
      <c r="AZ335" s="82">
        <f>SUM(J335,M335,P335)</f>
        <v/>
      </c>
      <c r="BA335" s="241">
        <f>SUM(Q335,T335,W335)</f>
        <v/>
      </c>
      <c r="BB335" s="81">
        <f>SUM(R335,U335,X335)</f>
        <v/>
      </c>
      <c r="BC335" s="82">
        <f>SUM(S335,V335,Y335)</f>
        <v/>
      </c>
      <c r="BD335" s="241">
        <f>SUM(Z335,AC335,AF335)</f>
        <v/>
      </c>
      <c r="BE335" s="81">
        <f>SUM(AA335,AD335,AG335)</f>
        <v/>
      </c>
      <c r="BF335" s="82">
        <f>SUM(AB335,AE335,AH335)</f>
        <v/>
      </c>
      <c r="BG335" s="241">
        <f>SUM(AI335,AL335,AO335)</f>
        <v/>
      </c>
      <c r="BH335" s="81">
        <f>SUM(AJ335,AM335,AP335)</f>
        <v/>
      </c>
      <c r="BI335" s="82">
        <f>SUM(AK335,AN335,AQ335)</f>
        <v/>
      </c>
    </row>
    <row r="336" hidden="1" outlineLevel="1" customFormat="1" s="498">
      <c r="A336" s="22" t="inlineStr">
        <is>
          <t>Investimento - Equipamentos</t>
        </is>
      </c>
      <c r="B336" s="59" t="n"/>
      <c r="C336" s="24" t="inlineStr">
        <is>
          <t>Estim. Mensal</t>
        </is>
      </c>
      <c r="D336" s="25" t="n"/>
      <c r="E336" s="55" t="n">
        <v>-0.005</v>
      </c>
      <c r="F336" s="63" t="n"/>
      <c r="G336" s="33" t="n"/>
      <c r="H336" s="241" t="n"/>
      <c r="I336" s="81">
        <f>-SUMIFS(T_ORCAMENTOS!$E:$E,T_ORCAMENTOS!$C:$C,"Investimento - Equipamentos",T_ORCAMENTOS!$H:$H,"1/2026")</f>
        <v/>
      </c>
      <c r="J336" s="82">
        <f>SUMIFS(Aut_BlueMe_Sem_Pedido!$J:$J,Aut_BlueMe_Sem_Pedido!$Q:$Q,DRE!H$4,Aut_BlueMe_Sem_Pedido!$H:$H,DRE!$A336)+SUMIFS(Aut_Ajustes_Manuais!$G:$G,Aut_Ajustes_Manuais!$I:$I,DRE!H$4,Aut_Ajustes_Manuais!$F:$F,"Investimento - Equipamentos")</f>
        <v/>
      </c>
      <c r="K336" s="254" t="n"/>
      <c r="L336" s="81">
        <f>-SUMIFS(T_ORCAMENTOS!$E:$E,T_ORCAMENTOS!$C:$C,"Investimento - Equipamentos",T_ORCAMENTOS!$H:$H,"2/2026")</f>
        <v/>
      </c>
      <c r="M336" s="82">
        <f>SUMIFS(Aut_BlueMe_Sem_Pedido!$J:$J,Aut_BlueMe_Sem_Pedido!$Q:$Q,DRE!K$4,Aut_BlueMe_Sem_Pedido!$H:$H,DRE!$A336)+SUMIFS(Aut_Ajustes_Manuais!$G:$G,Aut_Ajustes_Manuais!$I:$I,DRE!K$4,Aut_Ajustes_Manuais!$F:$F,"Investimento - Equipamentos")</f>
        <v/>
      </c>
      <c r="N336" s="254" t="n"/>
      <c r="O336" s="81">
        <f>-SUMIFS(T_ORCAMENTOS!$E:$E,T_ORCAMENTOS!$C:$C,"Investimento - Equipamentos",T_ORCAMENTOS!$H:$H,"3/2026")</f>
        <v/>
      </c>
      <c r="P336" s="82">
        <f>SUMIFS(Aut_BlueMe_Sem_Pedido!$J:$J,Aut_BlueMe_Sem_Pedido!$Q:$Q,DRE!N$4,Aut_BlueMe_Sem_Pedido!$H:$H,DRE!$A336)+SUMIFS(Aut_Ajustes_Manuais!$G:$G,Aut_Ajustes_Manuais!$I:$I,DRE!N$4,Aut_Ajustes_Manuais!$F:$F,"Investimento - Equipamentos")</f>
        <v/>
      </c>
      <c r="Q336" s="241" t="n"/>
      <c r="R336" s="81">
        <f>-SUMIFS(T_ORCAMENTOS!$E:$E,T_ORCAMENTOS!$C:$C,"Investimento - Equipamentos",T_ORCAMENTOS!$H:$H,"4/2026")</f>
        <v/>
      </c>
      <c r="S336" s="82">
        <f>SUMIFS(Aut_BlueMe_Sem_Pedido!$J:$J,Aut_BlueMe_Sem_Pedido!$Q:$Q,DRE!Q$4,Aut_BlueMe_Sem_Pedido!$H:$H,DRE!$A336)+SUMIFS(Aut_Ajustes_Manuais!$G:$G,Aut_Ajustes_Manuais!$I:$I,DRE!Q$4,Aut_Ajustes_Manuais!$F:$F,"Investimento - Equipamentos")</f>
        <v/>
      </c>
      <c r="T336" s="241" t="n"/>
      <c r="U336" s="81">
        <f>-SUMIFS(T_ORCAMENTOS!$E:$E,T_ORCAMENTOS!$C:$C,"Investimento - Equipamentos",T_ORCAMENTOS!$H:$H,"5/2026")</f>
        <v/>
      </c>
      <c r="V336" s="82">
        <f>SUMIFS(Aut_BlueMe_Sem_Pedido!$J:$J,Aut_BlueMe_Sem_Pedido!$Q:$Q,DRE!T$4,Aut_BlueMe_Sem_Pedido!$H:$H,DRE!$A336)+SUMIFS(Aut_Ajustes_Manuais!$G:$G,Aut_Ajustes_Manuais!$I:$I,DRE!T$4,Aut_Ajustes_Manuais!$F:$F,"Investimento - Equipamentos")</f>
        <v/>
      </c>
      <c r="W336" s="241" t="n"/>
      <c r="X336" s="81">
        <f>-SUMIFS(T_ORCAMENTOS!$E:$E,T_ORCAMENTOS!$C:$C,"Investimento - Equipamentos",T_ORCAMENTOS!$H:$H,"6/2026")</f>
        <v/>
      </c>
      <c r="Y336" s="82">
        <f>SUMIFS(Aut_BlueMe_Sem_Pedido!$J:$J,Aut_BlueMe_Sem_Pedido!$Q:$Q,DRE!W$4,Aut_BlueMe_Sem_Pedido!$H:$H,DRE!$A336)+SUMIFS(Aut_Ajustes_Manuais!$G:$G,Aut_Ajustes_Manuais!$I:$I,DRE!W$4,Aut_Ajustes_Manuais!$F:$F,"Investimento - Equipamentos")</f>
        <v/>
      </c>
      <c r="Z336" s="241" t="n"/>
      <c r="AA336" s="81">
        <f>-SUMIFS(T_ORCAMENTOS!$E:$E,T_ORCAMENTOS!$C:$C,"Investimento - Equipamentos",T_ORCAMENTOS!$H:$H,"7/2026")</f>
        <v/>
      </c>
      <c r="AB336" s="82">
        <f>SUMIFS(Aut_BlueMe_Sem_Pedido!$J:$J,Aut_BlueMe_Sem_Pedido!$Q:$Q,DRE!Z$4,Aut_BlueMe_Sem_Pedido!$H:$H,DRE!$A336)+SUMIFS(Aut_Ajustes_Manuais!$G:$G,Aut_Ajustes_Manuais!$I:$I,DRE!Z$4,Aut_Ajustes_Manuais!$F:$F,"Investimento - Equipamentos")</f>
        <v/>
      </c>
      <c r="AC336" s="241" t="n"/>
      <c r="AD336" s="81">
        <f>-SUMIFS(T_ORCAMENTOS!$E:$E,T_ORCAMENTOS!$C:$C,"Investimento - Equipamentos",T_ORCAMENTOS!$H:$H,"8/2026")</f>
        <v/>
      </c>
      <c r="AE336" s="82">
        <f>SUMIFS(Aut_BlueMe_Sem_Pedido!$J:$J,Aut_BlueMe_Sem_Pedido!$Q:$Q,DRE!AC$4,Aut_BlueMe_Sem_Pedido!$H:$H,DRE!$A336)+SUMIFS(Aut_Ajustes_Manuais!$G:$G,Aut_Ajustes_Manuais!$I:$I,DRE!AC$4,Aut_Ajustes_Manuais!$F:$F,"Investimento - Equipamentos")</f>
        <v/>
      </c>
      <c r="AF336" s="241" t="n"/>
      <c r="AG336" s="81">
        <f>-SUMIFS(T_ORCAMENTOS!$E:$E,T_ORCAMENTOS!$C:$C,"Investimento - Equipamentos",T_ORCAMENTOS!$H:$H,"9/2026")</f>
        <v/>
      </c>
      <c r="AH336" s="82">
        <f>SUMIFS(Aut_BlueMe_Sem_Pedido!$J:$J,Aut_BlueMe_Sem_Pedido!$Q:$Q,DRE!AF$4,Aut_BlueMe_Sem_Pedido!$H:$H,DRE!$A336)+SUMIFS(Aut_Ajustes_Manuais!$G:$G,Aut_Ajustes_Manuais!$I:$I,DRE!AF$4,Aut_Ajustes_Manuais!$F:$F,"Investimento - Equipamentos")</f>
        <v/>
      </c>
      <c r="AI336" s="241" t="n"/>
      <c r="AJ336" s="81">
        <f>-SUMIFS(T_ORCAMENTOS!$E:$E,T_ORCAMENTOS!$C:$C,"Investimento - Equipamentos",T_ORCAMENTOS!$H:$H,"10/2026")</f>
        <v/>
      </c>
      <c r="AK336" s="82">
        <f>SUMIFS(Aut_BlueMe_Sem_Pedido!$J:$J,Aut_BlueMe_Sem_Pedido!$Q:$Q,DRE!AI$4,Aut_BlueMe_Sem_Pedido!$H:$H,DRE!$A336)+SUMIFS(Aut_Ajustes_Manuais!$G:$G,Aut_Ajustes_Manuais!$I:$I,DRE!AI$4,Aut_Ajustes_Manuais!$F:$F,"Investimento - Equipamentos")</f>
        <v/>
      </c>
      <c r="AL336" s="241" t="n"/>
      <c r="AM336" s="81">
        <f>-SUMIFS(T_ORCAMENTOS!$E:$E,T_ORCAMENTOS!$C:$C,"Investimento - Equipamentos",T_ORCAMENTOS!$H:$H,"11/2026")</f>
        <v/>
      </c>
      <c r="AN336" s="82">
        <f>SUMIFS(Aut_BlueMe_Sem_Pedido!$J:$J,Aut_BlueMe_Sem_Pedido!$Q:$Q,DRE!AL$4,Aut_BlueMe_Sem_Pedido!$H:$H,DRE!$A336)+SUMIFS(Aut_Ajustes_Manuais!$G:$G,Aut_Ajustes_Manuais!$I:$I,DRE!AL$4,Aut_Ajustes_Manuais!$F:$F,"Investimento - Equipamentos")</f>
        <v/>
      </c>
      <c r="AO336" s="241" t="n"/>
      <c r="AP336" s="81">
        <f>-SUMIFS(T_ORCAMENTOS!$E:$E,T_ORCAMENTOS!$C:$C,"Investimento - Equipamentos",T_ORCAMENTOS!$H:$H,"12/2026")</f>
        <v/>
      </c>
      <c r="AQ336" s="82">
        <f>SUMIFS(Aut_BlueMe_Sem_Pedido!$J:$J,Aut_BlueMe_Sem_Pedido!$Q:$Q,DRE!AO$4,Aut_BlueMe_Sem_Pedido!$H:$H,DRE!$A336)+SUMIFS(Aut_Ajustes_Manuais!$G:$G,Aut_Ajustes_Manuais!$I:$I,DRE!AO$4,Aut_Ajustes_Manuais!$F:$F,"Investimento - Equipamentos")</f>
        <v/>
      </c>
      <c r="AR336" s="241">
        <f>SUMIFS($H336:$AO336,$H$5:$AO$5,"&lt;"&amp;MONTH(TODAY()),$H$6:$AO$6,"REAL 25")</f>
        <v/>
      </c>
      <c r="AS336" s="81">
        <f>SUMIFS($I336:$AP336,$I$5:$AP$5,"&lt;"&amp;MONTH(TODAY()),$I$6:$AP$6,"ORÇADO ")</f>
        <v/>
      </c>
      <c r="AT336" s="82">
        <f>SUMIFS($J336:$AQ336,$J$5:$AQ$5,"&lt;"&amp;MONTH(TODAY()),$J$6:$AQ$6,"REAL 26")</f>
        <v/>
      </c>
      <c r="AU336" s="241">
        <f>SUM(H336,K336,N336,Q336,T336,W336,Z336,AC336,AF336,AI336,AL336,AO336)</f>
        <v/>
      </c>
      <c r="AV336" s="81">
        <f>SUM(I336,L336,O336,R336,U336,X336,AA336,AD336,AG336,AJ336,AM336,AP336)</f>
        <v/>
      </c>
      <c r="AW336" s="82">
        <f>SUM(J336,M336,P336,S336,V336,Y336,AB336,AE336,AH336,AK336,AN336,AQ336)</f>
        <v/>
      </c>
      <c r="AX336" s="241">
        <f>SUM(H336,K336,N336)</f>
        <v/>
      </c>
      <c r="AY336" s="81">
        <f>SUM(I336,L336,O336)</f>
        <v/>
      </c>
      <c r="AZ336" s="82">
        <f>SUM(J336,M336,P336)</f>
        <v/>
      </c>
      <c r="BA336" s="241">
        <f>SUM(Q336,T336,W336)</f>
        <v/>
      </c>
      <c r="BB336" s="81">
        <f>SUM(R336,U336,X336)</f>
        <v/>
      </c>
      <c r="BC336" s="82">
        <f>SUM(S336,V336,Y336)</f>
        <v/>
      </c>
      <c r="BD336" s="241">
        <f>SUM(Z336,AC336,AF336)</f>
        <v/>
      </c>
      <c r="BE336" s="81">
        <f>SUM(AA336,AD336,AG336)</f>
        <v/>
      </c>
      <c r="BF336" s="82">
        <f>SUM(AB336,AE336,AH336)</f>
        <v/>
      </c>
      <c r="BG336" s="241">
        <f>SUM(AI336,AL336,AO336)</f>
        <v/>
      </c>
      <c r="BH336" s="81">
        <f>SUM(AJ336,AM336,AP336)</f>
        <v/>
      </c>
      <c r="BI336" s="82">
        <f>SUM(AK336,AN336,AQ336)</f>
        <v/>
      </c>
    </row>
    <row r="337" hidden="1" outlineLevel="1" customFormat="1" s="498">
      <c r="A337" s="22" t="inlineStr">
        <is>
          <t>Investimento - Utensílios</t>
        </is>
      </c>
      <c r="B337" s="59" t="n"/>
      <c r="C337" s="24" t="inlineStr">
        <is>
          <t>Estim. Mensal</t>
        </is>
      </c>
      <c r="D337" s="25" t="n"/>
      <c r="E337" s="25" t="n"/>
      <c r="F337" s="63" t="n"/>
      <c r="G337" s="33" t="n"/>
      <c r="H337" s="241" t="n"/>
      <c r="I337" s="81">
        <f>-SUMIFS(T_ORCAMENTOS!$E:$E,T_ORCAMENTOS!$C:$C,"Investimento - Utensílios",T_ORCAMENTOS!$H:$H,"1/2026")</f>
        <v/>
      </c>
      <c r="J337" s="82">
        <f>SUMIFS(Aut_BlueMe_Sem_Pedido!$J:$J,Aut_BlueMe_Sem_Pedido!$Q:$Q,DRE!H$4,Aut_BlueMe_Sem_Pedido!$H:$H,DRE!$A337)+SUMIFS(Aut_Ajustes_Manuais!$G:$G,Aut_Ajustes_Manuais!$I:$I,DRE!H$4,Aut_Ajustes_Manuais!$F:$F,"Investimento - Utensílios")</f>
        <v/>
      </c>
      <c r="K337" s="254" t="n"/>
      <c r="L337" s="81">
        <f>-SUMIFS(T_ORCAMENTOS!$E:$E,T_ORCAMENTOS!$C:$C,"Investimento - Utensílios",T_ORCAMENTOS!$H:$H,"2/2026")</f>
        <v/>
      </c>
      <c r="M337" s="82">
        <f>SUMIFS(Aut_BlueMe_Sem_Pedido!$J:$J,Aut_BlueMe_Sem_Pedido!$Q:$Q,DRE!K$4,Aut_BlueMe_Sem_Pedido!$H:$H,DRE!$A337)+SUMIFS(Aut_Ajustes_Manuais!$G:$G,Aut_Ajustes_Manuais!$I:$I,DRE!K$4,Aut_Ajustes_Manuais!$F:$F,"Investimento - Utensílios")</f>
        <v/>
      </c>
      <c r="N337" s="254" t="n"/>
      <c r="O337" s="81">
        <f>-SUMIFS(T_ORCAMENTOS!$E:$E,T_ORCAMENTOS!$C:$C,"Investimento - Utensílios",T_ORCAMENTOS!$H:$H,"3/2026")</f>
        <v/>
      </c>
      <c r="P337" s="82">
        <f>SUMIFS(Aut_BlueMe_Sem_Pedido!$J:$J,Aut_BlueMe_Sem_Pedido!$Q:$Q,DRE!N$4,Aut_BlueMe_Sem_Pedido!$H:$H,DRE!$A337)+SUMIFS(Aut_Ajustes_Manuais!$G:$G,Aut_Ajustes_Manuais!$I:$I,DRE!N$4,Aut_Ajustes_Manuais!$F:$F,"Investimento - Utensílios")</f>
        <v/>
      </c>
      <c r="Q337" s="241" t="n"/>
      <c r="R337" s="81">
        <f>-SUMIFS(T_ORCAMENTOS!$E:$E,T_ORCAMENTOS!$C:$C,"Investimento - Utensílios",T_ORCAMENTOS!$H:$H,"4/2026")</f>
        <v/>
      </c>
      <c r="S337" s="82">
        <f>SUMIFS(Aut_BlueMe_Sem_Pedido!$J:$J,Aut_BlueMe_Sem_Pedido!$Q:$Q,DRE!Q$4,Aut_BlueMe_Sem_Pedido!$H:$H,DRE!$A337)+SUMIFS(Aut_Ajustes_Manuais!$G:$G,Aut_Ajustes_Manuais!$I:$I,DRE!Q$4,Aut_Ajustes_Manuais!$F:$F,"Investimento - Utensílios")</f>
        <v/>
      </c>
      <c r="T337" s="241" t="n"/>
      <c r="U337" s="81">
        <f>-SUMIFS(T_ORCAMENTOS!$E:$E,T_ORCAMENTOS!$C:$C,"Investimento - Utensílios",T_ORCAMENTOS!$H:$H,"5/2026")</f>
        <v/>
      </c>
      <c r="V337" s="82">
        <f>SUMIFS(Aut_BlueMe_Sem_Pedido!$J:$J,Aut_BlueMe_Sem_Pedido!$Q:$Q,DRE!T$4,Aut_BlueMe_Sem_Pedido!$H:$H,DRE!$A337)+SUMIFS(Aut_Ajustes_Manuais!$G:$G,Aut_Ajustes_Manuais!$I:$I,DRE!T$4,Aut_Ajustes_Manuais!$F:$F,"Investimento - Utensílios")</f>
        <v/>
      </c>
      <c r="W337" s="241" t="n"/>
      <c r="X337" s="81">
        <f>-SUMIFS(T_ORCAMENTOS!$E:$E,T_ORCAMENTOS!$C:$C,"Investimento - Utensílios",T_ORCAMENTOS!$H:$H,"6/2026")</f>
        <v/>
      </c>
      <c r="Y337" s="82">
        <f>SUMIFS(Aut_BlueMe_Sem_Pedido!$J:$J,Aut_BlueMe_Sem_Pedido!$Q:$Q,DRE!W$4,Aut_BlueMe_Sem_Pedido!$H:$H,DRE!$A337)+SUMIFS(Aut_Ajustes_Manuais!$G:$G,Aut_Ajustes_Manuais!$I:$I,DRE!W$4,Aut_Ajustes_Manuais!$F:$F,"Investimento - Utensílios")</f>
        <v/>
      </c>
      <c r="Z337" s="241" t="n"/>
      <c r="AA337" s="81">
        <f>-SUMIFS(T_ORCAMENTOS!$E:$E,T_ORCAMENTOS!$C:$C,"Investimento - Utensílios",T_ORCAMENTOS!$H:$H,"7/2026")</f>
        <v/>
      </c>
      <c r="AB337" s="82">
        <f>SUMIFS(Aut_BlueMe_Sem_Pedido!$J:$J,Aut_BlueMe_Sem_Pedido!$Q:$Q,DRE!Z$4,Aut_BlueMe_Sem_Pedido!$H:$H,DRE!$A337)+SUMIFS(Aut_Ajustes_Manuais!$G:$G,Aut_Ajustes_Manuais!$I:$I,DRE!Z$4,Aut_Ajustes_Manuais!$F:$F,"Investimento - Utensílios")</f>
        <v/>
      </c>
      <c r="AC337" s="241" t="n"/>
      <c r="AD337" s="81">
        <f>-SUMIFS(T_ORCAMENTOS!$E:$E,T_ORCAMENTOS!$C:$C,"Investimento - Utensílios",T_ORCAMENTOS!$H:$H,"8/2026")</f>
        <v/>
      </c>
      <c r="AE337" s="82">
        <f>SUMIFS(Aut_BlueMe_Sem_Pedido!$J:$J,Aut_BlueMe_Sem_Pedido!$Q:$Q,DRE!AC$4,Aut_BlueMe_Sem_Pedido!$H:$H,DRE!$A337)+SUMIFS(Aut_Ajustes_Manuais!$G:$G,Aut_Ajustes_Manuais!$I:$I,DRE!AC$4,Aut_Ajustes_Manuais!$F:$F,"Investimento - Utensílios")</f>
        <v/>
      </c>
      <c r="AF337" s="241" t="n"/>
      <c r="AG337" s="81">
        <f>-SUMIFS(T_ORCAMENTOS!$E:$E,T_ORCAMENTOS!$C:$C,"Investimento - Utensílios",T_ORCAMENTOS!$H:$H,"9/2026")</f>
        <v/>
      </c>
      <c r="AH337" s="82">
        <f>SUMIFS(Aut_BlueMe_Sem_Pedido!$J:$J,Aut_BlueMe_Sem_Pedido!$Q:$Q,DRE!AF$4,Aut_BlueMe_Sem_Pedido!$H:$H,DRE!$A337)+SUMIFS(Aut_Ajustes_Manuais!$G:$G,Aut_Ajustes_Manuais!$I:$I,DRE!AF$4,Aut_Ajustes_Manuais!$F:$F,"Investimento - Utensílios")</f>
        <v/>
      </c>
      <c r="AI337" s="241" t="n"/>
      <c r="AJ337" s="81">
        <f>-SUMIFS(T_ORCAMENTOS!$E:$E,T_ORCAMENTOS!$C:$C,"Investimento - Utensílios",T_ORCAMENTOS!$H:$H,"10/2026")</f>
        <v/>
      </c>
      <c r="AK337" s="82">
        <f>SUMIFS(Aut_BlueMe_Sem_Pedido!$J:$J,Aut_BlueMe_Sem_Pedido!$Q:$Q,DRE!AI$4,Aut_BlueMe_Sem_Pedido!$H:$H,DRE!$A337)+SUMIFS(Aut_Ajustes_Manuais!$G:$G,Aut_Ajustes_Manuais!$I:$I,DRE!AI$4,Aut_Ajustes_Manuais!$F:$F,"Investimento - Utensílios")</f>
        <v/>
      </c>
      <c r="AL337" s="241" t="n"/>
      <c r="AM337" s="81">
        <f>-SUMIFS(T_ORCAMENTOS!$E:$E,T_ORCAMENTOS!$C:$C,"Investimento - Utensílios",T_ORCAMENTOS!$H:$H,"11/2026")</f>
        <v/>
      </c>
      <c r="AN337" s="82">
        <f>SUMIFS(Aut_BlueMe_Sem_Pedido!$J:$J,Aut_BlueMe_Sem_Pedido!$Q:$Q,DRE!AL$4,Aut_BlueMe_Sem_Pedido!$H:$H,DRE!$A337)+SUMIFS(Aut_Ajustes_Manuais!$G:$G,Aut_Ajustes_Manuais!$I:$I,DRE!AL$4,Aut_Ajustes_Manuais!$F:$F,"Investimento - Utensílios")</f>
        <v/>
      </c>
      <c r="AO337" s="241" t="n"/>
      <c r="AP337" s="81">
        <f>-SUMIFS(T_ORCAMENTOS!$E:$E,T_ORCAMENTOS!$C:$C,"Investimento - Utensílios",T_ORCAMENTOS!$H:$H,"12/2026")</f>
        <v/>
      </c>
      <c r="AQ337" s="82">
        <f>SUMIFS(Aut_BlueMe_Sem_Pedido!$J:$J,Aut_BlueMe_Sem_Pedido!$Q:$Q,DRE!AO$4,Aut_BlueMe_Sem_Pedido!$H:$H,DRE!$A337)+SUMIFS(Aut_Ajustes_Manuais!$G:$G,Aut_Ajustes_Manuais!$I:$I,DRE!AO$4,Aut_Ajustes_Manuais!$F:$F,"Investimento - Utensílios")</f>
        <v/>
      </c>
      <c r="AR337" s="241">
        <f>SUMIFS($H337:$AO337,$H$5:$AO$5,"&lt;"&amp;MONTH(TODAY()),$H$6:$AO$6,"REAL 25")</f>
        <v/>
      </c>
      <c r="AS337" s="81">
        <f>SUMIFS($I337:$AP337,$I$5:$AP$5,"&lt;"&amp;MONTH(TODAY()),$I$6:$AP$6,"ORÇADO ")</f>
        <v/>
      </c>
      <c r="AT337" s="82">
        <f>SUMIFS($J337:$AQ337,$J$5:$AQ$5,"&lt;"&amp;MONTH(TODAY()),$J$6:$AQ$6,"REAL 26")</f>
        <v/>
      </c>
      <c r="AU337" s="241">
        <f>SUM(H337,K337,N337,Q337,T337,W337,Z337,AC337,AF337,AI337,AL337,AO337)</f>
        <v/>
      </c>
      <c r="AV337" s="81">
        <f>SUM(I337,L337,O337,R337,U337,X337,AA337,AD337,AG337,AJ337,AM337,AP337)</f>
        <v/>
      </c>
      <c r="AW337" s="82">
        <f>SUM(J337,M337,P337,S337,V337,Y337,AB337,AE337,AH337,AK337,AN337,AQ337)</f>
        <v/>
      </c>
      <c r="AX337" s="241">
        <f>SUM(H337,K337,N337)</f>
        <v/>
      </c>
      <c r="AY337" s="81">
        <f>SUM(I337,L337,O337)</f>
        <v/>
      </c>
      <c r="AZ337" s="82">
        <f>SUM(J337,M337,P337)</f>
        <v/>
      </c>
      <c r="BA337" s="241">
        <f>SUM(Q337,T337,W337)</f>
        <v/>
      </c>
      <c r="BB337" s="81">
        <f>SUM(R337,U337,X337)</f>
        <v/>
      </c>
      <c r="BC337" s="82">
        <f>SUM(S337,V337,Y337)</f>
        <v/>
      </c>
      <c r="BD337" s="241">
        <f>SUM(Z337,AC337,AF337)</f>
        <v/>
      </c>
      <c r="BE337" s="81">
        <f>SUM(AA337,AD337,AG337)</f>
        <v/>
      </c>
      <c r="BF337" s="82">
        <f>SUM(AB337,AE337,AH337)</f>
        <v/>
      </c>
      <c r="BG337" s="241">
        <f>SUM(AI337,AL337,AO337)</f>
        <v/>
      </c>
      <c r="BH337" s="81">
        <f>SUM(AJ337,AM337,AP337)</f>
        <v/>
      </c>
      <c r="BI337" s="82">
        <f>SUM(AK337,AN337,AQ337)</f>
        <v/>
      </c>
    </row>
    <row r="338" hidden="1" outlineLevel="1" customFormat="1" s="498">
      <c r="A338" s="22" t="inlineStr">
        <is>
          <t>Investimento - Mobiliário e Decoração</t>
        </is>
      </c>
      <c r="B338" s="59" t="n"/>
      <c r="C338" s="24" t="inlineStr">
        <is>
          <t>Estim. Mensal</t>
        </is>
      </c>
      <c r="D338" s="25" t="n"/>
      <c r="E338" s="55" t="n">
        <v>-0.005</v>
      </c>
      <c r="F338" s="63" t="n"/>
      <c r="G338" s="33" t="n"/>
      <c r="H338" s="241" t="n"/>
      <c r="I338" s="81">
        <f>-SUMIFS(T_ORCAMENTOS!$E:$E,T_ORCAMENTOS!$C:$C,"Investimento - Mobiliário e Decoração",T_ORCAMENTOS!$H:$H,"1/2026")</f>
        <v/>
      </c>
      <c r="J338" s="82">
        <f>SUMIFS(Aut_BlueMe_Sem_Pedido!$J:$J,Aut_BlueMe_Sem_Pedido!$Q:$Q,DRE!H$4,Aut_BlueMe_Sem_Pedido!$H:$H,DRE!$A338)+SUMIFS(Aut_Ajustes_Manuais!$G:$G,Aut_Ajustes_Manuais!$I:$I,DRE!H$4,Aut_Ajustes_Manuais!$F:$F,"Investimento - Mobiliário e Decoração")</f>
        <v/>
      </c>
      <c r="K338" s="254" t="n"/>
      <c r="L338" s="81">
        <f>-SUMIFS(T_ORCAMENTOS!$E:$E,T_ORCAMENTOS!$C:$C,"Investimento - Mobiliário e Decoração",T_ORCAMENTOS!$H:$H,"2/2026")</f>
        <v/>
      </c>
      <c r="M338" s="82">
        <f>SUMIFS(Aut_BlueMe_Sem_Pedido!$J:$J,Aut_BlueMe_Sem_Pedido!$Q:$Q,DRE!K$4,Aut_BlueMe_Sem_Pedido!$H:$H,DRE!$A338)+SUMIFS(Aut_Ajustes_Manuais!$G:$G,Aut_Ajustes_Manuais!$I:$I,DRE!K$4,Aut_Ajustes_Manuais!$F:$F,"Investimento - Mobiliário e Decoração")</f>
        <v/>
      </c>
      <c r="N338" s="254" t="n"/>
      <c r="O338" s="81">
        <f>-SUMIFS(T_ORCAMENTOS!$E:$E,T_ORCAMENTOS!$C:$C,"Investimento - Mobiliário e Decoração",T_ORCAMENTOS!$H:$H,"3/2026")</f>
        <v/>
      </c>
      <c r="P338" s="27">
        <f>SUMIFS(Aut_BlueMe_Sem_Pedido!$J:$J,Aut_BlueMe_Sem_Pedido!$Q:$Q,DRE!N$4,Aut_BlueMe_Sem_Pedido!$H:$H,DRE!$A338)+SUMIFS(Aut_Ajustes_Manuais!$G:$G,Aut_Ajustes_Manuais!$I:$I,DRE!N$4,Aut_Ajustes_Manuais!$F:$F,"Investimento - Mobiliário e Decoração")</f>
        <v/>
      </c>
      <c r="Q338" s="241" t="n"/>
      <c r="R338" s="81">
        <f>-SUMIFS(T_ORCAMENTOS!$E:$E,T_ORCAMENTOS!$C:$C,"Investimento - Mobiliário e Decoração",T_ORCAMENTOS!$H:$H,"4/2026")</f>
        <v/>
      </c>
      <c r="S338" s="82">
        <f>SUMIFS(Aut_BlueMe_Sem_Pedido!$J:$J,Aut_BlueMe_Sem_Pedido!$Q:$Q,DRE!Q$4,Aut_BlueMe_Sem_Pedido!$H:$H,DRE!$A338)+SUMIFS(Aut_Ajustes_Manuais!$G:$G,Aut_Ajustes_Manuais!$I:$I,DRE!Q$4,Aut_Ajustes_Manuais!$F:$F,"Investimento - Mobiliário e Decoração")</f>
        <v/>
      </c>
      <c r="T338" s="241" t="n"/>
      <c r="U338" s="81">
        <f>-SUMIFS(T_ORCAMENTOS!$E:$E,T_ORCAMENTOS!$C:$C,"Investimento - Mobiliário e Decoração",T_ORCAMENTOS!$H:$H,"5/2026")</f>
        <v/>
      </c>
      <c r="V338" s="82">
        <f>SUMIFS(Aut_BlueMe_Sem_Pedido!$J:$J,Aut_BlueMe_Sem_Pedido!$Q:$Q,DRE!T$4,Aut_BlueMe_Sem_Pedido!$H:$H,DRE!$A338)+SUMIFS(Aut_Ajustes_Manuais!$G:$G,Aut_Ajustes_Manuais!$I:$I,DRE!T$4,Aut_Ajustes_Manuais!$F:$F,"Investimento - Mobiliário e Decoração")</f>
        <v/>
      </c>
      <c r="W338" s="241" t="n"/>
      <c r="X338" s="81">
        <f>-SUMIFS(T_ORCAMENTOS!$E:$E,T_ORCAMENTOS!$C:$C,"Investimento - Mobiliário e Decoração",T_ORCAMENTOS!$H:$H,"6/2026")</f>
        <v/>
      </c>
      <c r="Y338" s="82">
        <f>SUMIFS(Aut_BlueMe_Sem_Pedido!$J:$J,Aut_BlueMe_Sem_Pedido!$Q:$Q,DRE!W$4,Aut_BlueMe_Sem_Pedido!$H:$H,DRE!$A338)+SUMIFS(Aut_Ajustes_Manuais!$G:$G,Aut_Ajustes_Manuais!$I:$I,DRE!W$4,Aut_Ajustes_Manuais!$F:$F,"Investimento - Mobiliário e Decoração")</f>
        <v/>
      </c>
      <c r="Z338" s="241" t="n"/>
      <c r="AA338" s="81">
        <f>-SUMIFS(T_ORCAMENTOS!$E:$E,T_ORCAMENTOS!$C:$C,"Investimento - Mobiliário e Decoração",T_ORCAMENTOS!$H:$H,"7/2026")</f>
        <v/>
      </c>
      <c r="AB338" s="82">
        <f>SUMIFS(Aut_BlueMe_Sem_Pedido!$J:$J,Aut_BlueMe_Sem_Pedido!$Q:$Q,DRE!Z$4,Aut_BlueMe_Sem_Pedido!$H:$H,DRE!$A338)+SUMIFS(Aut_Ajustes_Manuais!$G:$G,Aut_Ajustes_Manuais!$I:$I,DRE!Z$4,Aut_Ajustes_Manuais!$F:$F,"Investimento - Mobiliário e Decoração")</f>
        <v/>
      </c>
      <c r="AC338" s="241" t="n"/>
      <c r="AD338" s="81">
        <f>-SUMIFS(T_ORCAMENTOS!$E:$E,T_ORCAMENTOS!$C:$C,"Investimento - Mobiliário e Decoração",T_ORCAMENTOS!$H:$H,"8/2026")</f>
        <v/>
      </c>
      <c r="AE338" s="82">
        <f>SUMIFS(Aut_BlueMe_Sem_Pedido!$J:$J,Aut_BlueMe_Sem_Pedido!$Q:$Q,DRE!AC$4,Aut_BlueMe_Sem_Pedido!$H:$H,DRE!$A338)+SUMIFS(Aut_Ajustes_Manuais!$G:$G,Aut_Ajustes_Manuais!$I:$I,DRE!AC$4,Aut_Ajustes_Manuais!$F:$F,"Investimento - Mobiliário e Decoração")</f>
        <v/>
      </c>
      <c r="AF338" s="241" t="n"/>
      <c r="AG338" s="81">
        <f>-SUMIFS(T_ORCAMENTOS!$E:$E,T_ORCAMENTOS!$C:$C,"Investimento - Mobiliário e Decoração",T_ORCAMENTOS!$H:$H,"9/2026")</f>
        <v/>
      </c>
      <c r="AH338" s="82">
        <f>SUMIFS(Aut_BlueMe_Sem_Pedido!$J:$J,Aut_BlueMe_Sem_Pedido!$Q:$Q,DRE!AF$4,Aut_BlueMe_Sem_Pedido!$H:$H,DRE!$A338)+SUMIFS(Aut_Ajustes_Manuais!$G:$G,Aut_Ajustes_Manuais!$I:$I,DRE!AF$4,Aut_Ajustes_Manuais!$F:$F,"Investimento - Mobiliário e Decoração")</f>
        <v/>
      </c>
      <c r="AI338" s="241" t="n"/>
      <c r="AJ338" s="81">
        <f>-SUMIFS(T_ORCAMENTOS!$E:$E,T_ORCAMENTOS!$C:$C,"Investimento - Mobiliário e Decoração",T_ORCAMENTOS!$H:$H,"10/2026")</f>
        <v/>
      </c>
      <c r="AK338" s="82">
        <f>SUMIFS(Aut_BlueMe_Sem_Pedido!$J:$J,Aut_BlueMe_Sem_Pedido!$Q:$Q,DRE!AI$4,Aut_BlueMe_Sem_Pedido!$H:$H,DRE!$A338)+SUMIFS(Aut_Ajustes_Manuais!$G:$G,Aut_Ajustes_Manuais!$I:$I,DRE!AI$4,Aut_Ajustes_Manuais!$F:$F,"Investimento - Mobiliário e Decoração")</f>
        <v/>
      </c>
      <c r="AL338" s="241" t="n"/>
      <c r="AM338" s="81">
        <f>-SUMIFS(T_ORCAMENTOS!$E:$E,T_ORCAMENTOS!$C:$C,"Investimento - Mobiliário e Decoração",T_ORCAMENTOS!$H:$H,"11/2026")</f>
        <v/>
      </c>
      <c r="AN338" s="82">
        <f>SUMIFS(Aut_BlueMe_Sem_Pedido!$J:$J,Aut_BlueMe_Sem_Pedido!$Q:$Q,DRE!AL$4,Aut_BlueMe_Sem_Pedido!$H:$H,DRE!$A338)+SUMIFS(Aut_Ajustes_Manuais!$G:$G,Aut_Ajustes_Manuais!$I:$I,DRE!AL$4,Aut_Ajustes_Manuais!$F:$F,"Investimento - Mobiliário e Decoração")</f>
        <v/>
      </c>
      <c r="AO338" s="241" t="n"/>
      <c r="AP338" s="81">
        <f>-SUMIFS(T_ORCAMENTOS!$E:$E,T_ORCAMENTOS!$C:$C,"Investimento - Mobiliário e Decoração",T_ORCAMENTOS!$H:$H,"12/2026")</f>
        <v/>
      </c>
      <c r="AQ338" s="82">
        <f>SUMIFS(Aut_BlueMe_Sem_Pedido!$J:$J,Aut_BlueMe_Sem_Pedido!$Q:$Q,DRE!AO$4,Aut_BlueMe_Sem_Pedido!$H:$H,DRE!$A338)+SUMIFS(Aut_Ajustes_Manuais!$G:$G,Aut_Ajustes_Manuais!$I:$I,DRE!AO$4,Aut_Ajustes_Manuais!$F:$F,"Investimento - Mobiliário e Decoração")</f>
        <v/>
      </c>
      <c r="AR338" s="241">
        <f>SUMIFS($H338:$AO338,$H$5:$AO$5,"&lt;"&amp;MONTH(TODAY()),$H$6:$AO$6,"REAL 25")</f>
        <v/>
      </c>
      <c r="AS338" s="81">
        <f>SUMIFS($I338:$AP338,$I$5:$AP$5,"&lt;"&amp;MONTH(TODAY()),$I$6:$AP$6,"ORÇADO ")</f>
        <v/>
      </c>
      <c r="AT338" s="82">
        <f>SUMIFS($J338:$AQ338,$J$5:$AQ$5,"&lt;"&amp;MONTH(TODAY()),$J$6:$AQ$6,"REAL 26")</f>
        <v/>
      </c>
      <c r="AU338" s="241">
        <f>SUM(H338,K338,N338,Q338,T338,W338,Z338,AC338,AF338,AI338,AL338,AO338)</f>
        <v/>
      </c>
      <c r="AV338" s="81">
        <f>SUM(I338,L338,O338,R338,U338,X338,AA338,AD338,AG338,AJ338,AM338,AP338)</f>
        <v/>
      </c>
      <c r="AW338" s="82">
        <f>SUM(J338,M338,P338,S338,V338,Y338,AB338,AE338,AH338,AK338,AN338,AQ338)</f>
        <v/>
      </c>
      <c r="AX338" s="241">
        <f>SUM(H338,K338,N338)</f>
        <v/>
      </c>
      <c r="AY338" s="81">
        <f>SUM(I338,L338,O338)</f>
        <v/>
      </c>
      <c r="AZ338" s="82">
        <f>SUM(J338,M338,P338)</f>
        <v/>
      </c>
      <c r="BA338" s="241">
        <f>SUM(Q338,T338,W338)</f>
        <v/>
      </c>
      <c r="BB338" s="81">
        <f>SUM(R338,U338,X338)</f>
        <v/>
      </c>
      <c r="BC338" s="82">
        <f>SUM(S338,V338,Y338)</f>
        <v/>
      </c>
      <c r="BD338" s="241">
        <f>SUM(Z338,AC338,AF338)</f>
        <v/>
      </c>
      <c r="BE338" s="81">
        <f>SUM(AA338,AD338,AG338)</f>
        <v/>
      </c>
      <c r="BF338" s="82">
        <f>SUM(AB338,AE338,AH338)</f>
        <v/>
      </c>
      <c r="BG338" s="241">
        <f>SUM(AI338,AL338,AO338)</f>
        <v/>
      </c>
      <c r="BH338" s="81">
        <f>SUM(AJ338,AM338,AP338)</f>
        <v/>
      </c>
      <c r="BI338" s="82">
        <f>SUM(AK338,AN338,AQ338)</f>
        <v/>
      </c>
    </row>
    <row r="339" hidden="1" outlineLevel="1" customFormat="1" s="498">
      <c r="A339" s="22" t="inlineStr">
        <is>
          <t>Investimento - Projetos</t>
        </is>
      </c>
      <c r="B339" s="59" t="n"/>
      <c r="C339" s="24" t="inlineStr">
        <is>
          <t>Estim. Mensal</t>
        </is>
      </c>
      <c r="D339" s="25" t="n"/>
      <c r="E339" s="55" t="n">
        <v>-0.005</v>
      </c>
      <c r="F339" s="63" t="n"/>
      <c r="G339" s="33" t="n"/>
      <c r="H339" s="241" t="n"/>
      <c r="I339" s="81" t="n"/>
      <c r="J339" s="82">
        <f>SUMIFS(Aut_BlueMe_Sem_Pedido!$J:$J,Aut_BlueMe_Sem_Pedido!$Q:$Q,DRE!H$4,Aut_BlueMe_Sem_Pedido!$H:$H,DRE!$A339)+SUMIFS(Aut_Ajustes_Manuais!$G:$G,Aut_Ajustes_Manuais!$I:$I,DRE!H$4,Aut_Ajustes_Manuais!$F:$F,"Investimento - Projetos")</f>
        <v/>
      </c>
      <c r="K339" s="254" t="n"/>
      <c r="L339" s="81" t="n"/>
      <c r="M339" s="82">
        <f>SUMIFS(Aut_BlueMe_Sem_Pedido!$J:$J,Aut_BlueMe_Sem_Pedido!$Q:$Q,DRE!K$4,Aut_BlueMe_Sem_Pedido!$H:$H,DRE!$A339)+SUMIFS(Aut_Ajustes_Manuais!$G:$G,Aut_Ajustes_Manuais!$I:$I,DRE!K$4,Aut_Ajustes_Manuais!$F:$F,"Investimento - Projetos")</f>
        <v/>
      </c>
      <c r="N339" s="254" t="n"/>
      <c r="O339" s="81" t="n"/>
      <c r="P339" s="82">
        <f>SUMIFS(Aut_BlueMe_Sem_Pedido!$J:$J,Aut_BlueMe_Sem_Pedido!$Q:$Q,DRE!N$4,Aut_BlueMe_Sem_Pedido!$H:$H,DRE!$A339)+SUMIFS(Aut_Ajustes_Manuais!$G:$G,Aut_Ajustes_Manuais!$I:$I,DRE!N$4,Aut_Ajustes_Manuais!$F:$F,"Investimento - Projetos")</f>
        <v/>
      </c>
      <c r="Q339" s="241" t="n"/>
      <c r="R339" s="81" t="n"/>
      <c r="S339" s="82">
        <f>SUMIFS(Aut_BlueMe_Sem_Pedido!$J:$J,Aut_BlueMe_Sem_Pedido!$Q:$Q,DRE!Q$4,Aut_BlueMe_Sem_Pedido!$H:$H,DRE!$A339)+SUMIFS(Aut_Ajustes_Manuais!$G:$G,Aut_Ajustes_Manuais!$I:$I,DRE!Q$4,Aut_Ajustes_Manuais!$F:$F,"Investimento - Projetos")</f>
        <v/>
      </c>
      <c r="T339" s="241" t="n"/>
      <c r="U339" s="81" t="n"/>
      <c r="V339" s="82">
        <f>SUMIFS(Aut_BlueMe_Sem_Pedido!$J:$J,Aut_BlueMe_Sem_Pedido!$Q:$Q,DRE!T$4,Aut_BlueMe_Sem_Pedido!$H:$H,DRE!$A339)+SUMIFS(Aut_Ajustes_Manuais!$G:$G,Aut_Ajustes_Manuais!$I:$I,DRE!T$4,Aut_Ajustes_Manuais!$F:$F,"Investimento - Projetos")</f>
        <v/>
      </c>
      <c r="W339" s="241" t="n"/>
      <c r="X339" s="81" t="n"/>
      <c r="Y339" s="82">
        <f>SUMIFS(Aut_BlueMe_Sem_Pedido!$J:$J,Aut_BlueMe_Sem_Pedido!$Q:$Q,DRE!W$4,Aut_BlueMe_Sem_Pedido!$H:$H,DRE!$A339)+SUMIFS(Aut_Ajustes_Manuais!$G:$G,Aut_Ajustes_Manuais!$I:$I,DRE!W$4,Aut_Ajustes_Manuais!$F:$F,"Investimento - Projetos")</f>
        <v/>
      </c>
      <c r="Z339" s="241" t="n"/>
      <c r="AA339" s="81" t="n"/>
      <c r="AB339" s="82">
        <f>SUMIFS(Aut_BlueMe_Sem_Pedido!$J:$J,Aut_BlueMe_Sem_Pedido!$Q:$Q,DRE!Z$4,Aut_BlueMe_Sem_Pedido!$H:$H,DRE!$A339)+SUMIFS(Aut_Ajustes_Manuais!$G:$G,Aut_Ajustes_Manuais!$I:$I,DRE!Z$4,Aut_Ajustes_Manuais!$F:$F,"Investimento - Projetos")</f>
        <v/>
      </c>
      <c r="AC339" s="241" t="n"/>
      <c r="AD339" s="81" t="n"/>
      <c r="AE339" s="82">
        <f>SUMIFS(Aut_BlueMe_Sem_Pedido!$J:$J,Aut_BlueMe_Sem_Pedido!$Q:$Q,DRE!AC$4,Aut_BlueMe_Sem_Pedido!$H:$H,DRE!$A339)+SUMIFS(Aut_Ajustes_Manuais!$G:$G,Aut_Ajustes_Manuais!$I:$I,DRE!AC$4,Aut_Ajustes_Manuais!$F:$F,"Investimento - Projetos")</f>
        <v/>
      </c>
      <c r="AF339" s="241" t="n"/>
      <c r="AG339" s="81" t="n"/>
      <c r="AH339" s="82">
        <f>SUMIFS(Aut_BlueMe_Sem_Pedido!$J:$J,Aut_BlueMe_Sem_Pedido!$Q:$Q,DRE!AF$4,Aut_BlueMe_Sem_Pedido!$H:$H,DRE!$A339)+SUMIFS(Aut_Ajustes_Manuais!$G:$G,Aut_Ajustes_Manuais!$I:$I,DRE!AF$4,Aut_Ajustes_Manuais!$F:$F,"Investimento - Projetos")</f>
        <v/>
      </c>
      <c r="AI339" s="241" t="n"/>
      <c r="AJ339" s="81" t="n"/>
      <c r="AK339" s="82">
        <f>SUMIFS(Aut_BlueMe_Sem_Pedido!$J:$J,Aut_BlueMe_Sem_Pedido!$Q:$Q,DRE!AI$4,Aut_BlueMe_Sem_Pedido!$H:$H,DRE!$A339)+SUMIFS(Aut_Ajustes_Manuais!$G:$G,Aut_Ajustes_Manuais!$I:$I,DRE!AI$4,Aut_Ajustes_Manuais!$F:$F,"Investimento - Projetos")</f>
        <v/>
      </c>
      <c r="AL339" s="241" t="n"/>
      <c r="AM339" s="81" t="n"/>
      <c r="AN339" s="82">
        <f>SUMIFS(Aut_BlueMe_Sem_Pedido!$J:$J,Aut_BlueMe_Sem_Pedido!$Q:$Q,DRE!AL$4,Aut_BlueMe_Sem_Pedido!$H:$H,DRE!$A339)+SUMIFS(Aut_Ajustes_Manuais!$G:$G,Aut_Ajustes_Manuais!$I:$I,DRE!AL$4,Aut_Ajustes_Manuais!$F:$F,"Investimento - Projetos")</f>
        <v/>
      </c>
      <c r="AO339" s="241" t="n"/>
      <c r="AP339" s="81" t="n"/>
      <c r="AQ339" s="82">
        <f>SUMIFS(Aut_BlueMe_Sem_Pedido!$J:$J,Aut_BlueMe_Sem_Pedido!$Q:$Q,DRE!AO$4,Aut_BlueMe_Sem_Pedido!$H:$H,DRE!$A339)+SUMIFS(Aut_Ajustes_Manuais!$G:$G,Aut_Ajustes_Manuais!$I:$I,DRE!AO$4,Aut_Ajustes_Manuais!$F:$F,"Investimento - Projetos")</f>
        <v/>
      </c>
      <c r="AR339" s="241">
        <f>SUMIFS($H339:$AO339,$H$5:$AO$5,"&lt;"&amp;MONTH(TODAY()),$H$6:$AO$6,"REAL 25")</f>
        <v/>
      </c>
      <c r="AS339" s="81">
        <f>SUMIFS($I339:$AP339,$I$5:$AP$5,"&lt;"&amp;MONTH(TODAY()),$I$6:$AP$6,"ORÇADO ")</f>
        <v/>
      </c>
      <c r="AT339" s="82">
        <f>SUMIFS($J339:$AQ339,$J$5:$AQ$5,"&lt;"&amp;MONTH(TODAY()),$J$6:$AQ$6,"REAL 26")</f>
        <v/>
      </c>
      <c r="AU339" s="241">
        <f>SUM(H339,K339,N339,Q339,T339,W339,Z339,AC339,AF339,AI339,AL339,AO339)</f>
        <v/>
      </c>
      <c r="AV339" s="81">
        <f>SUM(I339,L339,O339,R339,U339,X339,AA339,AD339,AG339,AJ339,AM339,AP339)</f>
        <v/>
      </c>
      <c r="AW339" s="82">
        <f>SUM(J339,M339,P339,S339,V339,Y339,AB339,AE339,AH339,AK339,AN339,AQ339)</f>
        <v/>
      </c>
      <c r="AX339" s="241">
        <f>SUM(H339,K339,N339)</f>
        <v/>
      </c>
      <c r="AY339" s="81">
        <f>SUM(I339,L339,O339)</f>
        <v/>
      </c>
      <c r="AZ339" s="82">
        <f>SUM(J339,M339,P339)</f>
        <v/>
      </c>
      <c r="BA339" s="241">
        <f>SUM(Q339,T339,W339)</f>
        <v/>
      </c>
      <c r="BB339" s="81">
        <f>SUM(R339,U339,X339)</f>
        <v/>
      </c>
      <c r="BC339" s="82">
        <f>SUM(S339,V339,Y339)</f>
        <v/>
      </c>
      <c r="BD339" s="241">
        <f>SUM(Z339,AC339,AF339)</f>
        <v/>
      </c>
      <c r="BE339" s="81">
        <f>SUM(AA339,AD339,AG339)</f>
        <v/>
      </c>
      <c r="BF339" s="82">
        <f>SUM(AB339,AE339,AH339)</f>
        <v/>
      </c>
      <c r="BG339" s="241">
        <f>SUM(AI339,AL339,AO339)</f>
        <v/>
      </c>
      <c r="BH339" s="81">
        <f>SUM(AJ339,AM339,AP339)</f>
        <v/>
      </c>
      <c r="BI339" s="82">
        <f>SUM(AK339,AN339,AQ339)</f>
        <v/>
      </c>
    </row>
    <row r="340" hidden="1" outlineLevel="1" customFormat="1" s="498">
      <c r="A340" s="22" t="inlineStr">
        <is>
          <t>Investimento - Paisagismo</t>
        </is>
      </c>
      <c r="B340" s="59" t="n"/>
      <c r="C340" s="24" t="inlineStr">
        <is>
          <t>Estim. Mensal</t>
        </is>
      </c>
      <c r="D340" s="25" t="n"/>
      <c r="E340" s="25" t="n"/>
      <c r="F340" s="63" t="n"/>
      <c r="G340" s="33" t="n"/>
      <c r="H340" s="241" t="n"/>
      <c r="I340" s="81" t="n"/>
      <c r="J340" s="82">
        <f>SUMIFS(Aut_BlueMe_Sem_Pedido!$J:$J,Aut_BlueMe_Sem_Pedido!$Q:$Q,DRE!H$4,Aut_BlueMe_Sem_Pedido!$H:$H,DRE!$A340)+SUMIFS(Aut_Ajustes_Manuais!$G:$G,Aut_Ajustes_Manuais!$I:$I,DRE!H$4,Aut_Ajustes_Manuais!$F:$F,"Investimento - Paisagismo")</f>
        <v/>
      </c>
      <c r="K340" s="254" t="n"/>
      <c r="L340" s="81" t="n"/>
      <c r="M340" s="82">
        <f>SUMIFS(Aut_BlueMe_Sem_Pedido!$J:$J,Aut_BlueMe_Sem_Pedido!$Q:$Q,DRE!K$4,Aut_BlueMe_Sem_Pedido!$H:$H,DRE!$A340)+SUMIFS(Aut_Ajustes_Manuais!$G:$G,Aut_Ajustes_Manuais!$I:$I,DRE!K$4,Aut_Ajustes_Manuais!$F:$F,"Investimento - Paisagismo")</f>
        <v/>
      </c>
      <c r="N340" s="254" t="n"/>
      <c r="O340" s="81" t="n"/>
      <c r="P340" s="82">
        <f>SUMIFS(Aut_BlueMe_Sem_Pedido!$J:$J,Aut_BlueMe_Sem_Pedido!$Q:$Q,DRE!N$4,Aut_BlueMe_Sem_Pedido!$H:$H,DRE!$A340)+SUMIFS(Aut_Ajustes_Manuais!$G:$G,Aut_Ajustes_Manuais!$I:$I,DRE!N$4,Aut_Ajustes_Manuais!$F:$F,"Investimento - Paisagismo")</f>
        <v/>
      </c>
      <c r="Q340" s="241" t="n"/>
      <c r="R340" s="81" t="n"/>
      <c r="S340" s="82">
        <f>SUMIFS(Aut_BlueMe_Sem_Pedido!$J:$J,Aut_BlueMe_Sem_Pedido!$Q:$Q,DRE!Q$4,Aut_BlueMe_Sem_Pedido!$H:$H,DRE!$A340)+SUMIFS(Aut_Ajustes_Manuais!$G:$G,Aut_Ajustes_Manuais!$I:$I,DRE!Q$4,Aut_Ajustes_Manuais!$F:$F,"Investimento - Paisagismo")</f>
        <v/>
      </c>
      <c r="T340" s="241" t="n"/>
      <c r="U340" s="81" t="n"/>
      <c r="V340" s="82">
        <f>SUMIFS(Aut_BlueMe_Sem_Pedido!$J:$J,Aut_BlueMe_Sem_Pedido!$Q:$Q,DRE!T$4,Aut_BlueMe_Sem_Pedido!$H:$H,DRE!$A340)+SUMIFS(Aut_Ajustes_Manuais!$G:$G,Aut_Ajustes_Manuais!$I:$I,DRE!T$4,Aut_Ajustes_Manuais!$F:$F,"Investimento - Paisagismo")</f>
        <v/>
      </c>
      <c r="W340" s="241" t="n"/>
      <c r="X340" s="81" t="n"/>
      <c r="Y340" s="82">
        <f>SUMIFS(Aut_BlueMe_Sem_Pedido!$J:$J,Aut_BlueMe_Sem_Pedido!$Q:$Q,DRE!W$4,Aut_BlueMe_Sem_Pedido!$H:$H,DRE!$A340)+SUMIFS(Aut_Ajustes_Manuais!$G:$G,Aut_Ajustes_Manuais!$I:$I,DRE!W$4,Aut_Ajustes_Manuais!$F:$F,"Investimento - Paisagismo")</f>
        <v/>
      </c>
      <c r="Z340" s="241" t="n"/>
      <c r="AA340" s="81" t="n"/>
      <c r="AB340" s="82">
        <f>SUMIFS(Aut_BlueMe_Sem_Pedido!$J:$J,Aut_BlueMe_Sem_Pedido!$Q:$Q,DRE!Z$4,Aut_BlueMe_Sem_Pedido!$H:$H,DRE!$A340)+SUMIFS(Aut_Ajustes_Manuais!$G:$G,Aut_Ajustes_Manuais!$I:$I,DRE!Z$4,Aut_Ajustes_Manuais!$F:$F,"Investimento - Paisagismo")</f>
        <v/>
      </c>
      <c r="AC340" s="241" t="n"/>
      <c r="AD340" s="81" t="n"/>
      <c r="AE340" s="82">
        <f>SUMIFS(Aut_BlueMe_Sem_Pedido!$J:$J,Aut_BlueMe_Sem_Pedido!$Q:$Q,DRE!AC$4,Aut_BlueMe_Sem_Pedido!$H:$H,DRE!$A340)+SUMIFS(Aut_Ajustes_Manuais!$G:$G,Aut_Ajustes_Manuais!$I:$I,DRE!AC$4,Aut_Ajustes_Manuais!$F:$F,"Investimento - Paisagismo")</f>
        <v/>
      </c>
      <c r="AF340" s="241" t="n"/>
      <c r="AG340" s="81" t="n"/>
      <c r="AH340" s="82">
        <f>SUMIFS(Aut_BlueMe_Sem_Pedido!$J:$J,Aut_BlueMe_Sem_Pedido!$Q:$Q,DRE!AF$4,Aut_BlueMe_Sem_Pedido!$H:$H,DRE!$A340)+SUMIFS(Aut_Ajustes_Manuais!$G:$G,Aut_Ajustes_Manuais!$I:$I,DRE!AF$4,Aut_Ajustes_Manuais!$F:$F,"Investimento - Paisagismo")</f>
        <v/>
      </c>
      <c r="AI340" s="241" t="n"/>
      <c r="AJ340" s="81" t="n"/>
      <c r="AK340" s="82">
        <f>SUMIFS(Aut_BlueMe_Sem_Pedido!$J:$J,Aut_BlueMe_Sem_Pedido!$Q:$Q,DRE!AI$4,Aut_BlueMe_Sem_Pedido!$H:$H,DRE!$A340)+SUMIFS(Aut_Ajustes_Manuais!$G:$G,Aut_Ajustes_Manuais!$I:$I,DRE!AI$4,Aut_Ajustes_Manuais!$F:$F,"Investimento - Paisagismo")</f>
        <v/>
      </c>
      <c r="AL340" s="241" t="n"/>
      <c r="AM340" s="81" t="n"/>
      <c r="AN340" s="82">
        <f>SUMIFS(Aut_BlueMe_Sem_Pedido!$J:$J,Aut_BlueMe_Sem_Pedido!$Q:$Q,DRE!AL$4,Aut_BlueMe_Sem_Pedido!$H:$H,DRE!$A340)+SUMIFS(Aut_Ajustes_Manuais!$G:$G,Aut_Ajustes_Manuais!$I:$I,DRE!AL$4,Aut_Ajustes_Manuais!$F:$F,"Investimento - Paisagismo")</f>
        <v/>
      </c>
      <c r="AO340" s="241" t="n"/>
      <c r="AP340" s="81" t="n"/>
      <c r="AQ340" s="82">
        <f>SUMIFS(Aut_BlueMe_Sem_Pedido!$J:$J,Aut_BlueMe_Sem_Pedido!$Q:$Q,DRE!AO$4,Aut_BlueMe_Sem_Pedido!$H:$H,DRE!$A340)+SUMIFS(Aut_Ajustes_Manuais!$G:$G,Aut_Ajustes_Manuais!$I:$I,DRE!AO$4,Aut_Ajustes_Manuais!$F:$F,"Investimento - Paisagismo")</f>
        <v/>
      </c>
      <c r="AR340" s="241">
        <f>SUMIFS($H340:$AO340,$H$5:$AO$5,"&lt;"&amp;MONTH(TODAY()),$H$6:$AO$6,"REAL 25")</f>
        <v/>
      </c>
      <c r="AS340" s="81">
        <f>SUMIFS($I340:$AP340,$I$5:$AP$5,"&lt;"&amp;MONTH(TODAY()),$I$6:$AP$6,"ORÇADO ")</f>
        <v/>
      </c>
      <c r="AT340" s="82">
        <f>SUMIFS($J340:$AQ340,$J$5:$AQ$5,"&lt;"&amp;MONTH(TODAY()),$J$6:$AQ$6,"REAL 26")</f>
        <v/>
      </c>
      <c r="AU340" s="241">
        <f>SUM(H340,K340,N340,Q340,T340,W340,Z340,AC340,AF340,AI340,AL340,AO340)</f>
        <v/>
      </c>
      <c r="AV340" s="81">
        <f>SUM(I340,L340,O340,R340,U340,X340,AA340,AD340,AG340,AJ340,AM340,AP340)</f>
        <v/>
      </c>
      <c r="AW340" s="82">
        <f>SUM(J340,M340,P340,S340,V340,Y340,AB340,AE340,AH340,AK340,AN340,AQ340)</f>
        <v/>
      </c>
      <c r="AX340" s="241">
        <f>SUM(H340,K340,N340)</f>
        <v/>
      </c>
      <c r="AY340" s="81">
        <f>SUM(I340,L340,O340)</f>
        <v/>
      </c>
      <c r="AZ340" s="82">
        <f>SUM(J340,M340,P340)</f>
        <v/>
      </c>
      <c r="BA340" s="241">
        <f>SUM(Q340,T340,W340)</f>
        <v/>
      </c>
      <c r="BB340" s="81">
        <f>SUM(R340,U340,X340)</f>
        <v/>
      </c>
      <c r="BC340" s="82">
        <f>SUM(S340,V340,Y340)</f>
        <v/>
      </c>
      <c r="BD340" s="241">
        <f>SUM(Z340,AC340,AF340)</f>
        <v/>
      </c>
      <c r="BE340" s="81">
        <f>SUM(AA340,AD340,AG340)</f>
        <v/>
      </c>
      <c r="BF340" s="82">
        <f>SUM(AB340,AE340,AH340)</f>
        <v/>
      </c>
      <c r="BG340" s="241">
        <f>SUM(AI340,AL340,AO340)</f>
        <v/>
      </c>
      <c r="BH340" s="81">
        <f>SUM(AJ340,AM340,AP340)</f>
        <v/>
      </c>
      <c r="BI340" s="82">
        <f>SUM(AK340,AN340,AQ340)</f>
        <v/>
      </c>
    </row>
    <row r="341" hidden="1" outlineLevel="1" customFormat="1" s="498">
      <c r="A341" s="22" t="inlineStr">
        <is>
          <t>Investimento - Sistemas Gerais - Implantação</t>
        </is>
      </c>
      <c r="B341" s="59" t="n"/>
      <c r="C341" s="24" t="inlineStr">
        <is>
          <t>Estim. Mensal</t>
        </is>
      </c>
      <c r="D341" s="25" t="n"/>
      <c r="E341" s="25" t="n"/>
      <c r="F341" s="63" t="n"/>
      <c r="G341" s="33" t="n"/>
      <c r="H341" s="241" t="n"/>
      <c r="I341" s="81" t="n"/>
      <c r="J341" s="82">
        <f>SUMIFS(Aut_BlueMe_Sem_Pedido!$J:$J,Aut_BlueMe_Sem_Pedido!$Q:$Q,DRE!H$4,Aut_BlueMe_Sem_Pedido!$H:$H,DRE!$A341)+SUMIFS(Aut_Ajustes_Manuais!$G:$G,Aut_Ajustes_Manuais!$I:$I,DRE!H$4,Aut_Ajustes_Manuais!$F:$F,"Investimento - Sistemas Gerais - Implantação")</f>
        <v/>
      </c>
      <c r="K341" s="254" t="n"/>
      <c r="L341" s="81" t="n"/>
      <c r="M341" s="82">
        <f>SUMIFS(Aut_BlueMe_Sem_Pedido!$J:$J,Aut_BlueMe_Sem_Pedido!$Q:$Q,DRE!K$4,Aut_BlueMe_Sem_Pedido!$H:$H,DRE!$A341)+SUMIFS(Aut_Ajustes_Manuais!$G:$G,Aut_Ajustes_Manuais!$I:$I,DRE!K$4,Aut_Ajustes_Manuais!$F:$F,"Investimento - Sistemas Gerais - Implantação")</f>
        <v/>
      </c>
      <c r="N341" s="254" t="n"/>
      <c r="O341" s="81" t="n"/>
      <c r="P341" s="82">
        <f>SUMIFS(Aut_BlueMe_Sem_Pedido!$J:$J,Aut_BlueMe_Sem_Pedido!$Q:$Q,DRE!N$4,Aut_BlueMe_Sem_Pedido!$H:$H,DRE!$A341)+SUMIFS(Aut_Ajustes_Manuais!$G:$G,Aut_Ajustes_Manuais!$I:$I,DRE!N$4,Aut_Ajustes_Manuais!$F:$F,"Investimento - Sistemas Gerais - Implantação")</f>
        <v/>
      </c>
      <c r="Q341" s="241" t="n"/>
      <c r="R341" s="81" t="n"/>
      <c r="S341" s="82">
        <f>SUMIFS(Aut_BlueMe_Sem_Pedido!$J:$J,Aut_BlueMe_Sem_Pedido!$Q:$Q,DRE!Q$4,Aut_BlueMe_Sem_Pedido!$H:$H,DRE!$A341)+SUMIFS(Aut_Ajustes_Manuais!$G:$G,Aut_Ajustes_Manuais!$I:$I,DRE!Q$4,Aut_Ajustes_Manuais!$F:$F,"Investimento - Sistemas Gerais - Implantação")</f>
        <v/>
      </c>
      <c r="T341" s="241" t="n"/>
      <c r="U341" s="81" t="n"/>
      <c r="V341" s="82">
        <f>SUMIFS(Aut_BlueMe_Sem_Pedido!$J:$J,Aut_BlueMe_Sem_Pedido!$Q:$Q,DRE!T$4,Aut_BlueMe_Sem_Pedido!$H:$H,DRE!$A341)+SUMIFS(Aut_Ajustes_Manuais!$G:$G,Aut_Ajustes_Manuais!$I:$I,DRE!T$4,Aut_Ajustes_Manuais!$F:$F,"Investimento - Sistemas Gerais - Implantação")</f>
        <v/>
      </c>
      <c r="W341" s="241" t="n"/>
      <c r="X341" s="81" t="n"/>
      <c r="Y341" s="82">
        <f>SUMIFS(Aut_BlueMe_Sem_Pedido!$J:$J,Aut_BlueMe_Sem_Pedido!$Q:$Q,DRE!W$4,Aut_BlueMe_Sem_Pedido!$H:$H,DRE!$A341)+SUMIFS(Aut_Ajustes_Manuais!$G:$G,Aut_Ajustes_Manuais!$I:$I,DRE!W$4,Aut_Ajustes_Manuais!$F:$F,"Investimento - Sistemas Gerais - Implantação")</f>
        <v/>
      </c>
      <c r="Z341" s="241" t="n"/>
      <c r="AA341" s="81" t="n"/>
      <c r="AB341" s="82">
        <f>SUMIFS(Aut_BlueMe_Sem_Pedido!$J:$J,Aut_BlueMe_Sem_Pedido!$Q:$Q,DRE!Z$4,Aut_BlueMe_Sem_Pedido!$H:$H,DRE!$A341)+SUMIFS(Aut_Ajustes_Manuais!$G:$G,Aut_Ajustes_Manuais!$I:$I,DRE!Z$4,Aut_Ajustes_Manuais!$F:$F,"Investimento - Sistemas Gerais - Implantação")</f>
        <v/>
      </c>
      <c r="AC341" s="241" t="n"/>
      <c r="AD341" s="81" t="n"/>
      <c r="AE341" s="82">
        <f>SUMIFS(Aut_BlueMe_Sem_Pedido!$J:$J,Aut_BlueMe_Sem_Pedido!$Q:$Q,DRE!AC$4,Aut_BlueMe_Sem_Pedido!$H:$H,DRE!$A341)+SUMIFS(Aut_Ajustes_Manuais!$G:$G,Aut_Ajustes_Manuais!$I:$I,DRE!AC$4,Aut_Ajustes_Manuais!$F:$F,"Investimento - Sistemas Gerais - Implantação")</f>
        <v/>
      </c>
      <c r="AF341" s="241" t="n"/>
      <c r="AG341" s="81" t="n"/>
      <c r="AH341" s="82">
        <f>SUMIFS(Aut_BlueMe_Sem_Pedido!$J:$J,Aut_BlueMe_Sem_Pedido!$Q:$Q,DRE!AF$4,Aut_BlueMe_Sem_Pedido!$H:$H,DRE!$A341)+SUMIFS(Aut_Ajustes_Manuais!$G:$G,Aut_Ajustes_Manuais!$I:$I,DRE!AF$4,Aut_Ajustes_Manuais!$F:$F,"Investimento - Sistemas Gerais - Implantação")</f>
        <v/>
      </c>
      <c r="AI341" s="241" t="n"/>
      <c r="AJ341" s="81" t="n"/>
      <c r="AK341" s="82">
        <f>SUMIFS(Aut_BlueMe_Sem_Pedido!$J:$J,Aut_BlueMe_Sem_Pedido!$Q:$Q,DRE!AI$4,Aut_BlueMe_Sem_Pedido!$H:$H,DRE!$A341)+SUMIFS(Aut_Ajustes_Manuais!$G:$G,Aut_Ajustes_Manuais!$I:$I,DRE!AI$4,Aut_Ajustes_Manuais!$F:$F,"Investimento - Sistemas Gerais - Implantação")</f>
        <v/>
      </c>
      <c r="AL341" s="241" t="n"/>
      <c r="AM341" s="81" t="n"/>
      <c r="AN341" s="82">
        <f>SUMIFS(Aut_BlueMe_Sem_Pedido!$J:$J,Aut_BlueMe_Sem_Pedido!$Q:$Q,DRE!AL$4,Aut_BlueMe_Sem_Pedido!$H:$H,DRE!$A341)+SUMIFS(Aut_Ajustes_Manuais!$G:$G,Aut_Ajustes_Manuais!$I:$I,DRE!AL$4,Aut_Ajustes_Manuais!$F:$F,"Investimento - Sistemas Gerais - Implantação")</f>
        <v/>
      </c>
      <c r="AO341" s="241" t="n"/>
      <c r="AP341" s="81" t="n"/>
      <c r="AQ341" s="82">
        <f>SUMIFS(Aut_BlueMe_Sem_Pedido!$J:$J,Aut_BlueMe_Sem_Pedido!$Q:$Q,DRE!AO$4,Aut_BlueMe_Sem_Pedido!$H:$H,DRE!$A341)+SUMIFS(Aut_Ajustes_Manuais!$G:$G,Aut_Ajustes_Manuais!$I:$I,DRE!AO$4,Aut_Ajustes_Manuais!$F:$F,"Investimento - Sistemas Gerais - Implantação")</f>
        <v/>
      </c>
      <c r="AR341" s="241">
        <f>SUMIFS($H341:$AO341,$H$5:$AO$5,"&lt;"&amp;MONTH(TODAY()),$H$6:$AO$6,"REAL 25")</f>
        <v/>
      </c>
      <c r="AS341" s="81">
        <f>SUMIFS($I341:$AP341,$I$5:$AP$5,"&lt;"&amp;MONTH(TODAY()),$I$6:$AP$6,"ORÇADO ")</f>
        <v/>
      </c>
      <c r="AT341" s="82">
        <f>SUMIFS($J341:$AQ341,$J$5:$AQ$5,"&lt;"&amp;MONTH(TODAY()),$J$6:$AQ$6,"REAL 26")</f>
        <v/>
      </c>
      <c r="AU341" s="241">
        <f>SUM(H341,K341,N341,Q341,T341,W341,Z341,AC341,AF341,AI341,AL341,AO341)</f>
        <v/>
      </c>
      <c r="AV341" s="81">
        <f>SUM(I341,L341,O341,R341,U341,X341,AA341,AD341,AG341,AJ341,AM341,AP341)</f>
        <v/>
      </c>
      <c r="AW341" s="82">
        <f>SUM(J341,M341,P341,S341,V341,Y341,AB341,AE341,AH341,AK341,AN341,AQ341)</f>
        <v/>
      </c>
      <c r="AX341" s="241">
        <f>SUM(H341,K341,N341)</f>
        <v/>
      </c>
      <c r="AY341" s="81">
        <f>SUM(I341,L341,O341)</f>
        <v/>
      </c>
      <c r="AZ341" s="82">
        <f>SUM(J341,M341,P341)</f>
        <v/>
      </c>
      <c r="BA341" s="241">
        <f>SUM(Q341,T341,W341)</f>
        <v/>
      </c>
      <c r="BB341" s="81">
        <f>SUM(R341,U341,X341)</f>
        <v/>
      </c>
      <c r="BC341" s="82">
        <f>SUM(S341,V341,Y341)</f>
        <v/>
      </c>
      <c r="BD341" s="241">
        <f>SUM(Z341,AC341,AF341)</f>
        <v/>
      </c>
      <c r="BE341" s="81">
        <f>SUM(AA341,AD341,AG341)</f>
        <v/>
      </c>
      <c r="BF341" s="82">
        <f>SUM(AB341,AE341,AH341)</f>
        <v/>
      </c>
      <c r="BG341" s="241">
        <f>SUM(AI341,AL341,AO341)</f>
        <v/>
      </c>
      <c r="BH341" s="81">
        <f>SUM(AJ341,AM341,AP341)</f>
        <v/>
      </c>
      <c r="BI341" s="82">
        <f>SUM(AK341,AN341,AQ341)</f>
        <v/>
      </c>
    </row>
    <row r="342" hidden="1" outlineLevel="1" customFormat="1" s="498">
      <c r="A342" s="22" t="inlineStr">
        <is>
          <t>Investimento - Marketing</t>
        </is>
      </c>
      <c r="B342" s="59" t="n"/>
      <c r="C342" s="24" t="inlineStr">
        <is>
          <t>Estim. Mensal</t>
        </is>
      </c>
      <c r="D342" s="25" t="n"/>
      <c r="E342" s="25" t="n"/>
      <c r="F342" s="63" t="n"/>
      <c r="G342" s="33" t="n"/>
      <c r="H342" s="241" t="n"/>
      <c r="I342" s="81" t="n"/>
      <c r="J342" s="82">
        <f>SUMIFS(Aut_BlueMe_Sem_Pedido!$J:$J,Aut_BlueMe_Sem_Pedido!$Q:$Q,DRE!H$4,Aut_BlueMe_Sem_Pedido!$H:$H,DRE!$A342)+SUMIFS(Aut_Ajustes_Manuais!$G:$G,Aut_Ajustes_Manuais!$I:$I,DRE!H$4,Aut_Ajustes_Manuais!$F:$F,"Investimento - Marketing")</f>
        <v/>
      </c>
      <c r="K342" s="254" t="n"/>
      <c r="L342" s="81" t="n"/>
      <c r="M342" s="82">
        <f>SUMIFS(Aut_BlueMe_Sem_Pedido!$J:$J,Aut_BlueMe_Sem_Pedido!$Q:$Q,DRE!K$4,Aut_BlueMe_Sem_Pedido!$H:$H,DRE!$A342)+SUMIFS(Aut_Ajustes_Manuais!$G:$G,Aut_Ajustes_Manuais!$I:$I,DRE!K$4,Aut_Ajustes_Manuais!$F:$F,"Investimento - Marketing")</f>
        <v/>
      </c>
      <c r="N342" s="254" t="n"/>
      <c r="O342" s="81" t="n"/>
      <c r="P342" s="82">
        <f>SUMIFS(Aut_BlueMe_Sem_Pedido!$J:$J,Aut_BlueMe_Sem_Pedido!$Q:$Q,DRE!N$4,Aut_BlueMe_Sem_Pedido!$H:$H,DRE!$A342)+SUMIFS(Aut_Ajustes_Manuais!$G:$G,Aut_Ajustes_Manuais!$I:$I,DRE!N$4,Aut_Ajustes_Manuais!$F:$F,"Investimento - Marketing")</f>
        <v/>
      </c>
      <c r="Q342" s="241" t="n"/>
      <c r="R342" s="81" t="n"/>
      <c r="S342" s="82">
        <f>SUMIFS(Aut_BlueMe_Sem_Pedido!$J:$J,Aut_BlueMe_Sem_Pedido!$Q:$Q,DRE!Q$4,Aut_BlueMe_Sem_Pedido!$H:$H,DRE!$A342)+SUMIFS(Aut_Ajustes_Manuais!$G:$G,Aut_Ajustes_Manuais!$I:$I,DRE!Q$4,Aut_Ajustes_Manuais!$F:$F,"Investimento - Marketing")</f>
        <v/>
      </c>
      <c r="T342" s="241" t="n"/>
      <c r="U342" s="81" t="n"/>
      <c r="V342" s="82">
        <f>SUMIFS(Aut_BlueMe_Sem_Pedido!$J:$J,Aut_BlueMe_Sem_Pedido!$Q:$Q,DRE!T$4,Aut_BlueMe_Sem_Pedido!$H:$H,DRE!$A342)+SUMIFS(Aut_Ajustes_Manuais!$G:$G,Aut_Ajustes_Manuais!$I:$I,DRE!T$4,Aut_Ajustes_Manuais!$F:$F,"Investimento - Marketing")</f>
        <v/>
      </c>
      <c r="W342" s="241" t="n"/>
      <c r="X342" s="81" t="n"/>
      <c r="Y342" s="82">
        <f>SUMIFS(Aut_BlueMe_Sem_Pedido!$J:$J,Aut_BlueMe_Sem_Pedido!$Q:$Q,DRE!W$4,Aut_BlueMe_Sem_Pedido!$H:$H,DRE!$A342)+SUMIFS(Aut_Ajustes_Manuais!$G:$G,Aut_Ajustes_Manuais!$I:$I,DRE!W$4,Aut_Ajustes_Manuais!$F:$F,"Investimento - Marketing")</f>
        <v/>
      </c>
      <c r="Z342" s="241" t="n"/>
      <c r="AA342" s="81" t="n"/>
      <c r="AB342" s="82">
        <f>SUMIFS(Aut_BlueMe_Sem_Pedido!$J:$J,Aut_BlueMe_Sem_Pedido!$Q:$Q,DRE!Z$4,Aut_BlueMe_Sem_Pedido!$H:$H,DRE!$A342)+SUMIFS(Aut_Ajustes_Manuais!$G:$G,Aut_Ajustes_Manuais!$I:$I,DRE!Z$4,Aut_Ajustes_Manuais!$F:$F,"Investimento - Marketing")</f>
        <v/>
      </c>
      <c r="AC342" s="241" t="n"/>
      <c r="AD342" s="81" t="n"/>
      <c r="AE342" s="82">
        <f>SUMIFS(Aut_BlueMe_Sem_Pedido!$J:$J,Aut_BlueMe_Sem_Pedido!$Q:$Q,DRE!AC$4,Aut_BlueMe_Sem_Pedido!$H:$H,DRE!$A342)+SUMIFS(Aut_Ajustes_Manuais!$G:$G,Aut_Ajustes_Manuais!$I:$I,DRE!AC$4,Aut_Ajustes_Manuais!$F:$F,"Investimento - Marketing")</f>
        <v/>
      </c>
      <c r="AF342" s="241" t="n"/>
      <c r="AG342" s="81" t="n"/>
      <c r="AH342" s="82">
        <f>SUMIFS(Aut_BlueMe_Sem_Pedido!$J:$J,Aut_BlueMe_Sem_Pedido!$Q:$Q,DRE!AF$4,Aut_BlueMe_Sem_Pedido!$H:$H,DRE!$A342)+SUMIFS(Aut_Ajustes_Manuais!$G:$G,Aut_Ajustes_Manuais!$I:$I,DRE!AF$4,Aut_Ajustes_Manuais!$F:$F,"Investimento - Marketing")</f>
        <v/>
      </c>
      <c r="AI342" s="241" t="n"/>
      <c r="AJ342" s="81" t="n"/>
      <c r="AK342" s="82">
        <f>SUMIFS(Aut_BlueMe_Sem_Pedido!$J:$J,Aut_BlueMe_Sem_Pedido!$Q:$Q,DRE!AI$4,Aut_BlueMe_Sem_Pedido!$H:$H,DRE!$A342)+SUMIFS(Aut_Ajustes_Manuais!$G:$G,Aut_Ajustes_Manuais!$I:$I,DRE!AI$4,Aut_Ajustes_Manuais!$F:$F,"Investimento - Marketing")</f>
        <v/>
      </c>
      <c r="AL342" s="241" t="n"/>
      <c r="AM342" s="81" t="n"/>
      <c r="AN342" s="82">
        <f>SUMIFS(Aut_BlueMe_Sem_Pedido!$J:$J,Aut_BlueMe_Sem_Pedido!$Q:$Q,DRE!AL$4,Aut_BlueMe_Sem_Pedido!$H:$H,DRE!$A342)+SUMIFS(Aut_Ajustes_Manuais!$G:$G,Aut_Ajustes_Manuais!$I:$I,DRE!AL$4,Aut_Ajustes_Manuais!$F:$F,"Investimento - Marketing")</f>
        <v/>
      </c>
      <c r="AO342" s="241" t="n"/>
      <c r="AP342" s="81" t="n"/>
      <c r="AQ342" s="82">
        <f>SUMIFS(Aut_BlueMe_Sem_Pedido!$J:$J,Aut_BlueMe_Sem_Pedido!$Q:$Q,DRE!AO$4,Aut_BlueMe_Sem_Pedido!$H:$H,DRE!$A342)+SUMIFS(Aut_Ajustes_Manuais!$G:$G,Aut_Ajustes_Manuais!$I:$I,DRE!AO$4,Aut_Ajustes_Manuais!$F:$F,"Investimento - Marketing")</f>
        <v/>
      </c>
      <c r="AR342" s="241">
        <f>SUMIFS($H342:$AO342,$H$5:$AO$5,"&lt;"&amp;MONTH(TODAY()),$H$6:$AO$6,"REAL 25")</f>
        <v/>
      </c>
      <c r="AS342" s="81">
        <f>SUMIFS($I342:$AP342,$I$5:$AP$5,"&lt;"&amp;MONTH(TODAY()),$I$6:$AP$6,"ORÇADO ")</f>
        <v/>
      </c>
      <c r="AT342" s="82">
        <f>SUMIFS($J342:$AQ342,$J$5:$AQ$5,"&lt;"&amp;MONTH(TODAY()),$J$6:$AQ$6,"REAL 26")</f>
        <v/>
      </c>
      <c r="AU342" s="241">
        <f>SUM(H342,K342,N342,Q342,T342,W342,Z342,AC342,AF342,AI342,AL342,AO342)</f>
        <v/>
      </c>
      <c r="AV342" s="81">
        <f>SUM(I342,L342,O342,R342,U342,X342,AA342,AD342,AG342,AJ342,AM342,AP342)</f>
        <v/>
      </c>
      <c r="AW342" s="82">
        <f>SUM(J342,M342,P342,S342,V342,Y342,AB342,AE342,AH342,AK342,AN342,AQ342)</f>
        <v/>
      </c>
      <c r="AX342" s="241">
        <f>SUM(H342,K342,N342)</f>
        <v/>
      </c>
      <c r="AY342" s="81">
        <f>SUM(I342,L342,O342)</f>
        <v/>
      </c>
      <c r="AZ342" s="82">
        <f>SUM(J342,M342,P342)</f>
        <v/>
      </c>
      <c r="BA342" s="241">
        <f>SUM(Q342,T342,W342)</f>
        <v/>
      </c>
      <c r="BB342" s="81">
        <f>SUM(R342,U342,X342)</f>
        <v/>
      </c>
      <c r="BC342" s="82">
        <f>SUM(S342,V342,Y342)</f>
        <v/>
      </c>
      <c r="BD342" s="241">
        <f>SUM(Z342,AC342,AF342)</f>
        <v/>
      </c>
      <c r="BE342" s="81">
        <f>SUM(AA342,AD342,AG342)</f>
        <v/>
      </c>
      <c r="BF342" s="82">
        <f>SUM(AB342,AE342,AH342)</f>
        <v/>
      </c>
      <c r="BG342" s="241">
        <f>SUM(AI342,AL342,AO342)</f>
        <v/>
      </c>
      <c r="BH342" s="81">
        <f>SUM(AJ342,AM342,AP342)</f>
        <v/>
      </c>
      <c r="BI342" s="82">
        <f>SUM(AK342,AN342,AQ342)</f>
        <v/>
      </c>
    </row>
    <row r="343" hidden="1" outlineLevel="1" customFormat="1" s="498">
      <c r="A343" s="22" t="inlineStr">
        <is>
          <t>Investimento - Uniformes</t>
        </is>
      </c>
      <c r="B343" s="59" t="n"/>
      <c r="C343" s="24" t="inlineStr">
        <is>
          <t>Estim. Mensal</t>
        </is>
      </c>
      <c r="D343" s="25" t="n"/>
      <c r="E343" s="25" t="n"/>
      <c r="F343" s="63" t="n"/>
      <c r="G343" s="33" t="n"/>
      <c r="H343" s="241" t="n"/>
      <c r="I343" s="81" t="n"/>
      <c r="J343" s="82">
        <f>SUMIFS(Aut_BlueMe_Sem_Pedido!$J:$J,Aut_BlueMe_Sem_Pedido!$Q:$Q,DRE!H$4,Aut_BlueMe_Sem_Pedido!$H:$H,DRE!$A343)+SUMIFS(Aut_Ajustes_Manuais!$G:$G,Aut_Ajustes_Manuais!$I:$I,DRE!H$4,Aut_Ajustes_Manuais!$F:$F,"Investimento - Uniformes")</f>
        <v/>
      </c>
      <c r="K343" s="254" t="n"/>
      <c r="L343" s="81" t="n"/>
      <c r="M343" s="82">
        <f>SUMIFS(Aut_BlueMe_Sem_Pedido!$J:$J,Aut_BlueMe_Sem_Pedido!$Q:$Q,DRE!K$4,Aut_BlueMe_Sem_Pedido!$H:$H,DRE!$A343)+SUMIFS(Aut_Ajustes_Manuais!$G:$G,Aut_Ajustes_Manuais!$I:$I,DRE!K$4,Aut_Ajustes_Manuais!$F:$F,"Investimento - Uniformes")</f>
        <v/>
      </c>
      <c r="N343" s="254" t="n"/>
      <c r="O343" s="81" t="n"/>
      <c r="P343" s="82">
        <f>SUMIFS(Aut_BlueMe_Sem_Pedido!$J:$J,Aut_BlueMe_Sem_Pedido!$Q:$Q,DRE!N$4,Aut_BlueMe_Sem_Pedido!$H:$H,DRE!$A343)+SUMIFS(Aut_Ajustes_Manuais!$G:$G,Aut_Ajustes_Manuais!$I:$I,DRE!N$4,Aut_Ajustes_Manuais!$F:$F,"Investimento - Uniformes")</f>
        <v/>
      </c>
      <c r="Q343" s="241" t="n"/>
      <c r="R343" s="81" t="n"/>
      <c r="S343" s="82">
        <f>SUMIFS(Aut_BlueMe_Sem_Pedido!$J:$J,Aut_BlueMe_Sem_Pedido!$Q:$Q,DRE!Q$4,Aut_BlueMe_Sem_Pedido!$H:$H,DRE!$A343)+SUMIFS(Aut_Ajustes_Manuais!$G:$G,Aut_Ajustes_Manuais!$I:$I,DRE!Q$4,Aut_Ajustes_Manuais!$F:$F,"Investimento - Uniformes")</f>
        <v/>
      </c>
      <c r="T343" s="241" t="n"/>
      <c r="U343" s="81" t="n"/>
      <c r="V343" s="82">
        <f>SUMIFS(Aut_BlueMe_Sem_Pedido!$J:$J,Aut_BlueMe_Sem_Pedido!$Q:$Q,DRE!T$4,Aut_BlueMe_Sem_Pedido!$H:$H,DRE!$A343)+SUMIFS(Aut_Ajustes_Manuais!$G:$G,Aut_Ajustes_Manuais!$I:$I,DRE!T$4,Aut_Ajustes_Manuais!$F:$F,"Investimento - Uniformes")</f>
        <v/>
      </c>
      <c r="W343" s="241" t="n"/>
      <c r="X343" s="81" t="n"/>
      <c r="Y343" s="82">
        <f>SUMIFS(Aut_BlueMe_Sem_Pedido!$J:$J,Aut_BlueMe_Sem_Pedido!$Q:$Q,DRE!W$4,Aut_BlueMe_Sem_Pedido!$H:$H,DRE!$A343)+SUMIFS(Aut_Ajustes_Manuais!$G:$G,Aut_Ajustes_Manuais!$I:$I,DRE!W$4,Aut_Ajustes_Manuais!$F:$F,"Investimento - Uniformes")</f>
        <v/>
      </c>
      <c r="Z343" s="241" t="n"/>
      <c r="AA343" s="81" t="n"/>
      <c r="AB343" s="82">
        <f>SUMIFS(Aut_BlueMe_Sem_Pedido!$J:$J,Aut_BlueMe_Sem_Pedido!$Q:$Q,DRE!Z$4,Aut_BlueMe_Sem_Pedido!$H:$H,DRE!$A343)+SUMIFS(Aut_Ajustes_Manuais!$G:$G,Aut_Ajustes_Manuais!$I:$I,DRE!Z$4,Aut_Ajustes_Manuais!$F:$F,"Investimento - Uniformes")</f>
        <v/>
      </c>
      <c r="AC343" s="241" t="n"/>
      <c r="AD343" s="81" t="n"/>
      <c r="AE343" s="82">
        <f>SUMIFS(Aut_BlueMe_Sem_Pedido!$J:$J,Aut_BlueMe_Sem_Pedido!$Q:$Q,DRE!AC$4,Aut_BlueMe_Sem_Pedido!$H:$H,DRE!$A343)+SUMIFS(Aut_Ajustes_Manuais!$G:$G,Aut_Ajustes_Manuais!$I:$I,DRE!AC$4,Aut_Ajustes_Manuais!$F:$F,"Investimento - Uniformes")</f>
        <v/>
      </c>
      <c r="AF343" s="241" t="n"/>
      <c r="AG343" s="81" t="n"/>
      <c r="AH343" s="82">
        <f>SUMIFS(Aut_BlueMe_Sem_Pedido!$J:$J,Aut_BlueMe_Sem_Pedido!$Q:$Q,DRE!AF$4,Aut_BlueMe_Sem_Pedido!$H:$H,DRE!$A343)+SUMIFS(Aut_Ajustes_Manuais!$G:$G,Aut_Ajustes_Manuais!$I:$I,DRE!AF$4,Aut_Ajustes_Manuais!$F:$F,"Investimento - Uniformes")</f>
        <v/>
      </c>
      <c r="AI343" s="241" t="n"/>
      <c r="AJ343" s="81" t="n"/>
      <c r="AK343" s="82">
        <f>SUMIFS(Aut_BlueMe_Sem_Pedido!$J:$J,Aut_BlueMe_Sem_Pedido!$Q:$Q,DRE!AI$4,Aut_BlueMe_Sem_Pedido!$H:$H,DRE!$A343)+SUMIFS(Aut_Ajustes_Manuais!$G:$G,Aut_Ajustes_Manuais!$I:$I,DRE!AI$4,Aut_Ajustes_Manuais!$F:$F,"Investimento - Uniformes")</f>
        <v/>
      </c>
      <c r="AL343" s="241" t="n"/>
      <c r="AM343" s="81" t="n"/>
      <c r="AN343" s="82">
        <f>SUMIFS(Aut_BlueMe_Sem_Pedido!$J:$J,Aut_BlueMe_Sem_Pedido!$Q:$Q,DRE!AL$4,Aut_BlueMe_Sem_Pedido!$H:$H,DRE!$A343)+SUMIFS(Aut_Ajustes_Manuais!$G:$G,Aut_Ajustes_Manuais!$I:$I,DRE!AL$4,Aut_Ajustes_Manuais!$F:$F,"Investimento - Uniformes")</f>
        <v/>
      </c>
      <c r="AO343" s="241" t="n"/>
      <c r="AP343" s="81" t="n"/>
      <c r="AQ343" s="82">
        <f>SUMIFS(Aut_BlueMe_Sem_Pedido!$J:$J,Aut_BlueMe_Sem_Pedido!$Q:$Q,DRE!AO$4,Aut_BlueMe_Sem_Pedido!$H:$H,DRE!$A343)+SUMIFS(Aut_Ajustes_Manuais!$G:$G,Aut_Ajustes_Manuais!$I:$I,DRE!AO$4,Aut_Ajustes_Manuais!$F:$F,"Investimento - Uniformes")</f>
        <v/>
      </c>
      <c r="AR343" s="241">
        <f>SUMIFS($H343:$AO343,$H$5:$AO$5,"&lt;"&amp;MONTH(TODAY()),$H$6:$AO$6,"REAL 25")</f>
        <v/>
      </c>
      <c r="AS343" s="81">
        <f>SUMIFS($I343:$AP343,$I$5:$AP$5,"&lt;"&amp;MONTH(TODAY()),$I$6:$AP$6,"ORÇADO ")</f>
        <v/>
      </c>
      <c r="AT343" s="82">
        <f>SUMIFS($J343:$AQ343,$J$5:$AQ$5,"&lt;"&amp;MONTH(TODAY()),$J$6:$AQ$6,"REAL 26")</f>
        <v/>
      </c>
      <c r="AU343" s="241">
        <f>SUM(H343,K343,N343,Q343,T343,W343,Z343,AC343,AF343,AI343,AL343,AO343)</f>
        <v/>
      </c>
      <c r="AV343" s="81">
        <f>SUM(I343,L343,O343,R343,U343,X343,AA343,AD343,AG343,AJ343,AM343,AP343)</f>
        <v/>
      </c>
      <c r="AW343" s="82">
        <f>SUM(J343,M343,P343,S343,V343,Y343,AB343,AE343,AH343,AK343,AN343,AQ343)</f>
        <v/>
      </c>
      <c r="AX343" s="241">
        <f>SUM(H343,K343,N343)</f>
        <v/>
      </c>
      <c r="AY343" s="81">
        <f>SUM(I343,L343,O343)</f>
        <v/>
      </c>
      <c r="AZ343" s="82">
        <f>SUM(J343,M343,P343)</f>
        <v/>
      </c>
      <c r="BA343" s="241">
        <f>SUM(Q343,T343,W343)</f>
        <v/>
      </c>
      <c r="BB343" s="81">
        <f>SUM(R343,U343,X343)</f>
        <v/>
      </c>
      <c r="BC343" s="82">
        <f>SUM(S343,V343,Y343)</f>
        <v/>
      </c>
      <c r="BD343" s="241">
        <f>SUM(Z343,AC343,AF343)</f>
        <v/>
      </c>
      <c r="BE343" s="81">
        <f>SUM(AA343,AD343,AG343)</f>
        <v/>
      </c>
      <c r="BF343" s="82">
        <f>SUM(AB343,AE343,AH343)</f>
        <v/>
      </c>
      <c r="BG343" s="241">
        <f>SUM(AI343,AL343,AO343)</f>
        <v/>
      </c>
      <c r="BH343" s="81">
        <f>SUM(AJ343,AM343,AP343)</f>
        <v/>
      </c>
      <c r="BI343" s="82">
        <f>SUM(AK343,AN343,AQ343)</f>
        <v/>
      </c>
    </row>
    <row r="344" hidden="1" outlineLevel="1" customFormat="1" s="498">
      <c r="A344" s="22" t="inlineStr">
        <is>
          <t>Investimento - Despesas pré-operacionais</t>
        </is>
      </c>
      <c r="B344" s="59" t="n"/>
      <c r="C344" s="24" t="inlineStr">
        <is>
          <t>Estim. Mensal</t>
        </is>
      </c>
      <c r="D344" s="25" t="n"/>
      <c r="E344" s="25" t="n"/>
      <c r="F344" s="63" t="n"/>
      <c r="G344" s="33" t="n"/>
      <c r="H344" s="241" t="n"/>
      <c r="I344" s="81" t="n"/>
      <c r="J344" s="82">
        <f>SUMIFS(Aut_BlueMe_Sem_Pedido!$J:$J,Aut_BlueMe_Sem_Pedido!$Q:$Q,DRE!H$4,Aut_BlueMe_Sem_Pedido!$H:$H,DRE!$A344)+SUMIFS(Aut_Ajustes_Manuais!$G:$G,Aut_Ajustes_Manuais!$I:$I,DRE!H$4,Aut_Ajustes_Manuais!$F:$F,"Investimento - Despesas pré-operacionais")</f>
        <v/>
      </c>
      <c r="K344" s="254" t="n"/>
      <c r="L344" s="81" t="n"/>
      <c r="M344" s="82">
        <f>SUMIFS(Aut_BlueMe_Sem_Pedido!$J:$J,Aut_BlueMe_Sem_Pedido!$Q:$Q,DRE!K$4,Aut_BlueMe_Sem_Pedido!$H:$H,DRE!$A344)+SUMIFS(Aut_Ajustes_Manuais!$G:$G,Aut_Ajustes_Manuais!$I:$I,DRE!K$4,Aut_Ajustes_Manuais!$F:$F,"Investimento - Despesas pré-operacionais")</f>
        <v/>
      </c>
      <c r="N344" s="254" t="n"/>
      <c r="O344" s="81" t="n"/>
      <c r="P344" s="82">
        <f>SUMIFS(Aut_BlueMe_Sem_Pedido!$J:$J,Aut_BlueMe_Sem_Pedido!$Q:$Q,DRE!N$4,Aut_BlueMe_Sem_Pedido!$H:$H,DRE!$A344)+SUMIFS(Aut_Ajustes_Manuais!$G:$G,Aut_Ajustes_Manuais!$I:$I,DRE!N$4,Aut_Ajustes_Manuais!$F:$F,"Investimento - Despesas pré-operacionais")</f>
        <v/>
      </c>
      <c r="Q344" s="241" t="n"/>
      <c r="R344" s="81" t="n"/>
      <c r="S344" s="82">
        <f>SUMIFS(Aut_BlueMe_Sem_Pedido!$J:$J,Aut_BlueMe_Sem_Pedido!$Q:$Q,DRE!Q$4,Aut_BlueMe_Sem_Pedido!$H:$H,DRE!$A344)+SUMIFS(Aut_Ajustes_Manuais!$G:$G,Aut_Ajustes_Manuais!$I:$I,DRE!Q$4,Aut_Ajustes_Manuais!$F:$F,"Investimento - Despesas pré-operacionais")</f>
        <v/>
      </c>
      <c r="T344" s="241" t="n"/>
      <c r="U344" s="81" t="n"/>
      <c r="V344" s="82">
        <f>SUMIFS(Aut_BlueMe_Sem_Pedido!$J:$J,Aut_BlueMe_Sem_Pedido!$Q:$Q,DRE!T$4,Aut_BlueMe_Sem_Pedido!$H:$H,DRE!$A344)+SUMIFS(Aut_Ajustes_Manuais!$G:$G,Aut_Ajustes_Manuais!$I:$I,DRE!T$4,Aut_Ajustes_Manuais!$F:$F,"Investimento - Despesas pré-operacionais")</f>
        <v/>
      </c>
      <c r="W344" s="241" t="n"/>
      <c r="X344" s="81" t="n"/>
      <c r="Y344" s="82">
        <f>SUMIFS(Aut_BlueMe_Sem_Pedido!$J:$J,Aut_BlueMe_Sem_Pedido!$Q:$Q,DRE!W$4,Aut_BlueMe_Sem_Pedido!$H:$H,DRE!$A344)+SUMIFS(Aut_Ajustes_Manuais!$G:$G,Aut_Ajustes_Manuais!$I:$I,DRE!W$4,Aut_Ajustes_Manuais!$F:$F,"Investimento - Despesas pré-operacionais")</f>
        <v/>
      </c>
      <c r="Z344" s="241" t="n"/>
      <c r="AA344" s="81" t="n"/>
      <c r="AB344" s="82">
        <f>SUMIFS(Aut_BlueMe_Sem_Pedido!$J:$J,Aut_BlueMe_Sem_Pedido!$Q:$Q,DRE!Z$4,Aut_BlueMe_Sem_Pedido!$H:$H,DRE!$A344)+SUMIFS(Aut_Ajustes_Manuais!$G:$G,Aut_Ajustes_Manuais!$I:$I,DRE!Z$4,Aut_Ajustes_Manuais!$F:$F,"Investimento - Despesas pré-operacionais")</f>
        <v/>
      </c>
      <c r="AC344" s="241" t="n"/>
      <c r="AD344" s="81" t="n"/>
      <c r="AE344" s="82">
        <f>SUMIFS(Aut_BlueMe_Sem_Pedido!$J:$J,Aut_BlueMe_Sem_Pedido!$Q:$Q,DRE!AC$4,Aut_BlueMe_Sem_Pedido!$H:$H,DRE!$A344)+SUMIFS(Aut_Ajustes_Manuais!$G:$G,Aut_Ajustes_Manuais!$I:$I,DRE!AC$4,Aut_Ajustes_Manuais!$F:$F,"Investimento - Despesas pré-operacionais")</f>
        <v/>
      </c>
      <c r="AF344" s="241" t="n"/>
      <c r="AG344" s="81" t="n"/>
      <c r="AH344" s="82">
        <f>SUMIFS(Aut_BlueMe_Sem_Pedido!$J:$J,Aut_BlueMe_Sem_Pedido!$Q:$Q,DRE!AF$4,Aut_BlueMe_Sem_Pedido!$H:$H,DRE!$A344)+SUMIFS(Aut_Ajustes_Manuais!$G:$G,Aut_Ajustes_Manuais!$I:$I,DRE!AF$4,Aut_Ajustes_Manuais!$F:$F,"Investimento - Despesas pré-operacionais")</f>
        <v/>
      </c>
      <c r="AI344" s="241" t="n"/>
      <c r="AJ344" s="81" t="n"/>
      <c r="AK344" s="82">
        <f>SUMIFS(Aut_BlueMe_Sem_Pedido!$J:$J,Aut_BlueMe_Sem_Pedido!$Q:$Q,DRE!AI$4,Aut_BlueMe_Sem_Pedido!$H:$H,DRE!$A344)+SUMIFS(Aut_Ajustes_Manuais!$G:$G,Aut_Ajustes_Manuais!$I:$I,DRE!AI$4,Aut_Ajustes_Manuais!$F:$F,"Investimento - Despesas pré-operacionais")</f>
        <v/>
      </c>
      <c r="AL344" s="241" t="n"/>
      <c r="AM344" s="81" t="n"/>
      <c r="AN344" s="82">
        <f>SUMIFS(Aut_BlueMe_Sem_Pedido!$J:$J,Aut_BlueMe_Sem_Pedido!$Q:$Q,DRE!AL$4,Aut_BlueMe_Sem_Pedido!$H:$H,DRE!$A344)+SUMIFS(Aut_Ajustes_Manuais!$G:$G,Aut_Ajustes_Manuais!$I:$I,DRE!AL$4,Aut_Ajustes_Manuais!$F:$F,"Investimento - Despesas pré-operacionais")</f>
        <v/>
      </c>
      <c r="AO344" s="241" t="n"/>
      <c r="AP344" s="81" t="n"/>
      <c r="AQ344" s="82">
        <f>SUMIFS(Aut_BlueMe_Sem_Pedido!$J:$J,Aut_BlueMe_Sem_Pedido!$Q:$Q,DRE!AO$4,Aut_BlueMe_Sem_Pedido!$H:$H,DRE!$A344)+SUMIFS(Aut_Ajustes_Manuais!$G:$G,Aut_Ajustes_Manuais!$I:$I,DRE!AO$4,Aut_Ajustes_Manuais!$F:$F,"Investimento - Despesas pré-operacionais")</f>
        <v/>
      </c>
      <c r="AR344" s="241">
        <f>SUMIFS($H344:$AO344,$H$5:$AO$5,"&lt;"&amp;MONTH(TODAY()),$H$6:$AO$6,"REAL 25")</f>
        <v/>
      </c>
      <c r="AS344" s="81">
        <f>SUMIFS($I344:$AP344,$I$5:$AP$5,"&lt;"&amp;MONTH(TODAY()),$I$6:$AP$6,"ORÇADO ")</f>
        <v/>
      </c>
      <c r="AT344" s="82">
        <f>SUMIFS($J344:$AQ344,$J$5:$AQ$5,"&lt;"&amp;MONTH(TODAY()),$J$6:$AQ$6,"REAL 26")</f>
        <v/>
      </c>
      <c r="AU344" s="241">
        <f>SUM(H344,K344,N344,Q344,T344,W344,Z344,AC344,AF344,AI344,AL344,AO344)</f>
        <v/>
      </c>
      <c r="AV344" s="81">
        <f>SUM(I344,L344,O344,R344,U344,X344,AA344,AD344,AG344,AJ344,AM344,AP344)</f>
        <v/>
      </c>
      <c r="AW344" s="82">
        <f>SUM(J344,M344,P344,S344,V344,Y344,AB344,AE344,AH344,AK344,AN344,AQ344)</f>
        <v/>
      </c>
      <c r="AX344" s="241">
        <f>SUM(H344,K344,N344)</f>
        <v/>
      </c>
      <c r="AY344" s="81">
        <f>SUM(I344,L344,O344)</f>
        <v/>
      </c>
      <c r="AZ344" s="82">
        <f>SUM(J344,M344,P344)</f>
        <v/>
      </c>
      <c r="BA344" s="241">
        <f>SUM(Q344,T344,W344)</f>
        <v/>
      </c>
      <c r="BB344" s="81">
        <f>SUM(R344,U344,X344)</f>
        <v/>
      </c>
      <c r="BC344" s="82">
        <f>SUM(S344,V344,Y344)</f>
        <v/>
      </c>
      <c r="BD344" s="241">
        <f>SUM(Z344,AC344,AF344)</f>
        <v/>
      </c>
      <c r="BE344" s="81">
        <f>SUM(AA344,AD344,AG344)</f>
        <v/>
      </c>
      <c r="BF344" s="82">
        <f>SUM(AB344,AE344,AH344)</f>
        <v/>
      </c>
      <c r="BG344" s="241">
        <f>SUM(AI344,AL344,AO344)</f>
        <v/>
      </c>
      <c r="BH344" s="81">
        <f>SUM(AJ344,AM344,AP344)</f>
        <v/>
      </c>
      <c r="BI344" s="82">
        <f>SUM(AK344,AN344,AQ344)</f>
        <v/>
      </c>
    </row>
    <row r="345" hidden="1" outlineLevel="1" customFormat="1" s="498">
      <c r="A345" s="22" t="inlineStr">
        <is>
          <t>Investimento - Taxa de Licença</t>
        </is>
      </c>
      <c r="B345" s="59" t="n"/>
      <c r="C345" s="24" t="inlineStr">
        <is>
          <t>Estim. Mensal</t>
        </is>
      </c>
      <c r="D345" s="25" t="n"/>
      <c r="E345" s="25" t="n"/>
      <c r="F345" s="63" t="n"/>
      <c r="G345" s="33" t="n"/>
      <c r="H345" s="241" t="n"/>
      <c r="I345" s="81" t="n"/>
      <c r="J345" s="82">
        <f>SUMIFS(Aut_BlueMe_Sem_Pedido!$J:$J,Aut_BlueMe_Sem_Pedido!$Q:$Q,DRE!H$4,Aut_BlueMe_Sem_Pedido!$H:$H,DRE!$A345)+SUMIFS(Aut_Ajustes_Manuais!$G:$G,Aut_Ajustes_Manuais!$I:$I,DRE!H$4,Aut_Ajustes_Manuais!$F:$F,"Investimento - Taxa de Licença")</f>
        <v/>
      </c>
      <c r="K345" s="254" t="n"/>
      <c r="L345" s="81" t="n"/>
      <c r="M345" s="82">
        <f>SUMIFS(Aut_BlueMe_Sem_Pedido!$J:$J,Aut_BlueMe_Sem_Pedido!$Q:$Q,DRE!K$4,Aut_BlueMe_Sem_Pedido!$H:$H,DRE!$A345)+SUMIFS(Aut_Ajustes_Manuais!$G:$G,Aut_Ajustes_Manuais!$I:$I,DRE!K$4,Aut_Ajustes_Manuais!$F:$F,"Investimento - Taxa de Licença")</f>
        <v/>
      </c>
      <c r="N345" s="254" t="n"/>
      <c r="O345" s="81" t="n"/>
      <c r="P345" s="82">
        <f>SUMIFS(Aut_BlueMe_Sem_Pedido!$J:$J,Aut_BlueMe_Sem_Pedido!$Q:$Q,DRE!N$4,Aut_BlueMe_Sem_Pedido!$H:$H,DRE!$A345)+SUMIFS(Aut_Ajustes_Manuais!$G:$G,Aut_Ajustes_Manuais!$I:$I,DRE!N$4,Aut_Ajustes_Manuais!$F:$F,"Investimento - Taxa de Licença")</f>
        <v/>
      </c>
      <c r="Q345" s="241" t="n"/>
      <c r="R345" s="81" t="n"/>
      <c r="S345" s="82">
        <f>SUMIFS(Aut_BlueMe_Sem_Pedido!$J:$J,Aut_BlueMe_Sem_Pedido!$Q:$Q,DRE!Q$4,Aut_BlueMe_Sem_Pedido!$H:$H,DRE!$A345)+SUMIFS(Aut_Ajustes_Manuais!$G:$G,Aut_Ajustes_Manuais!$I:$I,DRE!Q$4,Aut_Ajustes_Manuais!$F:$F,"Investimento - Taxa de Licença")</f>
        <v/>
      </c>
      <c r="T345" s="241" t="n"/>
      <c r="U345" s="81" t="n"/>
      <c r="V345" s="82">
        <f>SUMIFS(Aut_BlueMe_Sem_Pedido!$J:$J,Aut_BlueMe_Sem_Pedido!$Q:$Q,DRE!T$4,Aut_BlueMe_Sem_Pedido!$H:$H,DRE!$A345)+SUMIFS(Aut_Ajustes_Manuais!$G:$G,Aut_Ajustes_Manuais!$I:$I,DRE!T$4,Aut_Ajustes_Manuais!$F:$F,"Investimento - Taxa de Licença")</f>
        <v/>
      </c>
      <c r="W345" s="241" t="n"/>
      <c r="X345" s="81" t="n"/>
      <c r="Y345" s="82">
        <f>SUMIFS(Aut_BlueMe_Sem_Pedido!$J:$J,Aut_BlueMe_Sem_Pedido!$Q:$Q,DRE!W$4,Aut_BlueMe_Sem_Pedido!$H:$H,DRE!$A345)+SUMIFS(Aut_Ajustes_Manuais!$G:$G,Aut_Ajustes_Manuais!$I:$I,DRE!W$4,Aut_Ajustes_Manuais!$F:$F,"Investimento - Taxa de Licença")</f>
        <v/>
      </c>
      <c r="Z345" s="241" t="n"/>
      <c r="AA345" s="81" t="n"/>
      <c r="AB345" s="82">
        <f>SUMIFS(Aut_BlueMe_Sem_Pedido!$J:$J,Aut_BlueMe_Sem_Pedido!$Q:$Q,DRE!Z$4,Aut_BlueMe_Sem_Pedido!$H:$H,DRE!$A345)+SUMIFS(Aut_Ajustes_Manuais!$G:$G,Aut_Ajustes_Manuais!$I:$I,DRE!Z$4,Aut_Ajustes_Manuais!$F:$F,"Investimento - Taxa de Licença")</f>
        <v/>
      </c>
      <c r="AC345" s="241" t="n"/>
      <c r="AD345" s="81" t="n"/>
      <c r="AE345" s="82">
        <f>SUMIFS(Aut_BlueMe_Sem_Pedido!$J:$J,Aut_BlueMe_Sem_Pedido!$Q:$Q,DRE!AC$4,Aut_BlueMe_Sem_Pedido!$H:$H,DRE!$A345)+SUMIFS(Aut_Ajustes_Manuais!$G:$G,Aut_Ajustes_Manuais!$I:$I,DRE!AC$4,Aut_Ajustes_Manuais!$F:$F,"Investimento - Taxa de Licença")</f>
        <v/>
      </c>
      <c r="AF345" s="241" t="n"/>
      <c r="AG345" s="81" t="n"/>
      <c r="AH345" s="82">
        <f>SUMIFS(Aut_BlueMe_Sem_Pedido!$J:$J,Aut_BlueMe_Sem_Pedido!$Q:$Q,DRE!AF$4,Aut_BlueMe_Sem_Pedido!$H:$H,DRE!$A345)+SUMIFS(Aut_Ajustes_Manuais!$G:$G,Aut_Ajustes_Manuais!$I:$I,DRE!AF$4,Aut_Ajustes_Manuais!$F:$F,"Investimento - Taxa de Licença")</f>
        <v/>
      </c>
      <c r="AI345" s="241" t="n"/>
      <c r="AJ345" s="81" t="n"/>
      <c r="AK345" s="82">
        <f>SUMIFS(Aut_BlueMe_Sem_Pedido!$J:$J,Aut_BlueMe_Sem_Pedido!$Q:$Q,DRE!AI$4,Aut_BlueMe_Sem_Pedido!$H:$H,DRE!$A345)+SUMIFS(Aut_Ajustes_Manuais!$G:$G,Aut_Ajustes_Manuais!$I:$I,DRE!AI$4,Aut_Ajustes_Manuais!$F:$F,"Investimento - Taxa de Licença")</f>
        <v/>
      </c>
      <c r="AL345" s="241" t="n"/>
      <c r="AM345" s="81" t="n"/>
      <c r="AN345" s="82">
        <f>SUMIFS(Aut_BlueMe_Sem_Pedido!$J:$J,Aut_BlueMe_Sem_Pedido!$Q:$Q,DRE!AL$4,Aut_BlueMe_Sem_Pedido!$H:$H,DRE!$A345)+SUMIFS(Aut_Ajustes_Manuais!$G:$G,Aut_Ajustes_Manuais!$I:$I,DRE!AL$4,Aut_Ajustes_Manuais!$F:$F,"Investimento - Taxa de Licença")</f>
        <v/>
      </c>
      <c r="AO345" s="241" t="n"/>
      <c r="AP345" s="81" t="n"/>
      <c r="AQ345" s="82">
        <f>SUMIFS(Aut_BlueMe_Sem_Pedido!$J:$J,Aut_BlueMe_Sem_Pedido!$Q:$Q,DRE!AO$4,Aut_BlueMe_Sem_Pedido!$H:$H,DRE!$A345)+SUMIFS(Aut_Ajustes_Manuais!$G:$G,Aut_Ajustes_Manuais!$I:$I,DRE!AO$4,Aut_Ajustes_Manuais!$F:$F,"Investimento - Taxa de Licença")</f>
        <v/>
      </c>
      <c r="AR345" s="241">
        <f>SUMIFS($H345:$AO345,$H$5:$AO$5,"&lt;"&amp;MONTH(TODAY()),$H$6:$AO$6,"REAL 25")</f>
        <v/>
      </c>
      <c r="AS345" s="81">
        <f>SUMIFS($I345:$AP345,$I$5:$AP$5,"&lt;"&amp;MONTH(TODAY()),$I$6:$AP$6,"ORÇADO ")</f>
        <v/>
      </c>
      <c r="AT345" s="82">
        <f>SUMIFS($J345:$AQ345,$J$5:$AQ$5,"&lt;"&amp;MONTH(TODAY()),$J$6:$AQ$6,"REAL 26")</f>
        <v/>
      </c>
      <c r="AU345" s="241">
        <f>SUM(H345,K345,N345,Q345,T345,W345,Z345,AC345,AF345,AI345,AL345,AO345)</f>
        <v/>
      </c>
      <c r="AV345" s="81">
        <f>SUM(I345,L345,O345,R345,U345,X345,AA345,AD345,AG345,AJ345,AM345,AP345)</f>
        <v/>
      </c>
      <c r="AW345" s="82">
        <f>SUM(J345,M345,P345,S345,V345,Y345,AB345,AE345,AH345,AK345,AN345,AQ345)</f>
        <v/>
      </c>
      <c r="AX345" s="241">
        <f>SUM(H345,K345,N345)</f>
        <v/>
      </c>
      <c r="AY345" s="81">
        <f>SUM(I345,L345,O345)</f>
        <v/>
      </c>
      <c r="AZ345" s="82">
        <f>SUM(J345,M345,P345)</f>
        <v/>
      </c>
      <c r="BA345" s="241">
        <f>SUM(Q345,T345,W345)</f>
        <v/>
      </c>
      <c r="BB345" s="81">
        <f>SUM(R345,U345,X345)</f>
        <v/>
      </c>
      <c r="BC345" s="82">
        <f>SUM(S345,V345,Y345)</f>
        <v/>
      </c>
      <c r="BD345" s="241">
        <f>SUM(Z345,AC345,AF345)</f>
        <v/>
      </c>
      <c r="BE345" s="81">
        <f>SUM(AA345,AD345,AG345)</f>
        <v/>
      </c>
      <c r="BF345" s="82">
        <f>SUM(AB345,AE345,AH345)</f>
        <v/>
      </c>
      <c r="BG345" s="241">
        <f>SUM(AI345,AL345,AO345)</f>
        <v/>
      </c>
      <c r="BH345" s="81">
        <f>SUM(AJ345,AM345,AP345)</f>
        <v/>
      </c>
      <c r="BI345" s="82">
        <f>SUM(AK345,AN345,AQ345)</f>
        <v/>
      </c>
    </row>
    <row r="346" hidden="1" outlineLevel="1" customFormat="1" s="498">
      <c r="A346" s="22" t="inlineStr">
        <is>
          <t>Investimento - Outros luvas</t>
        </is>
      </c>
      <c r="B346" s="59" t="n"/>
      <c r="C346" s="24" t="inlineStr">
        <is>
          <t>Estim. Mensal</t>
        </is>
      </c>
      <c r="D346" s="25" t="n"/>
      <c r="E346" s="25" t="n"/>
      <c r="F346" s="63" t="n"/>
      <c r="G346" s="33" t="n"/>
      <c r="H346" s="241" t="n"/>
      <c r="I346" s="81" t="n"/>
      <c r="J346" s="82">
        <f>SUMIFS(Aut_BlueMe_Sem_Pedido!$J:$J,Aut_BlueMe_Sem_Pedido!$Q:$Q,DRE!H$4,Aut_BlueMe_Sem_Pedido!$H:$H,DRE!$A346)+SUMIFS(Aut_Ajustes_Manuais!$G:$G,Aut_Ajustes_Manuais!$I:$I,DRE!H$4,Aut_Ajustes_Manuais!$F:$F,"Investimento - Outros luvas")</f>
        <v/>
      </c>
      <c r="K346" s="254" t="n"/>
      <c r="L346" s="81" t="n"/>
      <c r="M346" s="82">
        <f>SUMIFS(Aut_BlueMe_Sem_Pedido!$J:$J,Aut_BlueMe_Sem_Pedido!$Q:$Q,DRE!K$4,Aut_BlueMe_Sem_Pedido!$H:$H,DRE!$A346)+SUMIFS(Aut_Ajustes_Manuais!$G:$G,Aut_Ajustes_Manuais!$I:$I,DRE!K$4,Aut_Ajustes_Manuais!$F:$F,"Investimento - Outros luvas")</f>
        <v/>
      </c>
      <c r="N346" s="254" t="n"/>
      <c r="O346" s="81" t="n"/>
      <c r="P346" s="82">
        <f>SUMIFS(Aut_BlueMe_Sem_Pedido!$J:$J,Aut_BlueMe_Sem_Pedido!$Q:$Q,DRE!N$4,Aut_BlueMe_Sem_Pedido!$H:$H,DRE!$A346)+SUMIFS(Aut_Ajustes_Manuais!$G:$G,Aut_Ajustes_Manuais!$I:$I,DRE!N$4,Aut_Ajustes_Manuais!$F:$F,"Investimento - Outros luvas")</f>
        <v/>
      </c>
      <c r="Q346" s="241" t="n"/>
      <c r="R346" s="81" t="n"/>
      <c r="S346" s="82">
        <f>SUMIFS(Aut_BlueMe_Sem_Pedido!$J:$J,Aut_BlueMe_Sem_Pedido!$Q:$Q,DRE!Q$4,Aut_BlueMe_Sem_Pedido!$H:$H,DRE!$A346)+SUMIFS(Aut_Ajustes_Manuais!$G:$G,Aut_Ajustes_Manuais!$I:$I,DRE!Q$4,Aut_Ajustes_Manuais!$F:$F,"Investimento - Outros luvas")</f>
        <v/>
      </c>
      <c r="T346" s="241" t="n"/>
      <c r="U346" s="81" t="n"/>
      <c r="V346" s="82">
        <f>SUMIFS(Aut_BlueMe_Sem_Pedido!$J:$J,Aut_BlueMe_Sem_Pedido!$Q:$Q,DRE!T$4,Aut_BlueMe_Sem_Pedido!$H:$H,DRE!$A346)+SUMIFS(Aut_Ajustes_Manuais!$G:$G,Aut_Ajustes_Manuais!$I:$I,DRE!T$4,Aut_Ajustes_Manuais!$F:$F,"Investimento - Outros luvas")</f>
        <v/>
      </c>
      <c r="W346" s="241" t="n"/>
      <c r="X346" s="81" t="n"/>
      <c r="Y346" s="82">
        <f>SUMIFS(Aut_BlueMe_Sem_Pedido!$J:$J,Aut_BlueMe_Sem_Pedido!$Q:$Q,DRE!W$4,Aut_BlueMe_Sem_Pedido!$H:$H,DRE!$A346)+SUMIFS(Aut_Ajustes_Manuais!$G:$G,Aut_Ajustes_Manuais!$I:$I,DRE!W$4,Aut_Ajustes_Manuais!$F:$F,"Investimento - Outros luvas")</f>
        <v/>
      </c>
      <c r="Z346" s="241" t="n"/>
      <c r="AA346" s="81" t="n"/>
      <c r="AB346" s="82">
        <f>SUMIFS(Aut_BlueMe_Sem_Pedido!$J:$J,Aut_BlueMe_Sem_Pedido!$Q:$Q,DRE!Z$4,Aut_BlueMe_Sem_Pedido!$H:$H,DRE!$A346)+SUMIFS(Aut_Ajustes_Manuais!$G:$G,Aut_Ajustes_Manuais!$I:$I,DRE!Z$4,Aut_Ajustes_Manuais!$F:$F,"Investimento - Outros luvas")</f>
        <v/>
      </c>
      <c r="AC346" s="241" t="n"/>
      <c r="AD346" s="81" t="n"/>
      <c r="AE346" s="82">
        <f>SUMIFS(Aut_BlueMe_Sem_Pedido!$J:$J,Aut_BlueMe_Sem_Pedido!$Q:$Q,DRE!AC$4,Aut_BlueMe_Sem_Pedido!$H:$H,DRE!$A346)+SUMIFS(Aut_Ajustes_Manuais!$G:$G,Aut_Ajustes_Manuais!$I:$I,DRE!AC$4,Aut_Ajustes_Manuais!$F:$F,"Investimento - Outros luvas")</f>
        <v/>
      </c>
      <c r="AF346" s="241" t="n"/>
      <c r="AG346" s="81" t="n"/>
      <c r="AH346" s="82">
        <f>SUMIFS(Aut_BlueMe_Sem_Pedido!$J:$J,Aut_BlueMe_Sem_Pedido!$Q:$Q,DRE!AF$4,Aut_BlueMe_Sem_Pedido!$H:$H,DRE!$A346)+SUMIFS(Aut_Ajustes_Manuais!$G:$G,Aut_Ajustes_Manuais!$I:$I,DRE!AF$4,Aut_Ajustes_Manuais!$F:$F,"Investimento - Outros luvas")</f>
        <v/>
      </c>
      <c r="AI346" s="241" t="n"/>
      <c r="AJ346" s="81" t="n"/>
      <c r="AK346" s="82">
        <f>SUMIFS(Aut_BlueMe_Sem_Pedido!$J:$J,Aut_BlueMe_Sem_Pedido!$Q:$Q,DRE!AI$4,Aut_BlueMe_Sem_Pedido!$H:$H,DRE!$A346)+SUMIFS(Aut_Ajustes_Manuais!$G:$G,Aut_Ajustes_Manuais!$I:$I,DRE!AI$4,Aut_Ajustes_Manuais!$F:$F,"Investimento - Outros luvas")</f>
        <v/>
      </c>
      <c r="AL346" s="241" t="n"/>
      <c r="AM346" s="81" t="n"/>
      <c r="AN346" s="82">
        <f>SUMIFS(Aut_BlueMe_Sem_Pedido!$J:$J,Aut_BlueMe_Sem_Pedido!$Q:$Q,DRE!AL$4,Aut_BlueMe_Sem_Pedido!$H:$H,DRE!$A346)+SUMIFS(Aut_Ajustes_Manuais!$G:$G,Aut_Ajustes_Manuais!$I:$I,DRE!AL$4,Aut_Ajustes_Manuais!$F:$F,"Investimento - Outros luvas")</f>
        <v/>
      </c>
      <c r="AO346" s="241" t="n"/>
      <c r="AP346" s="81" t="n"/>
      <c r="AQ346" s="82">
        <f>SUMIFS(Aut_BlueMe_Sem_Pedido!$J:$J,Aut_BlueMe_Sem_Pedido!$Q:$Q,DRE!AO$4,Aut_BlueMe_Sem_Pedido!$H:$H,DRE!$A346)+SUMIFS(Aut_Ajustes_Manuais!$G:$G,Aut_Ajustes_Manuais!$I:$I,DRE!AO$4,Aut_Ajustes_Manuais!$F:$F,"Investimento - Outros luvas")</f>
        <v/>
      </c>
      <c r="AR346" s="241">
        <f>SUMIFS($H346:$AO346,$H$5:$AO$5,"&lt;"&amp;MONTH(TODAY()),$H$6:$AO$6,"REAL 25")</f>
        <v/>
      </c>
      <c r="AS346" s="81">
        <f>SUMIFS($I346:$AP346,$I$5:$AP$5,"&lt;"&amp;MONTH(TODAY()),$I$6:$AP$6,"ORÇADO ")</f>
        <v/>
      </c>
      <c r="AT346" s="82">
        <f>SUMIFS($J346:$AQ346,$J$5:$AQ$5,"&lt;"&amp;MONTH(TODAY()),$J$6:$AQ$6,"REAL 26")</f>
        <v/>
      </c>
      <c r="AU346" s="241">
        <f>SUM(H346,K346,N346,Q346,T346,W346,Z346,AC346,AF346,AI346,AL346,AO346)</f>
        <v/>
      </c>
      <c r="AV346" s="81">
        <f>SUM(I346,L346,O346,R346,U346,X346,AA346,AD346,AG346,AJ346,AM346,AP346)</f>
        <v/>
      </c>
      <c r="AW346" s="82">
        <f>SUM(J346,M346,P346,S346,V346,Y346,AB346,AE346,AH346,AK346,AN346,AQ346)</f>
        <v/>
      </c>
      <c r="AX346" s="241">
        <f>SUM(H346,K346,N346)</f>
        <v/>
      </c>
      <c r="AY346" s="81">
        <f>SUM(I346,L346,O346)</f>
        <v/>
      </c>
      <c r="AZ346" s="82">
        <f>SUM(J346,M346,P346)</f>
        <v/>
      </c>
      <c r="BA346" s="241">
        <f>SUM(Q346,T346,W346)</f>
        <v/>
      </c>
      <c r="BB346" s="81">
        <f>SUM(R346,U346,X346)</f>
        <v/>
      </c>
      <c r="BC346" s="82">
        <f>SUM(S346,V346,Y346)</f>
        <v/>
      </c>
      <c r="BD346" s="241">
        <f>SUM(Z346,AC346,AF346)</f>
        <v/>
      </c>
      <c r="BE346" s="81">
        <f>SUM(AA346,AD346,AG346)</f>
        <v/>
      </c>
      <c r="BF346" s="82">
        <f>SUM(AB346,AE346,AH346)</f>
        <v/>
      </c>
      <c r="BG346" s="241">
        <f>SUM(AI346,AL346,AO346)</f>
        <v/>
      </c>
      <c r="BH346" s="81">
        <f>SUM(AJ346,AM346,AP346)</f>
        <v/>
      </c>
      <c r="BI346" s="82">
        <f>SUM(AK346,AN346,AQ346)</f>
        <v/>
      </c>
    </row>
    <row r="347" hidden="1" outlineLevel="1" customFormat="1" s="498">
      <c r="A347" s="22" t="inlineStr">
        <is>
          <t>Investimento - Ativos AMBEV</t>
        </is>
      </c>
      <c r="B347" s="59" t="n"/>
      <c r="C347" s="24" t="inlineStr">
        <is>
          <t>Estim. Mensal</t>
        </is>
      </c>
      <c r="D347" s="25" t="n"/>
      <c r="E347" s="25" t="n"/>
      <c r="F347" s="63" t="n"/>
      <c r="G347" s="33" t="n"/>
      <c r="H347" s="241" t="n"/>
      <c r="I347" s="81" t="n"/>
      <c r="J347" s="82">
        <f>SUMIFS(Aut_BlueMe_Sem_Pedido!$J:$J,Aut_BlueMe_Sem_Pedido!$Q:$Q,DRE!H$4,Aut_BlueMe_Sem_Pedido!$H:$H,DRE!$A347)+SUMIFS(Aut_Ajustes_Manuais!$G:$G,Aut_Ajustes_Manuais!$I:$I,DRE!H$4,Aut_Ajustes_Manuais!$F:$F,"Investimento - Ativos AMBEV")</f>
        <v/>
      </c>
      <c r="K347" s="254" t="n"/>
      <c r="L347" s="81" t="n"/>
      <c r="M347" s="82">
        <f>SUMIFS(Aut_BlueMe_Sem_Pedido!$J:$J,Aut_BlueMe_Sem_Pedido!$Q:$Q,DRE!K$4,Aut_BlueMe_Sem_Pedido!$H:$H,DRE!$A347)+SUMIFS(Aut_Ajustes_Manuais!$G:$G,Aut_Ajustes_Manuais!$I:$I,DRE!K$4,Aut_Ajustes_Manuais!$F:$F,"Investimento - Ativos AMBEV")</f>
        <v/>
      </c>
      <c r="N347" s="254" t="n"/>
      <c r="O347" s="81" t="n"/>
      <c r="P347" s="82">
        <f>SUMIFS(Aut_BlueMe_Sem_Pedido!$J:$J,Aut_BlueMe_Sem_Pedido!$Q:$Q,DRE!N$4,Aut_BlueMe_Sem_Pedido!$H:$H,DRE!$A347)+SUMIFS(Aut_Ajustes_Manuais!$G:$G,Aut_Ajustes_Manuais!$I:$I,DRE!N$4,Aut_Ajustes_Manuais!$F:$F,"Investimento - Ativos AMBEV")</f>
        <v/>
      </c>
      <c r="Q347" s="241" t="n"/>
      <c r="R347" s="81" t="n"/>
      <c r="S347" s="82">
        <f>SUMIFS(Aut_BlueMe_Sem_Pedido!$J:$J,Aut_BlueMe_Sem_Pedido!$Q:$Q,DRE!Q$4,Aut_BlueMe_Sem_Pedido!$H:$H,DRE!$A347)+SUMIFS(Aut_Ajustes_Manuais!$G:$G,Aut_Ajustes_Manuais!$I:$I,DRE!Q$4,Aut_Ajustes_Manuais!$F:$F,"Investimento - Ativos AMBEV")</f>
        <v/>
      </c>
      <c r="T347" s="241" t="n"/>
      <c r="U347" s="81" t="n"/>
      <c r="V347" s="82">
        <f>SUMIFS(Aut_BlueMe_Sem_Pedido!$J:$J,Aut_BlueMe_Sem_Pedido!$Q:$Q,DRE!T$4,Aut_BlueMe_Sem_Pedido!$H:$H,DRE!$A347)+SUMIFS(Aut_Ajustes_Manuais!$G:$G,Aut_Ajustes_Manuais!$I:$I,DRE!T$4,Aut_Ajustes_Manuais!$F:$F,"Investimento - Ativos AMBEV")</f>
        <v/>
      </c>
      <c r="W347" s="241" t="n"/>
      <c r="X347" s="81" t="n"/>
      <c r="Y347" s="82">
        <f>SUMIFS(Aut_BlueMe_Sem_Pedido!$J:$J,Aut_BlueMe_Sem_Pedido!$Q:$Q,DRE!W$4,Aut_BlueMe_Sem_Pedido!$H:$H,DRE!$A347)+SUMIFS(Aut_Ajustes_Manuais!$G:$G,Aut_Ajustes_Manuais!$I:$I,DRE!W$4,Aut_Ajustes_Manuais!$F:$F,"Investimento - Ativos AMBEV")</f>
        <v/>
      </c>
      <c r="Z347" s="241" t="n"/>
      <c r="AA347" s="81" t="n"/>
      <c r="AB347" s="82">
        <f>SUMIFS(Aut_BlueMe_Sem_Pedido!$J:$J,Aut_BlueMe_Sem_Pedido!$Q:$Q,DRE!Z$4,Aut_BlueMe_Sem_Pedido!$H:$H,DRE!$A347)+SUMIFS(Aut_Ajustes_Manuais!$G:$G,Aut_Ajustes_Manuais!$I:$I,DRE!Z$4,Aut_Ajustes_Manuais!$F:$F,"Investimento - Ativos AMBEV")</f>
        <v/>
      </c>
      <c r="AC347" s="241" t="n"/>
      <c r="AD347" s="81" t="n"/>
      <c r="AE347" s="82">
        <f>SUMIFS(Aut_BlueMe_Sem_Pedido!$J:$J,Aut_BlueMe_Sem_Pedido!$Q:$Q,DRE!AC$4,Aut_BlueMe_Sem_Pedido!$H:$H,DRE!$A347)+SUMIFS(Aut_Ajustes_Manuais!$G:$G,Aut_Ajustes_Manuais!$I:$I,DRE!AC$4,Aut_Ajustes_Manuais!$F:$F,"Investimento - Ativos AMBEV")</f>
        <v/>
      </c>
      <c r="AF347" s="241" t="n"/>
      <c r="AG347" s="81" t="n"/>
      <c r="AH347" s="82">
        <f>SUMIFS(Aut_BlueMe_Sem_Pedido!$J:$J,Aut_BlueMe_Sem_Pedido!$Q:$Q,DRE!AF$4,Aut_BlueMe_Sem_Pedido!$H:$H,DRE!$A347)+SUMIFS(Aut_Ajustes_Manuais!$G:$G,Aut_Ajustes_Manuais!$I:$I,DRE!AF$4,Aut_Ajustes_Manuais!$F:$F,"Investimento - Ativos AMBEV")</f>
        <v/>
      </c>
      <c r="AI347" s="241" t="n"/>
      <c r="AJ347" s="81" t="n"/>
      <c r="AK347" s="82">
        <f>SUMIFS(Aut_BlueMe_Sem_Pedido!$J:$J,Aut_BlueMe_Sem_Pedido!$Q:$Q,DRE!AI$4,Aut_BlueMe_Sem_Pedido!$H:$H,DRE!$A347)+SUMIFS(Aut_Ajustes_Manuais!$G:$G,Aut_Ajustes_Manuais!$I:$I,DRE!AI$4,Aut_Ajustes_Manuais!$F:$F,"Investimento - Ativos AMBEV")</f>
        <v/>
      </c>
      <c r="AL347" s="241" t="n"/>
      <c r="AM347" s="81" t="n"/>
      <c r="AN347" s="82">
        <f>SUMIFS(Aut_BlueMe_Sem_Pedido!$J:$J,Aut_BlueMe_Sem_Pedido!$Q:$Q,DRE!AL$4,Aut_BlueMe_Sem_Pedido!$H:$H,DRE!$A347)+SUMIFS(Aut_Ajustes_Manuais!$G:$G,Aut_Ajustes_Manuais!$I:$I,DRE!AL$4,Aut_Ajustes_Manuais!$F:$F,"Investimento - Ativos AMBEV")</f>
        <v/>
      </c>
      <c r="AO347" s="241" t="n"/>
      <c r="AP347" s="81" t="n"/>
      <c r="AQ347" s="82">
        <f>SUMIFS(Aut_BlueMe_Sem_Pedido!$J:$J,Aut_BlueMe_Sem_Pedido!$Q:$Q,DRE!AO$4,Aut_BlueMe_Sem_Pedido!$H:$H,DRE!$A347)+SUMIFS(Aut_Ajustes_Manuais!$G:$G,Aut_Ajustes_Manuais!$I:$I,DRE!AO$4,Aut_Ajustes_Manuais!$F:$F,"Investimento - Ativos AMBEV")</f>
        <v/>
      </c>
      <c r="AR347" s="241">
        <f>SUMIFS($H347:$AO347,$H$5:$AO$5,"&lt;"&amp;MONTH(TODAY()),$H$6:$AO$6,"REAL 25")</f>
        <v/>
      </c>
      <c r="AS347" s="81">
        <f>SUMIFS($I347:$AP347,$I$5:$AP$5,"&lt;"&amp;MONTH(TODAY()),$I$6:$AP$6,"ORÇADO ")</f>
        <v/>
      </c>
      <c r="AT347" s="82">
        <f>SUMIFS($J347:$AQ347,$J$5:$AQ$5,"&lt;"&amp;MONTH(TODAY()),$J$6:$AQ$6,"REAL 26")</f>
        <v/>
      </c>
      <c r="AU347" s="241">
        <f>SUM(H347,K347,N347,Q347,T347,W347,Z347,AC347,AF347,AI347,AL347,AO347)</f>
        <v/>
      </c>
      <c r="AV347" s="81">
        <f>SUM(I347,L347,O347,R347,U347,X347,AA347,AD347,AG347,AJ347,AM347,AP347)</f>
        <v/>
      </c>
      <c r="AW347" s="82">
        <f>SUM(J347,M347,P347,S347,V347,Y347,AB347,AE347,AH347,AK347,AN347,AQ347)</f>
        <v/>
      </c>
      <c r="AX347" s="241">
        <f>SUM(H347,K347,N347)</f>
        <v/>
      </c>
      <c r="AY347" s="81">
        <f>SUM(I347,L347,O347)</f>
        <v/>
      </c>
      <c r="AZ347" s="82">
        <f>SUM(J347,M347,P347)</f>
        <v/>
      </c>
      <c r="BA347" s="241">
        <f>SUM(Q347,T347,W347)</f>
        <v/>
      </c>
      <c r="BB347" s="81">
        <f>SUM(R347,U347,X347)</f>
        <v/>
      </c>
      <c r="BC347" s="82">
        <f>SUM(S347,V347,Y347)</f>
        <v/>
      </c>
      <c r="BD347" s="241">
        <f>SUM(Z347,AC347,AF347)</f>
        <v/>
      </c>
      <c r="BE347" s="81">
        <f>SUM(AA347,AD347,AG347)</f>
        <v/>
      </c>
      <c r="BF347" s="82">
        <f>SUM(AB347,AE347,AH347)</f>
        <v/>
      </c>
      <c r="BG347" s="241">
        <f>SUM(AI347,AL347,AO347)</f>
        <v/>
      </c>
      <c r="BH347" s="81">
        <f>SUM(AJ347,AM347,AP347)</f>
        <v/>
      </c>
      <c r="BI347" s="82">
        <f>SUM(AK347,AN347,AQ347)</f>
        <v/>
      </c>
    </row>
    <row r="348" hidden="1" outlineLevel="1" customFormat="1" s="498">
      <c r="A348" s="22" t="inlineStr">
        <is>
          <t>Investimento - Estrutura Chopp - Balcão</t>
        </is>
      </c>
      <c r="B348" s="59" t="n"/>
      <c r="C348" s="24" t="inlineStr">
        <is>
          <t>Estim. Mensal</t>
        </is>
      </c>
      <c r="D348" s="25" t="n"/>
      <c r="E348" s="25" t="n"/>
      <c r="F348" s="63" t="n"/>
      <c r="G348" s="33" t="n"/>
      <c r="H348" s="241" t="n"/>
      <c r="I348" s="81" t="n"/>
      <c r="J348" s="82">
        <f>SUMIFS(Aut_BlueMe_Sem_Pedido!$J:$J,Aut_BlueMe_Sem_Pedido!$Q:$Q,DRE!H$4,Aut_BlueMe_Sem_Pedido!$H:$H,DRE!$A348)+SUMIFS(Aut_Ajustes_Manuais!$G:$G,Aut_Ajustes_Manuais!$I:$I,DRE!H$4,Aut_Ajustes_Manuais!$F:$F,"Investimento - Estrutura Chopp - Balcão")</f>
        <v/>
      </c>
      <c r="K348" s="254" t="n"/>
      <c r="L348" s="81" t="n"/>
      <c r="M348" s="82">
        <f>SUMIFS(Aut_BlueMe_Sem_Pedido!$J:$J,Aut_BlueMe_Sem_Pedido!$Q:$Q,DRE!K$4,Aut_BlueMe_Sem_Pedido!$H:$H,DRE!$A348)+SUMIFS(Aut_Ajustes_Manuais!$G:$G,Aut_Ajustes_Manuais!$I:$I,DRE!K$4,Aut_Ajustes_Manuais!$F:$F,"Investimento - Estrutura Chopp - Balcão")</f>
        <v/>
      </c>
      <c r="N348" s="254" t="n"/>
      <c r="O348" s="81" t="n"/>
      <c r="P348" s="82">
        <f>SUMIFS(Aut_BlueMe_Sem_Pedido!$J:$J,Aut_BlueMe_Sem_Pedido!$Q:$Q,DRE!N$4,Aut_BlueMe_Sem_Pedido!$H:$H,DRE!$A348)+SUMIFS(Aut_Ajustes_Manuais!$G:$G,Aut_Ajustes_Manuais!$I:$I,DRE!N$4,Aut_Ajustes_Manuais!$F:$F,"Investimento - Estrutura Chopp - Balcão")</f>
        <v/>
      </c>
      <c r="Q348" s="241" t="n"/>
      <c r="R348" s="81" t="n"/>
      <c r="S348" s="82">
        <f>SUMIFS(Aut_BlueMe_Sem_Pedido!$J:$J,Aut_BlueMe_Sem_Pedido!$Q:$Q,DRE!Q$4,Aut_BlueMe_Sem_Pedido!$H:$H,DRE!$A348)+SUMIFS(Aut_Ajustes_Manuais!$G:$G,Aut_Ajustes_Manuais!$I:$I,DRE!Q$4,Aut_Ajustes_Manuais!$F:$F,"Investimento - Estrutura Chopp - Balcão")</f>
        <v/>
      </c>
      <c r="T348" s="241" t="n"/>
      <c r="U348" s="81" t="n"/>
      <c r="V348" s="82">
        <f>SUMIFS(Aut_BlueMe_Sem_Pedido!$J:$J,Aut_BlueMe_Sem_Pedido!$Q:$Q,DRE!T$4,Aut_BlueMe_Sem_Pedido!$H:$H,DRE!$A348)+SUMIFS(Aut_Ajustes_Manuais!$G:$G,Aut_Ajustes_Manuais!$I:$I,DRE!T$4,Aut_Ajustes_Manuais!$F:$F,"Investimento - Estrutura Chopp - Balcão")</f>
        <v/>
      </c>
      <c r="W348" s="241" t="n"/>
      <c r="X348" s="81" t="n"/>
      <c r="Y348" s="82">
        <f>SUMIFS(Aut_BlueMe_Sem_Pedido!$J:$J,Aut_BlueMe_Sem_Pedido!$Q:$Q,DRE!W$4,Aut_BlueMe_Sem_Pedido!$H:$H,DRE!$A348)+SUMIFS(Aut_Ajustes_Manuais!$G:$G,Aut_Ajustes_Manuais!$I:$I,DRE!W$4,Aut_Ajustes_Manuais!$F:$F,"Investimento - Estrutura Chopp - Balcão")</f>
        <v/>
      </c>
      <c r="Z348" s="241" t="n"/>
      <c r="AA348" s="81" t="n"/>
      <c r="AB348" s="82">
        <f>SUMIFS(Aut_BlueMe_Sem_Pedido!$J:$J,Aut_BlueMe_Sem_Pedido!$Q:$Q,DRE!Z$4,Aut_BlueMe_Sem_Pedido!$H:$H,DRE!$A348)+SUMIFS(Aut_Ajustes_Manuais!$G:$G,Aut_Ajustes_Manuais!$I:$I,DRE!Z$4,Aut_Ajustes_Manuais!$F:$F,"Investimento - Estrutura Chopp - Balcão")</f>
        <v/>
      </c>
      <c r="AC348" s="241" t="n"/>
      <c r="AD348" s="81" t="n"/>
      <c r="AE348" s="82">
        <f>SUMIFS(Aut_BlueMe_Sem_Pedido!$J:$J,Aut_BlueMe_Sem_Pedido!$Q:$Q,DRE!AC$4,Aut_BlueMe_Sem_Pedido!$H:$H,DRE!$A348)+SUMIFS(Aut_Ajustes_Manuais!$G:$G,Aut_Ajustes_Manuais!$I:$I,DRE!AC$4,Aut_Ajustes_Manuais!$F:$F,"Investimento - Estrutura Chopp - Balcão")</f>
        <v/>
      </c>
      <c r="AF348" s="241" t="n"/>
      <c r="AG348" s="81" t="n"/>
      <c r="AH348" s="82">
        <f>SUMIFS(Aut_BlueMe_Sem_Pedido!$J:$J,Aut_BlueMe_Sem_Pedido!$Q:$Q,DRE!AF$4,Aut_BlueMe_Sem_Pedido!$H:$H,DRE!$A348)+SUMIFS(Aut_Ajustes_Manuais!$G:$G,Aut_Ajustes_Manuais!$I:$I,DRE!AF$4,Aut_Ajustes_Manuais!$F:$F,"Investimento - Estrutura Chopp - Balcão")</f>
        <v/>
      </c>
      <c r="AI348" s="241" t="n"/>
      <c r="AJ348" s="81" t="n"/>
      <c r="AK348" s="82">
        <f>SUMIFS(Aut_BlueMe_Sem_Pedido!$J:$J,Aut_BlueMe_Sem_Pedido!$Q:$Q,DRE!AI$4,Aut_BlueMe_Sem_Pedido!$H:$H,DRE!$A348)+SUMIFS(Aut_Ajustes_Manuais!$G:$G,Aut_Ajustes_Manuais!$I:$I,DRE!AI$4,Aut_Ajustes_Manuais!$F:$F,"Investimento - Estrutura Chopp - Balcão")</f>
        <v/>
      </c>
      <c r="AL348" s="241" t="n"/>
      <c r="AM348" s="81" t="n"/>
      <c r="AN348" s="82">
        <f>SUMIFS(Aut_BlueMe_Sem_Pedido!$J:$J,Aut_BlueMe_Sem_Pedido!$Q:$Q,DRE!AL$4,Aut_BlueMe_Sem_Pedido!$H:$H,DRE!$A348)+SUMIFS(Aut_Ajustes_Manuais!$G:$G,Aut_Ajustes_Manuais!$I:$I,DRE!AL$4,Aut_Ajustes_Manuais!$F:$F,"Investimento - Estrutura Chopp - Balcão")</f>
        <v/>
      </c>
      <c r="AO348" s="241" t="n"/>
      <c r="AP348" s="81" t="n"/>
      <c r="AQ348" s="82">
        <f>SUMIFS(Aut_BlueMe_Sem_Pedido!$J:$J,Aut_BlueMe_Sem_Pedido!$Q:$Q,DRE!AO$4,Aut_BlueMe_Sem_Pedido!$H:$H,DRE!$A348)+SUMIFS(Aut_Ajustes_Manuais!$G:$G,Aut_Ajustes_Manuais!$I:$I,DRE!AO$4,Aut_Ajustes_Manuais!$F:$F,"Investimento - Estrutura Chopp - Balcão")</f>
        <v/>
      </c>
      <c r="AR348" s="241">
        <f>SUMIFS($H348:$AO348,$H$5:$AO$5,"&lt;"&amp;MONTH(TODAY()),$H$6:$AO$6,"REAL 25")</f>
        <v/>
      </c>
      <c r="AS348" s="81">
        <f>SUMIFS($I348:$AP348,$I$5:$AP$5,"&lt;"&amp;MONTH(TODAY()),$I$6:$AP$6,"ORÇADO ")</f>
        <v/>
      </c>
      <c r="AT348" s="82">
        <f>SUMIFS($J348:$AQ348,$J$5:$AQ$5,"&lt;"&amp;MONTH(TODAY()),$J$6:$AQ$6,"REAL 26")</f>
        <v/>
      </c>
      <c r="AU348" s="241">
        <f>SUM(H348,K348,N348,Q348,T348,W348,Z348,AC348,AF348,AI348,AL348,AO348)</f>
        <v/>
      </c>
      <c r="AV348" s="81">
        <f>SUM(I348,L348,O348,R348,U348,X348,AA348,AD348,AG348,AJ348,AM348,AP348)</f>
        <v/>
      </c>
      <c r="AW348" s="82">
        <f>SUM(J348,M348,P348,S348,V348,Y348,AB348,AE348,AH348,AK348,AN348,AQ348)</f>
        <v/>
      </c>
      <c r="AX348" s="241">
        <f>SUM(H348,K348,N348)</f>
        <v/>
      </c>
      <c r="AY348" s="81">
        <f>SUM(I348,L348,O348)</f>
        <v/>
      </c>
      <c r="AZ348" s="82">
        <f>SUM(J348,M348,P348)</f>
        <v/>
      </c>
      <c r="BA348" s="241">
        <f>SUM(Q348,T348,W348)</f>
        <v/>
      </c>
      <c r="BB348" s="81">
        <f>SUM(R348,U348,X348)</f>
        <v/>
      </c>
      <c r="BC348" s="82">
        <f>SUM(S348,V348,Y348)</f>
        <v/>
      </c>
      <c r="BD348" s="241">
        <f>SUM(Z348,AC348,AF348)</f>
        <v/>
      </c>
      <c r="BE348" s="81">
        <f>SUM(AA348,AD348,AG348)</f>
        <v/>
      </c>
      <c r="BF348" s="82">
        <f>SUM(AB348,AE348,AH348)</f>
        <v/>
      </c>
      <c r="BG348" s="241">
        <f>SUM(AI348,AL348,AO348)</f>
        <v/>
      </c>
      <c r="BH348" s="81">
        <f>SUM(AJ348,AM348,AP348)</f>
        <v/>
      </c>
      <c r="BI348" s="82">
        <f>SUM(AK348,AN348,AQ348)</f>
        <v/>
      </c>
    </row>
    <row r="349" hidden="1" outlineLevel="1" ht="25.2" customFormat="1" customHeight="1" s="498">
      <c r="A349" s="22" t="inlineStr">
        <is>
          <t>Investimento - Estrutura Chopp - Camara Refrigerada</t>
        </is>
      </c>
      <c r="B349" s="59" t="n"/>
      <c r="C349" s="24" t="inlineStr">
        <is>
          <t>Estim. Mensal</t>
        </is>
      </c>
      <c r="D349" s="25" t="n"/>
      <c r="E349" s="25" t="n"/>
      <c r="F349" s="63" t="n"/>
      <c r="G349" s="33" t="n"/>
      <c r="H349" s="241" t="n"/>
      <c r="I349" s="81" t="n"/>
      <c r="J349" s="82">
        <f>SUMIFS(Aut_BlueMe_Sem_Pedido!$J:$J,Aut_BlueMe_Sem_Pedido!$Q:$Q,DRE!H$4,Aut_BlueMe_Sem_Pedido!$H:$H,DRE!$A349)+SUMIFS(Aut_Ajustes_Manuais!$G:$G,Aut_Ajustes_Manuais!$I:$I,DRE!H$4,Aut_Ajustes_Manuais!$F:$F,"Investimento - Estrutura Chopp - Camara Refrigerada")</f>
        <v/>
      </c>
      <c r="K349" s="254" t="n"/>
      <c r="L349" s="81" t="n"/>
      <c r="M349" s="82">
        <f>SUMIFS(Aut_BlueMe_Sem_Pedido!$J:$J,Aut_BlueMe_Sem_Pedido!$Q:$Q,DRE!K$4,Aut_BlueMe_Sem_Pedido!$H:$H,DRE!$A349)+SUMIFS(Aut_Ajustes_Manuais!$G:$G,Aut_Ajustes_Manuais!$I:$I,DRE!K$4,Aut_Ajustes_Manuais!$F:$F,"Investimento - Estrutura Chopp - Camara Refrigerada")</f>
        <v/>
      </c>
      <c r="N349" s="254" t="n"/>
      <c r="O349" s="81" t="n"/>
      <c r="P349" s="82">
        <f>SUMIFS(Aut_BlueMe_Sem_Pedido!$J:$J,Aut_BlueMe_Sem_Pedido!$Q:$Q,DRE!N$4,Aut_BlueMe_Sem_Pedido!$H:$H,DRE!$A349)+SUMIFS(Aut_Ajustes_Manuais!$G:$G,Aut_Ajustes_Manuais!$I:$I,DRE!N$4,Aut_Ajustes_Manuais!$F:$F,"Investimento - Estrutura Chopp - Camara Refrigerada")</f>
        <v/>
      </c>
      <c r="Q349" s="241" t="n"/>
      <c r="R349" s="81" t="n"/>
      <c r="S349" s="82">
        <f>SUMIFS(Aut_BlueMe_Sem_Pedido!$J:$J,Aut_BlueMe_Sem_Pedido!$Q:$Q,DRE!Q$4,Aut_BlueMe_Sem_Pedido!$H:$H,DRE!$A349)+SUMIFS(Aut_Ajustes_Manuais!$G:$G,Aut_Ajustes_Manuais!$I:$I,DRE!Q$4,Aut_Ajustes_Manuais!$F:$F,"Investimento - Estrutura Chopp - Camara Refrigerada")</f>
        <v/>
      </c>
      <c r="T349" s="241" t="n"/>
      <c r="U349" s="81" t="n"/>
      <c r="V349" s="82">
        <f>SUMIFS(Aut_BlueMe_Sem_Pedido!$J:$J,Aut_BlueMe_Sem_Pedido!$Q:$Q,DRE!T$4,Aut_BlueMe_Sem_Pedido!$H:$H,DRE!$A349)+SUMIFS(Aut_Ajustes_Manuais!$G:$G,Aut_Ajustes_Manuais!$I:$I,DRE!T$4,Aut_Ajustes_Manuais!$F:$F,"Investimento - Estrutura Chopp - Camara Refrigerada")</f>
        <v/>
      </c>
      <c r="W349" s="241" t="n"/>
      <c r="X349" s="81" t="n"/>
      <c r="Y349" s="82">
        <f>SUMIFS(Aut_BlueMe_Sem_Pedido!$J:$J,Aut_BlueMe_Sem_Pedido!$Q:$Q,DRE!W$4,Aut_BlueMe_Sem_Pedido!$H:$H,DRE!$A349)+SUMIFS(Aut_Ajustes_Manuais!$G:$G,Aut_Ajustes_Manuais!$I:$I,DRE!W$4,Aut_Ajustes_Manuais!$F:$F,"Investimento - Estrutura Chopp - Camara Refrigerada")</f>
        <v/>
      </c>
      <c r="Z349" s="241" t="n"/>
      <c r="AA349" s="81" t="n"/>
      <c r="AB349" s="82">
        <f>SUMIFS(Aut_BlueMe_Sem_Pedido!$J:$J,Aut_BlueMe_Sem_Pedido!$Q:$Q,DRE!Z$4,Aut_BlueMe_Sem_Pedido!$H:$H,DRE!$A349)+SUMIFS(Aut_Ajustes_Manuais!$G:$G,Aut_Ajustes_Manuais!$I:$I,DRE!Z$4,Aut_Ajustes_Manuais!$F:$F,"Investimento - Estrutura Chopp - Camara Refrigerada")</f>
        <v/>
      </c>
      <c r="AC349" s="241" t="n"/>
      <c r="AD349" s="81" t="n"/>
      <c r="AE349" s="82">
        <f>SUMIFS(Aut_BlueMe_Sem_Pedido!$J:$J,Aut_BlueMe_Sem_Pedido!$Q:$Q,DRE!AC$4,Aut_BlueMe_Sem_Pedido!$H:$H,DRE!$A349)+SUMIFS(Aut_Ajustes_Manuais!$G:$G,Aut_Ajustes_Manuais!$I:$I,DRE!AC$4,Aut_Ajustes_Manuais!$F:$F,"Investimento - Estrutura Chopp - Camara Refrigerada")</f>
        <v/>
      </c>
      <c r="AF349" s="241" t="n"/>
      <c r="AG349" s="81" t="n"/>
      <c r="AH349" s="82">
        <f>SUMIFS(Aut_BlueMe_Sem_Pedido!$J:$J,Aut_BlueMe_Sem_Pedido!$Q:$Q,DRE!AF$4,Aut_BlueMe_Sem_Pedido!$H:$H,DRE!$A349)+SUMIFS(Aut_Ajustes_Manuais!$G:$G,Aut_Ajustes_Manuais!$I:$I,DRE!AF$4,Aut_Ajustes_Manuais!$F:$F,"Investimento - Estrutura Chopp - Camara Refrigerada")</f>
        <v/>
      </c>
      <c r="AI349" s="241" t="n"/>
      <c r="AJ349" s="81" t="n"/>
      <c r="AK349" s="82">
        <f>SUMIFS(Aut_BlueMe_Sem_Pedido!$J:$J,Aut_BlueMe_Sem_Pedido!$Q:$Q,DRE!AI$4,Aut_BlueMe_Sem_Pedido!$H:$H,DRE!$A349)+SUMIFS(Aut_Ajustes_Manuais!$G:$G,Aut_Ajustes_Manuais!$I:$I,DRE!AI$4,Aut_Ajustes_Manuais!$F:$F,"Investimento - Estrutura Chopp - Camara Refrigerada")</f>
        <v/>
      </c>
      <c r="AL349" s="241" t="n"/>
      <c r="AM349" s="81" t="n"/>
      <c r="AN349" s="82">
        <f>SUMIFS(Aut_BlueMe_Sem_Pedido!$J:$J,Aut_BlueMe_Sem_Pedido!$Q:$Q,DRE!AL$4,Aut_BlueMe_Sem_Pedido!$H:$H,DRE!$A349)+SUMIFS(Aut_Ajustes_Manuais!$G:$G,Aut_Ajustes_Manuais!$I:$I,DRE!AL$4,Aut_Ajustes_Manuais!$F:$F,"Investimento - Estrutura Chopp - Camara Refrigerada")</f>
        <v/>
      </c>
      <c r="AO349" s="241" t="n"/>
      <c r="AP349" s="81" t="n"/>
      <c r="AQ349" s="82">
        <f>SUMIFS(Aut_BlueMe_Sem_Pedido!$J:$J,Aut_BlueMe_Sem_Pedido!$Q:$Q,DRE!AO$4,Aut_BlueMe_Sem_Pedido!$H:$H,DRE!$A349)+SUMIFS(Aut_Ajustes_Manuais!$G:$G,Aut_Ajustes_Manuais!$I:$I,DRE!AO$4,Aut_Ajustes_Manuais!$F:$F,"Investimento - Estrutura Chopp - Camara Refrigerada")</f>
        <v/>
      </c>
      <c r="AR349" s="241">
        <f>SUMIFS($H349:$AO349,$H$5:$AO$5,"&lt;"&amp;MONTH(TODAY()),$H$6:$AO$6,"REAL 25")</f>
        <v/>
      </c>
      <c r="AS349" s="81">
        <f>SUMIFS($I349:$AP349,$I$5:$AP$5,"&lt;"&amp;MONTH(TODAY()),$I$6:$AP$6,"ORÇADO ")</f>
        <v/>
      </c>
      <c r="AT349" s="82">
        <f>SUMIFS($J349:$AQ349,$J$5:$AQ$5,"&lt;"&amp;MONTH(TODAY()),$J$6:$AQ$6,"REAL 26")</f>
        <v/>
      </c>
      <c r="AU349" s="241">
        <f>SUM(H349,K349,N349,Q349,T349,W349,Z349,AC349,AF349,AI349,AL349,AO349)</f>
        <v/>
      </c>
      <c r="AV349" s="81">
        <f>SUM(I349,L349,O349,R349,U349,X349,AA349,AD349,AG349,AJ349,AM349,AP349)</f>
        <v/>
      </c>
      <c r="AW349" s="82">
        <f>SUM(J349,M349,P349,S349,V349,Y349,AB349,AE349,AH349,AK349,AN349,AQ349)</f>
        <v/>
      </c>
      <c r="AX349" s="241">
        <f>SUM(H349,K349,N349)</f>
        <v/>
      </c>
      <c r="AY349" s="81">
        <f>SUM(I349,L349,O349)</f>
        <v/>
      </c>
      <c r="AZ349" s="82">
        <f>SUM(J349,M349,P349)</f>
        <v/>
      </c>
      <c r="BA349" s="241">
        <f>SUM(Q349,T349,W349)</f>
        <v/>
      </c>
      <c r="BB349" s="81">
        <f>SUM(R349,U349,X349)</f>
        <v/>
      </c>
      <c r="BC349" s="82">
        <f>SUM(S349,V349,Y349)</f>
        <v/>
      </c>
      <c r="BD349" s="241">
        <f>SUM(Z349,AC349,AF349)</f>
        <v/>
      </c>
      <c r="BE349" s="81">
        <f>SUM(AA349,AD349,AG349)</f>
        <v/>
      </c>
      <c r="BF349" s="82">
        <f>SUM(AB349,AE349,AH349)</f>
        <v/>
      </c>
      <c r="BG349" s="241">
        <f>SUM(AI349,AL349,AO349)</f>
        <v/>
      </c>
      <c r="BH349" s="81">
        <f>SUM(AJ349,AM349,AP349)</f>
        <v/>
      </c>
      <c r="BI349" s="82">
        <f>SUM(AK349,AN349,AQ349)</f>
        <v/>
      </c>
    </row>
    <row r="350" hidden="1" outlineLevel="1" customFormat="1" s="498">
      <c r="A350" s="22" t="inlineStr">
        <is>
          <t>Investimento - Estrutura Chopp - Chopeira</t>
        </is>
      </c>
      <c r="B350" s="59" t="n"/>
      <c r="C350" s="24" t="inlineStr">
        <is>
          <t>Estim. Mensal</t>
        </is>
      </c>
      <c r="D350" s="25" t="n"/>
      <c r="E350" s="25" t="n"/>
      <c r="F350" s="63" t="n"/>
      <c r="G350" s="33" t="n"/>
      <c r="H350" s="241" t="n"/>
      <c r="I350" s="81" t="n"/>
      <c r="J350" s="82">
        <f>SUMIFS(Aut_BlueMe_Sem_Pedido!$J:$J,Aut_BlueMe_Sem_Pedido!$Q:$Q,DRE!H$4,Aut_BlueMe_Sem_Pedido!$H:$H,DRE!$A350)+SUMIFS(Aut_Ajustes_Manuais!$G:$G,Aut_Ajustes_Manuais!$I:$I,DRE!H$4,Aut_Ajustes_Manuais!$F:$F,"Investimento - Estrutura Chopp - Chopeira")</f>
        <v/>
      </c>
      <c r="K350" s="254" t="n"/>
      <c r="L350" s="81" t="n"/>
      <c r="M350" s="82">
        <f>SUMIFS(Aut_BlueMe_Sem_Pedido!$J:$J,Aut_BlueMe_Sem_Pedido!$Q:$Q,DRE!K$4,Aut_BlueMe_Sem_Pedido!$H:$H,DRE!$A350)+SUMIFS(Aut_Ajustes_Manuais!$G:$G,Aut_Ajustes_Manuais!$I:$I,DRE!K$4,Aut_Ajustes_Manuais!$F:$F,"Investimento - Estrutura Chopp - Chopeira")</f>
        <v/>
      </c>
      <c r="N350" s="254" t="n"/>
      <c r="O350" s="81" t="n"/>
      <c r="P350" s="82">
        <f>SUMIFS(Aut_BlueMe_Sem_Pedido!$J:$J,Aut_BlueMe_Sem_Pedido!$Q:$Q,DRE!N$4,Aut_BlueMe_Sem_Pedido!$H:$H,DRE!$A350)+SUMIFS(Aut_Ajustes_Manuais!$G:$G,Aut_Ajustes_Manuais!$I:$I,DRE!N$4,Aut_Ajustes_Manuais!$F:$F,"Investimento - Estrutura Chopp - Chopeira")</f>
        <v/>
      </c>
      <c r="Q350" s="241" t="n"/>
      <c r="R350" s="81" t="n"/>
      <c r="S350" s="82">
        <f>SUMIFS(Aut_BlueMe_Sem_Pedido!$J:$J,Aut_BlueMe_Sem_Pedido!$Q:$Q,DRE!Q$4,Aut_BlueMe_Sem_Pedido!$H:$H,DRE!$A350)+SUMIFS(Aut_Ajustes_Manuais!$G:$G,Aut_Ajustes_Manuais!$I:$I,DRE!Q$4,Aut_Ajustes_Manuais!$F:$F,"Investimento - Estrutura Chopp - Chopeira")</f>
        <v/>
      </c>
      <c r="T350" s="241" t="n"/>
      <c r="U350" s="81" t="n"/>
      <c r="V350" s="82">
        <f>SUMIFS(Aut_BlueMe_Sem_Pedido!$J:$J,Aut_BlueMe_Sem_Pedido!$Q:$Q,DRE!T$4,Aut_BlueMe_Sem_Pedido!$H:$H,DRE!$A350)+SUMIFS(Aut_Ajustes_Manuais!$G:$G,Aut_Ajustes_Manuais!$I:$I,DRE!T$4,Aut_Ajustes_Manuais!$F:$F,"Investimento - Estrutura Chopp - Chopeira")</f>
        <v/>
      </c>
      <c r="W350" s="241" t="n"/>
      <c r="X350" s="81" t="n"/>
      <c r="Y350" s="82">
        <f>SUMIFS(Aut_BlueMe_Sem_Pedido!$J:$J,Aut_BlueMe_Sem_Pedido!$Q:$Q,DRE!W$4,Aut_BlueMe_Sem_Pedido!$H:$H,DRE!$A350)+SUMIFS(Aut_Ajustes_Manuais!$G:$G,Aut_Ajustes_Manuais!$I:$I,DRE!W$4,Aut_Ajustes_Manuais!$F:$F,"Investimento - Estrutura Chopp - Chopeira")</f>
        <v/>
      </c>
      <c r="Z350" s="241" t="n"/>
      <c r="AA350" s="81" t="n"/>
      <c r="AB350" s="82">
        <f>SUMIFS(Aut_BlueMe_Sem_Pedido!$J:$J,Aut_BlueMe_Sem_Pedido!$Q:$Q,DRE!Z$4,Aut_BlueMe_Sem_Pedido!$H:$H,DRE!$A350)+SUMIFS(Aut_Ajustes_Manuais!$G:$G,Aut_Ajustes_Manuais!$I:$I,DRE!Z$4,Aut_Ajustes_Manuais!$F:$F,"Investimento - Estrutura Chopp - Chopeira")</f>
        <v/>
      </c>
      <c r="AC350" s="241" t="n"/>
      <c r="AD350" s="81" t="n"/>
      <c r="AE350" s="82">
        <f>SUMIFS(Aut_BlueMe_Sem_Pedido!$J:$J,Aut_BlueMe_Sem_Pedido!$Q:$Q,DRE!AC$4,Aut_BlueMe_Sem_Pedido!$H:$H,DRE!$A350)+SUMIFS(Aut_Ajustes_Manuais!$G:$G,Aut_Ajustes_Manuais!$I:$I,DRE!AC$4,Aut_Ajustes_Manuais!$F:$F,"Investimento - Estrutura Chopp - Chopeira")</f>
        <v/>
      </c>
      <c r="AF350" s="241" t="n"/>
      <c r="AG350" s="81" t="n"/>
      <c r="AH350" s="82">
        <f>SUMIFS(Aut_BlueMe_Sem_Pedido!$J:$J,Aut_BlueMe_Sem_Pedido!$Q:$Q,DRE!AF$4,Aut_BlueMe_Sem_Pedido!$H:$H,DRE!$A350)+SUMIFS(Aut_Ajustes_Manuais!$G:$G,Aut_Ajustes_Manuais!$I:$I,DRE!AF$4,Aut_Ajustes_Manuais!$F:$F,"Investimento - Estrutura Chopp - Chopeira")</f>
        <v/>
      </c>
      <c r="AI350" s="241" t="n"/>
      <c r="AJ350" s="81" t="n"/>
      <c r="AK350" s="82">
        <f>SUMIFS(Aut_BlueMe_Sem_Pedido!$J:$J,Aut_BlueMe_Sem_Pedido!$Q:$Q,DRE!AI$4,Aut_BlueMe_Sem_Pedido!$H:$H,DRE!$A350)+SUMIFS(Aut_Ajustes_Manuais!$G:$G,Aut_Ajustes_Manuais!$I:$I,DRE!AI$4,Aut_Ajustes_Manuais!$F:$F,"Investimento - Estrutura Chopp - Chopeira")</f>
        <v/>
      </c>
      <c r="AL350" s="241" t="n"/>
      <c r="AM350" s="81" t="n"/>
      <c r="AN350" s="82">
        <f>SUMIFS(Aut_BlueMe_Sem_Pedido!$J:$J,Aut_BlueMe_Sem_Pedido!$Q:$Q,DRE!AL$4,Aut_BlueMe_Sem_Pedido!$H:$H,DRE!$A350)+SUMIFS(Aut_Ajustes_Manuais!$G:$G,Aut_Ajustes_Manuais!$I:$I,DRE!AL$4,Aut_Ajustes_Manuais!$F:$F,"Investimento - Estrutura Chopp - Chopeira")</f>
        <v/>
      </c>
      <c r="AO350" s="241" t="n"/>
      <c r="AP350" s="81" t="n"/>
      <c r="AQ350" s="82">
        <f>SUMIFS(Aut_BlueMe_Sem_Pedido!$J:$J,Aut_BlueMe_Sem_Pedido!$Q:$Q,DRE!AO$4,Aut_BlueMe_Sem_Pedido!$H:$H,DRE!$A350)+SUMIFS(Aut_Ajustes_Manuais!$G:$G,Aut_Ajustes_Manuais!$I:$I,DRE!AO$4,Aut_Ajustes_Manuais!$F:$F,"Investimento - Estrutura Chopp - Chopeira")</f>
        <v/>
      </c>
      <c r="AR350" s="241">
        <f>SUMIFS($H350:$AO350,$H$5:$AO$5,"&lt;"&amp;MONTH(TODAY()),$H$6:$AO$6,"REAL 25")</f>
        <v/>
      </c>
      <c r="AS350" s="81">
        <f>SUMIFS($I350:$AP350,$I$5:$AP$5,"&lt;"&amp;MONTH(TODAY()),$I$6:$AP$6,"ORÇADO ")</f>
        <v/>
      </c>
      <c r="AT350" s="82">
        <f>SUMIFS($J350:$AQ350,$J$5:$AQ$5,"&lt;"&amp;MONTH(TODAY()),$J$6:$AQ$6,"REAL 26")</f>
        <v/>
      </c>
      <c r="AU350" s="241">
        <f>SUM(H350,K350,N350,Q350,T350,W350,Z350,AC350,AF350,AI350,AL350,AO350)</f>
        <v/>
      </c>
      <c r="AV350" s="81">
        <f>SUM(I350,L350,O350,R350,U350,X350,AA350,AD350,AG350,AJ350,AM350,AP350)</f>
        <v/>
      </c>
      <c r="AW350" s="82">
        <f>SUM(J350,M350,P350,S350,V350,Y350,AB350,AE350,AH350,AK350,AN350,AQ350)</f>
        <v/>
      </c>
      <c r="AX350" s="241">
        <f>SUM(H350,K350,N350)</f>
        <v/>
      </c>
      <c r="AY350" s="81">
        <f>SUM(I350,L350,O350)</f>
        <v/>
      </c>
      <c r="AZ350" s="82">
        <f>SUM(J350,M350,P350)</f>
        <v/>
      </c>
      <c r="BA350" s="241">
        <f>SUM(Q350,T350,W350)</f>
        <v/>
      </c>
      <c r="BB350" s="81">
        <f>SUM(R350,U350,X350)</f>
        <v/>
      </c>
      <c r="BC350" s="82">
        <f>SUM(S350,V350,Y350)</f>
        <v/>
      </c>
      <c r="BD350" s="241">
        <f>SUM(Z350,AC350,AF350)</f>
        <v/>
      </c>
      <c r="BE350" s="81">
        <f>SUM(AA350,AD350,AG350)</f>
        <v/>
      </c>
      <c r="BF350" s="82">
        <f>SUM(AB350,AE350,AH350)</f>
        <v/>
      </c>
      <c r="BG350" s="241">
        <f>SUM(AI350,AL350,AO350)</f>
        <v/>
      </c>
      <c r="BH350" s="81">
        <f>SUM(AJ350,AM350,AP350)</f>
        <v/>
      </c>
      <c r="BI350" s="82">
        <f>SUM(AK350,AN350,AQ350)</f>
        <v/>
      </c>
    </row>
    <row r="351" hidden="1" outlineLevel="1" customFormat="1" s="429">
      <c r="A351" s="422" t="inlineStr">
        <is>
          <t>% sobre Resultado Líquido</t>
        </is>
      </c>
      <c r="B351" s="423" t="n"/>
      <c r="C351" s="424" t="inlineStr">
        <is>
          <t>Estim. Mensal</t>
        </is>
      </c>
      <c r="D351" s="137" t="n"/>
      <c r="E351" s="137" t="n"/>
      <c r="F351" s="423" t="n"/>
      <c r="G351" s="425" t="n"/>
      <c r="H351" s="426">
        <f>IFERROR(H334/H331,0)</f>
        <v/>
      </c>
      <c r="I351" s="427">
        <f>IFERROR(I334/I331,0)</f>
        <v/>
      </c>
      <c r="J351" s="428">
        <f>IFERROR(J334/J331,0)+SUMIFS(Aut_Ajustes_Manuais!$G:$G,Aut_Ajustes_Manuais!$I:$I,DRE!H$4,Aut_Ajustes_Manuais!$F:$F,"% sobre Resultado Líquido")</f>
        <v/>
      </c>
      <c r="K351" s="426">
        <f>IFERROR(K334/K331,0)</f>
        <v/>
      </c>
      <c r="L351" s="427">
        <f>IFERROR(L334/L331,0)</f>
        <v/>
      </c>
      <c r="M351" s="428">
        <f>IFERROR(M334/M331,0)+SUMIFS(Aut_Ajustes_Manuais!$G:$G,Aut_Ajustes_Manuais!$I:$I,DRE!K$4,Aut_Ajustes_Manuais!$F:$F,"% sobre Resultado Líquido")</f>
        <v/>
      </c>
      <c r="N351" s="426">
        <f>IFERROR(N334/N331,0)</f>
        <v/>
      </c>
      <c r="O351" s="427">
        <f>IFERROR(O334/O331,0)</f>
        <v/>
      </c>
      <c r="P351" s="428">
        <f>IFERROR(P334/P331,0)+SUMIFS(Aut_Ajustes_Manuais!$G:$G,Aut_Ajustes_Manuais!$I:$I,DRE!N$4,Aut_Ajustes_Manuais!$F:$F,"% sobre Resultado Líquido")</f>
        <v/>
      </c>
      <c r="Q351" s="426">
        <f>IFERROR(Q334/Q331,0)</f>
        <v/>
      </c>
      <c r="R351" s="427">
        <f>IFERROR(R334/R331,0)</f>
        <v/>
      </c>
      <c r="S351" s="428">
        <f>IFERROR(S334/S331,0)+SUMIFS(Aut_Ajustes_Manuais!$G:$G,Aut_Ajustes_Manuais!$I:$I,DRE!Q$4,Aut_Ajustes_Manuais!$F:$F,"% sobre Resultado Líquido")</f>
        <v/>
      </c>
      <c r="T351" s="426">
        <f>IFERROR(T334/T331,0)</f>
        <v/>
      </c>
      <c r="U351" s="427">
        <f>IFERROR(U334/U331,0)</f>
        <v/>
      </c>
      <c r="V351" s="428">
        <f>IFERROR(V334/V331,0)+SUMIFS(Aut_Ajustes_Manuais!$G:$G,Aut_Ajustes_Manuais!$I:$I,DRE!T$4,Aut_Ajustes_Manuais!$F:$F,"% sobre Resultado Líquido")</f>
        <v/>
      </c>
      <c r="W351" s="426">
        <f>IFERROR(W334/W331,0)</f>
        <v/>
      </c>
      <c r="X351" s="427">
        <f>IFERROR(X334/X331,0)</f>
        <v/>
      </c>
      <c r="Y351" s="428">
        <f>IFERROR(Y334/Y331,0)+SUMIFS(Aut_Ajustes_Manuais!$G:$G,Aut_Ajustes_Manuais!$I:$I,DRE!W$4,Aut_Ajustes_Manuais!$F:$F,"% sobre Resultado Líquido")</f>
        <v/>
      </c>
      <c r="Z351" s="426">
        <f>IFERROR(Z334/Z331,0)</f>
        <v/>
      </c>
      <c r="AA351" s="427">
        <f>IFERROR(AA334/AA331,0)</f>
        <v/>
      </c>
      <c r="AB351" s="428">
        <f>IFERROR(AB334/AB331,0)+SUMIFS(Aut_Ajustes_Manuais!$G:$G,Aut_Ajustes_Manuais!$I:$I,DRE!Z$4,Aut_Ajustes_Manuais!$F:$F,"% sobre Resultado Líquido")</f>
        <v/>
      </c>
      <c r="AC351" s="426">
        <f>IFERROR(AC334/AC331,0)</f>
        <v/>
      </c>
      <c r="AD351" s="427">
        <f>IFERROR(AD334/AD331,0)</f>
        <v/>
      </c>
      <c r="AE351" s="428">
        <f>IFERROR(AE334/AE331,0)+SUMIFS(Aut_Ajustes_Manuais!$G:$G,Aut_Ajustes_Manuais!$I:$I,DRE!AC$4,Aut_Ajustes_Manuais!$F:$F,"% sobre Resultado Líquido")</f>
        <v/>
      </c>
      <c r="AF351" s="426">
        <f>IFERROR(AF334/AF331,0)</f>
        <v/>
      </c>
      <c r="AG351" s="427">
        <f>IFERROR(AG334/AG331,0)</f>
        <v/>
      </c>
      <c r="AH351" s="428">
        <f>IFERROR(AH334/AH331,0)+SUMIFS(Aut_Ajustes_Manuais!$G:$G,Aut_Ajustes_Manuais!$I:$I,DRE!AF$4,Aut_Ajustes_Manuais!$F:$F,"% sobre Resultado Líquido")</f>
        <v/>
      </c>
      <c r="AI351" s="426">
        <f>IFERROR(AI334/AI331,0)</f>
        <v/>
      </c>
      <c r="AJ351" s="427">
        <f>IFERROR(AJ334/AJ331,0)</f>
        <v/>
      </c>
      <c r="AK351" s="428">
        <f>IFERROR(AK334/AK331,0)+SUMIFS(Aut_Ajustes_Manuais!$G:$G,Aut_Ajustes_Manuais!$I:$I,DRE!AI$4,Aut_Ajustes_Manuais!$F:$F,"% sobre Resultado Líquido")</f>
        <v/>
      </c>
      <c r="AL351" s="426">
        <f>IFERROR(AL334/AL331,0)</f>
        <v/>
      </c>
      <c r="AM351" s="427">
        <f>IFERROR(AM334/AM331,0)</f>
        <v/>
      </c>
      <c r="AN351" s="428">
        <f>IFERROR(AN334/AN331,0)+SUMIFS(Aut_Ajustes_Manuais!$G:$G,Aut_Ajustes_Manuais!$I:$I,DRE!AL$4,Aut_Ajustes_Manuais!$F:$F,"% sobre Resultado Líquido")</f>
        <v/>
      </c>
      <c r="AO351" s="426">
        <f>IFERROR(AO334/AO331,0)</f>
        <v/>
      </c>
      <c r="AP351" s="427">
        <f>IFERROR(AP334/AP331,0)</f>
        <v/>
      </c>
      <c r="AQ351" s="428">
        <f>IFERROR(AQ334/AQ331,0)+SUMIFS(Aut_Ajustes_Manuais!$G:$G,Aut_Ajustes_Manuais!$I:$I,DRE!AO$4,Aut_Ajustes_Manuais!$F:$F,"% sobre Resultado Líquido")</f>
        <v/>
      </c>
      <c r="AR351" s="426">
        <f>SUM(H351,K351,N351,Q351,T351)</f>
        <v/>
      </c>
      <c r="AS351" s="427">
        <f>SUM(I351,L351,O351,R351,U351)</f>
        <v/>
      </c>
      <c r="AT351" s="428">
        <f>SUM(J351,M351,P351,S351,V351)</f>
        <v/>
      </c>
      <c r="AU351" s="426">
        <f>IFERROR(AU334/AU331,0)</f>
        <v/>
      </c>
      <c r="AV351" s="427">
        <f>IFERROR(AV334/AV331,0)</f>
        <v/>
      </c>
      <c r="AW351" s="428">
        <f>IFERROR(AW334/AW331,0)</f>
        <v/>
      </c>
      <c r="AX351" s="426">
        <f>IFERROR(AX334/AX331,0)</f>
        <v/>
      </c>
      <c r="AY351" s="427">
        <f>IFERROR(AY334/AY331,0)</f>
        <v/>
      </c>
      <c r="AZ351" s="428">
        <f>IFERROR(AZ334/AZ331,0)</f>
        <v/>
      </c>
      <c r="BA351" s="426">
        <f>IFERROR(BA334/BA331,0)</f>
        <v/>
      </c>
      <c r="BB351" s="427">
        <f>IFERROR(BB334/BB331,0)</f>
        <v/>
      </c>
      <c r="BC351" s="428">
        <f>IFERROR(BC334/BC331,0)</f>
        <v/>
      </c>
      <c r="BD351" s="426">
        <f>IFERROR(BD334/BD331,0)</f>
        <v/>
      </c>
      <c r="BE351" s="427">
        <f>IFERROR(BE334/BE331,0)</f>
        <v/>
      </c>
      <c r="BF351" s="428">
        <f>IFERROR(BF334/BF331,0)</f>
        <v/>
      </c>
      <c r="BG351" s="426">
        <f>IFERROR(BG334/BG331,0)</f>
        <v/>
      </c>
      <c r="BH351" s="427">
        <f>IFERROR(BH334/BH331,0)</f>
        <v/>
      </c>
      <c r="BI351" s="428">
        <f>IFERROR(BI334/BI331,0)</f>
        <v/>
      </c>
      <c r="BJ351" s="498" t="n"/>
    </row>
    <row r="352" collapsed="1">
      <c r="A352" s="18" t="n"/>
      <c r="E352" s="16" t="n"/>
      <c r="F352" s="17" t="n"/>
      <c r="G352" s="47" t="n"/>
      <c r="H352" s="249" t="n"/>
      <c r="I352" s="66" t="n"/>
      <c r="J352" s="250" t="n"/>
      <c r="K352" s="249" t="n"/>
      <c r="L352" s="66" t="n"/>
      <c r="M352" s="250" t="n"/>
      <c r="N352" s="249" t="n"/>
      <c r="O352" s="66" t="n"/>
      <c r="P352" s="250" t="n"/>
      <c r="Q352" s="249" t="n"/>
      <c r="R352" s="66" t="n"/>
      <c r="S352" s="250" t="n"/>
      <c r="T352" s="249" t="n"/>
      <c r="U352" s="66" t="n"/>
      <c r="V352" s="250" t="n"/>
      <c r="W352" s="249" t="n"/>
      <c r="X352" s="66" t="n"/>
      <c r="Y352" s="250" t="n"/>
      <c r="Z352" s="249" t="n"/>
      <c r="AA352" s="66" t="n"/>
      <c r="AB352" s="250" t="n"/>
      <c r="AC352" s="249" t="n"/>
      <c r="AD352" s="66" t="n"/>
      <c r="AE352" s="250" t="n"/>
      <c r="AF352" s="249" t="n"/>
      <c r="AG352" s="66" t="n"/>
      <c r="AH352" s="250" t="n"/>
      <c r="AI352" s="249" t="n"/>
      <c r="AJ352" s="66" t="n"/>
      <c r="AK352" s="250" t="n"/>
      <c r="AL352" s="249" t="n"/>
      <c r="AM352" s="66" t="n"/>
      <c r="AN352" s="250" t="n"/>
      <c r="AO352" s="249" t="n"/>
      <c r="AP352" s="66" t="n"/>
      <c r="AQ352" s="250" t="n"/>
      <c r="AR352" s="249" t="n"/>
      <c r="AS352" s="66" t="n"/>
      <c r="AT352" s="250" t="n"/>
      <c r="AU352" s="249" t="n"/>
      <c r="AV352" s="66" t="n"/>
      <c r="AW352" s="250" t="n"/>
      <c r="AX352" s="249" t="n"/>
      <c r="AY352" s="66" t="n"/>
      <c r="AZ352" s="250" t="n"/>
      <c r="BA352" s="249" t="n"/>
      <c r="BB352" s="66" t="n"/>
      <c r="BC352" s="250" t="n"/>
      <c r="BD352" s="249" t="n"/>
      <c r="BE352" s="66" t="n"/>
      <c r="BF352" s="250" t="n"/>
      <c r="BG352" s="249" t="n"/>
      <c r="BH352" s="66" t="n"/>
      <c r="BI352" s="250" t="n"/>
    </row>
    <row r="353">
      <c r="A353" s="39" t="inlineStr">
        <is>
          <t>(+/-) Outras variações no fluxo de caixa</t>
        </is>
      </c>
      <c r="B353" s="59" t="n"/>
      <c r="C353" s="40" t="inlineStr">
        <is>
          <t>Drivers</t>
        </is>
      </c>
      <c r="D353" s="40" t="inlineStr">
        <is>
          <t>Valores fixos</t>
        </is>
      </c>
      <c r="E353" s="40" t="inlineStr">
        <is>
          <t>Acréscimo</t>
        </is>
      </c>
      <c r="F353" s="63" t="n"/>
      <c r="G353" s="47" t="n"/>
      <c r="H353" s="244" t="n"/>
      <c r="I353" s="42">
        <f>SUM(I354:I360)</f>
        <v/>
      </c>
      <c r="J353" s="43">
        <f>SUM(J354:J360)+SUMIFS(Aut_Ajustes_Manuais!$G:$G,Aut_Ajustes_Manuais!$I:$I,DRE!H$4,Aut_Ajustes_Manuais!$F:$F,"(+/-) Outras variações no fluxo de caixa")</f>
        <v/>
      </c>
      <c r="K353" s="244" t="n"/>
      <c r="L353" s="42">
        <f>SUM(L354:L360)</f>
        <v/>
      </c>
      <c r="M353" s="43">
        <f>SUM(M354:M360)+SUMIFS(Aut_Ajustes_Manuais!$G:$G,Aut_Ajustes_Manuais!$I:$I,DRE!K$4,Aut_Ajustes_Manuais!$F:$F,"(+/-) Outras variações no fluxo de caixa")</f>
        <v/>
      </c>
      <c r="N353" s="244" t="n"/>
      <c r="O353" s="42">
        <f>SUM(O354:O360)</f>
        <v/>
      </c>
      <c r="P353" s="43">
        <f>SUM(P354:P360)+SUMIFS(Aut_Ajustes_Manuais!$G:$G,Aut_Ajustes_Manuais!$I:$I,DRE!N$4,Aut_Ajustes_Manuais!$F:$F,"(+/-) Outras variações no fluxo de caixa")</f>
        <v/>
      </c>
      <c r="Q353" s="244" t="n"/>
      <c r="R353" s="42">
        <f>SUM(R354:R360)</f>
        <v/>
      </c>
      <c r="S353" s="43">
        <f>SUM(S354:S360)+SUMIFS(Aut_Ajustes_Manuais!$G:$G,Aut_Ajustes_Manuais!$I:$I,DRE!Q$4,Aut_Ajustes_Manuais!$F:$F,"(+/-) Outras variações no fluxo de caixa")</f>
        <v/>
      </c>
      <c r="T353" s="244" t="n"/>
      <c r="U353" s="42">
        <f>SUM(U354:U360)</f>
        <v/>
      </c>
      <c r="V353" s="43">
        <f>SUM(V354:V360)+SUMIFS(Aut_Ajustes_Manuais!$G:$G,Aut_Ajustes_Manuais!$I:$I,DRE!T$4,Aut_Ajustes_Manuais!$F:$F,"(+/-) Outras variações no fluxo de caixa")</f>
        <v/>
      </c>
      <c r="W353" s="244" t="n"/>
      <c r="X353" s="42">
        <f>SUM(X354:X360)</f>
        <v/>
      </c>
      <c r="Y353" s="43">
        <f>SUM(Y354:Y360)+SUMIFS(Aut_Ajustes_Manuais!$G:$G,Aut_Ajustes_Manuais!$I:$I,DRE!W$4,Aut_Ajustes_Manuais!$F:$F,"(+/-) Outras variações no fluxo de caixa")</f>
        <v/>
      </c>
      <c r="Z353" s="244" t="n"/>
      <c r="AA353" s="42">
        <f>SUM(AA354:AA360)</f>
        <v/>
      </c>
      <c r="AB353" s="43">
        <f>SUM(AB354:AB360)+SUMIFS(Aut_Ajustes_Manuais!$G:$G,Aut_Ajustes_Manuais!$I:$I,DRE!Z$4,Aut_Ajustes_Manuais!$F:$F,"(+/-) Outras variações no fluxo de caixa")</f>
        <v/>
      </c>
      <c r="AC353" s="244" t="n"/>
      <c r="AD353" s="42">
        <f>SUM(AD354:AD360)</f>
        <v/>
      </c>
      <c r="AE353" s="43">
        <f>SUM(AE354:AE360)+SUMIFS(Aut_Ajustes_Manuais!$G:$G,Aut_Ajustes_Manuais!$I:$I,DRE!AC$4,Aut_Ajustes_Manuais!$F:$F,"(+/-) Outras variações no fluxo de caixa")</f>
        <v/>
      </c>
      <c r="AF353" s="244" t="n"/>
      <c r="AG353" s="42">
        <f>SUM(AG354:AG360)</f>
        <v/>
      </c>
      <c r="AH353" s="43">
        <f>SUM(AH354:AH360)+SUMIFS(Aut_Ajustes_Manuais!$G:$G,Aut_Ajustes_Manuais!$I:$I,DRE!AF$4,Aut_Ajustes_Manuais!$F:$F,"(+/-) Outras variações no fluxo de caixa")</f>
        <v/>
      </c>
      <c r="AI353" s="244" t="n"/>
      <c r="AJ353" s="42">
        <f>SUM(AJ354:AJ360)</f>
        <v/>
      </c>
      <c r="AK353" s="43">
        <f>SUM(AK354:AK360)+SUMIFS(Aut_Ajustes_Manuais!$G:$G,Aut_Ajustes_Manuais!$I:$I,DRE!AI$4,Aut_Ajustes_Manuais!$F:$F,"(+/-) Outras variações no fluxo de caixa")</f>
        <v/>
      </c>
      <c r="AL353" s="244" t="n"/>
      <c r="AM353" s="42">
        <f>SUM(AM354:AM360)</f>
        <v/>
      </c>
      <c r="AN353" s="43">
        <f>SUM(AN354:AN360)+SUMIFS(Aut_Ajustes_Manuais!$G:$G,Aut_Ajustes_Manuais!$I:$I,DRE!AL$4,Aut_Ajustes_Manuais!$F:$F,"(+/-) Outras variações no fluxo de caixa")</f>
        <v/>
      </c>
      <c r="AO353" s="244" t="n"/>
      <c r="AP353" s="42">
        <f>SUM(AP354:AP360)</f>
        <v/>
      </c>
      <c r="AQ353" s="43">
        <f>SUM(AQ354:AQ360)+SUMIFS(Aut_Ajustes_Manuais!$G:$G,Aut_Ajustes_Manuais!$I:$I,DRE!AO$4,Aut_Ajustes_Manuais!$F:$F,"(+/-) Outras variações no fluxo de caixa")</f>
        <v/>
      </c>
      <c r="AR353" s="244">
        <f>SUM(AR354:AR360)</f>
        <v/>
      </c>
      <c r="AS353" s="42">
        <f>SUM(AS354:AS360)</f>
        <v/>
      </c>
      <c r="AT353" s="43">
        <f>SUM(AT354:AT360)</f>
        <v/>
      </c>
      <c r="AU353" s="244">
        <f>SUM(AU354:AU360)</f>
        <v/>
      </c>
      <c r="AV353" s="42">
        <f>SUM(AV354:AV360)</f>
        <v/>
      </c>
      <c r="AW353" s="43">
        <f>SUM(AW354:AW360)</f>
        <v/>
      </c>
      <c r="AX353" s="244">
        <f>SUM(AX354:AX360)</f>
        <v/>
      </c>
      <c r="AY353" s="42">
        <f>SUM(AY354:AY360)</f>
        <v/>
      </c>
      <c r="AZ353" s="43">
        <f>SUM(AZ354:AZ360)</f>
        <v/>
      </c>
      <c r="BA353" s="244">
        <f>SUM(BA354:BA360)</f>
        <v/>
      </c>
      <c r="BB353" s="42">
        <f>SUM(BB354:BB360)</f>
        <v/>
      </c>
      <c r="BC353" s="43">
        <f>SUM(BC354:BC360)</f>
        <v/>
      </c>
      <c r="BD353" s="244">
        <f>SUM(BD354:BD360)</f>
        <v/>
      </c>
      <c r="BE353" s="42">
        <f>SUM(BE354:BE360)</f>
        <v/>
      </c>
      <c r="BF353" s="43">
        <f>SUM(BF354:BF360)</f>
        <v/>
      </c>
      <c r="BG353" s="244">
        <f>SUM(BG354:BG360)</f>
        <v/>
      </c>
      <c r="BH353" s="42">
        <f>SUM(BH354:BH360)</f>
        <v/>
      </c>
      <c r="BI353" s="43">
        <f>SUM(BI354:BI360)</f>
        <v/>
      </c>
    </row>
    <row r="354" hidden="1" outlineLevel="1" customFormat="1" s="498">
      <c r="A354" s="22" t="inlineStr">
        <is>
          <t>Remuneração Variável</t>
        </is>
      </c>
      <c r="B354" s="59" t="n"/>
      <c r="C354" s="24" t="inlineStr">
        <is>
          <t>Estim. Mensal</t>
        </is>
      </c>
      <c r="D354" s="25" t="n"/>
      <c r="E354" s="25" t="n"/>
      <c r="F354" s="63" t="n"/>
      <c r="G354" s="33" t="n"/>
      <c r="H354" s="241" t="n"/>
      <c r="I354" s="27">
        <f>-SUMIFS(T_ORCAMENTOS!$E:$E,T_ORCAMENTOS!$C:$C,"Remuneração Variável",T_ORCAMENTOS!$H:$H,"1/2026")</f>
        <v/>
      </c>
      <c r="J354" s="28">
        <f>SUMIFS(Aut_BlueMe_Sem_Pedido!$J:$J,Aut_BlueMe_Sem_Pedido!$Q:$Q,DRE!H$4,Aut_BlueMe_Sem_Pedido!$H:$H,DRE!$A354)+SUMIFS(Aut_Ajustes_Manuais!$G:$G,Aut_Ajustes_Manuais!$I:$I,DRE!H$4,Aut_Ajustes_Manuais!$F:$F,"Remuneração Variável")</f>
        <v/>
      </c>
      <c r="K354" s="241" t="n"/>
      <c r="L354" s="27">
        <f>-SUMIFS(T_ORCAMENTOS!$E:$E,T_ORCAMENTOS!$C:$C,"Remuneração Variável",T_ORCAMENTOS!$H:$H,"2/2026")</f>
        <v/>
      </c>
      <c r="M354" s="28">
        <f>SUMIFS(Aut_BlueMe_Sem_Pedido!$J:$J,Aut_BlueMe_Sem_Pedido!$Q:$Q,DRE!K$4,Aut_BlueMe_Sem_Pedido!$H:$H,DRE!$A354)+SUMIFS(Aut_Ajustes_Manuais!$G:$G,Aut_Ajustes_Manuais!$I:$I,DRE!K$4,Aut_Ajustes_Manuais!$F:$F,"Remuneração Variável")</f>
        <v/>
      </c>
      <c r="N354" s="241" t="n"/>
      <c r="O354" s="27">
        <f>-SUMIFS(T_ORCAMENTOS!$E:$E,T_ORCAMENTOS!$C:$C,"Remuneração Variável",T_ORCAMENTOS!$H:$H,"3/2026")</f>
        <v/>
      </c>
      <c r="P354" s="28">
        <f>SUMIFS(Aut_BlueMe_Sem_Pedido!$J:$J,Aut_BlueMe_Sem_Pedido!$Q:$Q,DRE!N$4,Aut_BlueMe_Sem_Pedido!$H:$H,DRE!$A354)+SUMIFS(Aut_Ajustes_Manuais!$G:$G,Aut_Ajustes_Manuais!$I:$I,DRE!N$4,Aut_Ajustes_Manuais!$F:$F,"Remuneração Variável")</f>
        <v/>
      </c>
      <c r="Q354" s="241" t="n"/>
      <c r="R354" s="27">
        <f>-SUMIFS(T_ORCAMENTOS!$E:$E,T_ORCAMENTOS!$C:$C,"Remuneração Variável",T_ORCAMENTOS!$H:$H,"4/2026")</f>
        <v/>
      </c>
      <c r="S354" s="28">
        <f>SUMIFS(Aut_BlueMe_Sem_Pedido!$J:$J,Aut_BlueMe_Sem_Pedido!$Q:$Q,DRE!Q$4,Aut_BlueMe_Sem_Pedido!$H:$H,DRE!$A354)+SUMIFS(Aut_Ajustes_Manuais!$G:$G,Aut_Ajustes_Manuais!$I:$I,DRE!Q$4,Aut_Ajustes_Manuais!$F:$F,"Remuneração Variável")</f>
        <v/>
      </c>
      <c r="T354" s="241" t="n"/>
      <c r="U354" s="27">
        <f>-SUMIFS(T_ORCAMENTOS!$E:$E,T_ORCAMENTOS!$C:$C,"Remuneração Variável",T_ORCAMENTOS!$H:$H,"5/2026")</f>
        <v/>
      </c>
      <c r="V354" s="28">
        <f>SUMIFS(Aut_BlueMe_Sem_Pedido!$J:$J,Aut_BlueMe_Sem_Pedido!$Q:$Q,DRE!T$4,Aut_BlueMe_Sem_Pedido!$H:$H,DRE!$A354)+SUMIFS(Aut_Ajustes_Manuais!$G:$G,Aut_Ajustes_Manuais!$I:$I,DRE!T$4,Aut_Ajustes_Manuais!$F:$F,"Remuneração Variável")</f>
        <v/>
      </c>
      <c r="W354" s="241" t="n"/>
      <c r="X354" s="27">
        <f>-SUMIFS(T_ORCAMENTOS!$E:$E,T_ORCAMENTOS!$C:$C,"Remuneração Variável",T_ORCAMENTOS!$H:$H,"6/2026")</f>
        <v/>
      </c>
      <c r="Y354" s="28">
        <f>SUMIFS(Aut_BlueMe_Sem_Pedido!$J:$J,Aut_BlueMe_Sem_Pedido!$Q:$Q,DRE!W$4,Aut_BlueMe_Sem_Pedido!$H:$H,DRE!$A354)+SUMIFS(Aut_Ajustes_Manuais!$G:$G,Aut_Ajustes_Manuais!$I:$I,DRE!W$4,Aut_Ajustes_Manuais!$F:$F,"Remuneração Variável")</f>
        <v/>
      </c>
      <c r="Z354" s="241" t="n"/>
      <c r="AA354" s="27">
        <f>-SUMIFS(T_ORCAMENTOS!$E:$E,T_ORCAMENTOS!$C:$C,"Remuneração Variável",T_ORCAMENTOS!$H:$H,"7/2026")</f>
        <v/>
      </c>
      <c r="AB354" s="28">
        <f>SUMIFS(Aut_BlueMe_Sem_Pedido!$J:$J,Aut_BlueMe_Sem_Pedido!$Q:$Q,DRE!Z$4,Aut_BlueMe_Sem_Pedido!$H:$H,DRE!$A354)+SUMIFS(Aut_Ajustes_Manuais!$G:$G,Aut_Ajustes_Manuais!$I:$I,DRE!Z$4,Aut_Ajustes_Manuais!$F:$F,"Remuneração Variável")</f>
        <v/>
      </c>
      <c r="AC354" s="241" t="n"/>
      <c r="AD354" s="27">
        <f>-SUMIFS(T_ORCAMENTOS!$E:$E,T_ORCAMENTOS!$C:$C,"Remuneração Variável",T_ORCAMENTOS!$H:$H,"8/2026")</f>
        <v/>
      </c>
      <c r="AE354" s="28">
        <f>SUMIFS(Aut_BlueMe_Sem_Pedido!$J:$J,Aut_BlueMe_Sem_Pedido!$Q:$Q,DRE!AC$4,Aut_BlueMe_Sem_Pedido!$H:$H,DRE!$A354)+SUMIFS(Aut_Ajustes_Manuais!$G:$G,Aut_Ajustes_Manuais!$I:$I,DRE!AC$4,Aut_Ajustes_Manuais!$F:$F,"Remuneração Variável")</f>
        <v/>
      </c>
      <c r="AF354" s="241" t="n"/>
      <c r="AG354" s="27">
        <f>-SUMIFS(T_ORCAMENTOS!$E:$E,T_ORCAMENTOS!$C:$C,"Remuneração Variável",T_ORCAMENTOS!$H:$H,"9/2026")</f>
        <v/>
      </c>
      <c r="AH354" s="28">
        <f>SUMIFS(Aut_BlueMe_Sem_Pedido!$J:$J,Aut_BlueMe_Sem_Pedido!$Q:$Q,DRE!AF$4,Aut_BlueMe_Sem_Pedido!$H:$H,DRE!$A354)+SUMIFS(Aut_Ajustes_Manuais!$G:$G,Aut_Ajustes_Manuais!$I:$I,DRE!AF$4,Aut_Ajustes_Manuais!$F:$F,"Remuneração Variável")</f>
        <v/>
      </c>
      <c r="AI354" s="241" t="n"/>
      <c r="AJ354" s="27">
        <f>-SUMIFS(T_ORCAMENTOS!$E:$E,T_ORCAMENTOS!$C:$C,"Remuneração Variável",T_ORCAMENTOS!$H:$H,"10/2026")</f>
        <v/>
      </c>
      <c r="AK354" s="28">
        <f>SUMIFS(Aut_BlueMe_Sem_Pedido!$J:$J,Aut_BlueMe_Sem_Pedido!$Q:$Q,DRE!AI$4,Aut_BlueMe_Sem_Pedido!$H:$H,DRE!$A354)+SUMIFS(Aut_Ajustes_Manuais!$G:$G,Aut_Ajustes_Manuais!$I:$I,DRE!AI$4,Aut_Ajustes_Manuais!$F:$F,"Remuneração Variável")</f>
        <v/>
      </c>
      <c r="AL354" s="241" t="n"/>
      <c r="AM354" s="27">
        <f>-SUMIFS(T_ORCAMENTOS!$E:$E,T_ORCAMENTOS!$C:$C,"Remuneração Variável",T_ORCAMENTOS!$H:$H,"11/2026")</f>
        <v/>
      </c>
      <c r="AN354" s="28">
        <f>SUMIFS(Aut_BlueMe_Sem_Pedido!$J:$J,Aut_BlueMe_Sem_Pedido!$Q:$Q,DRE!AL$4,Aut_BlueMe_Sem_Pedido!$H:$H,DRE!$A354)+SUMIFS(Aut_Ajustes_Manuais!$G:$G,Aut_Ajustes_Manuais!$I:$I,DRE!AL$4,Aut_Ajustes_Manuais!$F:$F,"Remuneração Variável")</f>
        <v/>
      </c>
      <c r="AO354" s="241" t="n"/>
      <c r="AP354" s="27">
        <f>-SUMIFS(T_ORCAMENTOS!$E:$E,T_ORCAMENTOS!$C:$C,"Remuneração Variável",T_ORCAMENTOS!$H:$H,"12/2026")</f>
        <v/>
      </c>
      <c r="AQ354" s="28">
        <f>SUMIFS(Aut_BlueMe_Sem_Pedido!$J:$J,Aut_BlueMe_Sem_Pedido!$Q:$Q,DRE!AO$4,Aut_BlueMe_Sem_Pedido!$H:$H,DRE!$A354)+SUMIFS(Aut_Ajustes_Manuais!$G:$G,Aut_Ajustes_Manuais!$I:$I,DRE!AO$4,Aut_Ajustes_Manuais!$F:$F,"Remuneração Variável")</f>
        <v/>
      </c>
      <c r="AR354" s="241">
        <f>SUMIFS($H354:$AO354,$H$5:$AO$5,"&lt;"&amp;MONTH(TODAY()),$H$6:$AO$6,"REAL 25")</f>
        <v/>
      </c>
      <c r="AS354" s="27">
        <f>SUMIFS($I354:$AP354,$I$5:$AP$5,"&lt;"&amp;MONTH(TODAY()),$I$6:$AP$6,"ORÇADO ")</f>
        <v/>
      </c>
      <c r="AT354" s="28">
        <f>SUMIFS($J354:$AQ354,$J$5:$AQ$5,"&lt;"&amp;MONTH(TODAY()),$J$6:$AQ$6,"REAL 26")</f>
        <v/>
      </c>
      <c r="AU354" s="241">
        <f>SUM(H354,K354,N354,Q354,T354,W354,Z354,AC354,AF354,AI354,AL354,AO354)</f>
        <v/>
      </c>
      <c r="AV354" s="27">
        <f>SUM(I354,L354,O354,R354,U354,X354,AA354,AD354,AG354,AJ354,AM354,AP354)</f>
        <v/>
      </c>
      <c r="AW354" s="28">
        <f>SUM(J354,M354,P354,S354,V354,Y354,AB354,AE354,AH354,AK354,AN354,AQ354)</f>
        <v/>
      </c>
      <c r="AX354" s="241">
        <f>SUM(H354,K354,N354)</f>
        <v/>
      </c>
      <c r="AY354" s="27">
        <f>SUM(I354,L354,O354)</f>
        <v/>
      </c>
      <c r="AZ354" s="28">
        <f>SUM(J354,M354,P354)</f>
        <v/>
      </c>
      <c r="BA354" s="241">
        <f>SUM(Q354,T354,W354)</f>
        <v/>
      </c>
      <c r="BB354" s="27">
        <f>SUM(R354,U354,X354)</f>
        <v/>
      </c>
      <c r="BC354" s="28">
        <f>SUM(S354,V354,Y354)</f>
        <v/>
      </c>
      <c r="BD354" s="241">
        <f>SUM(Z354,AC354,AF354)</f>
        <v/>
      </c>
      <c r="BE354" s="27">
        <f>SUM(AA354,AD354,AG354)</f>
        <v/>
      </c>
      <c r="BF354" s="28">
        <f>SUM(AB354,AE354,AH354)</f>
        <v/>
      </c>
      <c r="BG354" s="241">
        <f>SUM(AI354,AL354,AO354)</f>
        <v/>
      </c>
      <c r="BH354" s="27">
        <f>SUM(AJ354,AM354,AP354)</f>
        <v/>
      </c>
      <c r="BI354" s="28">
        <f>SUM(AK354,AN354,AQ354)</f>
        <v/>
      </c>
    </row>
    <row r="355" hidden="1" outlineLevel="1" customFormat="1" s="498">
      <c r="A355" s="22" t="inlineStr">
        <is>
          <t>Dividendos</t>
        </is>
      </c>
      <c r="B355" s="59" t="n"/>
      <c r="C355" s="24" t="inlineStr">
        <is>
          <t>Estim. Mensal</t>
        </is>
      </c>
      <c r="D355" s="25" t="n"/>
      <c r="E355" s="25" t="n"/>
      <c r="F355" s="63" t="n"/>
      <c r="G355" s="33" t="n"/>
      <c r="H355" s="241" t="n"/>
      <c r="I355" s="27" t="n"/>
      <c r="J355" s="28">
        <f>SUMIFS(Aut_BlueMe_Sem_Pedido!$J:$J,Aut_BlueMe_Sem_Pedido!$Q:$Q,DRE!H$4,Aut_BlueMe_Sem_Pedido!$H:$H,DRE!$A355)+SUMIFS(Aut_Ajustes_Manuais!$G:$G,Aut_Ajustes_Manuais!$I:$I,DRE!H$4,Aut_Ajustes_Manuais!$F:$F,"Dividendos")</f>
        <v/>
      </c>
      <c r="K355" s="241" t="n"/>
      <c r="L355" s="27" t="n"/>
      <c r="M355" s="28">
        <f>SUMIFS(Aut_BlueMe_Sem_Pedido!$J:$J,Aut_BlueMe_Sem_Pedido!$Q:$Q,DRE!K$4,Aut_BlueMe_Sem_Pedido!$H:$H,DRE!$A355)+SUMIFS(Aut_Ajustes_Manuais!$G:$G,Aut_Ajustes_Manuais!$I:$I,DRE!K$4,Aut_Ajustes_Manuais!$F:$F,"Dividendos")</f>
        <v/>
      </c>
      <c r="N355" s="241" t="n"/>
      <c r="O355" s="27" t="n"/>
      <c r="P355" s="28">
        <f>SUMIFS(Aut_BlueMe_Sem_Pedido!$J:$J,Aut_BlueMe_Sem_Pedido!$Q:$Q,DRE!N$4,Aut_BlueMe_Sem_Pedido!$H:$H,DRE!$A355)+SUMIFS(Aut_Ajustes_Manuais!$G:$G,Aut_Ajustes_Manuais!$I:$I,DRE!N$4,Aut_Ajustes_Manuais!$F:$F,"Dividendos")</f>
        <v/>
      </c>
      <c r="Q355" s="241" t="n"/>
      <c r="R355" s="27" t="n"/>
      <c r="S355" s="28">
        <f>SUMIFS(Aut_BlueMe_Sem_Pedido!$J:$J,Aut_BlueMe_Sem_Pedido!$Q:$Q,DRE!Q$4,Aut_BlueMe_Sem_Pedido!$H:$H,DRE!$A355)+SUMIFS(Aut_Ajustes_Manuais!$G:$G,Aut_Ajustes_Manuais!$I:$I,DRE!Q$4,Aut_Ajustes_Manuais!$F:$F,"Dividendos")</f>
        <v/>
      </c>
      <c r="T355" s="241" t="n"/>
      <c r="U355" s="27" t="n"/>
      <c r="V355" s="28">
        <f>SUMIFS(Aut_BlueMe_Sem_Pedido!$J:$J,Aut_BlueMe_Sem_Pedido!$Q:$Q,DRE!T$4,Aut_BlueMe_Sem_Pedido!$H:$H,DRE!$A355)+SUMIFS(Aut_Ajustes_Manuais!$G:$G,Aut_Ajustes_Manuais!$I:$I,DRE!T$4,Aut_Ajustes_Manuais!$F:$F,"Dividendos")</f>
        <v/>
      </c>
      <c r="W355" s="241" t="n"/>
      <c r="X355" s="27" t="n"/>
      <c r="Y355" s="28">
        <f>SUMIFS(Aut_BlueMe_Sem_Pedido!$J:$J,Aut_BlueMe_Sem_Pedido!$Q:$Q,DRE!W$4,Aut_BlueMe_Sem_Pedido!$H:$H,DRE!$A355)+SUMIFS(Aut_Ajustes_Manuais!$G:$G,Aut_Ajustes_Manuais!$I:$I,DRE!W$4,Aut_Ajustes_Manuais!$F:$F,"Dividendos")</f>
        <v/>
      </c>
      <c r="Z355" s="241" t="n"/>
      <c r="AA355" s="27" t="n"/>
      <c r="AB355" s="28">
        <f>SUMIFS(Aut_BlueMe_Sem_Pedido!$J:$J,Aut_BlueMe_Sem_Pedido!$Q:$Q,DRE!Z$4,Aut_BlueMe_Sem_Pedido!$H:$H,DRE!$A355)+SUMIFS(Aut_Ajustes_Manuais!$G:$G,Aut_Ajustes_Manuais!$I:$I,DRE!Z$4,Aut_Ajustes_Manuais!$F:$F,"Dividendos")</f>
        <v/>
      </c>
      <c r="AC355" s="241" t="n"/>
      <c r="AD355" s="27" t="n"/>
      <c r="AE355" s="28">
        <f>SUMIFS(Aut_BlueMe_Sem_Pedido!$J:$J,Aut_BlueMe_Sem_Pedido!$Q:$Q,DRE!AC$4,Aut_BlueMe_Sem_Pedido!$H:$H,DRE!$A355)+SUMIFS(Aut_Ajustes_Manuais!$G:$G,Aut_Ajustes_Manuais!$I:$I,DRE!AC$4,Aut_Ajustes_Manuais!$F:$F,"Dividendos")</f>
        <v/>
      </c>
      <c r="AF355" s="241" t="n"/>
      <c r="AG355" s="27" t="n"/>
      <c r="AH355" s="28">
        <f>SUMIFS(Aut_BlueMe_Sem_Pedido!$J:$J,Aut_BlueMe_Sem_Pedido!$Q:$Q,DRE!AF$4,Aut_BlueMe_Sem_Pedido!$H:$H,DRE!$A355)+SUMIFS(Aut_Ajustes_Manuais!$G:$G,Aut_Ajustes_Manuais!$I:$I,DRE!AF$4,Aut_Ajustes_Manuais!$F:$F,"Dividendos")</f>
        <v/>
      </c>
      <c r="AI355" s="241" t="n"/>
      <c r="AJ355" s="27" t="n"/>
      <c r="AK355" s="28">
        <f>SUMIFS(Aut_BlueMe_Sem_Pedido!$J:$J,Aut_BlueMe_Sem_Pedido!$Q:$Q,DRE!AI$4,Aut_BlueMe_Sem_Pedido!$H:$H,DRE!$A355)+SUMIFS(Aut_Ajustes_Manuais!$G:$G,Aut_Ajustes_Manuais!$I:$I,DRE!AI$4,Aut_Ajustes_Manuais!$F:$F,"Dividendos")</f>
        <v/>
      </c>
      <c r="AL355" s="241" t="n"/>
      <c r="AM355" s="27" t="n"/>
      <c r="AN355" s="28">
        <f>SUMIFS(Aut_BlueMe_Sem_Pedido!$J:$J,Aut_BlueMe_Sem_Pedido!$Q:$Q,DRE!AL$4,Aut_BlueMe_Sem_Pedido!$H:$H,DRE!$A355)+SUMIFS(Aut_Ajustes_Manuais!$G:$G,Aut_Ajustes_Manuais!$I:$I,DRE!AL$4,Aut_Ajustes_Manuais!$F:$F,"Dividendos")</f>
        <v/>
      </c>
      <c r="AO355" s="241" t="n"/>
      <c r="AP355" s="27" t="n"/>
      <c r="AQ355" s="28">
        <f>SUMIFS(Aut_BlueMe_Sem_Pedido!$J:$J,Aut_BlueMe_Sem_Pedido!$Q:$Q,DRE!AO$4,Aut_BlueMe_Sem_Pedido!$H:$H,DRE!$A355)+SUMIFS(Aut_Ajustes_Manuais!$G:$G,Aut_Ajustes_Manuais!$I:$I,DRE!AO$4,Aut_Ajustes_Manuais!$F:$F,"Dividendos")</f>
        <v/>
      </c>
      <c r="AR355" s="241">
        <f>SUMIFS($H355:$AO355,$H$5:$AO$5,"&lt;"&amp;MONTH(TODAY()),$H$6:$AO$6,"REAL 25")</f>
        <v/>
      </c>
      <c r="AS355" s="27">
        <f>SUMIFS($I355:$AP355,$I$5:$AP$5,"&lt;"&amp;MONTH(TODAY()),$I$6:$AP$6,"ORÇADO ")</f>
        <v/>
      </c>
      <c r="AT355" s="28">
        <f>SUMIFS($J355:$AQ355,$J$5:$AQ$5,"&lt;"&amp;MONTH(TODAY()),$J$6:$AQ$6,"REAL 26")</f>
        <v/>
      </c>
      <c r="AU355" s="241">
        <f>SUM(H355,K355,N355,Q355,T355,W355,Z355,AC355,AF355,AI355,AL355,AO355)</f>
        <v/>
      </c>
      <c r="AV355" s="27">
        <f>SUM(I355,L355,O355,R355,U355,X355,AA355,AD355,AG355,AJ355,AM355,AP355)</f>
        <v/>
      </c>
      <c r="AW355" s="28">
        <f>SUM(J355,M355,P355,S355,V355,Y355,AB355,AE355,AH355,AK355,AN355,AQ355)</f>
        <v/>
      </c>
      <c r="AX355" s="241">
        <f>SUM(H355,K355,N355)</f>
        <v/>
      </c>
      <c r="AY355" s="27">
        <f>SUM(I355,L355,O355)</f>
        <v/>
      </c>
      <c r="AZ355" s="28">
        <f>SUM(J355,M355,P355)</f>
        <v/>
      </c>
      <c r="BA355" s="241">
        <f>SUM(Q355,T355,W355)</f>
        <v/>
      </c>
      <c r="BB355" s="27">
        <f>SUM(R355,U355,X355)</f>
        <v/>
      </c>
      <c r="BC355" s="28">
        <f>SUM(S355,V355,Y355)</f>
        <v/>
      </c>
      <c r="BD355" s="241">
        <f>SUM(Z355,AC355,AF355)</f>
        <v/>
      </c>
      <c r="BE355" s="27">
        <f>SUM(AA355,AD355,AG355)</f>
        <v/>
      </c>
      <c r="BF355" s="28">
        <f>SUM(AB355,AE355,AH355)</f>
        <v/>
      </c>
      <c r="BG355" s="241">
        <f>SUM(AI355,AL355,AO355)</f>
        <v/>
      </c>
      <c r="BH355" s="27">
        <f>SUM(AJ355,AM355,AP355)</f>
        <v/>
      </c>
      <c r="BI355" s="28">
        <f>SUM(AK355,AN355,AQ355)</f>
        <v/>
      </c>
    </row>
    <row r="356" hidden="1" outlineLevel="1" customFormat="1" s="498">
      <c r="A356" s="22" t="inlineStr">
        <is>
          <t>Endividamento Geral</t>
        </is>
      </c>
      <c r="B356" s="59" t="n"/>
      <c r="C356" s="24" t="inlineStr">
        <is>
          <t>Estim. Mensal</t>
        </is>
      </c>
      <c r="D356" s="25" t="n"/>
      <c r="E356" s="25" t="n"/>
      <c r="F356" s="63" t="n"/>
      <c r="G356" s="33" t="n"/>
      <c r="H356" s="241" t="n"/>
      <c r="I356" s="27">
        <f>SUMIFS(T_ORCAMENTOS!$E:$E,T_ORCAMENTOS!$C:$C,"Endividamento Geral",T_ORCAMENTOS!$H:$H,"1/2026")</f>
        <v/>
      </c>
      <c r="J356" s="28">
        <f>-SUMIFS(Aut_Endividamentos!$N:$N,Aut_Endividamentos!$S:$S,DRE!H$4,Aut_Endividamentos!$G:$G,$A356)+SUMIFS(Aut_Ajustes_Manuais!$G:$G,Aut_Ajustes_Manuais!$I:$I,DRE!H$4,Aut_Ajustes_Manuais!$F:$F,"Endividamento Geral")</f>
        <v/>
      </c>
      <c r="K356" s="241" t="n"/>
      <c r="L356" s="27">
        <f>SUMIFS(T_ORCAMENTOS!$E:$E,T_ORCAMENTOS!$C:$C,"Endividamento Geral",T_ORCAMENTOS!$H:$H,"2/2026")</f>
        <v/>
      </c>
      <c r="M356" s="28">
        <f>-SUMIFS(Aut_Endividamentos!$N:$N,Aut_Endividamentos!$S:$S,DRE!K$4,Aut_Endividamentos!$G:$G,$A356)+SUMIFS(Aut_Ajustes_Manuais!$G:$G,Aut_Ajustes_Manuais!$I:$I,DRE!K$4,Aut_Ajustes_Manuais!$F:$F,"Endividamento Geral")</f>
        <v/>
      </c>
      <c r="N356" s="241" t="n"/>
      <c r="O356" s="27">
        <f>SUMIFS(T_ORCAMENTOS!$E:$E,T_ORCAMENTOS!$C:$C,"Endividamento Geral",T_ORCAMENTOS!$H:$H,"3/2026")</f>
        <v/>
      </c>
      <c r="P356" s="28">
        <f>-SUMIFS(Aut_Endividamentos!$N:$N,Aut_Endividamentos!$S:$S,DRE!N$4,Aut_Endividamentos!$G:$G,$A356)+SUMIFS(Aut_Ajustes_Manuais!$G:$G,Aut_Ajustes_Manuais!$I:$I,DRE!N$4,Aut_Ajustes_Manuais!$F:$F,"Endividamento Geral")</f>
        <v/>
      </c>
      <c r="Q356" s="241" t="n"/>
      <c r="R356" s="27">
        <f>SUMIFS(T_ORCAMENTOS!$E:$E,T_ORCAMENTOS!$C:$C,"Endividamento Geral",T_ORCAMENTOS!$H:$H,"4/2026")</f>
        <v/>
      </c>
      <c r="S356" s="28">
        <f>-SUMIFS(Aut_Endividamentos!$N:$N,Aut_Endividamentos!$S:$S,DRE!Q$4,Aut_Endividamentos!$G:$G,$A356)+SUMIFS(Aut_Ajustes_Manuais!$G:$G,Aut_Ajustes_Manuais!$I:$I,DRE!Q$4,Aut_Ajustes_Manuais!$F:$F,"Endividamento Geral")</f>
        <v/>
      </c>
      <c r="T356" s="241" t="n"/>
      <c r="U356" s="27">
        <f>SUMIFS(T_ORCAMENTOS!$E:$E,T_ORCAMENTOS!$C:$C,"Endividamento Geral",T_ORCAMENTOS!$H:$H,"5/2026")</f>
        <v/>
      </c>
      <c r="V356" s="28">
        <f>-SUMIFS(Aut_Endividamentos!$N:$N,Aut_Endividamentos!$S:$S,DRE!T$4,Aut_Endividamentos!$G:$G,$A356)+SUMIFS(Aut_Ajustes_Manuais!$G:$G,Aut_Ajustes_Manuais!$I:$I,DRE!T$4,Aut_Ajustes_Manuais!$F:$F,"Endividamento Geral")</f>
        <v/>
      </c>
      <c r="W356" s="241" t="n"/>
      <c r="X356" s="27">
        <f>SUMIFS(T_ORCAMENTOS!$E:$E,T_ORCAMENTOS!$C:$C,"Endividamento Geral",T_ORCAMENTOS!$H:$H,"6/2026")</f>
        <v/>
      </c>
      <c r="Y356" s="28">
        <f>-SUMIFS(Aut_Endividamentos!$N:$N,Aut_Endividamentos!$S:$S,DRE!W$4,Aut_Endividamentos!$G:$G,$A356)+SUMIFS(Aut_Ajustes_Manuais!$G:$G,Aut_Ajustes_Manuais!$I:$I,DRE!W$4,Aut_Ajustes_Manuais!$F:$F,"Endividamento Geral")</f>
        <v/>
      </c>
      <c r="Z356" s="241" t="n"/>
      <c r="AA356" s="27">
        <f>SUMIFS(T_ORCAMENTOS!$E:$E,T_ORCAMENTOS!$C:$C,"Endividamento Geral",T_ORCAMENTOS!$H:$H,"7/2026")</f>
        <v/>
      </c>
      <c r="AB356" s="28">
        <f>-SUMIFS(Aut_Endividamentos!$N:$N,Aut_Endividamentos!$S:$S,DRE!Z$4,Aut_Endividamentos!$G:$G,$A356)+SUMIFS(Aut_Ajustes_Manuais!$G:$G,Aut_Ajustes_Manuais!$I:$I,DRE!Z$4,Aut_Ajustes_Manuais!$F:$F,"Endividamento Geral")</f>
        <v/>
      </c>
      <c r="AC356" s="241" t="n"/>
      <c r="AD356" s="27">
        <f>SUMIFS(T_ORCAMENTOS!$E:$E,T_ORCAMENTOS!$C:$C,"Endividamento Geral",T_ORCAMENTOS!$H:$H,"8/2026")</f>
        <v/>
      </c>
      <c r="AE356" s="28">
        <f>-SUMIFS(Aut_Endividamentos!$N:$N,Aut_Endividamentos!$S:$S,DRE!AC$4,Aut_Endividamentos!$G:$G,$A356)+SUMIFS(Aut_Ajustes_Manuais!$G:$G,Aut_Ajustes_Manuais!$I:$I,DRE!AC$4,Aut_Ajustes_Manuais!$F:$F,"Endividamento Geral")</f>
        <v/>
      </c>
      <c r="AF356" s="241" t="n"/>
      <c r="AG356" s="27">
        <f>SUMIFS(T_ORCAMENTOS!$E:$E,T_ORCAMENTOS!$C:$C,"Endividamento Geral",T_ORCAMENTOS!$H:$H,"9/2026")</f>
        <v/>
      </c>
      <c r="AH356" s="28">
        <f>-SUMIFS(Aut_Endividamentos!$N:$N,Aut_Endividamentos!$S:$S,DRE!AF$4,Aut_Endividamentos!$G:$G,$A356)+SUMIFS(Aut_Ajustes_Manuais!$G:$G,Aut_Ajustes_Manuais!$I:$I,DRE!AF$4,Aut_Ajustes_Manuais!$F:$F,"Endividamento Geral")</f>
        <v/>
      </c>
      <c r="AI356" s="241" t="n"/>
      <c r="AJ356" s="27">
        <f>SUMIFS(T_ORCAMENTOS!$E:$E,T_ORCAMENTOS!$C:$C,"Endividamento Geral",T_ORCAMENTOS!$H:$H,"10/2026")</f>
        <v/>
      </c>
      <c r="AK356" s="28">
        <f>-SUMIFS(Aut_Endividamentos!$N:$N,Aut_Endividamentos!$S:$S,DRE!AI$4,Aut_Endividamentos!$G:$G,$A356)+SUMIFS(Aut_Ajustes_Manuais!$G:$G,Aut_Ajustes_Manuais!$I:$I,DRE!AI$4,Aut_Ajustes_Manuais!$F:$F,"Endividamento Geral")</f>
        <v/>
      </c>
      <c r="AL356" s="241" t="n"/>
      <c r="AM356" s="27">
        <f>SUMIFS(T_ORCAMENTOS!$E:$E,T_ORCAMENTOS!$C:$C,"Endividamento Geral",T_ORCAMENTOS!$H:$H,"11/2026")</f>
        <v/>
      </c>
      <c r="AN356" s="28">
        <f>-SUMIFS(Aut_Endividamentos!$N:$N,Aut_Endividamentos!$S:$S,DRE!AL$4,Aut_Endividamentos!$G:$G,$A356)+SUMIFS(Aut_Ajustes_Manuais!$G:$G,Aut_Ajustes_Manuais!$I:$I,DRE!AL$4,Aut_Ajustes_Manuais!$F:$F,"Endividamento Geral")</f>
        <v/>
      </c>
      <c r="AO356" s="241" t="n"/>
      <c r="AP356" s="27">
        <f>SUMIFS(T_ORCAMENTOS!$E:$E,T_ORCAMENTOS!$C:$C,"Endividamento Geral",T_ORCAMENTOS!$H:$H,"12/2026")</f>
        <v/>
      </c>
      <c r="AQ356" s="28">
        <f>-SUMIFS(Aut_Endividamentos!$N:$N,Aut_Endividamentos!$S:$S,DRE!AO$4,Aut_Endividamentos!$G:$G,$A356)+SUMIFS(Aut_Ajustes_Manuais!$G:$G,Aut_Ajustes_Manuais!$I:$I,DRE!AO$4,Aut_Ajustes_Manuais!$F:$F,"Endividamento Geral")</f>
        <v/>
      </c>
      <c r="AR356" s="241">
        <f>SUMIFS($H356:$AO356,$H$5:$AO$5,"&lt;"&amp;MONTH(TODAY()),$H$6:$AO$6,"REAL 25")</f>
        <v/>
      </c>
      <c r="AS356" s="27">
        <f>SUMIFS($I356:$AP356,$I$5:$AP$5,"&lt;"&amp;MONTH(TODAY()),$I$6:$AP$6,"ORÇADO ")</f>
        <v/>
      </c>
      <c r="AT356" s="28">
        <f>SUMIFS($J356:$AQ356,$J$5:$AQ$5,"&lt;"&amp;MONTH(TODAY()),$J$6:$AQ$6,"REAL 26")</f>
        <v/>
      </c>
      <c r="AU356" s="241">
        <f>SUM(H356,K356,N356,Q356,T356,W356,Z356,AC356,AF356,AI356,AL356,AO356)</f>
        <v/>
      </c>
      <c r="AV356" s="27">
        <f>SUM(I356,L356,O356,R356,U356,X356,AA356,AD356,AG356,AJ356,AM356,AP356)</f>
        <v/>
      </c>
      <c r="AW356" s="28">
        <f>SUM(J356,M356,P356,S356,V356,Y356,AB356,AE356,AH356,AK356,AN356,AQ356)</f>
        <v/>
      </c>
      <c r="AX356" s="241">
        <f>SUM(H356,K356,N356)</f>
        <v/>
      </c>
      <c r="AY356" s="27">
        <f>SUM(I356,L356,O356)</f>
        <v/>
      </c>
      <c r="AZ356" s="28">
        <f>SUM(J356,M356,P356)</f>
        <v/>
      </c>
      <c r="BA356" s="241">
        <f>SUM(Q356,T356,W356)</f>
        <v/>
      </c>
      <c r="BB356" s="27">
        <f>SUM(R356,U356,X356)</f>
        <v/>
      </c>
      <c r="BC356" s="28">
        <f>SUM(S356,V356,Y356)</f>
        <v/>
      </c>
      <c r="BD356" s="241">
        <f>SUM(Z356,AC356,AF356)</f>
        <v/>
      </c>
      <c r="BE356" s="27">
        <f>SUM(AA356,AD356,AG356)</f>
        <v/>
      </c>
      <c r="BF356" s="28">
        <f>SUM(AB356,AE356,AH356)</f>
        <v/>
      </c>
      <c r="BG356" s="241">
        <f>SUM(AI356,AL356,AO356)</f>
        <v/>
      </c>
      <c r="BH356" s="27">
        <f>SUM(AJ356,AM356,AP356)</f>
        <v/>
      </c>
      <c r="BI356" s="28">
        <f>SUM(AK356,AN356,AQ356)</f>
        <v/>
      </c>
    </row>
    <row r="357" hidden="1" outlineLevel="1" customFormat="1" s="498">
      <c r="A357" s="22" t="inlineStr">
        <is>
          <t>Processo Judicial</t>
        </is>
      </c>
      <c r="B357" s="59" t="n"/>
      <c r="C357" s="24" t="inlineStr">
        <is>
          <t>Estim. Mensal</t>
        </is>
      </c>
      <c r="D357" s="25" t="n"/>
      <c r="E357" s="25" t="n"/>
      <c r="F357" s="63" t="n"/>
      <c r="G357" s="33" t="n"/>
      <c r="H357" s="241" t="n"/>
      <c r="I357" s="27" t="n"/>
      <c r="J357" s="28">
        <f>-SUMIFS(Aut_Endividamentos!$N:$N,Aut_Endividamentos!$S:$S,DRE!H$4,Aut_Endividamentos!$G:$G,$A357)+SUMIFS(Aut_Ajustes_Manuais!$G:$G,Aut_Ajustes_Manuais!$I:$I,DRE!H$4,Aut_Ajustes_Manuais!$F:$F,"Processo Judicial")</f>
        <v/>
      </c>
      <c r="K357" s="241" t="n"/>
      <c r="L357" s="27" t="n"/>
      <c r="M357" s="28">
        <f>-SUMIFS(Aut_Endividamentos!$N:$N,Aut_Endividamentos!$S:$S,DRE!K$4,Aut_Endividamentos!$G:$G,$A357)+SUMIFS(Aut_Ajustes_Manuais!$G:$G,Aut_Ajustes_Manuais!$I:$I,DRE!K$4,Aut_Ajustes_Manuais!$F:$F,"Processo Judicial")</f>
        <v/>
      </c>
      <c r="N357" s="241" t="n"/>
      <c r="O357" s="27" t="n"/>
      <c r="P357" s="28">
        <f>-SUMIFS(Aut_Endividamentos!$N:$N,Aut_Endividamentos!$S:$S,DRE!N$4,Aut_Endividamentos!$G:$G,$A357)+SUMIFS(Aut_Ajustes_Manuais!$G:$G,Aut_Ajustes_Manuais!$I:$I,DRE!N$4,Aut_Ajustes_Manuais!$F:$F,"Processo Judicial")</f>
        <v/>
      </c>
      <c r="Q357" s="241" t="n"/>
      <c r="R357" s="27" t="n"/>
      <c r="S357" s="28">
        <f>-SUMIFS(Aut_Endividamentos!$N:$N,Aut_Endividamentos!$S:$S,DRE!Q$4,Aut_Endividamentos!$G:$G,$A357)+SUMIFS(Aut_Ajustes_Manuais!$G:$G,Aut_Ajustes_Manuais!$I:$I,DRE!Q$4,Aut_Ajustes_Manuais!$F:$F,"Processo Judicial")</f>
        <v/>
      </c>
      <c r="T357" s="241" t="n"/>
      <c r="U357" s="27" t="n"/>
      <c r="V357" s="28">
        <f>-SUMIFS(Aut_Endividamentos!$N:$N,Aut_Endividamentos!$S:$S,DRE!T$4,Aut_Endividamentos!$G:$G,$A357)+SUMIFS(Aut_Ajustes_Manuais!$G:$G,Aut_Ajustes_Manuais!$I:$I,DRE!T$4,Aut_Ajustes_Manuais!$F:$F,"Processo Judicial")</f>
        <v/>
      </c>
      <c r="W357" s="241" t="n"/>
      <c r="X357" s="27" t="n"/>
      <c r="Y357" s="28">
        <f>-SUMIFS(Aut_Endividamentos!$N:$N,Aut_Endividamentos!$S:$S,DRE!W$4,Aut_Endividamentos!$G:$G,$A357)+SUMIFS(Aut_Ajustes_Manuais!$G:$G,Aut_Ajustes_Manuais!$I:$I,DRE!W$4,Aut_Ajustes_Manuais!$F:$F,"Processo Judicial")</f>
        <v/>
      </c>
      <c r="Z357" s="241" t="n"/>
      <c r="AA357" s="27" t="n"/>
      <c r="AB357" s="28">
        <f>-SUMIFS(Aut_Endividamentos!$N:$N,Aut_Endividamentos!$S:$S,DRE!Z$4,Aut_Endividamentos!$G:$G,$A357)+SUMIFS(Aut_Ajustes_Manuais!$G:$G,Aut_Ajustes_Manuais!$I:$I,DRE!Z$4,Aut_Ajustes_Manuais!$F:$F,"Processo Judicial")</f>
        <v/>
      </c>
      <c r="AC357" s="241" t="n"/>
      <c r="AD357" s="27" t="n"/>
      <c r="AE357" s="28">
        <f>-SUMIFS(Aut_Endividamentos!$N:$N,Aut_Endividamentos!$S:$S,DRE!AC$4,Aut_Endividamentos!$G:$G,$A357)+SUMIFS(Aut_Ajustes_Manuais!$G:$G,Aut_Ajustes_Manuais!$I:$I,DRE!AC$4,Aut_Ajustes_Manuais!$F:$F,"Processo Judicial")</f>
        <v/>
      </c>
      <c r="AF357" s="241" t="n"/>
      <c r="AG357" s="27" t="n"/>
      <c r="AH357" s="28">
        <f>-SUMIFS(Aut_Endividamentos!$N:$N,Aut_Endividamentos!$S:$S,DRE!AF$4,Aut_Endividamentos!$G:$G,$A357)+SUMIFS(Aut_Ajustes_Manuais!$G:$G,Aut_Ajustes_Manuais!$I:$I,DRE!AF$4,Aut_Ajustes_Manuais!$F:$F,"Processo Judicial")</f>
        <v/>
      </c>
      <c r="AI357" s="241" t="n"/>
      <c r="AJ357" s="27" t="n"/>
      <c r="AK357" s="28">
        <f>-SUMIFS(Aut_Endividamentos!$N:$N,Aut_Endividamentos!$S:$S,DRE!AI$4,Aut_Endividamentos!$G:$G,$A357)+SUMIFS(Aut_Ajustes_Manuais!$G:$G,Aut_Ajustes_Manuais!$I:$I,DRE!AI$4,Aut_Ajustes_Manuais!$F:$F,"Processo Judicial")</f>
        <v/>
      </c>
      <c r="AL357" s="241" t="n"/>
      <c r="AM357" s="27" t="n"/>
      <c r="AN357" s="28">
        <f>-SUMIFS(Aut_Endividamentos!$N:$N,Aut_Endividamentos!$S:$S,DRE!AL$4,Aut_Endividamentos!$G:$G,$A357)+SUMIFS(Aut_Ajustes_Manuais!$G:$G,Aut_Ajustes_Manuais!$I:$I,DRE!AL$4,Aut_Ajustes_Manuais!$F:$F,"Processo Judicial")</f>
        <v/>
      </c>
      <c r="AO357" s="241" t="n"/>
      <c r="AP357" s="27" t="n"/>
      <c r="AQ357" s="28">
        <f>-SUMIFS(Aut_Endividamentos!$N:$N,Aut_Endividamentos!$S:$S,DRE!AO$4,Aut_Endividamentos!$G:$G,$A357)+SUMIFS(Aut_Ajustes_Manuais!$G:$G,Aut_Ajustes_Manuais!$I:$I,DRE!AO$4,Aut_Ajustes_Manuais!$F:$F,"Processo Judicial")</f>
        <v/>
      </c>
      <c r="AR357" s="241">
        <f>SUMIFS($H357:$AO357,$H$5:$AO$5,"&lt;"&amp;MONTH(TODAY()),$H$6:$AO$6,"REAL 25")</f>
        <v/>
      </c>
      <c r="AS357" s="27">
        <f>SUMIFS($I357:$AP357,$I$5:$AP$5,"&lt;"&amp;MONTH(TODAY()),$I$6:$AP$6,"ORÇADO ")</f>
        <v/>
      </c>
      <c r="AT357" s="28">
        <f>SUMIFS($J357:$AQ357,$J$5:$AQ$5,"&lt;"&amp;MONTH(TODAY()),$J$6:$AQ$6,"REAL 26")</f>
        <v/>
      </c>
      <c r="AU357" s="241">
        <f>SUM(H357,K357,N357,Q357,T357,W357,Z357,AC357,AF357,AI357,AL357,AO357)</f>
        <v/>
      </c>
      <c r="AV357" s="27">
        <f>SUM(I357,L357,O357,R357,U357,X357,AA357,AD357,AG357,AJ357,AM357,AP357)</f>
        <v/>
      </c>
      <c r="AW357" s="28">
        <f>SUM(J357,M357,P357,S357,V357,Y357,AB357,AE357,AH357,AK357,AN357,AQ357)</f>
        <v/>
      </c>
      <c r="AX357" s="241">
        <f>SUM(H357,K357,N357)</f>
        <v/>
      </c>
      <c r="AY357" s="27">
        <f>SUM(I357,L357,O357)</f>
        <v/>
      </c>
      <c r="AZ357" s="28">
        <f>SUM(J357,M357,P357)</f>
        <v/>
      </c>
      <c r="BA357" s="241">
        <f>SUM(Q357,T357,W357)</f>
        <v/>
      </c>
      <c r="BB357" s="27">
        <f>SUM(R357,U357,X357)</f>
        <v/>
      </c>
      <c r="BC357" s="28">
        <f>SUM(S357,V357,Y357)</f>
        <v/>
      </c>
      <c r="BD357" s="241">
        <f>SUM(Z357,AC357,AF357)</f>
        <v/>
      </c>
      <c r="BE357" s="27">
        <f>SUM(AA357,AD357,AG357)</f>
        <v/>
      </c>
      <c r="BF357" s="28">
        <f>SUM(AB357,AE357,AH357)</f>
        <v/>
      </c>
      <c r="BG357" s="241">
        <f>SUM(AI357,AL357,AO357)</f>
        <v/>
      </c>
      <c r="BH357" s="27">
        <f>SUM(AJ357,AM357,AP357)</f>
        <v/>
      </c>
      <c r="BI357" s="28">
        <f>SUM(AK357,AN357,AQ357)</f>
        <v/>
      </c>
    </row>
    <row r="358" hidden="1" outlineLevel="1" customFormat="1" s="498">
      <c r="A358" s="22" t="inlineStr">
        <is>
          <t>Processo Civil</t>
        </is>
      </c>
      <c r="B358" s="59" t="n"/>
      <c r="C358" s="24" t="inlineStr">
        <is>
          <t>Estim. Mensal</t>
        </is>
      </c>
      <c r="D358" s="25" t="n"/>
      <c r="E358" s="25" t="n"/>
      <c r="F358" s="63" t="n"/>
      <c r="G358" s="33" t="n"/>
      <c r="H358" s="241" t="n"/>
      <c r="I358" s="27" t="n"/>
      <c r="J358" s="28">
        <f>-SUMIFS(Aut_Endividamentos!$N:$N,Aut_Endividamentos!$S:$S,DRE!H$4,Aut_Endividamentos!$G:$G,$A358)+SUMIFS(Aut_Ajustes_Manuais!$G:$G,Aut_Ajustes_Manuais!$I:$I,DRE!H$4,Aut_Ajustes_Manuais!$F:$F,"Processo Civil")</f>
        <v/>
      </c>
      <c r="K358" s="241" t="n"/>
      <c r="L358" s="27" t="n"/>
      <c r="M358" s="28">
        <f>-SUMIFS(Aut_Endividamentos!$N:$N,Aut_Endividamentos!$S:$S,DRE!K$4,Aut_Endividamentos!$G:$G,$A358)+SUMIFS(Aut_Ajustes_Manuais!$G:$G,Aut_Ajustes_Manuais!$I:$I,DRE!K$4,Aut_Ajustes_Manuais!$F:$F,"Processo Civil")</f>
        <v/>
      </c>
      <c r="N358" s="241" t="n"/>
      <c r="O358" s="27" t="n"/>
      <c r="P358" s="28">
        <f>-SUMIFS(Aut_Endividamentos!$N:$N,Aut_Endividamentos!$S:$S,DRE!N$4,Aut_Endividamentos!$G:$G,$A358)+SUMIFS(Aut_Ajustes_Manuais!$G:$G,Aut_Ajustes_Manuais!$I:$I,DRE!N$4,Aut_Ajustes_Manuais!$F:$F,"Processo Civil")</f>
        <v/>
      </c>
      <c r="Q358" s="241" t="n"/>
      <c r="R358" s="27" t="n"/>
      <c r="S358" s="28">
        <f>-SUMIFS(Aut_Endividamentos!$N:$N,Aut_Endividamentos!$S:$S,DRE!Q$4,Aut_Endividamentos!$G:$G,$A358)+SUMIFS(Aut_Ajustes_Manuais!$G:$G,Aut_Ajustes_Manuais!$I:$I,DRE!Q$4,Aut_Ajustes_Manuais!$F:$F,"Processo Civil")</f>
        <v/>
      </c>
      <c r="T358" s="241" t="n"/>
      <c r="U358" s="27" t="n"/>
      <c r="V358" s="28">
        <f>-SUMIFS(Aut_Endividamentos!$N:$N,Aut_Endividamentos!$S:$S,DRE!T$4,Aut_Endividamentos!$G:$G,$A358)+SUMIFS(Aut_Ajustes_Manuais!$G:$G,Aut_Ajustes_Manuais!$I:$I,DRE!T$4,Aut_Ajustes_Manuais!$F:$F,"Processo Civil")</f>
        <v/>
      </c>
      <c r="W358" s="241" t="n"/>
      <c r="X358" s="27" t="n"/>
      <c r="Y358" s="28">
        <f>-SUMIFS(Aut_Endividamentos!$N:$N,Aut_Endividamentos!$S:$S,DRE!W$4,Aut_Endividamentos!$G:$G,$A358)+SUMIFS(Aut_Ajustes_Manuais!$G:$G,Aut_Ajustes_Manuais!$I:$I,DRE!W$4,Aut_Ajustes_Manuais!$F:$F,"Processo Civil")</f>
        <v/>
      </c>
      <c r="Z358" s="241" t="n"/>
      <c r="AA358" s="27" t="n"/>
      <c r="AB358" s="28">
        <f>-SUMIFS(Aut_Endividamentos!$N:$N,Aut_Endividamentos!$S:$S,DRE!Z$4,Aut_Endividamentos!$G:$G,$A358)+SUMIFS(Aut_Ajustes_Manuais!$G:$G,Aut_Ajustes_Manuais!$I:$I,DRE!Z$4,Aut_Ajustes_Manuais!$F:$F,"Processo Civil")</f>
        <v/>
      </c>
      <c r="AC358" s="241" t="n"/>
      <c r="AD358" s="27" t="n"/>
      <c r="AE358" s="28">
        <f>-SUMIFS(Aut_Endividamentos!$N:$N,Aut_Endividamentos!$S:$S,DRE!AC$4,Aut_Endividamentos!$G:$G,$A358)+SUMIFS(Aut_Ajustes_Manuais!$G:$G,Aut_Ajustes_Manuais!$I:$I,DRE!AC$4,Aut_Ajustes_Manuais!$F:$F,"Processo Civil")</f>
        <v/>
      </c>
      <c r="AF358" s="241" t="n"/>
      <c r="AG358" s="27" t="n"/>
      <c r="AH358" s="28">
        <f>-SUMIFS(Aut_Endividamentos!$N:$N,Aut_Endividamentos!$S:$S,DRE!AF$4,Aut_Endividamentos!$G:$G,$A358)+SUMIFS(Aut_Ajustes_Manuais!$G:$G,Aut_Ajustes_Manuais!$I:$I,DRE!AF$4,Aut_Ajustes_Manuais!$F:$F,"Processo Civil")</f>
        <v/>
      </c>
      <c r="AI358" s="241" t="n"/>
      <c r="AJ358" s="27" t="n"/>
      <c r="AK358" s="28">
        <f>-SUMIFS(Aut_Endividamentos!$N:$N,Aut_Endividamentos!$S:$S,DRE!AI$4,Aut_Endividamentos!$G:$G,$A358)+SUMIFS(Aut_Ajustes_Manuais!$G:$G,Aut_Ajustes_Manuais!$I:$I,DRE!AI$4,Aut_Ajustes_Manuais!$F:$F,"Processo Civil")</f>
        <v/>
      </c>
      <c r="AL358" s="241" t="n"/>
      <c r="AM358" s="27" t="n"/>
      <c r="AN358" s="28">
        <f>-SUMIFS(Aut_Endividamentos!$N:$N,Aut_Endividamentos!$S:$S,DRE!AL$4,Aut_Endividamentos!$G:$G,$A358)+SUMIFS(Aut_Ajustes_Manuais!$G:$G,Aut_Ajustes_Manuais!$I:$I,DRE!AL$4,Aut_Ajustes_Manuais!$F:$F,"Processo Civil")</f>
        <v/>
      </c>
      <c r="AO358" s="241" t="n"/>
      <c r="AP358" s="27" t="n"/>
      <c r="AQ358" s="28">
        <f>-SUMIFS(Aut_Endividamentos!$N:$N,Aut_Endividamentos!$S:$S,DRE!AO$4,Aut_Endividamentos!$G:$G,$A358)+SUMIFS(Aut_Ajustes_Manuais!$G:$G,Aut_Ajustes_Manuais!$I:$I,DRE!AO$4,Aut_Ajustes_Manuais!$F:$F,"Processo Civil")</f>
        <v/>
      </c>
      <c r="AR358" s="241">
        <f>SUMIFS($H358:$AO358,$H$5:$AO$5,"&lt;"&amp;MONTH(TODAY()),$H$6:$AO$6,"REAL 25")</f>
        <v/>
      </c>
      <c r="AS358" s="27">
        <f>SUMIFS($I358:$AP358,$I$5:$AP$5,"&lt;"&amp;MONTH(TODAY()),$I$6:$AP$6,"ORÇADO ")</f>
        <v/>
      </c>
      <c r="AT358" s="28">
        <f>SUMIFS($J358:$AQ358,$J$5:$AQ$5,"&lt;"&amp;MONTH(TODAY()),$J$6:$AQ$6,"REAL 26")</f>
        <v/>
      </c>
      <c r="AU358" s="241">
        <f>SUM(H358,K358,N358,Q358,T358,W358,Z358,AC358,AF358,AI358,AL358,AO358)</f>
        <v/>
      </c>
      <c r="AV358" s="27">
        <f>SUM(I358,L358,O358,R358,U358,X358,AA358,AD358,AG358,AJ358,AM358,AP358)</f>
        <v/>
      </c>
      <c r="AW358" s="28">
        <f>SUM(J358,M358,P358,S358,V358,Y358,AB358,AE358,AH358,AK358,AN358,AQ358)</f>
        <v/>
      </c>
      <c r="AX358" s="241">
        <f>SUM(H358,K358,N358)</f>
        <v/>
      </c>
      <c r="AY358" s="27">
        <f>SUM(I358,L358,O358)</f>
        <v/>
      </c>
      <c r="AZ358" s="28">
        <f>SUM(J358,M358,P358)</f>
        <v/>
      </c>
      <c r="BA358" s="241">
        <f>SUM(Q358,T358,W358)</f>
        <v/>
      </c>
      <c r="BB358" s="27">
        <f>SUM(R358,U358,X358)</f>
        <v/>
      </c>
      <c r="BC358" s="28">
        <f>SUM(S358,V358,Y358)</f>
        <v/>
      </c>
      <c r="BD358" s="241">
        <f>SUM(Z358,AC358,AF358)</f>
        <v/>
      </c>
      <c r="BE358" s="27">
        <f>SUM(AA358,AD358,AG358)</f>
        <v/>
      </c>
      <c r="BF358" s="28">
        <f>SUM(AB358,AE358,AH358)</f>
        <v/>
      </c>
      <c r="BG358" s="241">
        <f>SUM(AI358,AL358,AO358)</f>
        <v/>
      </c>
      <c r="BH358" s="27">
        <f>SUM(AJ358,AM358,AP358)</f>
        <v/>
      </c>
      <c r="BI358" s="28">
        <f>SUM(AK358,AN358,AQ358)</f>
        <v/>
      </c>
    </row>
    <row r="359" hidden="1" outlineLevel="1" customFormat="1" s="498">
      <c r="A359" s="22" t="inlineStr">
        <is>
          <t>Recurso Processual</t>
        </is>
      </c>
      <c r="B359" s="59" t="n"/>
      <c r="C359" s="24" t="inlineStr">
        <is>
          <t>Estim. Mensal</t>
        </is>
      </c>
      <c r="D359" s="25" t="n"/>
      <c r="E359" s="25" t="n"/>
      <c r="F359" s="63" t="n"/>
      <c r="G359" s="33" t="n"/>
      <c r="H359" s="241" t="n"/>
      <c r="I359" s="27" t="n"/>
      <c r="J359" s="28">
        <f>-SUMIFS(Aut_Endividamentos!$N:$N,Aut_Endividamentos!$S:$S,DRE!H$4,Aut_Endividamentos!$G:$G,$A359)+SUMIFS(Aut_Ajustes_Manuais!$G:$G,Aut_Ajustes_Manuais!$I:$I,DRE!H$4,Aut_Ajustes_Manuais!$F:$F,"Recurso Processual")</f>
        <v/>
      </c>
      <c r="K359" s="241" t="n"/>
      <c r="L359" s="27" t="n"/>
      <c r="M359" s="28">
        <f>-SUMIFS(Aut_Endividamentos!$N:$N,Aut_Endividamentos!$S:$S,DRE!K$4,Aut_Endividamentos!$G:$G,$A359)+SUMIFS(Aut_Ajustes_Manuais!$G:$G,Aut_Ajustes_Manuais!$I:$I,DRE!K$4,Aut_Ajustes_Manuais!$F:$F,"Recurso Processual")</f>
        <v/>
      </c>
      <c r="N359" s="241" t="n"/>
      <c r="O359" s="27" t="n"/>
      <c r="P359" s="28">
        <f>-SUMIFS(Aut_Endividamentos!$N:$N,Aut_Endividamentos!$S:$S,DRE!N$4,Aut_Endividamentos!$G:$G,$A359)+SUMIFS(Aut_Ajustes_Manuais!$G:$G,Aut_Ajustes_Manuais!$I:$I,DRE!N$4,Aut_Ajustes_Manuais!$F:$F,"Recurso Processual")</f>
        <v/>
      </c>
      <c r="Q359" s="241" t="n"/>
      <c r="R359" s="27" t="n"/>
      <c r="S359" s="28">
        <f>-SUMIFS(Aut_Endividamentos!$N:$N,Aut_Endividamentos!$S:$S,DRE!Q$4,Aut_Endividamentos!$G:$G,$A359)+SUMIFS(Aut_Ajustes_Manuais!$G:$G,Aut_Ajustes_Manuais!$I:$I,DRE!Q$4,Aut_Ajustes_Manuais!$F:$F,"Recurso Processual")</f>
        <v/>
      </c>
      <c r="T359" s="241" t="n"/>
      <c r="U359" s="27" t="n"/>
      <c r="V359" s="28">
        <f>-SUMIFS(Aut_Endividamentos!$N:$N,Aut_Endividamentos!$S:$S,DRE!T$4,Aut_Endividamentos!$G:$G,$A359)+SUMIFS(Aut_Ajustes_Manuais!$G:$G,Aut_Ajustes_Manuais!$I:$I,DRE!T$4,Aut_Ajustes_Manuais!$F:$F,"Recurso Processual")</f>
        <v/>
      </c>
      <c r="W359" s="241" t="n"/>
      <c r="X359" s="27" t="n"/>
      <c r="Y359" s="28">
        <f>-SUMIFS(Aut_Endividamentos!$N:$N,Aut_Endividamentos!$S:$S,DRE!W$4,Aut_Endividamentos!$G:$G,$A359)+SUMIFS(Aut_Ajustes_Manuais!$G:$G,Aut_Ajustes_Manuais!$I:$I,DRE!W$4,Aut_Ajustes_Manuais!$F:$F,"Recurso Processual")</f>
        <v/>
      </c>
      <c r="Z359" s="241" t="n"/>
      <c r="AA359" s="27" t="n"/>
      <c r="AB359" s="28">
        <f>-SUMIFS(Aut_Endividamentos!$N:$N,Aut_Endividamentos!$S:$S,DRE!Z$4,Aut_Endividamentos!$G:$G,$A359)+SUMIFS(Aut_Ajustes_Manuais!$G:$G,Aut_Ajustes_Manuais!$I:$I,DRE!Z$4,Aut_Ajustes_Manuais!$F:$F,"Recurso Processual")</f>
        <v/>
      </c>
      <c r="AC359" s="241" t="n"/>
      <c r="AD359" s="27" t="n"/>
      <c r="AE359" s="28">
        <f>-SUMIFS(Aut_Endividamentos!$N:$N,Aut_Endividamentos!$S:$S,DRE!AC$4,Aut_Endividamentos!$G:$G,$A359)+SUMIFS(Aut_Ajustes_Manuais!$G:$G,Aut_Ajustes_Manuais!$I:$I,DRE!AC$4,Aut_Ajustes_Manuais!$F:$F,"Recurso Processual")</f>
        <v/>
      </c>
      <c r="AF359" s="241" t="n"/>
      <c r="AG359" s="27" t="n"/>
      <c r="AH359" s="28">
        <f>-SUMIFS(Aut_Endividamentos!$N:$N,Aut_Endividamentos!$S:$S,DRE!AF$4,Aut_Endividamentos!$G:$G,$A359)+SUMIFS(Aut_Ajustes_Manuais!$G:$G,Aut_Ajustes_Manuais!$I:$I,DRE!AF$4,Aut_Ajustes_Manuais!$F:$F,"Recurso Processual")</f>
        <v/>
      </c>
      <c r="AI359" s="241" t="n"/>
      <c r="AJ359" s="27" t="n"/>
      <c r="AK359" s="28">
        <f>-SUMIFS(Aut_Endividamentos!$N:$N,Aut_Endividamentos!$S:$S,DRE!AI$4,Aut_Endividamentos!$G:$G,$A359)+SUMIFS(Aut_Ajustes_Manuais!$G:$G,Aut_Ajustes_Manuais!$I:$I,DRE!AI$4,Aut_Ajustes_Manuais!$F:$F,"Recurso Processual")</f>
        <v/>
      </c>
      <c r="AL359" s="241" t="n"/>
      <c r="AM359" s="27" t="n"/>
      <c r="AN359" s="28">
        <f>-SUMIFS(Aut_Endividamentos!$N:$N,Aut_Endividamentos!$S:$S,DRE!AL$4,Aut_Endividamentos!$G:$G,$A359)+SUMIFS(Aut_Ajustes_Manuais!$G:$G,Aut_Ajustes_Manuais!$I:$I,DRE!AL$4,Aut_Ajustes_Manuais!$F:$F,"Recurso Processual")</f>
        <v/>
      </c>
      <c r="AO359" s="241" t="n"/>
      <c r="AP359" s="27" t="n"/>
      <c r="AQ359" s="28">
        <f>-SUMIFS(Aut_Endividamentos!$N:$N,Aut_Endividamentos!$S:$S,DRE!AO$4,Aut_Endividamentos!$G:$G,$A359)+SUMIFS(Aut_Ajustes_Manuais!$G:$G,Aut_Ajustes_Manuais!$I:$I,DRE!AO$4,Aut_Ajustes_Manuais!$F:$F,"Recurso Processual")</f>
        <v/>
      </c>
      <c r="AR359" s="241">
        <f>SUMIFS($H359:$AO359,$H$5:$AO$5,"&lt;"&amp;MONTH(TODAY()),$H$6:$AO$6,"REAL 25")</f>
        <v/>
      </c>
      <c r="AS359" s="27">
        <f>SUMIFS($I359:$AP359,$I$5:$AP$5,"&lt;"&amp;MONTH(TODAY()),$I$6:$AP$6,"ORÇADO ")</f>
        <v/>
      </c>
      <c r="AT359" s="28">
        <f>SUMIFS($J359:$AQ359,$J$5:$AQ$5,"&lt;"&amp;MONTH(TODAY()),$J$6:$AQ$6,"REAL 26")</f>
        <v/>
      </c>
      <c r="AU359" s="241">
        <f>SUM(H359,K359,N359,Q359,T359,W359,Z359,AC359,AF359,AI359,AL359,AO359)</f>
        <v/>
      </c>
      <c r="AV359" s="27">
        <f>SUM(I359,L359,O359,R359,U359,X359,AA359,AD359,AG359,AJ359,AM359,AP359)</f>
        <v/>
      </c>
      <c r="AW359" s="28">
        <f>SUM(J359,M359,P359,S359,V359,Y359,AB359,AE359,AH359,AK359,AN359,AQ359)</f>
        <v/>
      </c>
      <c r="AX359" s="241">
        <f>SUM(H359,K359,N359)</f>
        <v/>
      </c>
      <c r="AY359" s="27">
        <f>SUM(I359,L359,O359)</f>
        <v/>
      </c>
      <c r="AZ359" s="28">
        <f>SUM(J359,M359,P359)</f>
        <v/>
      </c>
      <c r="BA359" s="241">
        <f>SUM(Q359,T359,W359)</f>
        <v/>
      </c>
      <c r="BB359" s="27">
        <f>SUM(R359,U359,X359)</f>
        <v/>
      </c>
      <c r="BC359" s="28">
        <f>SUM(S359,V359,Y359)</f>
        <v/>
      </c>
      <c r="BD359" s="241">
        <f>SUM(Z359,AC359,AF359)</f>
        <v/>
      </c>
      <c r="BE359" s="27">
        <f>SUM(AA359,AD359,AG359)</f>
        <v/>
      </c>
      <c r="BF359" s="28">
        <f>SUM(AB359,AE359,AH359)</f>
        <v/>
      </c>
      <c r="BG359" s="241">
        <f>SUM(AI359,AL359,AO359)</f>
        <v/>
      </c>
      <c r="BH359" s="27">
        <f>SUM(AJ359,AM359,AP359)</f>
        <v/>
      </c>
      <c r="BI359" s="28">
        <f>SUM(AK359,AN359,AQ359)</f>
        <v/>
      </c>
    </row>
    <row r="360" hidden="1" outlineLevel="1" customFormat="1" s="498">
      <c r="A360" s="22" t="inlineStr">
        <is>
          <t>Empréstimos Gerais</t>
        </is>
      </c>
      <c r="B360" s="59" t="n"/>
      <c r="C360" s="24" t="inlineStr">
        <is>
          <t>Estim. Mensal</t>
        </is>
      </c>
      <c r="D360" s="25" t="n"/>
      <c r="E360" s="25" t="n"/>
      <c r="F360" s="63" t="n"/>
      <c r="G360" s="33" t="n"/>
      <c r="H360" s="241" t="n"/>
      <c r="I360" s="27" t="n"/>
      <c r="J360" s="28">
        <f>-SUMIFS(Aut_Endividamentos!$N:$N,Aut_Endividamentos!$S:$S,DRE!H$4,Aut_Endividamentos!$G:$G,$A360)+SUMIFS(Aut_Ajustes_Manuais!$G:$G,Aut_Ajustes_Manuais!$I:$I,DRE!H$4,Aut_Ajustes_Manuais!$F:$F,"Empréstimos Gerais")</f>
        <v/>
      </c>
      <c r="K360" s="241" t="n"/>
      <c r="L360" s="27" t="n"/>
      <c r="M360" s="28">
        <f>-SUMIFS(Aut_Endividamentos!$N:$N,Aut_Endividamentos!$S:$S,DRE!K$4,Aut_Endividamentos!$G:$G,$A360)+SUMIFS(Aut_Ajustes_Manuais!$G:$G,Aut_Ajustes_Manuais!$I:$I,DRE!K$4,Aut_Ajustes_Manuais!$F:$F,"Empréstimos Gerais")</f>
        <v/>
      </c>
      <c r="N360" s="241" t="n"/>
      <c r="O360" s="27" t="n"/>
      <c r="P360" s="28">
        <f>-SUMIFS(Aut_Endividamentos!$N:$N,Aut_Endividamentos!$S:$S,DRE!N$4,Aut_Endividamentos!$G:$G,$A360)+SUMIFS(Aut_Ajustes_Manuais!$G:$G,Aut_Ajustes_Manuais!$I:$I,DRE!N$4,Aut_Ajustes_Manuais!$F:$F,"Empréstimos Gerais")</f>
        <v/>
      </c>
      <c r="Q360" s="241" t="n"/>
      <c r="R360" s="27" t="n"/>
      <c r="S360" s="28">
        <f>-SUMIFS(Aut_Endividamentos!$N:$N,Aut_Endividamentos!$S:$S,DRE!Q$4,Aut_Endividamentos!$G:$G,$A360)+SUMIFS(Aut_Ajustes_Manuais!$G:$G,Aut_Ajustes_Manuais!$I:$I,DRE!Q$4,Aut_Ajustes_Manuais!$F:$F,"Empréstimos Gerais")</f>
        <v/>
      </c>
      <c r="T360" s="241" t="n"/>
      <c r="U360" s="27" t="n"/>
      <c r="V360" s="28">
        <f>-SUMIFS(Aut_Endividamentos!$N:$N,Aut_Endividamentos!$S:$S,DRE!T$4,Aut_Endividamentos!$G:$G,$A360)+SUMIFS(Aut_Ajustes_Manuais!$G:$G,Aut_Ajustes_Manuais!$I:$I,DRE!T$4,Aut_Ajustes_Manuais!$F:$F,"Empréstimos Gerais")</f>
        <v/>
      </c>
      <c r="W360" s="241" t="n"/>
      <c r="X360" s="27" t="n"/>
      <c r="Y360" s="28">
        <f>-SUMIFS(Aut_Endividamentos!$N:$N,Aut_Endividamentos!$S:$S,DRE!W$4,Aut_Endividamentos!$G:$G,$A360)+SUMIFS(Aut_Ajustes_Manuais!$G:$G,Aut_Ajustes_Manuais!$I:$I,DRE!W$4,Aut_Ajustes_Manuais!$F:$F,"Empréstimos Gerais")</f>
        <v/>
      </c>
      <c r="Z360" s="241" t="n"/>
      <c r="AA360" s="27" t="n"/>
      <c r="AB360" s="28">
        <f>-SUMIFS(Aut_Endividamentos!$N:$N,Aut_Endividamentos!$S:$S,DRE!Z$4,Aut_Endividamentos!$G:$G,$A360)+SUMIFS(Aut_Ajustes_Manuais!$G:$G,Aut_Ajustes_Manuais!$I:$I,DRE!Z$4,Aut_Ajustes_Manuais!$F:$F,"Empréstimos Gerais")</f>
        <v/>
      </c>
      <c r="AC360" s="241" t="n"/>
      <c r="AD360" s="27" t="n"/>
      <c r="AE360" s="28">
        <f>-SUMIFS(Aut_Endividamentos!$N:$N,Aut_Endividamentos!$S:$S,DRE!AC$4,Aut_Endividamentos!$G:$G,$A360)+SUMIFS(Aut_Ajustes_Manuais!$G:$G,Aut_Ajustes_Manuais!$I:$I,DRE!AC$4,Aut_Ajustes_Manuais!$F:$F,"Empréstimos Gerais")</f>
        <v/>
      </c>
      <c r="AF360" s="241" t="n"/>
      <c r="AG360" s="27" t="n"/>
      <c r="AH360" s="28">
        <f>-SUMIFS(Aut_Endividamentos!$N:$N,Aut_Endividamentos!$S:$S,DRE!AF$4,Aut_Endividamentos!$G:$G,$A360)+SUMIFS(Aut_Ajustes_Manuais!$G:$G,Aut_Ajustes_Manuais!$I:$I,DRE!AF$4,Aut_Ajustes_Manuais!$F:$F,"Empréstimos Gerais")</f>
        <v/>
      </c>
      <c r="AI360" s="241" t="n"/>
      <c r="AJ360" s="27" t="n"/>
      <c r="AK360" s="28">
        <f>-SUMIFS(Aut_Endividamentos!$N:$N,Aut_Endividamentos!$S:$S,DRE!AI$4,Aut_Endividamentos!$G:$G,$A360)+SUMIFS(Aut_Ajustes_Manuais!$G:$G,Aut_Ajustes_Manuais!$I:$I,DRE!AI$4,Aut_Ajustes_Manuais!$F:$F,"Empréstimos Gerais")</f>
        <v/>
      </c>
      <c r="AL360" s="241" t="n"/>
      <c r="AM360" s="27" t="n"/>
      <c r="AN360" s="28">
        <f>-SUMIFS(Aut_Endividamentos!$N:$N,Aut_Endividamentos!$S:$S,DRE!AL$4,Aut_Endividamentos!$G:$G,$A360)+SUMIFS(Aut_Ajustes_Manuais!$G:$G,Aut_Ajustes_Manuais!$I:$I,DRE!AL$4,Aut_Ajustes_Manuais!$F:$F,"Empréstimos Gerais")</f>
        <v/>
      </c>
      <c r="AO360" s="241" t="n"/>
      <c r="AP360" s="27" t="n"/>
      <c r="AQ360" s="28">
        <f>-SUMIFS(Aut_Endividamentos!$N:$N,Aut_Endividamentos!$S:$S,DRE!AO$4,Aut_Endividamentos!$G:$G,$A360)+SUMIFS(Aut_Ajustes_Manuais!$G:$G,Aut_Ajustes_Manuais!$I:$I,DRE!AO$4,Aut_Ajustes_Manuais!$F:$F,"Empréstimos Gerais")</f>
        <v/>
      </c>
      <c r="AR360" s="241">
        <f>SUMIFS($H360:$AO360,$H$5:$AO$5,"&lt;"&amp;MONTH(TODAY()),$H$6:$AO$6,"REAL 25")</f>
        <v/>
      </c>
      <c r="AS360" s="27">
        <f>SUMIFS($I360:$AP360,$I$5:$AP$5,"&lt;"&amp;MONTH(TODAY()),$I$6:$AP$6,"ORÇADO ")</f>
        <v/>
      </c>
      <c r="AT360" s="28">
        <f>SUMIFS($J360:$AQ360,$J$5:$AQ$5,"&lt;"&amp;MONTH(TODAY()),$J$6:$AQ$6,"REAL 26")</f>
        <v/>
      </c>
      <c r="AU360" s="241">
        <f>SUM(H360,K360,N360,Q360,T360,W360,Z360,AC360,AF360,AI360,AL360,AO360)</f>
        <v/>
      </c>
      <c r="AV360" s="27">
        <f>SUM(I360,L360,O360,R360,U360,X360,AA360,AD360,AG360,AJ360,AM360,AP360)</f>
        <v/>
      </c>
      <c r="AW360" s="28">
        <f>SUM(J360,M360,P360,S360,V360,Y360,AB360,AE360,AH360,AK360,AN360,AQ360)</f>
        <v/>
      </c>
      <c r="AX360" s="241">
        <f>SUM(H360,K360,N360)</f>
        <v/>
      </c>
      <c r="AY360" s="27">
        <f>SUM(I360,L360,O360)</f>
        <v/>
      </c>
      <c r="AZ360" s="28">
        <f>SUM(J360,M360,P360)</f>
        <v/>
      </c>
      <c r="BA360" s="241">
        <f>SUM(Q360,T360,W360)</f>
        <v/>
      </c>
      <c r="BB360" s="27">
        <f>SUM(R360,U360,X360)</f>
        <v/>
      </c>
      <c r="BC360" s="28">
        <f>SUM(S360,V360,Y360)</f>
        <v/>
      </c>
      <c r="BD360" s="241">
        <f>SUM(Z360,AC360,AF360)</f>
        <v/>
      </c>
      <c r="BE360" s="27">
        <f>SUM(AA360,AD360,AG360)</f>
        <v/>
      </c>
      <c r="BF360" s="28">
        <f>SUM(AB360,AE360,AH360)</f>
        <v/>
      </c>
      <c r="BG360" s="241">
        <f>SUM(AI360,AL360,AO360)</f>
        <v/>
      </c>
      <c r="BH360" s="27">
        <f>SUM(AJ360,AM360,AP360)</f>
        <v/>
      </c>
      <c r="BI360" s="28">
        <f>SUM(AK360,AN360,AQ360)</f>
        <v/>
      </c>
    </row>
    <row r="361" hidden="1" outlineLevel="1" customFormat="1" s="498">
      <c r="A361" s="143" t="n"/>
      <c r="B361" s="59" t="n"/>
      <c r="C361" s="144" t="n"/>
      <c r="D361" s="145" t="n"/>
      <c r="E361" s="145" t="n"/>
      <c r="F361" s="63" t="n"/>
      <c r="G361" s="33" t="n"/>
      <c r="H361" s="268" t="n"/>
      <c r="I361" s="146" t="n"/>
      <c r="J361" s="147" t="n"/>
      <c r="K361" s="268" t="n"/>
      <c r="L361" s="146" t="n"/>
      <c r="M361" s="147" t="n"/>
      <c r="N361" s="268" t="n"/>
      <c r="O361" s="146" t="n"/>
      <c r="P361" s="147" t="n"/>
      <c r="Q361" s="268" t="n"/>
      <c r="R361" s="146" t="n"/>
      <c r="S361" s="147" t="n"/>
      <c r="T361" s="268" t="n"/>
      <c r="U361" s="146" t="n"/>
      <c r="V361" s="147" t="n"/>
      <c r="W361" s="268" t="n"/>
      <c r="X361" s="146" t="n"/>
      <c r="Y361" s="147" t="n"/>
      <c r="Z361" s="268" t="n"/>
      <c r="AA361" s="146" t="n"/>
      <c r="AB361" s="147" t="n"/>
      <c r="AC361" s="268" t="n"/>
      <c r="AD361" s="146" t="n"/>
      <c r="AE361" s="147" t="n"/>
      <c r="AF361" s="268" t="n"/>
      <c r="AG361" s="146" t="n"/>
      <c r="AH361" s="147" t="n"/>
      <c r="AI361" s="268" t="n"/>
      <c r="AJ361" s="146" t="n"/>
      <c r="AK361" s="147" t="n"/>
      <c r="AL361" s="268" t="n"/>
      <c r="AM361" s="146" t="n"/>
      <c r="AN361" s="147" t="n"/>
      <c r="AO361" s="268" t="n"/>
      <c r="AP361" s="146" t="n"/>
      <c r="AQ361" s="147" t="n"/>
      <c r="AR361" s="241">
        <f>SUMIFS($H361:$AO361,$H$5:$AO$5,"&lt;"&amp;MONTH(TODAY()),$H$6:$AO$6,"REAL 25")</f>
        <v/>
      </c>
      <c r="AS361" s="27">
        <f>SUMIFS($I361:$AP361,$I$5:$AP$5,"&lt;"&amp;MONTH(TODAY()),$I$6:$AP$6,"ORÇADO ")</f>
        <v/>
      </c>
      <c r="AT361" s="28">
        <f>SUMIFS($J361:$AQ361,$J$5:$AQ$5,"&lt;"&amp;MONTH(TODAY()),$J$6:$AQ$6,"REAL 26")</f>
        <v/>
      </c>
      <c r="AU361" s="268">
        <f>SUM(H361,K361,N361,Q361,T361,W361,Z361,AC361,AF361,AI361,AL361,AO361)</f>
        <v/>
      </c>
      <c r="AV361" s="146">
        <f>SUM(I361,L361,O361,R361,U361,X361,AA361,AD361,AG361,AJ361,AM361,AP361)</f>
        <v/>
      </c>
      <c r="AW361" s="147">
        <f>SUM(J361,M361,P361,S361,V361,Y361,AB361,AE361,AH361,AK361,AN361,AQ361)</f>
        <v/>
      </c>
      <c r="AX361" s="268">
        <f>SUM(H361,K361,N361)</f>
        <v/>
      </c>
      <c r="AY361" s="146">
        <f>SUM(I361,L361,O361)</f>
        <v/>
      </c>
      <c r="AZ361" s="147">
        <f>SUM(J361,M361,P361)</f>
        <v/>
      </c>
      <c r="BA361" s="268">
        <f>SUM(Q361,T361,W361)</f>
        <v/>
      </c>
      <c r="BB361" s="146">
        <f>SUM(R361,U361,X361)</f>
        <v/>
      </c>
      <c r="BC361" s="147">
        <f>SUM(S361,V361,Y361)</f>
        <v/>
      </c>
      <c r="BD361" s="268">
        <f>SUM(Z361,AC361,AF361)</f>
        <v/>
      </c>
      <c r="BE361" s="146">
        <f>SUM(AA361,AD361,AG361)</f>
        <v/>
      </c>
      <c r="BF361" s="147">
        <f>SUM(AB361,AE361,AH361)</f>
        <v/>
      </c>
      <c r="BG361" s="268">
        <f>SUM(AI361,AL361,AO361)</f>
        <v/>
      </c>
      <c r="BH361" s="146">
        <f>SUM(AJ361,AM361,AP361)</f>
        <v/>
      </c>
      <c r="BI361" s="147">
        <f>SUM(AK361,AN361,AQ361)</f>
        <v/>
      </c>
    </row>
    <row r="362" collapsed="1" customFormat="1" s="498">
      <c r="A362" s="148" t="n"/>
      <c r="B362" s="23" t="n"/>
      <c r="C362" s="3" t="n"/>
      <c r="D362" s="4" t="n"/>
      <c r="E362" s="16" t="n"/>
      <c r="F362" s="117" t="n"/>
      <c r="G362" s="33" t="n"/>
      <c r="H362" s="269" t="n"/>
      <c r="I362" s="117" t="n"/>
      <c r="J362" s="149" t="n"/>
      <c r="K362" s="269" t="n"/>
      <c r="L362" s="117" t="n"/>
      <c r="M362" s="149" t="n"/>
      <c r="N362" s="269" t="n"/>
      <c r="O362" s="117" t="n"/>
      <c r="P362" s="149" t="n"/>
      <c r="Q362" s="269" t="n"/>
      <c r="R362" s="117" t="n"/>
      <c r="S362" s="149" t="n"/>
      <c r="T362" s="269" t="n"/>
      <c r="U362" s="117" t="n"/>
      <c r="V362" s="149" t="n"/>
      <c r="W362" s="269" t="n"/>
      <c r="X362" s="117" t="n"/>
      <c r="Y362" s="149" t="n"/>
      <c r="Z362" s="269" t="n"/>
      <c r="AA362" s="117" t="n"/>
      <c r="AB362" s="149" t="n"/>
      <c r="AC362" s="269" t="n"/>
      <c r="AD362" s="117" t="n"/>
      <c r="AE362" s="149" t="n"/>
      <c r="AF362" s="269" t="n"/>
      <c r="AG362" s="117" t="n"/>
      <c r="AH362" s="149" t="n"/>
      <c r="AI362" s="269" t="n"/>
      <c r="AJ362" s="117" t="n"/>
      <c r="AK362" s="149" t="n"/>
      <c r="AL362" s="269" t="n"/>
      <c r="AM362" s="117" t="n"/>
      <c r="AN362" s="149" t="n"/>
      <c r="AO362" s="269" t="n"/>
      <c r="AP362" s="117" t="n"/>
      <c r="AQ362" s="149" t="n"/>
      <c r="AR362" s="269" t="n"/>
      <c r="AS362" s="117" t="n"/>
      <c r="AT362" s="149" t="n"/>
      <c r="AU362" s="269" t="n"/>
      <c r="AV362" s="117" t="n"/>
      <c r="AW362" s="149" t="n"/>
      <c r="AX362" s="269" t="n"/>
      <c r="AY362" s="117" t="n"/>
      <c r="AZ362" s="149" t="n"/>
      <c r="BA362" s="269" t="n"/>
      <c r="BB362" s="117" t="n"/>
      <c r="BC362" s="149" t="n"/>
      <c r="BD362" s="269" t="n"/>
      <c r="BE362" s="117" t="n"/>
      <c r="BF362" s="149" t="n"/>
      <c r="BG362" s="269" t="n"/>
      <c r="BH362" s="117" t="n"/>
      <c r="BI362" s="149" t="n"/>
    </row>
    <row r="363">
      <c r="A363" s="39" t="inlineStr">
        <is>
          <t>Total - Variações s/ Resultado Líquido</t>
        </is>
      </c>
      <c r="B363" s="59" t="n"/>
      <c r="C363" s="60" t="n"/>
      <c r="D363" s="61" t="n"/>
      <c r="E363" s="62" t="n"/>
      <c r="F363" s="63" t="n"/>
      <c r="G363" s="47" t="n"/>
      <c r="H363" s="244" t="n"/>
      <c r="I363" s="42">
        <f>SUM(I353,I334)</f>
        <v/>
      </c>
      <c r="J363" s="43">
        <f>SUM(J353,J334)+SUMIFS(Aut_Ajustes_Manuais!$G:$G,Aut_Ajustes_Manuais!$I:$I,DRE!H$4,Aut_Ajustes_Manuais!$F:$F,"Total - Variações s/ Resultado Líquido")</f>
        <v/>
      </c>
      <c r="K363" s="244" t="n"/>
      <c r="L363" s="42">
        <f>SUM(L353,L334)</f>
        <v/>
      </c>
      <c r="M363" s="43">
        <f>SUM(M353,M334)+SUMIFS(Aut_Ajustes_Manuais!$G:$G,Aut_Ajustes_Manuais!$I:$I,DRE!K$4,Aut_Ajustes_Manuais!$F:$F,"Total - Variações s/ Resultado Líquido")</f>
        <v/>
      </c>
      <c r="N363" s="244" t="n"/>
      <c r="O363" s="42">
        <f>SUM(O353,O334)</f>
        <v/>
      </c>
      <c r="P363" s="43">
        <f>SUM(P353,P334)+SUMIFS(Aut_Ajustes_Manuais!$G:$G,Aut_Ajustes_Manuais!$I:$I,DRE!N$4,Aut_Ajustes_Manuais!$F:$F,"Total - Variações s/ Resultado Líquido")</f>
        <v/>
      </c>
      <c r="Q363" s="244" t="n"/>
      <c r="R363" s="42">
        <f>SUM(R353,R334)</f>
        <v/>
      </c>
      <c r="S363" s="43">
        <f>SUM(S353,S334)+SUMIFS(Aut_Ajustes_Manuais!$G:$G,Aut_Ajustes_Manuais!$I:$I,DRE!Q$4,Aut_Ajustes_Manuais!$F:$F,"Total - Variações s/ Resultado Líquido")</f>
        <v/>
      </c>
      <c r="T363" s="244" t="n"/>
      <c r="U363" s="42">
        <f>SUM(U353,U334)</f>
        <v/>
      </c>
      <c r="V363" s="43">
        <f>SUM(V353,V334)+SUMIFS(Aut_Ajustes_Manuais!$G:$G,Aut_Ajustes_Manuais!$I:$I,DRE!T$4,Aut_Ajustes_Manuais!$F:$F,"Total - Variações s/ Resultado Líquido")</f>
        <v/>
      </c>
      <c r="W363" s="244" t="n"/>
      <c r="X363" s="42">
        <f>SUM(X353,X334)</f>
        <v/>
      </c>
      <c r="Y363" s="43">
        <f>SUM(Y353,Y334)+SUMIFS(Aut_Ajustes_Manuais!$G:$G,Aut_Ajustes_Manuais!$I:$I,DRE!W$4,Aut_Ajustes_Manuais!$F:$F,"Total - Variações s/ Resultado Líquido")</f>
        <v/>
      </c>
      <c r="Z363" s="244" t="n"/>
      <c r="AA363" s="42">
        <f>SUM(AA353,AA334)</f>
        <v/>
      </c>
      <c r="AB363" s="43">
        <f>SUM(AB353,AB334)+SUMIFS(Aut_Ajustes_Manuais!$G:$G,Aut_Ajustes_Manuais!$I:$I,DRE!Z$4,Aut_Ajustes_Manuais!$F:$F,"Total - Variações s/ Resultado Líquido")</f>
        <v/>
      </c>
      <c r="AC363" s="244" t="n"/>
      <c r="AD363" s="42">
        <f>SUM(AD353,AD334)</f>
        <v/>
      </c>
      <c r="AE363" s="43">
        <f>SUM(AE353,AE334)+SUMIFS(Aut_Ajustes_Manuais!$G:$G,Aut_Ajustes_Manuais!$I:$I,DRE!AC$4,Aut_Ajustes_Manuais!$F:$F,"Total - Variações s/ Resultado Líquido")</f>
        <v/>
      </c>
      <c r="AF363" s="244" t="n"/>
      <c r="AG363" s="42">
        <f>SUM(AG353,AG334)</f>
        <v/>
      </c>
      <c r="AH363" s="43">
        <f>SUM(AH353,AH334)+SUMIFS(Aut_Ajustes_Manuais!$G:$G,Aut_Ajustes_Manuais!$I:$I,DRE!AF$4,Aut_Ajustes_Manuais!$F:$F,"Total - Variações s/ Resultado Líquido")</f>
        <v/>
      </c>
      <c r="AI363" s="244" t="n"/>
      <c r="AJ363" s="42">
        <f>SUM(AJ353,AJ334)</f>
        <v/>
      </c>
      <c r="AK363" s="43">
        <f>SUM(AK353,AK334)+SUMIFS(Aut_Ajustes_Manuais!$G:$G,Aut_Ajustes_Manuais!$I:$I,DRE!AI$4,Aut_Ajustes_Manuais!$F:$F,"Total - Variações s/ Resultado Líquido")</f>
        <v/>
      </c>
      <c r="AL363" s="244" t="n"/>
      <c r="AM363" s="42">
        <f>SUM(AM353,AM334)</f>
        <v/>
      </c>
      <c r="AN363" s="43">
        <f>SUM(AN353,AN334)+SUMIFS(Aut_Ajustes_Manuais!$G:$G,Aut_Ajustes_Manuais!$I:$I,DRE!AL$4,Aut_Ajustes_Manuais!$F:$F,"Total - Variações s/ Resultado Líquido")</f>
        <v/>
      </c>
      <c r="AO363" s="244" t="n"/>
      <c r="AP363" s="42">
        <f>SUM(AP353,AP334)</f>
        <v/>
      </c>
      <c r="AQ363" s="43">
        <f>SUM(AQ353,AQ334)+SUMIFS(Aut_Ajustes_Manuais!$G:$G,Aut_Ajustes_Manuais!$I:$I,DRE!AO$4,Aut_Ajustes_Manuais!$F:$F,"Total - Variações s/ Resultado Líquido")</f>
        <v/>
      </c>
      <c r="AR363" s="244">
        <f>SUM(AR353,AR334)</f>
        <v/>
      </c>
      <c r="AS363" s="42">
        <f>SUM(AS353,AS334)</f>
        <v/>
      </c>
      <c r="AT363" s="43">
        <f>SUM(AT353,AT334)</f>
        <v/>
      </c>
      <c r="AU363" s="244">
        <f>SUM(AU353,AU334)</f>
        <v/>
      </c>
      <c r="AV363" s="42">
        <f>SUM(AV353,AV334)</f>
        <v/>
      </c>
      <c r="AW363" s="43">
        <f>SUM(AW353,AW334)</f>
        <v/>
      </c>
      <c r="AX363" s="244">
        <f>SUM(AX353,AX334)</f>
        <v/>
      </c>
      <c r="AY363" s="42">
        <f>SUM(AY353,AY334)</f>
        <v/>
      </c>
      <c r="AZ363" s="43">
        <f>SUM(AZ353,AZ334)</f>
        <v/>
      </c>
      <c r="BA363" s="244">
        <f>SUM(BA353,BA334)</f>
        <v/>
      </c>
      <c r="BB363" s="42">
        <f>SUM(BB353,BB334)</f>
        <v/>
      </c>
      <c r="BC363" s="43">
        <f>SUM(BC353,BC334)</f>
        <v/>
      </c>
      <c r="BD363" s="244">
        <f>SUM(BD353,BD334)</f>
        <v/>
      </c>
      <c r="BE363" s="42">
        <f>SUM(BE353,BE334)</f>
        <v/>
      </c>
      <c r="BF363" s="43">
        <f>SUM(BF353,BF334)</f>
        <v/>
      </c>
      <c r="BG363" s="244">
        <f>SUM(BG353,BG334)</f>
        <v/>
      </c>
      <c r="BH363" s="42">
        <f>SUM(BH353,BH334)</f>
        <v/>
      </c>
      <c r="BI363" s="43">
        <f>SUM(BI353,BI334)</f>
        <v/>
      </c>
    </row>
    <row r="364" customFormat="1" s="498">
      <c r="A364" s="148" t="n"/>
      <c r="B364" s="23" t="n"/>
      <c r="C364" s="3" t="n"/>
      <c r="D364" s="4" t="n"/>
      <c r="E364" s="16" t="n"/>
      <c r="F364" s="117" t="n"/>
      <c r="G364" s="33" t="n"/>
      <c r="H364" s="269" t="n"/>
      <c r="I364" s="117" t="n"/>
      <c r="J364" s="149" t="n"/>
      <c r="K364" s="269" t="n"/>
      <c r="L364" s="117" t="n"/>
      <c r="M364" s="149" t="n"/>
      <c r="N364" s="269" t="n"/>
      <c r="O364" s="117" t="n"/>
      <c r="P364" s="149" t="n"/>
      <c r="Q364" s="269" t="n"/>
      <c r="R364" s="117" t="n"/>
      <c r="S364" s="149" t="n"/>
      <c r="T364" s="269" t="n"/>
      <c r="U364" s="117" t="n"/>
      <c r="V364" s="149" t="n"/>
      <c r="W364" s="269" t="n"/>
      <c r="X364" s="117" t="n"/>
      <c r="Y364" s="149" t="n"/>
      <c r="Z364" s="269" t="n"/>
      <c r="AA364" s="117" t="n"/>
      <c r="AB364" s="149" t="n"/>
      <c r="AC364" s="269" t="n"/>
      <c r="AD364" s="117" t="n"/>
      <c r="AE364" s="149" t="n"/>
      <c r="AF364" s="269" t="n"/>
      <c r="AG364" s="117" t="n"/>
      <c r="AH364" s="149" t="n"/>
      <c r="AI364" s="269" t="n"/>
      <c r="AJ364" s="117" t="n"/>
      <c r="AK364" s="149" t="n"/>
      <c r="AL364" s="269" t="n"/>
      <c r="AM364" s="117" t="n"/>
      <c r="AN364" s="149" t="n"/>
      <c r="AO364" s="269" t="n"/>
      <c r="AP364" s="117" t="n"/>
      <c r="AQ364" s="149" t="n"/>
      <c r="AR364" s="269" t="n"/>
      <c r="AS364" s="117" t="n"/>
      <c r="AT364" s="149" t="n"/>
      <c r="AU364" s="269" t="n"/>
      <c r="AV364" s="117" t="n"/>
      <c r="AW364" s="149" t="n"/>
      <c r="AX364" s="269" t="n"/>
      <c r="AY364" s="117" t="n"/>
      <c r="AZ364" s="149" t="n"/>
      <c r="BA364" s="269" t="n"/>
      <c r="BB364" s="117" t="n"/>
      <c r="BC364" s="149" t="n"/>
      <c r="BD364" s="269" t="n"/>
      <c r="BE364" s="117" t="n"/>
      <c r="BF364" s="149" t="n"/>
      <c r="BG364" s="269" t="n"/>
      <c r="BH364" s="117" t="n"/>
      <c r="BI364" s="149" t="n"/>
    </row>
    <row r="365">
      <c r="A365" s="150" t="inlineStr">
        <is>
          <t>FCF</t>
        </is>
      </c>
      <c r="B365" s="59" t="n"/>
      <c r="C365" s="60" t="n"/>
      <c r="D365" s="61" t="n"/>
      <c r="E365" s="62" t="n"/>
      <c r="F365" s="63" t="n"/>
      <c r="G365" s="47" t="n"/>
      <c r="H365" s="294" t="n"/>
      <c r="I365" s="295">
        <f>SUM(I363,I331)</f>
        <v/>
      </c>
      <c r="J365" s="296">
        <f>SUM(J363,J331)+SUMIFS(Aut_Ajustes_Manuais!$G:$G,Aut_Ajustes_Manuais!$I:$I,DRE!H$4,Aut_Ajustes_Manuais!$F:$F,"FCF")</f>
        <v/>
      </c>
      <c r="K365" s="294" t="n"/>
      <c r="L365" s="295">
        <f>SUM(L363,L331)</f>
        <v/>
      </c>
      <c r="M365" s="296">
        <f>SUM(M363,M331)+SUMIFS(Aut_Ajustes_Manuais!$G:$G,Aut_Ajustes_Manuais!$I:$I,DRE!K$4,Aut_Ajustes_Manuais!$F:$F,"FCF")</f>
        <v/>
      </c>
      <c r="N365" s="294" t="n"/>
      <c r="O365" s="295">
        <f>SUM(O363,O331)</f>
        <v/>
      </c>
      <c r="P365" s="296">
        <f>SUM(P363,P331)+SUMIFS(Aut_Ajustes_Manuais!$G:$G,Aut_Ajustes_Manuais!$I:$I,DRE!N$4,Aut_Ajustes_Manuais!$F:$F,"FCF")</f>
        <v/>
      </c>
      <c r="Q365" s="294" t="n"/>
      <c r="R365" s="295">
        <f>SUM(R363,R331)</f>
        <v/>
      </c>
      <c r="S365" s="296">
        <f>SUM(S363,S331)+SUMIFS(Aut_Ajustes_Manuais!$G:$G,Aut_Ajustes_Manuais!$I:$I,DRE!Q$4,Aut_Ajustes_Manuais!$F:$F,"FCF")</f>
        <v/>
      </c>
      <c r="T365" s="294" t="n"/>
      <c r="U365" s="295">
        <f>SUM(U363,U331)</f>
        <v/>
      </c>
      <c r="V365" s="296">
        <f>SUM(V363,V331)+SUMIFS(Aut_Ajustes_Manuais!$G:$G,Aut_Ajustes_Manuais!$I:$I,DRE!T$4,Aut_Ajustes_Manuais!$F:$F,"FCF")</f>
        <v/>
      </c>
      <c r="W365" s="294" t="n"/>
      <c r="X365" s="295">
        <f>SUM(X363,X331)</f>
        <v/>
      </c>
      <c r="Y365" s="296">
        <f>SUM(Y363,Y331)+SUMIFS(Aut_Ajustes_Manuais!$G:$G,Aut_Ajustes_Manuais!$I:$I,DRE!W$4,Aut_Ajustes_Manuais!$F:$F,"FCF")</f>
        <v/>
      </c>
      <c r="Z365" s="294" t="n"/>
      <c r="AA365" s="295">
        <f>SUM(AA363,AA331)</f>
        <v/>
      </c>
      <c r="AB365" s="296">
        <f>SUM(AB363,AB331)+SUMIFS(Aut_Ajustes_Manuais!$G:$G,Aut_Ajustes_Manuais!$I:$I,DRE!Z$4,Aut_Ajustes_Manuais!$F:$F,"FCF")</f>
        <v/>
      </c>
      <c r="AC365" s="294" t="n"/>
      <c r="AD365" s="295">
        <f>SUM(AD363,AD331)</f>
        <v/>
      </c>
      <c r="AE365" s="296">
        <f>SUM(AE363,AE331)+SUMIFS(Aut_Ajustes_Manuais!$G:$G,Aut_Ajustes_Manuais!$I:$I,DRE!AC$4,Aut_Ajustes_Manuais!$F:$F,"FCF")</f>
        <v/>
      </c>
      <c r="AF365" s="294" t="n"/>
      <c r="AG365" s="295">
        <f>SUM(AG363,AG331)</f>
        <v/>
      </c>
      <c r="AH365" s="296">
        <f>SUM(AH363,AH331)+SUMIFS(Aut_Ajustes_Manuais!$G:$G,Aut_Ajustes_Manuais!$I:$I,DRE!AF$4,Aut_Ajustes_Manuais!$F:$F,"FCF")</f>
        <v/>
      </c>
      <c r="AI365" s="294" t="n"/>
      <c r="AJ365" s="295">
        <f>SUM(AJ363,AJ331)</f>
        <v/>
      </c>
      <c r="AK365" s="296">
        <f>SUM(AK363,AK331)+SUMIFS(Aut_Ajustes_Manuais!$G:$G,Aut_Ajustes_Manuais!$I:$I,DRE!AI$4,Aut_Ajustes_Manuais!$F:$F,"FCF")</f>
        <v/>
      </c>
      <c r="AL365" s="294" t="n"/>
      <c r="AM365" s="295">
        <f>SUM(AM363,AM331)</f>
        <v/>
      </c>
      <c r="AN365" s="296">
        <f>SUM(AN363,AN331)+SUMIFS(Aut_Ajustes_Manuais!$G:$G,Aut_Ajustes_Manuais!$I:$I,DRE!AL$4,Aut_Ajustes_Manuais!$F:$F,"FCF")</f>
        <v/>
      </c>
      <c r="AO365" s="294" t="n"/>
      <c r="AP365" s="295">
        <f>SUM(AP363,AP331)</f>
        <v/>
      </c>
      <c r="AQ365" s="296">
        <f>SUM(AQ363,AQ331)+SUMIFS(Aut_Ajustes_Manuais!$G:$G,Aut_Ajustes_Manuais!$I:$I,DRE!AO$4,Aut_Ajustes_Manuais!$F:$F,"FCF")</f>
        <v/>
      </c>
      <c r="AR365" s="294">
        <f>SUM(AR363,AR331)</f>
        <v/>
      </c>
      <c r="AS365" s="295">
        <f>SUM(AS363,AS331)</f>
        <v/>
      </c>
      <c r="AT365" s="296">
        <f>SUM(AT363,AT331)</f>
        <v/>
      </c>
      <c r="AU365" s="294">
        <f>SUM(AU363,AU331)</f>
        <v/>
      </c>
      <c r="AV365" s="295">
        <f>SUM(AV363,AV331)</f>
        <v/>
      </c>
      <c r="AW365" s="296">
        <f>SUM(AW363,AW331)</f>
        <v/>
      </c>
      <c r="AX365" s="294">
        <f>SUM(AX363,AX331)</f>
        <v/>
      </c>
      <c r="AY365" s="295">
        <f>SUM(AY363,AY331)</f>
        <v/>
      </c>
      <c r="AZ365" s="296">
        <f>SUM(AZ363,AZ331)</f>
        <v/>
      </c>
      <c r="BA365" s="294">
        <f>SUM(BA363,BA331)</f>
        <v/>
      </c>
      <c r="BB365" s="295">
        <f>SUM(BB363,BB331)</f>
        <v/>
      </c>
      <c r="BC365" s="296">
        <f>SUM(BC363,BC331)</f>
        <v/>
      </c>
      <c r="BD365" s="294">
        <f>SUM(BD363,BD331)</f>
        <v/>
      </c>
      <c r="BE365" s="295">
        <f>SUM(BE363,BE331)</f>
        <v/>
      </c>
      <c r="BF365" s="296">
        <f>SUM(BF363,BF331)</f>
        <v/>
      </c>
      <c r="BG365" s="294">
        <f>SUM(BG363,BG331)</f>
        <v/>
      </c>
      <c r="BH365" s="295">
        <f>SUM(BH363,BH331)</f>
        <v/>
      </c>
      <c r="BI365" s="296">
        <f>SUM(BI363,BI331)</f>
        <v/>
      </c>
    </row>
    <row r="366" customFormat="1" s="498">
      <c r="A366" s="148" t="n"/>
      <c r="B366" s="23" t="n"/>
      <c r="C366" s="3" t="n"/>
      <c r="D366" s="4" t="n"/>
      <c r="E366" s="16" t="n"/>
      <c r="F366" s="117" t="n"/>
      <c r="G366" s="33" t="n"/>
      <c r="H366" s="269" t="n"/>
      <c r="I366" s="117" t="n"/>
      <c r="J366" s="149" t="n"/>
      <c r="K366" s="269" t="n"/>
      <c r="L366" s="117" t="n"/>
      <c r="M366" s="149" t="n"/>
      <c r="N366" s="269" t="n"/>
      <c r="O366" s="117" t="n"/>
      <c r="P366" s="149" t="n"/>
      <c r="Q366" s="269" t="n"/>
      <c r="R366" s="117" t="n"/>
      <c r="S366" s="149" t="n"/>
      <c r="T366" s="269" t="n"/>
      <c r="U366" s="117" t="n"/>
      <c r="V366" s="149" t="n"/>
      <c r="W366" s="269" t="n"/>
      <c r="X366" s="117" t="n"/>
      <c r="Y366" s="149" t="n"/>
      <c r="Z366" s="269" t="n"/>
      <c r="AA366" s="117" t="n"/>
      <c r="AB366" s="149" t="n"/>
      <c r="AC366" s="269" t="n"/>
      <c r="AD366" s="117" t="n"/>
      <c r="AE366" s="149" t="n"/>
      <c r="AF366" s="269" t="n"/>
      <c r="AG366" s="117" t="n"/>
      <c r="AH366" s="149" t="n"/>
      <c r="AI366" s="269" t="n"/>
      <c r="AJ366" s="117" t="n"/>
      <c r="AK366" s="149" t="n"/>
      <c r="AL366" s="269" t="n"/>
      <c r="AM366" s="117" t="n"/>
      <c r="AN366" s="149" t="n"/>
      <c r="AO366" s="269" t="n"/>
      <c r="AP366" s="117" t="n"/>
      <c r="AQ366" s="149" t="n"/>
      <c r="AR366" s="269" t="n"/>
      <c r="AS366" s="117" t="n"/>
      <c r="AT366" s="149" t="n"/>
      <c r="AU366" s="269" t="n"/>
      <c r="AV366" s="117" t="n"/>
      <c r="AW366" s="149" t="n"/>
      <c r="AX366" s="269" t="n"/>
      <c r="AY366" s="117" t="n"/>
      <c r="AZ366" s="149" t="n"/>
      <c r="BA366" s="269" t="n"/>
      <c r="BB366" s="117" t="n"/>
      <c r="BC366" s="149" t="n"/>
      <c r="BD366" s="269" t="n"/>
      <c r="BE366" s="117" t="n"/>
      <c r="BF366" s="149" t="n"/>
      <c r="BG366" s="269" t="n"/>
      <c r="BH366" s="117" t="n"/>
      <c r="BI366" s="149" t="n"/>
    </row>
    <row r="367" customFormat="1" s="498">
      <c r="A367" s="150" t="n"/>
      <c r="B367" s="59" t="n"/>
      <c r="C367" s="60" t="n"/>
      <c r="D367" s="61" t="n"/>
      <c r="E367" s="62" t="n"/>
      <c r="F367" s="63" t="n"/>
      <c r="G367" s="33" t="n"/>
      <c r="H367" s="270" t="n"/>
      <c r="I367" s="151" t="n"/>
      <c r="J367" s="152" t="n"/>
      <c r="K367" s="270" t="n"/>
      <c r="L367" s="151" t="n"/>
      <c r="M367" s="152" t="n"/>
      <c r="N367" s="270" t="n"/>
      <c r="O367" s="151" t="n"/>
      <c r="P367" s="152" t="n"/>
      <c r="Q367" s="270" t="n"/>
      <c r="R367" s="151" t="n"/>
      <c r="S367" s="152" t="n"/>
      <c r="T367" s="270" t="n"/>
      <c r="U367" s="151" t="n"/>
      <c r="V367" s="152" t="n"/>
      <c r="W367" s="270" t="n"/>
      <c r="X367" s="151" t="n"/>
      <c r="Y367" s="152" t="n"/>
      <c r="Z367" s="270" t="n"/>
      <c r="AA367" s="151" t="n"/>
      <c r="AB367" s="152" t="n"/>
      <c r="AC367" s="270" t="n"/>
      <c r="AD367" s="151" t="n"/>
      <c r="AE367" s="152" t="n"/>
      <c r="AF367" s="270" t="n"/>
      <c r="AG367" s="151" t="n"/>
      <c r="AH367" s="152" t="n"/>
      <c r="AI367" s="270" t="n"/>
      <c r="AJ367" s="151" t="n"/>
      <c r="AK367" s="152" t="n"/>
      <c r="AL367" s="270" t="n"/>
      <c r="AM367" s="151" t="n"/>
      <c r="AN367" s="152" t="n"/>
      <c r="AO367" s="270" t="n"/>
      <c r="AP367" s="151" t="n"/>
      <c r="AQ367" s="152" t="n"/>
      <c r="AR367" s="270" t="n"/>
      <c r="AS367" s="151" t="n"/>
      <c r="AT367" s="152" t="n"/>
      <c r="AU367" s="270" t="n"/>
      <c r="AV367" s="151" t="n"/>
      <c r="AW367" s="152" t="n"/>
      <c r="AX367" s="270" t="n"/>
      <c r="AY367" s="151" t="n"/>
      <c r="AZ367" s="152" t="n"/>
      <c r="BA367" s="270" t="n"/>
      <c r="BB367" s="151" t="n"/>
      <c r="BC367" s="152" t="n"/>
      <c r="BD367" s="270" t="n"/>
      <c r="BE367" s="151" t="n"/>
      <c r="BF367" s="152" t="n"/>
      <c r="BG367" s="270" t="n"/>
      <c r="BH367" s="151" t="n"/>
      <c r="BI367" s="152" t="n"/>
    </row>
    <row r="368" ht="15" customHeight="1" thickBot="1">
      <c r="A368" s="153" t="n"/>
      <c r="C368" s="60" t="n"/>
      <c r="D368" s="61" t="n"/>
      <c r="E368" s="61" t="n"/>
      <c r="G368" s="47" t="n"/>
      <c r="H368" s="271" t="n"/>
      <c r="I368" s="154" t="n"/>
      <c r="J368" s="155" t="n"/>
      <c r="K368" s="271" t="n"/>
      <c r="L368" s="154" t="n"/>
      <c r="M368" s="155" t="n"/>
      <c r="N368" s="271" t="n"/>
      <c r="O368" s="154" t="n"/>
      <c r="P368" s="155" t="n"/>
      <c r="Q368" s="271" t="n"/>
      <c r="R368" s="154" t="n"/>
      <c r="S368" s="155" t="n"/>
      <c r="T368" s="271" t="n"/>
      <c r="U368" s="154" t="n"/>
      <c r="V368" s="155" t="n"/>
      <c r="W368" s="271" t="n"/>
      <c r="X368" s="154" t="n"/>
      <c r="Y368" s="155" t="n"/>
      <c r="Z368" s="271" t="n"/>
      <c r="AA368" s="154" t="n"/>
      <c r="AB368" s="155" t="n"/>
      <c r="AC368" s="271" t="n"/>
      <c r="AD368" s="154" t="n"/>
      <c r="AE368" s="155" t="n"/>
      <c r="AF368" s="271" t="n"/>
      <c r="AG368" s="154" t="n"/>
      <c r="AH368" s="155" t="n"/>
      <c r="AI368" s="271" t="n"/>
      <c r="AJ368" s="154" t="n"/>
      <c r="AK368" s="155" t="n"/>
      <c r="AL368" s="271" t="n"/>
      <c r="AM368" s="154" t="n"/>
      <c r="AN368" s="155" t="n"/>
      <c r="AO368" s="271" t="n"/>
      <c r="AP368" s="154" t="n"/>
      <c r="AQ368" s="155" t="n"/>
      <c r="AR368" s="271" t="n"/>
      <c r="AS368" s="154" t="n"/>
      <c r="AT368" s="155" t="n"/>
      <c r="AU368" s="271" t="n"/>
      <c r="AV368" s="154" t="n"/>
      <c r="AW368" s="155" t="n"/>
      <c r="AX368" s="271" t="n"/>
      <c r="AY368" s="154" t="n"/>
      <c r="AZ368" s="155" t="n"/>
      <c r="BA368" s="271" t="n"/>
      <c r="BB368" s="154" t="n"/>
      <c r="BC368" s="155" t="n"/>
      <c r="BD368" s="271" t="n"/>
      <c r="BE368" s="154" t="n"/>
      <c r="BF368" s="155" t="n"/>
      <c r="BG368" s="271" t="n"/>
      <c r="BH368" s="154" t="n"/>
      <c r="BI368" s="155" t="n"/>
    </row>
    <row r="369" ht="30.45" customFormat="1" customHeight="1" s="14" thickBot="1">
      <c r="A369" s="156" t="inlineStr">
        <is>
          <t>MEMÓRIA DE CÁLCULO DAS PROJEÇÕES DE CUSTOS COM IMPOSTOS E PESSOAL</t>
        </is>
      </c>
      <c r="B369" s="157" t="n"/>
      <c r="C369" s="158" t="n"/>
      <c r="D369" s="159" t="n"/>
      <c r="E369" s="160" t="n"/>
      <c r="F369" s="161" t="n"/>
      <c r="G369" s="157" t="n"/>
      <c r="H369" s="272" t="n"/>
      <c r="I369" s="161" t="n"/>
      <c r="J369" s="162" t="n"/>
      <c r="K369" s="272" t="n"/>
      <c r="L369" s="161" t="n"/>
      <c r="M369" s="162" t="n"/>
      <c r="N369" s="272" t="n"/>
      <c r="O369" s="161" t="n"/>
      <c r="P369" s="162" t="n"/>
      <c r="Q369" s="272" t="n"/>
      <c r="R369" s="161" t="n"/>
      <c r="S369" s="162" t="n"/>
      <c r="T369" s="272" t="n"/>
      <c r="U369" s="161" t="n"/>
      <c r="V369" s="162" t="n"/>
      <c r="W369" s="272" t="n"/>
      <c r="X369" s="161" t="n"/>
      <c r="Y369" s="162" t="n"/>
      <c r="Z369" s="272" t="n"/>
      <c r="AA369" s="161" t="n"/>
      <c r="AB369" s="162" t="n"/>
      <c r="AC369" s="272" t="n"/>
      <c r="AD369" s="161" t="n"/>
      <c r="AE369" s="162" t="n"/>
      <c r="AF369" s="272" t="n"/>
      <c r="AG369" s="161" t="n"/>
      <c r="AH369" s="162" t="n"/>
      <c r="AI369" s="272" t="n"/>
      <c r="AJ369" s="161" t="n"/>
      <c r="AK369" s="162" t="n"/>
      <c r="AL369" s="272" t="n"/>
      <c r="AM369" s="161" t="n"/>
      <c r="AN369" s="162" t="n"/>
      <c r="AO369" s="272" t="n"/>
      <c r="AP369" s="161" t="n"/>
      <c r="AQ369" s="162" t="n"/>
      <c r="AR369" s="272" t="n"/>
      <c r="AS369" s="161" t="n"/>
      <c r="AT369" s="162" t="n"/>
      <c r="AU369" s="272" t="n"/>
      <c r="AV369" s="161" t="n"/>
      <c r="AW369" s="162" t="n"/>
      <c r="AX369" s="272" t="n"/>
      <c r="AY369" s="161" t="n"/>
      <c r="AZ369" s="162" t="n"/>
      <c r="BA369" s="272" t="n"/>
      <c r="BB369" s="161" t="n"/>
      <c r="BC369" s="162" t="n"/>
      <c r="BD369" s="272" t="n"/>
      <c r="BE369" s="161" t="n"/>
      <c r="BF369" s="162" t="n"/>
      <c r="BG369" s="272" t="n"/>
      <c r="BH369" s="161" t="n"/>
      <c r="BI369" s="162" t="n"/>
    </row>
    <row r="370" hidden="1" outlineLevel="1" ht="14.4" customFormat="1" customHeight="1" s="498">
      <c r="A370" s="163" t="n"/>
      <c r="B370" s="23" t="n"/>
      <c r="C370" s="3" t="n"/>
      <c r="D370" s="4" t="n"/>
      <c r="E370" s="4" t="n"/>
      <c r="F370" s="23" t="n"/>
      <c r="G370" s="56" t="n"/>
      <c r="H370" s="273" t="n"/>
      <c r="I370" s="23" t="n"/>
      <c r="J370" s="164" t="n"/>
      <c r="K370" s="273" t="n"/>
      <c r="L370" s="23" t="n"/>
      <c r="M370" s="164" t="n"/>
      <c r="N370" s="273" t="n"/>
      <c r="O370" s="23" t="n"/>
      <c r="P370" s="164" t="n"/>
      <c r="Q370" s="273" t="n"/>
      <c r="R370" s="23" t="n"/>
      <c r="S370" s="164" t="n"/>
      <c r="T370" s="273" t="n"/>
      <c r="U370" s="23" t="n"/>
      <c r="V370" s="164" t="n"/>
      <c r="W370" s="273" t="n"/>
      <c r="X370" s="23" t="n"/>
      <c r="Y370" s="164" t="n"/>
      <c r="Z370" s="273" t="n"/>
      <c r="AA370" s="23" t="n"/>
      <c r="AB370" s="164" t="n"/>
      <c r="AC370" s="273" t="n"/>
      <c r="AD370" s="23" t="n"/>
      <c r="AE370" s="164" t="n"/>
      <c r="AF370" s="273" t="n"/>
      <c r="AG370" s="23" t="n"/>
      <c r="AH370" s="164" t="n"/>
      <c r="AI370" s="273" t="n"/>
      <c r="AJ370" s="23" t="n"/>
      <c r="AK370" s="164" t="n"/>
      <c r="AL370" s="273" t="n"/>
      <c r="AM370" s="23" t="n"/>
      <c r="AN370" s="164" t="n"/>
      <c r="AO370" s="273" t="n"/>
      <c r="AP370" s="23" t="n"/>
      <c r="AQ370" s="164" t="n"/>
      <c r="AR370" s="273" t="n"/>
      <c r="AS370" s="23" t="n"/>
      <c r="AT370" s="164" t="n"/>
      <c r="AU370" s="273" t="n"/>
      <c r="AV370" s="23" t="n"/>
      <c r="AW370" s="164" t="n"/>
      <c r="AX370" s="273" t="n"/>
      <c r="AY370" s="23" t="n"/>
      <c r="AZ370" s="164" t="n"/>
      <c r="BA370" s="273" t="n"/>
      <c r="BB370" s="23" t="n"/>
      <c r="BC370" s="164" t="n"/>
      <c r="BD370" s="273" t="n"/>
      <c r="BE370" s="23" t="n"/>
      <c r="BF370" s="164" t="n"/>
      <c r="BG370" s="273" t="n"/>
      <c r="BH370" s="23" t="n"/>
      <c r="BI370" s="164" t="n"/>
    </row>
    <row r="371" hidden="1" outlineLevel="1" ht="14.4" customFormat="1" customHeight="1" s="498">
      <c r="A371" s="165" t="inlineStr">
        <is>
          <t>Premissas e parâmetros usados...</t>
        </is>
      </c>
      <c r="B371" s="488" t="n"/>
      <c r="C371" s="3" t="n"/>
      <c r="D371" s="4" t="n"/>
      <c r="E371" s="16" t="n"/>
      <c r="F371" s="117" t="n"/>
      <c r="G371" s="56" t="n"/>
      <c r="H371" s="274" t="n"/>
      <c r="I371" s="166" t="inlineStr">
        <is>
          <t>Mês 1</t>
        </is>
      </c>
      <c r="J371" s="275" t="n"/>
      <c r="K371" s="274" t="n"/>
      <c r="L371" s="166" t="inlineStr">
        <is>
          <t>Mês 2</t>
        </is>
      </c>
      <c r="M371" s="275" t="n"/>
      <c r="N371" s="274" t="n"/>
      <c r="O371" s="166" t="inlineStr">
        <is>
          <t>Mês 3</t>
        </is>
      </c>
      <c r="P371" s="275" t="n"/>
      <c r="Q371" s="274" t="n"/>
      <c r="R371" s="166" t="inlineStr">
        <is>
          <t>Mês 4</t>
        </is>
      </c>
      <c r="S371" s="275" t="n"/>
      <c r="T371" s="274" t="n"/>
      <c r="U371" s="166" t="inlineStr">
        <is>
          <t>Mês 5</t>
        </is>
      </c>
      <c r="V371" s="275" t="n"/>
      <c r="W371" s="274" t="n"/>
      <c r="X371" s="166" t="inlineStr">
        <is>
          <t>Mês 6</t>
        </is>
      </c>
      <c r="Y371" s="275" t="n"/>
      <c r="Z371" s="274" t="n"/>
      <c r="AA371" s="166" t="inlineStr">
        <is>
          <t>Mês 7</t>
        </is>
      </c>
      <c r="AB371" s="275" t="n"/>
      <c r="AC371" s="274" t="n"/>
      <c r="AD371" s="166" t="inlineStr">
        <is>
          <t>Mês 8</t>
        </is>
      </c>
      <c r="AE371" s="275" t="n"/>
      <c r="AF371" s="274" t="n"/>
      <c r="AG371" s="166" t="inlineStr">
        <is>
          <t>Mês 9</t>
        </is>
      </c>
      <c r="AH371" s="275" t="n"/>
      <c r="AI371" s="274" t="n"/>
      <c r="AJ371" s="166" t="inlineStr">
        <is>
          <t>Mês 10</t>
        </is>
      </c>
      <c r="AK371" s="275" t="n"/>
      <c r="AL371" s="274" t="n"/>
      <c r="AM371" s="166" t="inlineStr">
        <is>
          <t>Mês 11</t>
        </is>
      </c>
      <c r="AN371" s="275" t="n"/>
      <c r="AO371" s="274" t="n"/>
      <c r="AP371" s="166" t="inlineStr">
        <is>
          <t>Mês 12</t>
        </is>
      </c>
      <c r="AQ371" s="275" t="n"/>
      <c r="AR371" s="274" t="n"/>
      <c r="AS371" s="166" t="inlineStr">
        <is>
          <t>Ano 1</t>
        </is>
      </c>
      <c r="AT371" s="275" t="n"/>
      <c r="AU371" s="274" t="n"/>
      <c r="AV371" s="166" t="n"/>
      <c r="AW371" s="275" t="n"/>
      <c r="AX371" s="274" t="n"/>
      <c r="AY371" s="166" t="inlineStr">
        <is>
          <t>1º TRIMESTRE</t>
        </is>
      </c>
      <c r="AZ371" s="275" t="n"/>
      <c r="BA371" s="274" t="n"/>
      <c r="BB371" s="166" t="inlineStr">
        <is>
          <t>2º TRIMESTRE</t>
        </is>
      </c>
      <c r="BC371" s="275" t="n"/>
      <c r="BD371" s="274" t="n"/>
      <c r="BE371" s="166" t="inlineStr">
        <is>
          <t>3º TRIMESTRE</t>
        </is>
      </c>
      <c r="BF371" s="275" t="n"/>
      <c r="BG371" s="274" t="n"/>
      <c r="BH371" s="166" t="inlineStr">
        <is>
          <t>4º TRIMESTRE</t>
        </is>
      </c>
      <c r="BI371" s="275" t="n"/>
    </row>
    <row r="372" hidden="1" outlineLevel="1" ht="14.4" customFormat="1" customHeight="1" s="498">
      <c r="A372" s="148" t="n"/>
      <c r="B372" s="23" t="n"/>
      <c r="C372" s="3" t="n"/>
      <c r="D372" s="4" t="n"/>
      <c r="E372" s="16" t="n"/>
      <c r="F372" s="117" t="n"/>
      <c r="G372" s="56" t="n"/>
      <c r="H372" s="269" t="n"/>
      <c r="I372" s="117" t="n"/>
      <c r="J372" s="149" t="n"/>
      <c r="K372" s="269" t="n"/>
      <c r="L372" s="117" t="n"/>
      <c r="M372" s="149" t="n"/>
      <c r="N372" s="269" t="n"/>
      <c r="O372" s="117" t="n"/>
      <c r="P372" s="149" t="n"/>
      <c r="Q372" s="269" t="n"/>
      <c r="R372" s="117" t="n"/>
      <c r="S372" s="149" t="n"/>
      <c r="T372" s="269" t="n"/>
      <c r="U372" s="117" t="n"/>
      <c r="V372" s="149" t="n"/>
      <c r="W372" s="269" t="n"/>
      <c r="X372" s="117" t="n"/>
      <c r="Y372" s="149" t="n"/>
      <c r="Z372" s="269" t="n"/>
      <c r="AA372" s="117" t="n"/>
      <c r="AB372" s="149" t="n"/>
      <c r="AC372" s="269" t="n"/>
      <c r="AD372" s="117" t="n"/>
      <c r="AE372" s="149" t="n"/>
      <c r="AF372" s="269" t="n"/>
      <c r="AG372" s="117" t="n"/>
      <c r="AH372" s="149" t="n"/>
      <c r="AI372" s="269" t="n"/>
      <c r="AJ372" s="117" t="n"/>
      <c r="AK372" s="149" t="n"/>
      <c r="AL372" s="269" t="n"/>
      <c r="AM372" s="117" t="n"/>
      <c r="AN372" s="149" t="n"/>
      <c r="AO372" s="269" t="n"/>
      <c r="AP372" s="117" t="n"/>
      <c r="AQ372" s="149" t="n"/>
      <c r="AR372" s="269" t="n"/>
      <c r="AS372" s="117" t="n"/>
      <c r="AT372" s="149" t="n"/>
      <c r="AU372" s="269" t="n"/>
      <c r="AV372" s="117" t="n"/>
      <c r="AW372" s="149" t="n"/>
      <c r="AX372" s="269" t="n"/>
      <c r="AY372" s="117" t="n"/>
      <c r="AZ372" s="149" t="n"/>
      <c r="BA372" s="269" t="n"/>
      <c r="BB372" s="117" t="n"/>
      <c r="BC372" s="149" t="n"/>
      <c r="BD372" s="269" t="n"/>
      <c r="BE372" s="117" t="n"/>
      <c r="BF372" s="149" t="n"/>
      <c r="BG372" s="269" t="n"/>
      <c r="BH372" s="117" t="n"/>
      <c r="BI372" s="149" t="n"/>
    </row>
    <row r="373" hidden="1" outlineLevel="2" ht="14.4" customFormat="1" customHeight="1" s="498">
      <c r="A373" s="71" t="inlineStr">
        <is>
          <t>Receita Bruta Total</t>
        </is>
      </c>
      <c r="B373" s="488" t="n"/>
      <c r="C373" s="60" t="n"/>
      <c r="D373" s="61" t="n"/>
      <c r="E373" s="61" t="n"/>
      <c r="F373" s="41" t="n"/>
      <c r="G373" s="56" t="n"/>
      <c r="H373" s="276" t="n"/>
      <c r="I373" s="167" t="n"/>
      <c r="J373" s="168" t="n"/>
      <c r="K373" s="276" t="n"/>
      <c r="L373" s="167" t="n"/>
      <c r="M373" s="168" t="n"/>
      <c r="N373" s="276" t="n"/>
      <c r="O373" s="167" t="n"/>
      <c r="P373" s="168" t="n"/>
      <c r="Q373" s="276" t="n"/>
      <c r="R373" s="167" t="n"/>
      <c r="S373" s="168" t="n"/>
      <c r="T373" s="276" t="n"/>
      <c r="U373" s="167" t="n"/>
      <c r="V373" s="168" t="n"/>
      <c r="W373" s="276" t="n"/>
      <c r="X373" s="167" t="n"/>
      <c r="Y373" s="168" t="n"/>
      <c r="Z373" s="276" t="n"/>
      <c r="AA373" s="167" t="n"/>
      <c r="AB373" s="168" t="n"/>
      <c r="AC373" s="276" t="n"/>
      <c r="AD373" s="167" t="n"/>
      <c r="AE373" s="168" t="n"/>
      <c r="AF373" s="276" t="n"/>
      <c r="AG373" s="167" t="n"/>
      <c r="AH373" s="168" t="n"/>
      <c r="AI373" s="276" t="n"/>
      <c r="AJ373" s="167" t="n"/>
      <c r="AK373" s="168" t="n"/>
      <c r="AL373" s="276" t="n"/>
      <c r="AM373" s="167" t="n"/>
      <c r="AN373" s="168" t="n"/>
      <c r="AO373" s="276" t="n"/>
      <c r="AP373" s="167" t="n"/>
      <c r="AQ373" s="168" t="n"/>
      <c r="AR373" s="276" t="n"/>
      <c r="AS373" s="167" t="n"/>
      <c r="AT373" s="168" t="n"/>
      <c r="AU373" s="276" t="n"/>
      <c r="AV373" s="167" t="n"/>
      <c r="AW373" s="168" t="n"/>
      <c r="AX373" s="276" t="n"/>
      <c r="AY373" s="167" t="n"/>
      <c r="AZ373" s="168" t="n"/>
      <c r="BA373" s="276" t="n"/>
      <c r="BB373" s="167" t="n"/>
      <c r="BC373" s="168" t="n"/>
      <c r="BD373" s="276" t="n"/>
      <c r="BE373" s="167" t="n"/>
      <c r="BF373" s="168" t="n"/>
      <c r="BG373" s="276" t="n"/>
      <c r="BH373" s="167" t="n"/>
      <c r="BI373" s="168" t="n"/>
    </row>
    <row r="374" hidden="1" outlineLevel="2" ht="14.4" customFormat="1" customHeight="1" s="498">
      <c r="A374" s="22" t="inlineStr">
        <is>
          <t>Grau de formalidade do Faturamento (% Rec. Bruta)</t>
        </is>
      </c>
      <c r="B374" s="23" t="n"/>
      <c r="C374" s="3" t="n"/>
      <c r="D374" s="4" t="n"/>
      <c r="E374" s="4" t="n"/>
      <c r="F374" s="56" t="n"/>
      <c r="G374" s="56" t="n"/>
      <c r="H374" s="277" t="n"/>
      <c r="I374" s="169" t="n"/>
      <c r="J374" s="170" t="n"/>
      <c r="K374" s="277" t="n"/>
      <c r="L374" s="169" t="n"/>
      <c r="M374" s="170" t="n"/>
      <c r="N374" s="277" t="n"/>
      <c r="O374" s="169" t="n"/>
      <c r="P374" s="170" t="n"/>
      <c r="Q374" s="277" t="n"/>
      <c r="R374" s="169" t="n"/>
      <c r="S374" s="170" t="n"/>
      <c r="T374" s="277" t="n"/>
      <c r="U374" s="169" t="n"/>
      <c r="V374" s="170" t="n"/>
      <c r="W374" s="277" t="n"/>
      <c r="X374" s="169" t="n"/>
      <c r="Y374" s="170" t="n"/>
      <c r="Z374" s="277" t="n"/>
      <c r="AA374" s="169" t="n"/>
      <c r="AB374" s="170" t="n"/>
      <c r="AC374" s="277" t="n"/>
      <c r="AD374" s="169" t="n"/>
      <c r="AE374" s="170" t="n"/>
      <c r="AF374" s="277" t="n"/>
      <c r="AG374" s="169" t="n"/>
      <c r="AH374" s="170" t="n"/>
      <c r="AI374" s="277" t="n"/>
      <c r="AJ374" s="169" t="n"/>
      <c r="AK374" s="170" t="n"/>
      <c r="AL374" s="277" t="n"/>
      <c r="AM374" s="169" t="n"/>
      <c r="AN374" s="170" t="n"/>
      <c r="AO374" s="277" t="n"/>
      <c r="AP374" s="169" t="n"/>
      <c r="AQ374" s="170" t="n"/>
      <c r="AR374" s="277" t="n"/>
      <c r="AS374" s="169" t="n"/>
      <c r="AT374" s="170" t="n"/>
      <c r="AU374" s="277" t="n"/>
      <c r="AV374" s="169" t="n"/>
      <c r="AW374" s="170" t="n"/>
      <c r="AX374" s="277" t="n"/>
      <c r="AY374" s="169" t="n"/>
      <c r="AZ374" s="170" t="n"/>
      <c r="BA374" s="277" t="n"/>
      <c r="BB374" s="169" t="n"/>
      <c r="BC374" s="170" t="n"/>
      <c r="BD374" s="277" t="n"/>
      <c r="BE374" s="169" t="n"/>
      <c r="BF374" s="170" t="n"/>
      <c r="BG374" s="277" t="n"/>
      <c r="BH374" s="169" t="n"/>
      <c r="BI374" s="170" t="n"/>
    </row>
    <row r="375" hidden="1" outlineLevel="2" ht="14.4" customFormat="1" customHeight="1" s="498">
      <c r="A375" s="71" t="inlineStr">
        <is>
          <t>Receita Bruta Total (PD)</t>
        </is>
      </c>
      <c r="B375" s="23" t="n"/>
      <c r="C375" s="3" t="n"/>
      <c r="D375" s="4" t="n"/>
      <c r="E375" s="4" t="n"/>
      <c r="F375" s="56" t="n"/>
      <c r="G375" s="56" t="n"/>
      <c r="H375" s="241" t="n"/>
      <c r="I375" s="27" t="n"/>
      <c r="J375" s="28" t="n"/>
      <c r="K375" s="241" t="n"/>
      <c r="L375" s="27" t="n"/>
      <c r="M375" s="28" t="n"/>
      <c r="N375" s="241" t="n"/>
      <c r="O375" s="27" t="n"/>
      <c r="P375" s="28" t="n"/>
      <c r="Q375" s="241" t="n"/>
      <c r="R375" s="27" t="n"/>
      <c r="S375" s="28" t="n"/>
      <c r="T375" s="241" t="n"/>
      <c r="U375" s="27" t="n"/>
      <c r="V375" s="28" t="n"/>
      <c r="W375" s="241" t="n"/>
      <c r="X375" s="27" t="n"/>
      <c r="Y375" s="28" t="n"/>
      <c r="Z375" s="241" t="n"/>
      <c r="AA375" s="27" t="n"/>
      <c r="AB375" s="28" t="n"/>
      <c r="AC375" s="241" t="n"/>
      <c r="AD375" s="27" t="n"/>
      <c r="AE375" s="28" t="n"/>
      <c r="AF375" s="241" t="n"/>
      <c r="AG375" s="27" t="n"/>
      <c r="AH375" s="28" t="n"/>
      <c r="AI375" s="241" t="n"/>
      <c r="AJ375" s="27" t="n"/>
      <c r="AK375" s="28" t="n"/>
      <c r="AL375" s="241" t="n"/>
      <c r="AM375" s="27" t="n"/>
      <c r="AN375" s="28" t="n"/>
      <c r="AO375" s="241" t="n"/>
      <c r="AP375" s="27" t="n"/>
      <c r="AQ375" s="28" t="n"/>
      <c r="AR375" s="241" t="n"/>
      <c r="AS375" s="27" t="n"/>
      <c r="AT375" s="28" t="n"/>
      <c r="AU375" s="241" t="n"/>
      <c r="AV375" s="27" t="n"/>
      <c r="AW375" s="28" t="n"/>
      <c r="AX375" s="241" t="n"/>
      <c r="AY375" s="27" t="n"/>
      <c r="AZ375" s="28" t="n"/>
      <c r="BA375" s="241" t="n"/>
      <c r="BB375" s="27" t="n"/>
      <c r="BC375" s="28" t="n"/>
      <c r="BD375" s="241" t="n"/>
      <c r="BE375" s="27" t="n"/>
      <c r="BF375" s="28" t="n"/>
      <c r="BG375" s="241" t="n"/>
      <c r="BH375" s="27" t="n"/>
      <c r="BI375" s="28" t="n"/>
    </row>
    <row r="376" hidden="1" outlineLevel="2" ht="14.4" customFormat="1" customHeight="1" s="498">
      <c r="A376" s="165" t="inlineStr">
        <is>
          <t>Receita Bruta Anual Acumulada (PD)</t>
        </is>
      </c>
      <c r="B376" s="488" t="n"/>
      <c r="C376" s="60" t="n"/>
      <c r="D376" s="61" t="n"/>
      <c r="E376" s="61" t="n"/>
      <c r="F376" s="41" t="n"/>
      <c r="G376" s="56" t="n"/>
      <c r="H376" s="241" t="n"/>
      <c r="I376" s="27" t="n"/>
      <c r="J376" s="28" t="n"/>
      <c r="K376" s="241" t="n"/>
      <c r="L376" s="27" t="n"/>
      <c r="M376" s="28" t="n"/>
      <c r="N376" s="241" t="n"/>
      <c r="O376" s="27" t="n"/>
      <c r="P376" s="28" t="n"/>
      <c r="Q376" s="241" t="n"/>
      <c r="R376" s="27" t="n"/>
      <c r="S376" s="28" t="n"/>
      <c r="T376" s="241" t="n"/>
      <c r="U376" s="27" t="n"/>
      <c r="V376" s="28" t="n"/>
      <c r="W376" s="241" t="n"/>
      <c r="X376" s="27" t="n"/>
      <c r="Y376" s="28" t="n"/>
      <c r="Z376" s="241" t="n"/>
      <c r="AA376" s="27" t="n"/>
      <c r="AB376" s="28" t="n"/>
      <c r="AC376" s="241" t="n"/>
      <c r="AD376" s="27" t="n"/>
      <c r="AE376" s="28" t="n"/>
      <c r="AF376" s="241" t="n"/>
      <c r="AG376" s="27" t="n"/>
      <c r="AH376" s="28" t="n"/>
      <c r="AI376" s="241" t="n"/>
      <c r="AJ376" s="27" t="n"/>
      <c r="AK376" s="28" t="n"/>
      <c r="AL376" s="241" t="n"/>
      <c r="AM376" s="27" t="n"/>
      <c r="AN376" s="28" t="n"/>
      <c r="AO376" s="241" t="n"/>
      <c r="AP376" s="27" t="n"/>
      <c r="AQ376" s="28" t="n"/>
      <c r="AR376" s="241" t="n"/>
      <c r="AS376" s="27" t="n"/>
      <c r="AT376" s="28" t="n"/>
      <c r="AU376" s="241" t="n"/>
      <c r="AV376" s="27" t="n"/>
      <c r="AW376" s="28" t="n"/>
      <c r="AX376" s="241" t="n"/>
      <c r="AY376" s="27" t="n"/>
      <c r="AZ376" s="28" t="n"/>
      <c r="BA376" s="241" t="n"/>
      <c r="BB376" s="27" t="n"/>
      <c r="BC376" s="28" t="n"/>
      <c r="BD376" s="241" t="n"/>
      <c r="BE376" s="27" t="n"/>
      <c r="BF376" s="28" t="n"/>
      <c r="BG376" s="241" t="n"/>
      <c r="BH376" s="27" t="n"/>
      <c r="BI376" s="28" t="n"/>
    </row>
    <row r="377" hidden="1" outlineLevel="1" ht="14.4" customFormat="1" customHeight="1" s="498">
      <c r="A377" s="148" t="n"/>
      <c r="B377" s="23" t="n"/>
      <c r="C377" s="3" t="n"/>
      <c r="D377" s="4" t="n"/>
      <c r="E377" s="16" t="n"/>
      <c r="F377" s="117" t="n"/>
      <c r="G377" s="56" t="n"/>
      <c r="H377" s="269" t="n"/>
      <c r="I377" s="117" t="n"/>
      <c r="J377" s="149" t="n"/>
      <c r="K377" s="269" t="n"/>
      <c r="L377" s="117" t="n"/>
      <c r="M377" s="149" t="n"/>
      <c r="N377" s="269" t="n"/>
      <c r="O377" s="117" t="n"/>
      <c r="P377" s="149" t="n"/>
      <c r="Q377" s="269" t="n"/>
      <c r="R377" s="117" t="n"/>
      <c r="S377" s="149" t="n"/>
      <c r="T377" s="269" t="n"/>
      <c r="U377" s="117" t="n"/>
      <c r="V377" s="149" t="n"/>
      <c r="W377" s="269" t="n"/>
      <c r="X377" s="117" t="n"/>
      <c r="Y377" s="149" t="n"/>
      <c r="Z377" s="269" t="n"/>
      <c r="AA377" s="117" t="n"/>
      <c r="AB377" s="149" t="n"/>
      <c r="AC377" s="269" t="n"/>
      <c r="AD377" s="117" t="n"/>
      <c r="AE377" s="149" t="n"/>
      <c r="AF377" s="269" t="n"/>
      <c r="AG377" s="117" t="n"/>
      <c r="AH377" s="149" t="n"/>
      <c r="AI377" s="269" t="n"/>
      <c r="AJ377" s="117" t="n"/>
      <c r="AK377" s="149" t="n"/>
      <c r="AL377" s="269" t="n"/>
      <c r="AM377" s="117" t="n"/>
      <c r="AN377" s="149" t="n"/>
      <c r="AO377" s="269" t="n"/>
      <c r="AP377" s="117" t="n"/>
      <c r="AQ377" s="149" t="n"/>
      <c r="AR377" s="269" t="n"/>
      <c r="AS377" s="117" t="n"/>
      <c r="AT377" s="149" t="n"/>
      <c r="AU377" s="269" t="n"/>
      <c r="AV377" s="117" t="n"/>
      <c r="AW377" s="149" t="n"/>
      <c r="AX377" s="269" t="n"/>
      <c r="AY377" s="117" t="n"/>
      <c r="AZ377" s="149" t="n"/>
      <c r="BA377" s="269" t="n"/>
      <c r="BB377" s="117" t="n"/>
      <c r="BC377" s="149" t="n"/>
      <c r="BD377" s="269" t="n"/>
      <c r="BE377" s="117" t="n"/>
      <c r="BF377" s="149" t="n"/>
      <c r="BG377" s="269" t="n"/>
      <c r="BH377" s="117" t="n"/>
      <c r="BI377" s="149" t="n"/>
    </row>
    <row r="378" hidden="1" outlineLevel="1" ht="14.4" customFormat="1" customHeight="1" s="498">
      <c r="A378" s="171" t="inlineStr">
        <is>
          <t>Premissas sobre Impostos</t>
        </is>
      </c>
      <c r="B378" s="172" t="n"/>
      <c r="C378" s="172" t="n"/>
      <c r="D378" s="172" t="n"/>
      <c r="E378" s="172" t="n"/>
      <c r="F378" s="172" t="n"/>
      <c r="G378" s="172" t="n"/>
      <c r="H378" s="171" t="n"/>
      <c r="I378" s="172" t="n"/>
      <c r="J378" s="173" t="n"/>
      <c r="K378" s="171" t="n"/>
      <c r="L378" s="172" t="n"/>
      <c r="M378" s="173" t="n"/>
      <c r="N378" s="171" t="n"/>
      <c r="O378" s="172" t="n"/>
      <c r="P378" s="173" t="n"/>
      <c r="Q378" s="171" t="n"/>
      <c r="R378" s="172" t="n"/>
      <c r="S378" s="173" t="n"/>
      <c r="T378" s="171" t="n"/>
      <c r="U378" s="172" t="n"/>
      <c r="V378" s="173" t="n"/>
      <c r="W378" s="171" t="n"/>
      <c r="X378" s="172" t="n"/>
      <c r="Y378" s="173" t="n"/>
      <c r="Z378" s="171" t="n"/>
      <c r="AA378" s="172" t="n"/>
      <c r="AB378" s="173" t="n"/>
      <c r="AC378" s="171" t="n"/>
      <c r="AD378" s="172" t="n"/>
      <c r="AE378" s="173" t="n"/>
      <c r="AF378" s="171" t="n"/>
      <c r="AG378" s="172" t="n"/>
      <c r="AH378" s="173" t="n"/>
      <c r="AI378" s="171" t="n"/>
      <c r="AJ378" s="172" t="n"/>
      <c r="AK378" s="173" t="n"/>
      <c r="AL378" s="171" t="n"/>
      <c r="AM378" s="172" t="n"/>
      <c r="AN378" s="173" t="n"/>
      <c r="AO378" s="171" t="n"/>
      <c r="AP378" s="172" t="n"/>
      <c r="AQ378" s="173" t="n"/>
      <c r="AR378" s="171" t="n"/>
      <c r="AS378" s="172" t="n"/>
      <c r="AT378" s="173" t="n"/>
      <c r="AU378" s="171" t="n"/>
      <c r="AV378" s="172" t="n"/>
      <c r="AW378" s="173" t="n"/>
      <c r="AX378" s="171" t="n"/>
      <c r="AY378" s="172" t="n"/>
      <c r="AZ378" s="173" t="n"/>
      <c r="BA378" s="171" t="n"/>
      <c r="BB378" s="172" t="n"/>
      <c r="BC378" s="173" t="n"/>
      <c r="BD378" s="171" t="n"/>
      <c r="BE378" s="172" t="n"/>
      <c r="BF378" s="173" t="n"/>
      <c r="BG378" s="171" t="n"/>
      <c r="BH378" s="172" t="n"/>
      <c r="BI378" s="173" t="n"/>
    </row>
    <row r="379" hidden="1" outlineLevel="2" ht="14.4" customFormat="1" customHeight="1" s="498">
      <c r="A379" s="22" t="inlineStr">
        <is>
          <t xml:space="preserve">Qual Modelo ? </t>
        </is>
      </c>
      <c r="B379" s="23" t="n"/>
      <c r="C379" s="3" t="n"/>
      <c r="D379" s="4" t="n"/>
      <c r="E379" s="4" t="n"/>
      <c r="F379" s="56" t="n"/>
      <c r="G379" s="56" t="n"/>
      <c r="H379" s="278" t="n"/>
      <c r="I379" s="124" t="n"/>
      <c r="J379" s="174" t="n"/>
      <c r="K379" s="278" t="n"/>
      <c r="L379" s="124" t="n"/>
      <c r="M379" s="174" t="n"/>
      <c r="N379" s="278" t="n"/>
      <c r="O379" s="124" t="n"/>
      <c r="P379" s="174" t="n"/>
      <c r="Q379" s="278" t="n"/>
      <c r="R379" s="124" t="n"/>
      <c r="S379" s="174" t="n"/>
      <c r="T379" s="278" t="n"/>
      <c r="U379" s="124" t="n"/>
      <c r="V379" s="174" t="n"/>
      <c r="W379" s="278" t="n"/>
      <c r="X379" s="124" t="n"/>
      <c r="Y379" s="174" t="n"/>
      <c r="Z379" s="278" t="n"/>
      <c r="AA379" s="124" t="n"/>
      <c r="AB379" s="174" t="n"/>
      <c r="AC379" s="278" t="n"/>
      <c r="AD379" s="124" t="n"/>
      <c r="AE379" s="174" t="n"/>
      <c r="AF379" s="278" t="n"/>
      <c r="AG379" s="124" t="n"/>
      <c r="AH379" s="174" t="n"/>
      <c r="AI379" s="278" t="n"/>
      <c r="AJ379" s="124" t="n"/>
      <c r="AK379" s="174" t="n"/>
      <c r="AL379" s="278" t="n"/>
      <c r="AM379" s="124" t="n"/>
      <c r="AN379" s="174" t="n"/>
      <c r="AO379" s="278" t="n"/>
      <c r="AP379" s="124" t="n"/>
      <c r="AQ379" s="174" t="n"/>
      <c r="AR379" s="278" t="n"/>
      <c r="AS379" s="124" t="n"/>
      <c r="AT379" s="174" t="n"/>
      <c r="AU379" s="278" t="n"/>
      <c r="AV379" s="124" t="n"/>
      <c r="AW379" s="174" t="n"/>
      <c r="AX379" s="278" t="n"/>
      <c r="AY379" s="124" t="n"/>
      <c r="AZ379" s="174" t="n"/>
      <c r="BA379" s="278" t="n"/>
      <c r="BB379" s="124" t="n"/>
      <c r="BC379" s="174" t="n"/>
      <c r="BD379" s="278" t="n"/>
      <c r="BE379" s="124" t="n"/>
      <c r="BF379" s="174" t="n"/>
      <c r="BG379" s="278" t="n"/>
      <c r="BH379" s="124" t="n"/>
      <c r="BI379" s="174" t="n"/>
    </row>
    <row r="380" hidden="1" outlineLevel="2" ht="14.4" customFormat="1" customHeight="1" s="498">
      <c r="A380" s="22" t="inlineStr">
        <is>
          <t>Alíquota de Tributação - SIMPLES</t>
        </is>
      </c>
      <c r="B380" s="23" t="n"/>
      <c r="C380" s="3" t="n"/>
      <c r="D380" s="4" t="n"/>
      <c r="E380" s="4" t="n"/>
      <c r="F380" s="56" t="n"/>
      <c r="G380" s="56" t="n"/>
      <c r="H380" s="278" t="n"/>
      <c r="I380" s="124" t="n"/>
      <c r="J380" s="174" t="n"/>
      <c r="K380" s="278" t="n"/>
      <c r="L380" s="124" t="n"/>
      <c r="M380" s="174" t="n"/>
      <c r="N380" s="278" t="n"/>
      <c r="O380" s="124" t="n"/>
      <c r="P380" s="174" t="n"/>
      <c r="Q380" s="278" t="n"/>
      <c r="R380" s="124" t="n"/>
      <c r="S380" s="174" t="n"/>
      <c r="T380" s="278" t="n"/>
      <c r="U380" s="124" t="n"/>
      <c r="V380" s="174" t="n"/>
      <c r="W380" s="278" t="n"/>
      <c r="X380" s="124" t="n"/>
      <c r="Y380" s="174" t="n"/>
      <c r="Z380" s="278" t="n"/>
      <c r="AA380" s="124" t="n"/>
      <c r="AB380" s="174" t="n"/>
      <c r="AC380" s="278" t="n"/>
      <c r="AD380" s="124" t="n"/>
      <c r="AE380" s="174" t="n"/>
      <c r="AF380" s="278" t="n"/>
      <c r="AG380" s="124" t="n"/>
      <c r="AH380" s="174" t="n"/>
      <c r="AI380" s="278" t="n"/>
      <c r="AJ380" s="124" t="n"/>
      <c r="AK380" s="174" t="n"/>
      <c r="AL380" s="278" t="n"/>
      <c r="AM380" s="124" t="n"/>
      <c r="AN380" s="174" t="n"/>
      <c r="AO380" s="278" t="n"/>
      <c r="AP380" s="124" t="n"/>
      <c r="AQ380" s="174" t="n"/>
      <c r="AR380" s="278" t="n"/>
      <c r="AS380" s="124" t="n"/>
      <c r="AT380" s="174" t="n"/>
      <c r="AU380" s="278" t="n"/>
      <c r="AV380" s="124" t="n"/>
      <c r="AW380" s="174" t="n"/>
      <c r="AX380" s="278" t="n"/>
      <c r="AY380" s="124" t="n"/>
      <c r="AZ380" s="174" t="n"/>
      <c r="BA380" s="278" t="n"/>
      <c r="BB380" s="124" t="n"/>
      <c r="BC380" s="174" t="n"/>
      <c r="BD380" s="278" t="n"/>
      <c r="BE380" s="124" t="n"/>
      <c r="BF380" s="174" t="n"/>
      <c r="BG380" s="278" t="n"/>
      <c r="BH380" s="124" t="n"/>
      <c r="BI380" s="174" t="n"/>
    </row>
    <row r="381" hidden="1" outlineLevel="2" ht="14.4" customFormat="1" customHeight="1" s="498">
      <c r="A381" s="22" t="inlineStr">
        <is>
          <t>Alíquota de Tributação - SIMPLES (cont. param.)</t>
        </is>
      </c>
      <c r="B381" s="23" t="n"/>
      <c r="C381" s="3" t="n"/>
      <c r="D381" s="4" t="n"/>
      <c r="E381" s="4" t="n"/>
      <c r="F381" s="56" t="n"/>
      <c r="G381" s="56" t="n"/>
      <c r="H381" s="278" t="n"/>
      <c r="I381" s="124" t="n"/>
      <c r="J381" s="174" t="n"/>
      <c r="K381" s="278" t="n"/>
      <c r="L381" s="124" t="n"/>
      <c r="M381" s="174" t="n"/>
      <c r="N381" s="278" t="n"/>
      <c r="O381" s="124" t="n"/>
      <c r="P381" s="174" t="n"/>
      <c r="Q381" s="278" t="n"/>
      <c r="R381" s="124" t="n"/>
      <c r="S381" s="174" t="n"/>
      <c r="T381" s="278" t="n"/>
      <c r="U381" s="124" t="n"/>
      <c r="V381" s="174" t="n"/>
      <c r="W381" s="278" t="n"/>
      <c r="X381" s="124" t="n"/>
      <c r="Y381" s="174" t="n"/>
      <c r="Z381" s="278" t="n"/>
      <c r="AA381" s="124" t="n"/>
      <c r="AB381" s="174" t="n"/>
      <c r="AC381" s="278" t="n"/>
      <c r="AD381" s="124" t="n"/>
      <c r="AE381" s="174" t="n"/>
      <c r="AF381" s="278" t="n"/>
      <c r="AG381" s="124" t="n"/>
      <c r="AH381" s="174" t="n"/>
      <c r="AI381" s="278" t="n"/>
      <c r="AJ381" s="124" t="n"/>
      <c r="AK381" s="174" t="n"/>
      <c r="AL381" s="278" t="n"/>
      <c r="AM381" s="124" t="n"/>
      <c r="AN381" s="174" t="n"/>
      <c r="AO381" s="278" t="n"/>
      <c r="AP381" s="124" t="n"/>
      <c r="AQ381" s="174" t="n"/>
      <c r="AR381" s="278" t="n"/>
      <c r="AS381" s="124" t="n"/>
      <c r="AT381" s="174" t="n"/>
      <c r="AU381" s="278" t="n"/>
      <c r="AV381" s="124" t="n"/>
      <c r="AW381" s="174" t="n"/>
      <c r="AX381" s="278" t="n"/>
      <c r="AY381" s="124" t="n"/>
      <c r="AZ381" s="174" t="n"/>
      <c r="BA381" s="278" t="n"/>
      <c r="BB381" s="124" t="n"/>
      <c r="BC381" s="174" t="n"/>
      <c r="BD381" s="278" t="n"/>
      <c r="BE381" s="124" t="n"/>
      <c r="BF381" s="174" t="n"/>
      <c r="BG381" s="278" t="n"/>
      <c r="BH381" s="124" t="n"/>
      <c r="BI381" s="174" t="n"/>
    </row>
    <row r="382" hidden="1" outlineLevel="2" ht="14.4" customFormat="1" customHeight="1" s="498">
      <c r="A382" s="22" t="inlineStr">
        <is>
          <t>Alíquota de Tributação - PIS/COFINS</t>
        </is>
      </c>
      <c r="B382" s="23" t="n"/>
      <c r="C382" s="3" t="n"/>
      <c r="D382" s="4" t="n"/>
      <c r="E382" s="4" t="n"/>
      <c r="F382" s="56" t="n"/>
      <c r="G382" s="56" t="n"/>
      <c r="H382" s="277" t="n"/>
      <c r="I382" s="169" t="n"/>
      <c r="J382" s="170" t="n"/>
      <c r="K382" s="277" t="n"/>
      <c r="L382" s="169" t="n"/>
      <c r="M382" s="170" t="n"/>
      <c r="N382" s="277" t="n"/>
      <c r="O382" s="169" t="n"/>
      <c r="P382" s="170" t="n"/>
      <c r="Q382" s="277" t="n"/>
      <c r="R382" s="169" t="n"/>
      <c r="S382" s="170" t="n"/>
      <c r="T382" s="277" t="n"/>
      <c r="U382" s="169" t="n"/>
      <c r="V382" s="170" t="n"/>
      <c r="W382" s="277" t="n"/>
      <c r="X382" s="169" t="n"/>
      <c r="Y382" s="170" t="n"/>
      <c r="Z382" s="277" t="n"/>
      <c r="AA382" s="169" t="n"/>
      <c r="AB382" s="170" t="n"/>
      <c r="AC382" s="277" t="n"/>
      <c r="AD382" s="169" t="n"/>
      <c r="AE382" s="170" t="n"/>
      <c r="AF382" s="277" t="n"/>
      <c r="AG382" s="169" t="n"/>
      <c r="AH382" s="170" t="n"/>
      <c r="AI382" s="277" t="n"/>
      <c r="AJ382" s="169" t="n"/>
      <c r="AK382" s="170" t="n"/>
      <c r="AL382" s="277" t="n"/>
      <c r="AM382" s="169" t="n"/>
      <c r="AN382" s="170" t="n"/>
      <c r="AO382" s="277" t="n"/>
      <c r="AP382" s="169" t="n"/>
      <c r="AQ382" s="170" t="n"/>
      <c r="AR382" s="277" t="n"/>
      <c r="AS382" s="169" t="n"/>
      <c r="AT382" s="170" t="n"/>
      <c r="AU382" s="277" t="n"/>
      <c r="AV382" s="169" t="n"/>
      <c r="AW382" s="170" t="n"/>
      <c r="AX382" s="277" t="n"/>
      <c r="AY382" s="169" t="n"/>
      <c r="AZ382" s="170" t="n"/>
      <c r="BA382" s="277" t="n"/>
      <c r="BB382" s="169" t="n"/>
      <c r="BC382" s="170" t="n"/>
      <c r="BD382" s="277" t="n"/>
      <c r="BE382" s="169" t="n"/>
      <c r="BF382" s="170" t="n"/>
      <c r="BG382" s="277" t="n"/>
      <c r="BH382" s="169" t="n"/>
      <c r="BI382" s="170" t="n"/>
    </row>
    <row r="383" hidden="1" outlineLevel="2" ht="14.4" customFormat="1" customHeight="1" s="498">
      <c r="A383" s="22" t="inlineStr">
        <is>
          <t>Alíquota de Tributação - IRPJ (presumido)</t>
        </is>
      </c>
      <c r="B383" s="23" t="n"/>
      <c r="C383" s="175" t="inlineStr">
        <is>
          <t>L. Presumido ?</t>
        </is>
      </c>
      <c r="D383" s="176" t="inlineStr">
        <is>
          <t>S</t>
        </is>
      </c>
      <c r="E383" s="4" t="n"/>
      <c r="F383" s="56" t="n"/>
      <c r="G383" s="56" t="n"/>
      <c r="H383" s="277" t="n"/>
      <c r="I383" s="169" t="n"/>
      <c r="J383" s="170" t="n"/>
      <c r="K383" s="277" t="n"/>
      <c r="L383" s="169" t="n"/>
      <c r="M383" s="170" t="n"/>
      <c r="N383" s="277" t="n"/>
      <c r="O383" s="169" t="n"/>
      <c r="P383" s="170" t="n"/>
      <c r="Q383" s="277" t="n"/>
      <c r="R383" s="169" t="n"/>
      <c r="S383" s="170" t="n"/>
      <c r="T383" s="277" t="n"/>
      <c r="U383" s="169" t="n"/>
      <c r="V383" s="170" t="n"/>
      <c r="W383" s="277" t="n"/>
      <c r="X383" s="169" t="n"/>
      <c r="Y383" s="170" t="n"/>
      <c r="Z383" s="277" t="n"/>
      <c r="AA383" s="169" t="n"/>
      <c r="AB383" s="170" t="n"/>
      <c r="AC383" s="277" t="n"/>
      <c r="AD383" s="169" t="n"/>
      <c r="AE383" s="170" t="n"/>
      <c r="AF383" s="277" t="n"/>
      <c r="AG383" s="169" t="n"/>
      <c r="AH383" s="170" t="n"/>
      <c r="AI383" s="277" t="n"/>
      <c r="AJ383" s="169" t="n"/>
      <c r="AK383" s="170" t="n"/>
      <c r="AL383" s="277" t="n"/>
      <c r="AM383" s="169" t="n"/>
      <c r="AN383" s="170" t="n"/>
      <c r="AO383" s="277" t="n"/>
      <c r="AP383" s="169" t="n"/>
      <c r="AQ383" s="170" t="n"/>
      <c r="AR383" s="277" t="n"/>
      <c r="AS383" s="169" t="n"/>
      <c r="AT383" s="170" t="n"/>
      <c r="AU383" s="277" t="n"/>
      <c r="AV383" s="169" t="n"/>
      <c r="AW383" s="170" t="n"/>
      <c r="AX383" s="277" t="n"/>
      <c r="AY383" s="169" t="n"/>
      <c r="AZ383" s="170" t="n"/>
      <c r="BA383" s="277" t="n"/>
      <c r="BB383" s="169" t="n"/>
      <c r="BC383" s="170" t="n"/>
      <c r="BD383" s="277" t="n"/>
      <c r="BE383" s="169" t="n"/>
      <c r="BF383" s="170" t="n"/>
      <c r="BG383" s="277" t="n"/>
      <c r="BH383" s="169" t="n"/>
      <c r="BI383" s="170" t="n"/>
    </row>
    <row r="384" hidden="1" outlineLevel="2" ht="14.4" customFormat="1" customHeight="1" s="498">
      <c r="A384" s="22" t="inlineStr">
        <is>
          <t>Alíquota de Tributação - CSLL (presumido)</t>
        </is>
      </c>
      <c r="B384" s="23" t="n"/>
      <c r="C384" s="3" t="n"/>
      <c r="D384" s="4" t="n"/>
      <c r="E384" s="4" t="n"/>
      <c r="F384" s="56" t="n"/>
      <c r="G384" s="56" t="n"/>
      <c r="H384" s="277" t="n"/>
      <c r="I384" s="169" t="n"/>
      <c r="J384" s="170" t="n"/>
      <c r="K384" s="277" t="n"/>
      <c r="L384" s="169" t="n"/>
      <c r="M384" s="170" t="n"/>
      <c r="N384" s="277" t="n"/>
      <c r="O384" s="169" t="n"/>
      <c r="P384" s="170" t="n"/>
      <c r="Q384" s="277" t="n"/>
      <c r="R384" s="169" t="n"/>
      <c r="S384" s="170" t="n"/>
      <c r="T384" s="277" t="n"/>
      <c r="U384" s="169" t="n"/>
      <c r="V384" s="170" t="n"/>
      <c r="W384" s="277" t="n"/>
      <c r="X384" s="169" t="n"/>
      <c r="Y384" s="170" t="n"/>
      <c r="Z384" s="277" t="n"/>
      <c r="AA384" s="169" t="n"/>
      <c r="AB384" s="170" t="n"/>
      <c r="AC384" s="277" t="n"/>
      <c r="AD384" s="169" t="n"/>
      <c r="AE384" s="170" t="n"/>
      <c r="AF384" s="277" t="n"/>
      <c r="AG384" s="169" t="n"/>
      <c r="AH384" s="170" t="n"/>
      <c r="AI384" s="277" t="n"/>
      <c r="AJ384" s="169" t="n"/>
      <c r="AK384" s="170" t="n"/>
      <c r="AL384" s="277" t="n"/>
      <c r="AM384" s="169" t="n"/>
      <c r="AN384" s="170" t="n"/>
      <c r="AO384" s="277" t="n"/>
      <c r="AP384" s="169" t="n"/>
      <c r="AQ384" s="170" t="n"/>
      <c r="AR384" s="277" t="n"/>
      <c r="AS384" s="169" t="n"/>
      <c r="AT384" s="170" t="n"/>
      <c r="AU384" s="277" t="n"/>
      <c r="AV384" s="169" t="n"/>
      <c r="AW384" s="170" t="n"/>
      <c r="AX384" s="277" t="n"/>
      <c r="AY384" s="169" t="n"/>
      <c r="AZ384" s="170" t="n"/>
      <c r="BA384" s="277" t="n"/>
      <c r="BB384" s="169" t="n"/>
      <c r="BC384" s="170" t="n"/>
      <c r="BD384" s="277" t="n"/>
      <c r="BE384" s="169" t="n"/>
      <c r="BF384" s="170" t="n"/>
      <c r="BG384" s="277" t="n"/>
      <c r="BH384" s="169" t="n"/>
      <c r="BI384" s="170" t="n"/>
    </row>
    <row r="385" hidden="1" outlineLevel="2" ht="14.4" customFormat="1" customHeight="1" s="498">
      <c r="A385" s="22" t="inlineStr">
        <is>
          <t>Alíquota de Tributação - CPMF</t>
        </is>
      </c>
      <c r="B385" s="23" t="n"/>
      <c r="C385" s="3" t="n"/>
      <c r="D385" s="4" t="n"/>
      <c r="E385" s="4" t="n"/>
      <c r="F385" s="56" t="n"/>
      <c r="G385" s="56" t="n"/>
      <c r="H385" s="277" t="n"/>
      <c r="I385" s="169" t="n"/>
      <c r="J385" s="170" t="n"/>
      <c r="K385" s="277" t="n"/>
      <c r="L385" s="169" t="n"/>
      <c r="M385" s="170" t="n"/>
      <c r="N385" s="277" t="n"/>
      <c r="O385" s="169" t="n"/>
      <c r="P385" s="170" t="n"/>
      <c r="Q385" s="277" t="n"/>
      <c r="R385" s="169" t="n"/>
      <c r="S385" s="170" t="n"/>
      <c r="T385" s="277" t="n"/>
      <c r="U385" s="169" t="n"/>
      <c r="V385" s="170" t="n"/>
      <c r="W385" s="277" t="n"/>
      <c r="X385" s="169" t="n"/>
      <c r="Y385" s="170" t="n"/>
      <c r="Z385" s="277" t="n"/>
      <c r="AA385" s="169" t="n"/>
      <c r="AB385" s="170" t="n"/>
      <c r="AC385" s="277" t="n"/>
      <c r="AD385" s="169" t="n"/>
      <c r="AE385" s="170" t="n"/>
      <c r="AF385" s="277" t="n"/>
      <c r="AG385" s="169" t="n"/>
      <c r="AH385" s="170" t="n"/>
      <c r="AI385" s="277" t="n"/>
      <c r="AJ385" s="169" t="n"/>
      <c r="AK385" s="170" t="n"/>
      <c r="AL385" s="277" t="n"/>
      <c r="AM385" s="169" t="n"/>
      <c r="AN385" s="170" t="n"/>
      <c r="AO385" s="277" t="n"/>
      <c r="AP385" s="169" t="n"/>
      <c r="AQ385" s="170" t="n"/>
      <c r="AR385" s="277" t="n"/>
      <c r="AS385" s="169" t="n"/>
      <c r="AT385" s="170" t="n"/>
      <c r="AU385" s="277" t="n"/>
      <c r="AV385" s="169" t="n"/>
      <c r="AW385" s="170" t="n"/>
      <c r="AX385" s="277" t="n"/>
      <c r="AY385" s="169" t="n"/>
      <c r="AZ385" s="170" t="n"/>
      <c r="BA385" s="277" t="n"/>
      <c r="BB385" s="169" t="n"/>
      <c r="BC385" s="170" t="n"/>
      <c r="BD385" s="277" t="n"/>
      <c r="BE385" s="169" t="n"/>
      <c r="BF385" s="170" t="n"/>
      <c r="BG385" s="277" t="n"/>
      <c r="BH385" s="169" t="n"/>
      <c r="BI385" s="170" t="n"/>
    </row>
    <row r="386" hidden="1" outlineLevel="2" ht="14.4" customFormat="1" customHeight="1" s="498">
      <c r="A386" s="22" t="inlineStr">
        <is>
          <t>Alíquota de Tributação - ICMS</t>
        </is>
      </c>
      <c r="B386" s="23" t="n"/>
      <c r="C386" s="3" t="n"/>
      <c r="D386" s="4" t="n"/>
      <c r="E386" s="4" t="n"/>
      <c r="F386" s="56" t="n"/>
      <c r="G386" s="56" t="n"/>
      <c r="H386" s="277" t="n"/>
      <c r="I386" s="169" t="n"/>
      <c r="J386" s="170" t="n"/>
      <c r="K386" s="277" t="n"/>
      <c r="L386" s="169" t="n"/>
      <c r="M386" s="170" t="n"/>
      <c r="N386" s="277" t="n"/>
      <c r="O386" s="169" t="n"/>
      <c r="P386" s="170" t="n"/>
      <c r="Q386" s="277" t="n"/>
      <c r="R386" s="169" t="n"/>
      <c r="S386" s="170" t="n"/>
      <c r="T386" s="277" t="n"/>
      <c r="U386" s="169" t="n"/>
      <c r="V386" s="170" t="n"/>
      <c r="W386" s="277" t="n"/>
      <c r="X386" s="169" t="n"/>
      <c r="Y386" s="170" t="n"/>
      <c r="Z386" s="277" t="n"/>
      <c r="AA386" s="169" t="n"/>
      <c r="AB386" s="170" t="n"/>
      <c r="AC386" s="277" t="n"/>
      <c r="AD386" s="169" t="n"/>
      <c r="AE386" s="170" t="n"/>
      <c r="AF386" s="277" t="n"/>
      <c r="AG386" s="169" t="n"/>
      <c r="AH386" s="170" t="n"/>
      <c r="AI386" s="277" t="n"/>
      <c r="AJ386" s="169" t="n"/>
      <c r="AK386" s="170" t="n"/>
      <c r="AL386" s="277" t="n"/>
      <c r="AM386" s="169" t="n"/>
      <c r="AN386" s="170" t="n"/>
      <c r="AO386" s="277" t="n"/>
      <c r="AP386" s="169" t="n"/>
      <c r="AQ386" s="170" t="n"/>
      <c r="AR386" s="277" t="n"/>
      <c r="AS386" s="169" t="n"/>
      <c r="AT386" s="170" t="n"/>
      <c r="AU386" s="277" t="n"/>
      <c r="AV386" s="169" t="n"/>
      <c r="AW386" s="170" t="n"/>
      <c r="AX386" s="277" t="n"/>
      <c r="AY386" s="169" t="n"/>
      <c r="AZ386" s="170" t="n"/>
      <c r="BA386" s="277" t="n"/>
      <c r="BB386" s="169" t="n"/>
      <c r="BC386" s="170" t="n"/>
      <c r="BD386" s="277" t="n"/>
      <c r="BE386" s="169" t="n"/>
      <c r="BF386" s="170" t="n"/>
      <c r="BG386" s="277" t="n"/>
      <c r="BH386" s="169" t="n"/>
      <c r="BI386" s="170" t="n"/>
    </row>
    <row r="387" hidden="1" outlineLevel="2" ht="14.4" customFormat="1" customHeight="1" s="498">
      <c r="A387" s="22" t="inlineStr">
        <is>
          <t>Alíquota de Tributação - ISS</t>
        </is>
      </c>
      <c r="B387" s="23" t="n"/>
      <c r="C387" s="3" t="n"/>
      <c r="D387" s="4" t="n"/>
      <c r="E387" s="4" t="n"/>
      <c r="F387" s="56" t="n"/>
      <c r="G387" s="56" t="n"/>
      <c r="H387" s="277" t="n"/>
      <c r="I387" s="169" t="n"/>
      <c r="J387" s="170" t="n"/>
      <c r="K387" s="277" t="n"/>
      <c r="L387" s="169" t="n"/>
      <c r="M387" s="170" t="n"/>
      <c r="N387" s="277" t="n"/>
      <c r="O387" s="169" t="n"/>
      <c r="P387" s="170" t="n"/>
      <c r="Q387" s="277" t="n"/>
      <c r="R387" s="169" t="n"/>
      <c r="S387" s="170" t="n"/>
      <c r="T387" s="277" t="n"/>
      <c r="U387" s="169" t="n"/>
      <c r="V387" s="170" t="n"/>
      <c r="W387" s="277" t="n"/>
      <c r="X387" s="169" t="n"/>
      <c r="Y387" s="170" t="n"/>
      <c r="Z387" s="277" t="n"/>
      <c r="AA387" s="169" t="n"/>
      <c r="AB387" s="170" t="n"/>
      <c r="AC387" s="277" t="n"/>
      <c r="AD387" s="169" t="n"/>
      <c r="AE387" s="170" t="n"/>
      <c r="AF387" s="277" t="n"/>
      <c r="AG387" s="169" t="n"/>
      <c r="AH387" s="170" t="n"/>
      <c r="AI387" s="277" t="n"/>
      <c r="AJ387" s="169" t="n"/>
      <c r="AK387" s="170" t="n"/>
      <c r="AL387" s="277" t="n"/>
      <c r="AM387" s="169" t="n"/>
      <c r="AN387" s="170" t="n"/>
      <c r="AO387" s="277" t="n"/>
      <c r="AP387" s="169" t="n"/>
      <c r="AQ387" s="170" t="n"/>
      <c r="AR387" s="277" t="n"/>
      <c r="AS387" s="169" t="n"/>
      <c r="AT387" s="170" t="n"/>
      <c r="AU387" s="277" t="n"/>
      <c r="AV387" s="169" t="n"/>
      <c r="AW387" s="170" t="n"/>
      <c r="AX387" s="277" t="n"/>
      <c r="AY387" s="169" t="n"/>
      <c r="AZ387" s="170" t="n"/>
      <c r="BA387" s="277" t="n"/>
      <c r="BB387" s="169" t="n"/>
      <c r="BC387" s="170" t="n"/>
      <c r="BD387" s="277" t="n"/>
      <c r="BE387" s="169" t="n"/>
      <c r="BF387" s="170" t="n"/>
      <c r="BG387" s="277" t="n"/>
      <c r="BH387" s="169" t="n"/>
      <c r="BI387" s="170" t="n"/>
    </row>
    <row r="388" hidden="1" outlineLevel="2" ht="14.4" customFormat="1" customHeight="1" s="498">
      <c r="A388" s="177" t="inlineStr">
        <is>
          <t>Elegível ao SIMPLES ? (critério: faturamento)</t>
        </is>
      </c>
      <c r="B388" s="23" t="n"/>
      <c r="C388" s="178" t="inlineStr">
        <is>
          <t>Fat. Max.</t>
        </is>
      </c>
      <c r="D388" s="179" t="n">
        <v>4800000</v>
      </c>
      <c r="E388" s="4" t="n"/>
      <c r="F388" s="56" t="n"/>
      <c r="G388" s="56" t="n"/>
      <c r="H388" s="279" t="n"/>
      <c r="I388" s="180" t="n"/>
      <c r="J388" s="181" t="n"/>
      <c r="K388" s="279" t="n"/>
      <c r="L388" s="180" t="n"/>
      <c r="M388" s="181" t="n"/>
      <c r="N388" s="279" t="n"/>
      <c r="O388" s="180" t="n"/>
      <c r="P388" s="181" t="n"/>
      <c r="Q388" s="279" t="n"/>
      <c r="R388" s="180" t="n"/>
      <c r="S388" s="181" t="n"/>
      <c r="T388" s="279" t="n"/>
      <c r="U388" s="180" t="n"/>
      <c r="V388" s="181" t="n"/>
      <c r="W388" s="279" t="n"/>
      <c r="X388" s="180" t="n"/>
      <c r="Y388" s="181" t="n"/>
      <c r="Z388" s="279" t="n"/>
      <c r="AA388" s="180" t="n"/>
      <c r="AB388" s="181" t="n"/>
      <c r="AC388" s="279" t="n"/>
      <c r="AD388" s="180" t="n"/>
      <c r="AE388" s="181" t="n"/>
      <c r="AF388" s="279" t="n"/>
      <c r="AG388" s="180" t="n"/>
      <c r="AH388" s="181" t="n"/>
      <c r="AI388" s="279" t="n"/>
      <c r="AJ388" s="180" t="n"/>
      <c r="AK388" s="181" t="n"/>
      <c r="AL388" s="279" t="n"/>
      <c r="AM388" s="180" t="n"/>
      <c r="AN388" s="181" t="n"/>
      <c r="AO388" s="279" t="n"/>
      <c r="AP388" s="180" t="n"/>
      <c r="AQ388" s="181" t="n"/>
      <c r="AR388" s="279" t="n"/>
      <c r="AS388" s="180" t="n"/>
      <c r="AT388" s="181" t="n"/>
      <c r="AU388" s="279" t="n"/>
      <c r="AV388" s="180" t="n"/>
      <c r="AW388" s="181" t="n"/>
      <c r="AX388" s="279" t="n"/>
      <c r="AY388" s="180" t="n"/>
      <c r="AZ388" s="181" t="n"/>
      <c r="BA388" s="279" t="n"/>
      <c r="BB388" s="180" t="n"/>
      <c r="BC388" s="181" t="n"/>
      <c r="BD388" s="279" t="n"/>
      <c r="BE388" s="180" t="n"/>
      <c r="BF388" s="181" t="n"/>
      <c r="BG388" s="279" t="n"/>
      <c r="BH388" s="180" t="n"/>
      <c r="BI388" s="181" t="n"/>
    </row>
    <row r="389" hidden="1" outlineLevel="2" ht="14.4" customFormat="1" customHeight="1" s="498">
      <c r="A389" s="22" t="inlineStr">
        <is>
          <t>Utilização do SIMPLES no Exercício</t>
        </is>
      </c>
      <c r="B389" s="23" t="n"/>
      <c r="C389" s="182" t="inlineStr">
        <is>
          <t>Usa Simples ?</t>
        </is>
      </c>
      <c r="D389" s="183" t="inlineStr">
        <is>
          <t>N</t>
        </is>
      </c>
      <c r="E389" s="4" t="n"/>
      <c r="F389" s="56" t="n"/>
      <c r="G389" s="56" t="n"/>
      <c r="H389" s="279" t="n"/>
      <c r="I389" s="180" t="n"/>
      <c r="J389" s="181" t="n"/>
      <c r="K389" s="279" t="n"/>
      <c r="L389" s="180" t="n"/>
      <c r="M389" s="181" t="n"/>
      <c r="N389" s="279" t="n"/>
      <c r="O389" s="180" t="n"/>
      <c r="P389" s="181" t="n"/>
      <c r="Q389" s="279" t="n"/>
      <c r="R389" s="180" t="n"/>
      <c r="S389" s="181" t="n"/>
      <c r="T389" s="279" t="n"/>
      <c r="U389" s="180" t="n"/>
      <c r="V389" s="181" t="n"/>
      <c r="W389" s="279" t="n"/>
      <c r="X389" s="180" t="n"/>
      <c r="Y389" s="181" t="n"/>
      <c r="Z389" s="279" t="n"/>
      <c r="AA389" s="180" t="n"/>
      <c r="AB389" s="181" t="n"/>
      <c r="AC389" s="279" t="n"/>
      <c r="AD389" s="180" t="n"/>
      <c r="AE389" s="181" t="n"/>
      <c r="AF389" s="279" t="n"/>
      <c r="AG389" s="180" t="n"/>
      <c r="AH389" s="181" t="n"/>
      <c r="AI389" s="279" t="n"/>
      <c r="AJ389" s="180" t="n"/>
      <c r="AK389" s="181" t="n"/>
      <c r="AL389" s="279" t="n"/>
      <c r="AM389" s="180" t="n"/>
      <c r="AN389" s="181" t="n"/>
      <c r="AO389" s="279" t="n"/>
      <c r="AP389" s="180" t="n"/>
      <c r="AQ389" s="181" t="n"/>
      <c r="AR389" s="279" t="n"/>
      <c r="AS389" s="180" t="n"/>
      <c r="AT389" s="181" t="n"/>
      <c r="AU389" s="279" t="n"/>
      <c r="AV389" s="180" t="n"/>
      <c r="AW389" s="181" t="n"/>
      <c r="AX389" s="279" t="n"/>
      <c r="AY389" s="180" t="n"/>
      <c r="AZ389" s="181" t="n"/>
      <c r="BA389" s="279" t="n"/>
      <c r="BB389" s="180" t="n"/>
      <c r="BC389" s="181" t="n"/>
      <c r="BD389" s="279" t="n"/>
      <c r="BE389" s="180" t="n"/>
      <c r="BF389" s="181" t="n"/>
      <c r="BG389" s="279" t="n"/>
      <c r="BH389" s="180" t="n"/>
      <c r="BI389" s="181" t="n"/>
    </row>
    <row r="390" hidden="1" outlineLevel="2" ht="14.4" customFormat="1" customHeight="1" s="498">
      <c r="A390" s="148" t="n"/>
      <c r="B390" s="23" t="n"/>
      <c r="C390" s="3" t="n"/>
      <c r="D390" s="4" t="n"/>
      <c r="E390" s="4" t="n"/>
      <c r="F390" s="56" t="n"/>
      <c r="G390" s="56" t="n"/>
      <c r="H390" s="280" t="n"/>
      <c r="I390" s="56" t="n"/>
      <c r="J390" s="184" t="n"/>
      <c r="K390" s="280" t="n"/>
      <c r="L390" s="56" t="n"/>
      <c r="M390" s="184" t="n"/>
      <c r="N390" s="280" t="n"/>
      <c r="O390" s="56" t="n"/>
      <c r="P390" s="184" t="n"/>
      <c r="Q390" s="280" t="n"/>
      <c r="R390" s="56" t="n"/>
      <c r="S390" s="184" t="n"/>
      <c r="T390" s="280" t="n"/>
      <c r="U390" s="56" t="n"/>
      <c r="V390" s="184" t="n"/>
      <c r="W390" s="280" t="n"/>
      <c r="X390" s="56" t="n"/>
      <c r="Y390" s="184" t="n"/>
      <c r="Z390" s="280" t="n"/>
      <c r="AA390" s="56" t="n"/>
      <c r="AB390" s="184" t="n"/>
      <c r="AC390" s="280" t="n"/>
      <c r="AD390" s="56" t="n"/>
      <c r="AE390" s="184" t="n"/>
      <c r="AF390" s="280" t="n"/>
      <c r="AG390" s="56" t="n"/>
      <c r="AH390" s="184" t="n"/>
      <c r="AI390" s="280" t="n"/>
      <c r="AJ390" s="56" t="n"/>
      <c r="AK390" s="184" t="n"/>
      <c r="AL390" s="280" t="n"/>
      <c r="AM390" s="56" t="n"/>
      <c r="AN390" s="184" t="n"/>
      <c r="AO390" s="280" t="n"/>
      <c r="AP390" s="56" t="n"/>
      <c r="AQ390" s="184" t="n"/>
      <c r="AR390" s="280" t="n"/>
      <c r="AS390" s="56" t="n"/>
      <c r="AT390" s="184" t="n"/>
      <c r="AU390" s="280" t="n"/>
      <c r="AV390" s="56" t="n"/>
      <c r="AW390" s="184" t="n"/>
      <c r="AX390" s="280" t="n"/>
      <c r="AY390" s="56" t="n"/>
      <c r="AZ390" s="184" t="n"/>
      <c r="BA390" s="280" t="n"/>
      <c r="BB390" s="56" t="n"/>
      <c r="BC390" s="184" t="n"/>
      <c r="BD390" s="280" t="n"/>
      <c r="BE390" s="56" t="n"/>
      <c r="BF390" s="184" t="n"/>
      <c r="BG390" s="280" t="n"/>
      <c r="BH390" s="56" t="n"/>
      <c r="BI390" s="184" t="n"/>
    </row>
    <row r="391" hidden="1" outlineLevel="2" ht="14.4" customFormat="1" customHeight="1" s="498">
      <c r="A391" s="171" t="inlineStr">
        <is>
          <t>Premissas para Apuração de IRPJ e CSL</t>
        </is>
      </c>
      <c r="B391" s="172" t="n"/>
      <c r="C391" s="172" t="n"/>
      <c r="D391" s="172" t="n"/>
      <c r="E391" s="172" t="n"/>
      <c r="F391" s="172" t="n"/>
      <c r="G391" s="172" t="n"/>
      <c r="H391" s="171" t="n"/>
      <c r="I391" s="172" t="n"/>
      <c r="J391" s="173" t="n"/>
      <c r="K391" s="171" t="n"/>
      <c r="L391" s="172" t="n"/>
      <c r="M391" s="173" t="n"/>
      <c r="N391" s="171" t="n"/>
      <c r="O391" s="172" t="n"/>
      <c r="P391" s="173" t="n"/>
      <c r="Q391" s="171" t="n"/>
      <c r="R391" s="172" t="n"/>
      <c r="S391" s="173" t="n"/>
      <c r="T391" s="171" t="n"/>
      <c r="U391" s="172" t="n"/>
      <c r="V391" s="173" t="n"/>
      <c r="W391" s="171" t="n"/>
      <c r="X391" s="172" t="n"/>
      <c r="Y391" s="173" t="n"/>
      <c r="Z391" s="171" t="n"/>
      <c r="AA391" s="172" t="n"/>
      <c r="AB391" s="173" t="n"/>
      <c r="AC391" s="171" t="n"/>
      <c r="AD391" s="172" t="n"/>
      <c r="AE391" s="173" t="n"/>
      <c r="AF391" s="171" t="n"/>
      <c r="AG391" s="172" t="n"/>
      <c r="AH391" s="173" t="n"/>
      <c r="AI391" s="171" t="n"/>
      <c r="AJ391" s="172" t="n"/>
      <c r="AK391" s="173" t="n"/>
      <c r="AL391" s="171" t="n"/>
      <c r="AM391" s="172" t="n"/>
      <c r="AN391" s="173" t="n"/>
      <c r="AO391" s="171" t="n"/>
      <c r="AP391" s="172" t="n"/>
      <c r="AQ391" s="173" t="n"/>
      <c r="AR391" s="171" t="n"/>
      <c r="AS391" s="172" t="n"/>
      <c r="AT391" s="173" t="n"/>
      <c r="AU391" s="171" t="n"/>
      <c r="AV391" s="172" t="n"/>
      <c r="AW391" s="173" t="n"/>
      <c r="AX391" s="171" t="n"/>
      <c r="AY391" s="172" t="n"/>
      <c r="AZ391" s="173" t="n"/>
      <c r="BA391" s="171" t="n"/>
      <c r="BB391" s="172" t="n"/>
      <c r="BC391" s="173" t="n"/>
      <c r="BD391" s="171" t="n"/>
      <c r="BE391" s="172" t="n"/>
      <c r="BF391" s="173" t="n"/>
      <c r="BG391" s="171" t="n"/>
      <c r="BH391" s="172" t="n"/>
      <c r="BI391" s="173" t="n"/>
    </row>
    <row r="392" hidden="1" outlineLevel="2" ht="14.4" customFormat="1" customHeight="1" s="498">
      <c r="A392" s="22" t="inlineStr">
        <is>
          <t>Resultado antes do IR</t>
        </is>
      </c>
      <c r="B392" s="23" t="n"/>
      <c r="C392" s="3" t="n"/>
      <c r="D392" s="4" t="n"/>
      <c r="E392" s="4" t="n"/>
      <c r="F392" s="56" t="n"/>
      <c r="G392" s="56" t="n"/>
      <c r="H392" s="241" t="n"/>
      <c r="I392" s="27" t="n"/>
      <c r="J392" s="28" t="n"/>
      <c r="K392" s="241" t="n"/>
      <c r="L392" s="27" t="n"/>
      <c r="M392" s="28" t="n"/>
      <c r="N392" s="241" t="n"/>
      <c r="O392" s="27" t="n"/>
      <c r="P392" s="28" t="n"/>
      <c r="Q392" s="241" t="n"/>
      <c r="R392" s="27" t="n"/>
      <c r="S392" s="28" t="n"/>
      <c r="T392" s="241" t="n"/>
      <c r="U392" s="27" t="n"/>
      <c r="V392" s="28" t="n"/>
      <c r="W392" s="241" t="n"/>
      <c r="X392" s="27" t="n"/>
      <c r="Y392" s="28" t="n"/>
      <c r="Z392" s="241" t="n"/>
      <c r="AA392" s="27" t="n"/>
      <c r="AB392" s="28" t="n"/>
      <c r="AC392" s="241" t="n"/>
      <c r="AD392" s="27" t="n"/>
      <c r="AE392" s="28" t="n"/>
      <c r="AF392" s="241" t="n"/>
      <c r="AG392" s="27" t="n"/>
      <c r="AH392" s="28" t="n"/>
      <c r="AI392" s="241" t="n"/>
      <c r="AJ392" s="27" t="n"/>
      <c r="AK392" s="28" t="n"/>
      <c r="AL392" s="241" t="n"/>
      <c r="AM392" s="27" t="n"/>
      <c r="AN392" s="28" t="n"/>
      <c r="AO392" s="241" t="n"/>
      <c r="AP392" s="27" t="n"/>
      <c r="AQ392" s="28" t="n"/>
      <c r="AR392" s="241" t="n"/>
      <c r="AS392" s="27" t="n"/>
      <c r="AT392" s="28" t="n"/>
      <c r="AU392" s="241" t="n"/>
      <c r="AV392" s="27" t="n"/>
      <c r="AW392" s="28" t="n"/>
      <c r="AX392" s="241" t="n"/>
      <c r="AY392" s="27" t="n"/>
      <c r="AZ392" s="28" t="n"/>
      <c r="BA392" s="241" t="n"/>
      <c r="BB392" s="27" t="n"/>
      <c r="BC392" s="28" t="n"/>
      <c r="BD392" s="241" t="n"/>
      <c r="BE392" s="27" t="n"/>
      <c r="BF392" s="28" t="n"/>
      <c r="BG392" s="241" t="n"/>
      <c r="BH392" s="27" t="n"/>
      <c r="BI392" s="28" t="n"/>
    </row>
    <row r="393" hidden="1" outlineLevel="2" ht="14.4" customFormat="1" customHeight="1" s="498">
      <c r="A393" s="22" t="inlineStr">
        <is>
          <t>Prejuízos Acumulados</t>
        </is>
      </c>
      <c r="B393" s="23" t="n"/>
      <c r="C393" s="185" t="inlineStr">
        <is>
          <t>Despesas Pre-op</t>
        </is>
      </c>
      <c r="D393" s="186" t="n"/>
      <c r="E393" s="187" t="n">
        <v>0</v>
      </c>
      <c r="F393" s="56" t="n"/>
      <c r="G393" s="56" t="n"/>
      <c r="H393" s="281" t="n"/>
      <c r="I393" s="234" t="n"/>
      <c r="J393" s="188" t="n"/>
      <c r="K393" s="281" t="n"/>
      <c r="L393" s="234" t="n"/>
      <c r="M393" s="188" t="n"/>
      <c r="N393" s="281" t="n"/>
      <c r="O393" s="234" t="n"/>
      <c r="P393" s="188" t="n"/>
      <c r="Q393" s="281" t="n"/>
      <c r="R393" s="234" t="n"/>
      <c r="S393" s="188" t="n"/>
      <c r="T393" s="281" t="n"/>
      <c r="U393" s="234" t="n"/>
      <c r="V393" s="188" t="n"/>
      <c r="W393" s="281" t="n"/>
      <c r="X393" s="234" t="n"/>
      <c r="Y393" s="188" t="n"/>
      <c r="Z393" s="281" t="n"/>
      <c r="AA393" s="234" t="n"/>
      <c r="AB393" s="188" t="n"/>
      <c r="AC393" s="281" t="n"/>
      <c r="AD393" s="234" t="n"/>
      <c r="AE393" s="188" t="n"/>
      <c r="AF393" s="281" t="n"/>
      <c r="AG393" s="234" t="n"/>
      <c r="AH393" s="188" t="n"/>
      <c r="AI393" s="281" t="n"/>
      <c r="AJ393" s="234" t="n"/>
      <c r="AK393" s="188" t="n"/>
      <c r="AL393" s="281" t="n"/>
      <c r="AM393" s="234" t="n"/>
      <c r="AN393" s="188" t="n"/>
      <c r="AO393" s="281" t="n"/>
      <c r="AP393" s="234" t="n"/>
      <c r="AQ393" s="188" t="n"/>
      <c r="AR393" s="281" t="n"/>
      <c r="AS393" s="234" t="n"/>
      <c r="AT393" s="188" t="n"/>
      <c r="AU393" s="281" t="n"/>
      <c r="AV393" s="234" t="n"/>
      <c r="AW393" s="188" t="n"/>
      <c r="AX393" s="281" t="n"/>
      <c r="AY393" s="234" t="n"/>
      <c r="AZ393" s="188" t="n"/>
      <c r="BA393" s="281" t="n"/>
      <c r="BB393" s="234" t="n"/>
      <c r="BC393" s="188" t="n"/>
      <c r="BD393" s="281" t="n"/>
      <c r="BE393" s="234" t="n"/>
      <c r="BF393" s="188" t="n"/>
      <c r="BG393" s="281" t="n"/>
      <c r="BH393" s="234" t="n"/>
      <c r="BI393" s="188" t="n"/>
    </row>
    <row r="394" hidden="1" outlineLevel="2" ht="14.4" customFormat="1" customHeight="1" s="498">
      <c r="A394" s="22" t="inlineStr">
        <is>
          <t>Dedução de Prejuízos Acumulados</t>
        </is>
      </c>
      <c r="B394" s="23" t="n"/>
      <c r="C394" s="189" t="inlineStr">
        <is>
          <t>Limite dedutível prejuízo</t>
        </is>
      </c>
      <c r="D394" s="190" t="n"/>
      <c r="E394" s="191" t="n">
        <v>0.3</v>
      </c>
      <c r="F394" s="56" t="n"/>
      <c r="G394" s="56" t="n"/>
      <c r="H394" s="281" t="n"/>
      <c r="I394" s="234" t="n"/>
      <c r="J394" s="188" t="n"/>
      <c r="K394" s="281" t="n"/>
      <c r="L394" s="234" t="n"/>
      <c r="M394" s="188" t="n"/>
      <c r="N394" s="281" t="n"/>
      <c r="O394" s="234" t="n"/>
      <c r="P394" s="188" t="n"/>
      <c r="Q394" s="281" t="n"/>
      <c r="R394" s="234" t="n"/>
      <c r="S394" s="188" t="n"/>
      <c r="T394" s="281" t="n"/>
      <c r="U394" s="234" t="n"/>
      <c r="V394" s="188" t="n"/>
      <c r="W394" s="281" t="n"/>
      <c r="X394" s="234" t="n"/>
      <c r="Y394" s="188" t="n"/>
      <c r="Z394" s="281" t="n"/>
      <c r="AA394" s="234" t="n"/>
      <c r="AB394" s="188" t="n"/>
      <c r="AC394" s="281" t="n"/>
      <c r="AD394" s="234" t="n"/>
      <c r="AE394" s="188" t="n"/>
      <c r="AF394" s="281" t="n"/>
      <c r="AG394" s="234" t="n"/>
      <c r="AH394" s="188" t="n"/>
      <c r="AI394" s="281" t="n"/>
      <c r="AJ394" s="234" t="n"/>
      <c r="AK394" s="188" t="n"/>
      <c r="AL394" s="281" t="n"/>
      <c r="AM394" s="234" t="n"/>
      <c r="AN394" s="188" t="n"/>
      <c r="AO394" s="281" t="n"/>
      <c r="AP394" s="234" t="n"/>
      <c r="AQ394" s="188" t="n"/>
      <c r="AR394" s="281" t="n"/>
      <c r="AS394" s="234" t="n"/>
      <c r="AT394" s="188" t="n"/>
      <c r="AU394" s="281" t="n"/>
      <c r="AV394" s="234" t="n"/>
      <c r="AW394" s="188" t="n"/>
      <c r="AX394" s="281" t="n"/>
      <c r="AY394" s="234" t="n"/>
      <c r="AZ394" s="188" t="n"/>
      <c r="BA394" s="281" t="n"/>
      <c r="BB394" s="234" t="n"/>
      <c r="BC394" s="188" t="n"/>
      <c r="BD394" s="281" t="n"/>
      <c r="BE394" s="234" t="n"/>
      <c r="BF394" s="188" t="n"/>
      <c r="BG394" s="281" t="n"/>
      <c r="BH394" s="234" t="n"/>
      <c r="BI394" s="188" t="n"/>
    </row>
    <row r="395" hidden="1" outlineLevel="2" ht="14.4" customFormat="1" customHeight="1" s="498">
      <c r="A395" s="22" t="inlineStr">
        <is>
          <t>Base para cálculo do IRPJ e CSL</t>
        </is>
      </c>
      <c r="B395" s="23" t="n"/>
      <c r="C395" s="192" t="inlineStr">
        <is>
          <t>Faixa LAIR  &gt;</t>
        </is>
      </c>
      <c r="D395" s="193" t="n">
        <v>240000</v>
      </c>
      <c r="E395" s="194" t="n"/>
      <c r="F395" s="56" t="n"/>
      <c r="G395" s="56" t="n"/>
      <c r="H395" s="281" t="n"/>
      <c r="I395" s="234" t="n"/>
      <c r="J395" s="188" t="n"/>
      <c r="K395" s="281" t="n"/>
      <c r="L395" s="234" t="n"/>
      <c r="M395" s="188" t="n"/>
      <c r="N395" s="281" t="n"/>
      <c r="O395" s="234" t="n"/>
      <c r="P395" s="188" t="n"/>
      <c r="Q395" s="281" t="n"/>
      <c r="R395" s="234" t="n"/>
      <c r="S395" s="188" t="n"/>
      <c r="T395" s="281" t="n"/>
      <c r="U395" s="234" t="n"/>
      <c r="V395" s="188" t="n"/>
      <c r="W395" s="281" t="n"/>
      <c r="X395" s="234" t="n"/>
      <c r="Y395" s="188" t="n"/>
      <c r="Z395" s="281" t="n"/>
      <c r="AA395" s="234" t="n"/>
      <c r="AB395" s="188" t="n"/>
      <c r="AC395" s="281" t="n"/>
      <c r="AD395" s="234" t="n"/>
      <c r="AE395" s="188" t="n"/>
      <c r="AF395" s="281" t="n"/>
      <c r="AG395" s="234" t="n"/>
      <c r="AH395" s="188" t="n"/>
      <c r="AI395" s="281" t="n"/>
      <c r="AJ395" s="234" t="n"/>
      <c r="AK395" s="188" t="n"/>
      <c r="AL395" s="281" t="n"/>
      <c r="AM395" s="234" t="n"/>
      <c r="AN395" s="188" t="n"/>
      <c r="AO395" s="281" t="n"/>
      <c r="AP395" s="234" t="n"/>
      <c r="AQ395" s="188" t="n"/>
      <c r="AR395" s="281" t="n"/>
      <c r="AS395" s="234" t="n"/>
      <c r="AT395" s="188" t="n"/>
      <c r="AU395" s="281" t="n"/>
      <c r="AV395" s="234" t="n"/>
      <c r="AW395" s="188" t="n"/>
      <c r="AX395" s="281" t="n"/>
      <c r="AY395" s="234" t="n"/>
      <c r="AZ395" s="188" t="n"/>
      <c r="BA395" s="281" t="n"/>
      <c r="BB395" s="234" t="n"/>
      <c r="BC395" s="188" t="n"/>
      <c r="BD395" s="281" t="n"/>
      <c r="BE395" s="234" t="n"/>
      <c r="BF395" s="188" t="n"/>
      <c r="BG395" s="281" t="n"/>
      <c r="BH395" s="234" t="n"/>
      <c r="BI395" s="188" t="n"/>
    </row>
    <row r="396" hidden="1" outlineLevel="2" ht="14.4" customFormat="1" customHeight="1" s="498">
      <c r="A396" s="22" t="inlineStr">
        <is>
          <t>Valores distribuidos mensalmente - IRPJ</t>
        </is>
      </c>
      <c r="B396" s="23" t="n"/>
      <c r="C396" s="192" t="inlineStr">
        <is>
          <t>Aliq. IRPJ</t>
        </is>
      </c>
      <c r="D396" s="55" t="n">
        <v>0.15</v>
      </c>
      <c r="E396" s="191" t="n">
        <v>0.25</v>
      </c>
      <c r="F396" s="56" t="n"/>
      <c r="G396" s="56" t="n"/>
      <c r="H396" s="241" t="n"/>
      <c r="I396" s="27" t="n"/>
      <c r="J396" s="28" t="n"/>
      <c r="K396" s="241" t="n"/>
      <c r="L396" s="27" t="n"/>
      <c r="M396" s="28" t="n"/>
      <c r="N396" s="241" t="n"/>
      <c r="O396" s="27" t="n"/>
      <c r="P396" s="28" t="n"/>
      <c r="Q396" s="241" t="n"/>
      <c r="R396" s="27" t="n"/>
      <c r="S396" s="28" t="n"/>
      <c r="T396" s="241" t="n"/>
      <c r="U396" s="27" t="n"/>
      <c r="V396" s="28" t="n"/>
      <c r="W396" s="241" t="n"/>
      <c r="X396" s="27" t="n"/>
      <c r="Y396" s="28" t="n"/>
      <c r="Z396" s="241" t="n"/>
      <c r="AA396" s="27" t="n"/>
      <c r="AB396" s="28" t="n"/>
      <c r="AC396" s="241" t="n"/>
      <c r="AD396" s="27" t="n"/>
      <c r="AE396" s="28" t="n"/>
      <c r="AF396" s="241" t="n"/>
      <c r="AG396" s="27" t="n"/>
      <c r="AH396" s="28" t="n"/>
      <c r="AI396" s="241" t="n"/>
      <c r="AJ396" s="27" t="n"/>
      <c r="AK396" s="28" t="n"/>
      <c r="AL396" s="241" t="n"/>
      <c r="AM396" s="27" t="n"/>
      <c r="AN396" s="28" t="n"/>
      <c r="AO396" s="241" t="n"/>
      <c r="AP396" s="27" t="n"/>
      <c r="AQ396" s="28" t="n"/>
      <c r="AR396" s="241" t="n"/>
      <c r="AS396" s="27" t="n"/>
      <c r="AT396" s="28" t="n"/>
      <c r="AU396" s="241" t="n"/>
      <c r="AV396" s="27" t="n"/>
      <c r="AW396" s="28" t="n"/>
      <c r="AX396" s="241" t="n"/>
      <c r="AY396" s="27" t="n"/>
      <c r="AZ396" s="28" t="n"/>
      <c r="BA396" s="241" t="n"/>
      <c r="BB396" s="27" t="n"/>
      <c r="BC396" s="28" t="n"/>
      <c r="BD396" s="241" t="n"/>
      <c r="BE396" s="27" t="n"/>
      <c r="BF396" s="28" t="n"/>
      <c r="BG396" s="241" t="n"/>
      <c r="BH396" s="27" t="n"/>
      <c r="BI396" s="28" t="n"/>
    </row>
    <row r="397" hidden="1" outlineLevel="2" ht="14.4" customFormat="1" customHeight="1" s="498">
      <c r="A397" s="22" t="inlineStr">
        <is>
          <t>Valores distribuidos mensalmente - CSL</t>
        </is>
      </c>
      <c r="B397" s="23" t="n"/>
      <c r="C397" s="195" t="inlineStr">
        <is>
          <t>Aliq. CSL</t>
        </is>
      </c>
      <c r="D397" s="196" t="inlineStr">
        <is>
          <t>Aliq. CSL</t>
        </is>
      </c>
      <c r="E397" s="197" t="n">
        <v>0.09</v>
      </c>
      <c r="F397" s="56" t="n"/>
      <c r="G397" s="56" t="n"/>
      <c r="H397" s="241" t="n"/>
      <c r="I397" s="27" t="n"/>
      <c r="J397" s="28" t="n"/>
      <c r="K397" s="241" t="n"/>
      <c r="L397" s="27" t="n"/>
      <c r="M397" s="28" t="n"/>
      <c r="N397" s="241" t="n"/>
      <c r="O397" s="27" t="n"/>
      <c r="P397" s="28" t="n"/>
      <c r="Q397" s="241" t="n"/>
      <c r="R397" s="27" t="n"/>
      <c r="S397" s="28" t="n"/>
      <c r="T397" s="241" t="n"/>
      <c r="U397" s="27" t="n"/>
      <c r="V397" s="28" t="n"/>
      <c r="W397" s="241" t="n"/>
      <c r="X397" s="27" t="n"/>
      <c r="Y397" s="28" t="n"/>
      <c r="Z397" s="241" t="n"/>
      <c r="AA397" s="27" t="n"/>
      <c r="AB397" s="28" t="n"/>
      <c r="AC397" s="241" t="n"/>
      <c r="AD397" s="27" t="n"/>
      <c r="AE397" s="28" t="n"/>
      <c r="AF397" s="241" t="n"/>
      <c r="AG397" s="27" t="n"/>
      <c r="AH397" s="28" t="n"/>
      <c r="AI397" s="241" t="n"/>
      <c r="AJ397" s="27" t="n"/>
      <c r="AK397" s="28" t="n"/>
      <c r="AL397" s="241" t="n"/>
      <c r="AM397" s="27" t="n"/>
      <c r="AN397" s="28" t="n"/>
      <c r="AO397" s="241" t="n"/>
      <c r="AP397" s="27" t="n"/>
      <c r="AQ397" s="28" t="n"/>
      <c r="AR397" s="241" t="n"/>
      <c r="AS397" s="27" t="n"/>
      <c r="AT397" s="28" t="n"/>
      <c r="AU397" s="241" t="n"/>
      <c r="AV397" s="27" t="n"/>
      <c r="AW397" s="28" t="n"/>
      <c r="AX397" s="241" t="n"/>
      <c r="AY397" s="27" t="n"/>
      <c r="AZ397" s="28" t="n"/>
      <c r="BA397" s="241" t="n"/>
      <c r="BB397" s="27" t="n"/>
      <c r="BC397" s="28" t="n"/>
      <c r="BD397" s="241" t="n"/>
      <c r="BE397" s="27" t="n"/>
      <c r="BF397" s="28" t="n"/>
      <c r="BG397" s="241" t="n"/>
      <c r="BH397" s="27" t="n"/>
      <c r="BI397" s="28" t="n"/>
    </row>
    <row r="398" hidden="1" outlineLevel="1" ht="14.4" customFormat="1" customHeight="1" s="498">
      <c r="A398" s="163" t="n"/>
      <c r="B398" s="23" t="n"/>
      <c r="C398" s="3" t="n"/>
      <c r="D398" s="4" t="n"/>
      <c r="E398" s="4" t="n"/>
      <c r="F398" s="56" t="n"/>
      <c r="G398" s="56" t="n"/>
      <c r="H398" s="280" t="n"/>
      <c r="I398" s="56" t="n"/>
      <c r="J398" s="184" t="n"/>
      <c r="K398" s="280" t="n"/>
      <c r="L398" s="56" t="n"/>
      <c r="M398" s="184" t="n"/>
      <c r="N398" s="280" t="n"/>
      <c r="O398" s="56" t="n"/>
      <c r="P398" s="184" t="n"/>
      <c r="Q398" s="280" t="n"/>
      <c r="R398" s="56" t="n"/>
      <c r="S398" s="184" t="n"/>
      <c r="T398" s="280" t="n"/>
      <c r="U398" s="56" t="n"/>
      <c r="V398" s="184" t="n"/>
      <c r="W398" s="280" t="n"/>
      <c r="X398" s="56" t="n"/>
      <c r="Y398" s="184" t="n"/>
      <c r="Z398" s="280" t="n"/>
      <c r="AA398" s="56" t="n"/>
      <c r="AB398" s="184" t="n"/>
      <c r="AC398" s="280" t="n"/>
      <c r="AD398" s="56" t="n"/>
      <c r="AE398" s="184" t="n"/>
      <c r="AF398" s="280" t="n"/>
      <c r="AG398" s="56" t="n"/>
      <c r="AH398" s="184" t="n"/>
      <c r="AI398" s="280" t="n"/>
      <c r="AJ398" s="56" t="n"/>
      <c r="AK398" s="184" t="n"/>
      <c r="AL398" s="280" t="n"/>
      <c r="AM398" s="56" t="n"/>
      <c r="AN398" s="184" t="n"/>
      <c r="AO398" s="280" t="n"/>
      <c r="AP398" s="56" t="n"/>
      <c r="AQ398" s="184" t="n"/>
      <c r="AR398" s="280" t="n"/>
      <c r="AS398" s="56" t="n"/>
      <c r="AT398" s="184" t="n"/>
      <c r="AU398" s="280" t="n"/>
      <c r="AV398" s="56" t="n"/>
      <c r="AW398" s="184" t="n"/>
      <c r="AX398" s="280" t="n"/>
      <c r="AY398" s="56" t="n"/>
      <c r="AZ398" s="184" t="n"/>
      <c r="BA398" s="280" t="n"/>
      <c r="BB398" s="56" t="n"/>
      <c r="BC398" s="184" t="n"/>
      <c r="BD398" s="280" t="n"/>
      <c r="BE398" s="56" t="n"/>
      <c r="BF398" s="184" t="n"/>
      <c r="BG398" s="280" t="n"/>
      <c r="BH398" s="56" t="n"/>
      <c r="BI398" s="184" t="n"/>
    </row>
    <row r="399" hidden="1" outlineLevel="1" ht="14.4" customFormat="1" customHeight="1" s="498">
      <c r="A399" s="171" t="inlineStr">
        <is>
          <t>Plano de Pessoal</t>
        </is>
      </c>
      <c r="B399" s="172" t="n"/>
      <c r="C399" s="172" t="n"/>
      <c r="D399" s="172" t="n"/>
      <c r="E399" s="172" t="n"/>
      <c r="F399" s="172" t="n"/>
      <c r="G399" s="172" t="n"/>
      <c r="H399" s="171" t="n"/>
      <c r="I399" s="172" t="n"/>
      <c r="J399" s="173" t="n"/>
      <c r="K399" s="171" t="n"/>
      <c r="L399" s="172" t="n"/>
      <c r="M399" s="173" t="n"/>
      <c r="N399" s="171" t="n"/>
      <c r="O399" s="172" t="n"/>
      <c r="P399" s="173" t="n"/>
      <c r="Q399" s="171" t="n"/>
      <c r="R399" s="172" t="n"/>
      <c r="S399" s="173" t="n"/>
      <c r="T399" s="171" t="n"/>
      <c r="U399" s="172" t="n"/>
      <c r="V399" s="173" t="n"/>
      <c r="W399" s="171" t="n"/>
      <c r="X399" s="172" t="n"/>
      <c r="Y399" s="173" t="n"/>
      <c r="Z399" s="171" t="n"/>
      <c r="AA399" s="172" t="n"/>
      <c r="AB399" s="173" t="n"/>
      <c r="AC399" s="171" t="n"/>
      <c r="AD399" s="172" t="n"/>
      <c r="AE399" s="173" t="n"/>
      <c r="AF399" s="171" t="n"/>
      <c r="AG399" s="172" t="n"/>
      <c r="AH399" s="173" t="n"/>
      <c r="AI399" s="171" t="n"/>
      <c r="AJ399" s="172" t="n"/>
      <c r="AK399" s="173" t="n"/>
      <c r="AL399" s="171" t="n"/>
      <c r="AM399" s="172" t="n"/>
      <c r="AN399" s="173" t="n"/>
      <c r="AO399" s="171" t="n"/>
      <c r="AP399" s="172" t="n"/>
      <c r="AQ399" s="173" t="n"/>
      <c r="AR399" s="171" t="n"/>
      <c r="AS399" s="172" t="n"/>
      <c r="AT399" s="173" t="n"/>
      <c r="AU399" s="171" t="n"/>
      <c r="AV399" s="172" t="n"/>
      <c r="AW399" s="173" t="n"/>
      <c r="AX399" s="171" t="n"/>
      <c r="AY399" s="172" t="n"/>
      <c r="AZ399" s="173" t="n"/>
      <c r="BA399" s="171" t="n"/>
      <c r="BB399" s="172" t="n"/>
      <c r="BC399" s="173" t="n"/>
      <c r="BD399" s="171" t="n"/>
      <c r="BE399" s="172" t="n"/>
      <c r="BF399" s="173" t="n"/>
      <c r="BG399" s="171" t="n"/>
      <c r="BH399" s="172" t="n"/>
      <c r="BI399" s="173" t="n"/>
    </row>
    <row r="400" hidden="1" outlineLevel="1" ht="14.4" customFormat="1" customHeight="1" s="498">
      <c r="A400" s="163" t="n"/>
      <c r="B400" s="23" t="n"/>
      <c r="C400" s="3" t="n"/>
      <c r="D400" s="4" t="n"/>
      <c r="E400" s="198" t="n"/>
      <c r="F400" s="56" t="n"/>
      <c r="G400" s="56" t="n"/>
      <c r="H400" s="282" t="n"/>
      <c r="I400" s="235" t="n"/>
      <c r="J400" s="199" t="n"/>
      <c r="K400" s="282" t="n"/>
      <c r="L400" s="235" t="n"/>
      <c r="M400" s="199" t="n"/>
      <c r="N400" s="282" t="n"/>
      <c r="O400" s="235" t="n"/>
      <c r="P400" s="199" t="n"/>
      <c r="Q400" s="282" t="n"/>
      <c r="R400" s="235" t="n"/>
      <c r="S400" s="199" t="n"/>
      <c r="T400" s="282" t="n"/>
      <c r="U400" s="235" t="n"/>
      <c r="V400" s="199" t="n"/>
      <c r="W400" s="282" t="n"/>
      <c r="X400" s="235" t="n"/>
      <c r="Y400" s="199" t="n"/>
      <c r="Z400" s="282" t="n"/>
      <c r="AA400" s="235" t="n"/>
      <c r="AB400" s="199" t="n"/>
      <c r="AC400" s="282" t="n"/>
      <c r="AD400" s="235" t="n"/>
      <c r="AE400" s="199" t="n"/>
      <c r="AF400" s="282" t="n"/>
      <c r="AG400" s="235" t="n"/>
      <c r="AH400" s="199" t="n"/>
      <c r="AI400" s="282" t="n"/>
      <c r="AJ400" s="235" t="n"/>
      <c r="AK400" s="199" t="n"/>
      <c r="AL400" s="282" t="n"/>
      <c r="AM400" s="235" t="n"/>
      <c r="AN400" s="199" t="n"/>
      <c r="AO400" s="282" t="n"/>
      <c r="AP400" s="235" t="n"/>
      <c r="AQ400" s="199" t="n"/>
      <c r="AR400" s="282" t="n"/>
      <c r="AS400" s="235" t="n"/>
      <c r="AT400" s="199" t="n"/>
      <c r="AU400" s="282" t="n"/>
      <c r="AV400" s="235" t="n"/>
      <c r="AW400" s="199" t="n"/>
      <c r="AX400" s="282" t="n"/>
      <c r="AY400" s="235" t="n"/>
      <c r="AZ400" s="199" t="n"/>
      <c r="BA400" s="282" t="n"/>
      <c r="BB400" s="235" t="n"/>
      <c r="BC400" s="199" t="n"/>
      <c r="BD400" s="282" t="n"/>
      <c r="BE400" s="235" t="n"/>
      <c r="BF400" s="199" t="n"/>
      <c r="BG400" s="282" t="n"/>
      <c r="BH400" s="235" t="n"/>
      <c r="BI400" s="199" t="n"/>
    </row>
    <row r="401" hidden="1" outlineLevel="2" ht="14.4" customFormat="1" customHeight="1" s="498">
      <c r="A401" s="200" t="inlineStr">
        <is>
          <t>PJ</t>
        </is>
      </c>
      <c r="B401" s="59" t="n"/>
      <c r="C401" s="201" t="n"/>
      <c r="D401" s="41" t="n"/>
      <c r="E401" s="41" t="n"/>
      <c r="F401" s="63" t="n"/>
      <c r="G401" s="56" t="n"/>
      <c r="H401" s="211" t="n"/>
      <c r="I401" s="202" t="n"/>
      <c r="J401" s="203" t="n"/>
      <c r="K401" s="211" t="n"/>
      <c r="L401" s="202" t="n"/>
      <c r="M401" s="203" t="n"/>
      <c r="N401" s="211" t="n"/>
      <c r="O401" s="202" t="n"/>
      <c r="P401" s="203" t="n"/>
      <c r="Q401" s="211" t="n"/>
      <c r="R401" s="202" t="n"/>
      <c r="S401" s="203" t="n"/>
      <c r="T401" s="211" t="n"/>
      <c r="U401" s="202" t="n"/>
      <c r="V401" s="203" t="n"/>
      <c r="W401" s="211" t="n"/>
      <c r="X401" s="202" t="n"/>
      <c r="Y401" s="203" t="n"/>
      <c r="Z401" s="211" t="n"/>
      <c r="AA401" s="202" t="n"/>
      <c r="AB401" s="203" t="n"/>
      <c r="AC401" s="211" t="n"/>
      <c r="AD401" s="202" t="n"/>
      <c r="AE401" s="203" t="n"/>
      <c r="AF401" s="211" t="n"/>
      <c r="AG401" s="202" t="n"/>
      <c r="AH401" s="203" t="n"/>
      <c r="AI401" s="211" t="n"/>
      <c r="AJ401" s="202" t="n"/>
      <c r="AK401" s="203" t="n"/>
      <c r="AL401" s="211" t="n"/>
      <c r="AM401" s="202" t="n"/>
      <c r="AN401" s="203" t="n"/>
      <c r="AO401" s="211" t="n"/>
      <c r="AP401" s="202" t="n"/>
      <c r="AQ401" s="203" t="n"/>
      <c r="AR401" s="211" t="n"/>
      <c r="AS401" s="202" t="n"/>
      <c r="AT401" s="203" t="n"/>
      <c r="AU401" s="211" t="n"/>
      <c r="AV401" s="202" t="n"/>
      <c r="AW401" s="203" t="n"/>
      <c r="AX401" s="211" t="n"/>
      <c r="AY401" s="202" t="n"/>
      <c r="AZ401" s="203" t="n"/>
      <c r="BA401" s="211" t="n"/>
      <c r="BB401" s="202" t="n"/>
      <c r="BC401" s="203" t="n"/>
      <c r="BD401" s="211" t="n"/>
      <c r="BE401" s="202" t="n"/>
      <c r="BF401" s="203" t="n"/>
      <c r="BG401" s="211" t="n"/>
      <c r="BH401" s="202" t="n"/>
      <c r="BI401" s="203" t="n"/>
    </row>
    <row r="402" hidden="1" outlineLevel="2" ht="14.4" customFormat="1" customHeight="1" s="498">
      <c r="A402" s="204" t="inlineStr">
        <is>
          <t xml:space="preserve">  - Squad</t>
        </is>
      </c>
      <c r="B402" s="488" t="n"/>
      <c r="C402" s="201" t="n"/>
      <c r="D402" s="41" t="n"/>
      <c r="E402" s="41" t="n"/>
      <c r="F402" s="41" t="n"/>
      <c r="G402" s="56" t="n"/>
      <c r="H402" s="241" t="n"/>
      <c r="I402" s="27" t="n"/>
      <c r="J402" s="28" t="n"/>
      <c r="K402" s="241" t="n"/>
      <c r="L402" s="27" t="n"/>
      <c r="M402" s="28" t="n"/>
      <c r="N402" s="241" t="n"/>
      <c r="O402" s="27" t="n"/>
      <c r="P402" s="28" t="n"/>
      <c r="Q402" s="241" t="n"/>
      <c r="R402" s="27" t="n"/>
      <c r="S402" s="28" t="n"/>
      <c r="T402" s="241" t="n"/>
      <c r="U402" s="27" t="n"/>
      <c r="V402" s="28" t="n"/>
      <c r="W402" s="241" t="n"/>
      <c r="X402" s="27" t="n"/>
      <c r="Y402" s="28" t="n"/>
      <c r="Z402" s="241" t="n"/>
      <c r="AA402" s="27" t="n"/>
      <c r="AB402" s="28" t="n"/>
      <c r="AC402" s="241" t="n"/>
      <c r="AD402" s="27" t="n"/>
      <c r="AE402" s="28" t="n"/>
      <c r="AF402" s="241" t="n"/>
      <c r="AG402" s="27" t="n"/>
      <c r="AH402" s="28" t="n"/>
      <c r="AI402" s="241" t="n"/>
      <c r="AJ402" s="27" t="n"/>
      <c r="AK402" s="28" t="n"/>
      <c r="AL402" s="241" t="n"/>
      <c r="AM402" s="27" t="n"/>
      <c r="AN402" s="28" t="n"/>
      <c r="AO402" s="241" t="n"/>
      <c r="AP402" s="27" t="n"/>
      <c r="AQ402" s="28" t="n"/>
      <c r="AR402" s="241" t="n"/>
      <c r="AS402" s="27" t="n"/>
      <c r="AT402" s="28" t="n"/>
      <c r="AU402" s="241" t="n"/>
      <c r="AV402" s="27" t="n"/>
      <c r="AW402" s="28" t="n"/>
      <c r="AX402" s="241" t="n"/>
      <c r="AY402" s="27" t="n"/>
      <c r="AZ402" s="28" t="n"/>
      <c r="BA402" s="241" t="n"/>
      <c r="BB402" s="27" t="n"/>
      <c r="BC402" s="28" t="n"/>
      <c r="BD402" s="241" t="n"/>
      <c r="BE402" s="27" t="n"/>
      <c r="BF402" s="28" t="n"/>
      <c r="BG402" s="241" t="n"/>
      <c r="BH402" s="27" t="n"/>
      <c r="BI402" s="28" t="n"/>
    </row>
    <row r="403" hidden="1" outlineLevel="2" ht="14.4" customFormat="1" customHeight="1" s="498">
      <c r="A403" s="204" t="inlineStr">
        <is>
          <t xml:space="preserve">  - Gerente</t>
        </is>
      </c>
      <c r="B403" s="488" t="n"/>
      <c r="C403" s="201" t="n"/>
      <c r="D403" s="41" t="n"/>
      <c r="E403" s="41" t="n"/>
      <c r="F403" s="41" t="n"/>
      <c r="G403" s="56" t="n"/>
      <c r="H403" s="241" t="n"/>
      <c r="I403" s="27" t="n"/>
      <c r="J403" s="28" t="n"/>
      <c r="K403" s="241" t="n"/>
      <c r="L403" s="27" t="n"/>
      <c r="M403" s="28" t="n"/>
      <c r="N403" s="241" t="n"/>
      <c r="O403" s="27" t="n"/>
      <c r="P403" s="28" t="n"/>
      <c r="Q403" s="241" t="n"/>
      <c r="R403" s="27" t="n"/>
      <c r="S403" s="28" t="n"/>
      <c r="T403" s="241" t="n"/>
      <c r="U403" s="27" t="n"/>
      <c r="V403" s="28" t="n"/>
      <c r="W403" s="241" t="n"/>
      <c r="X403" s="27" t="n"/>
      <c r="Y403" s="28" t="n"/>
      <c r="Z403" s="241" t="n"/>
      <c r="AA403" s="27" t="n"/>
      <c r="AB403" s="28" t="n"/>
      <c r="AC403" s="241" t="n"/>
      <c r="AD403" s="27" t="n"/>
      <c r="AE403" s="28" t="n"/>
      <c r="AF403" s="241" t="n"/>
      <c r="AG403" s="27" t="n"/>
      <c r="AH403" s="28" t="n"/>
      <c r="AI403" s="241" t="n"/>
      <c r="AJ403" s="27" t="n"/>
      <c r="AK403" s="28" t="n"/>
      <c r="AL403" s="241" t="n"/>
      <c r="AM403" s="27" t="n"/>
      <c r="AN403" s="28" t="n"/>
      <c r="AO403" s="241" t="n"/>
      <c r="AP403" s="27" t="n"/>
      <c r="AQ403" s="28" t="n"/>
      <c r="AR403" s="241" t="n"/>
      <c r="AS403" s="27" t="n"/>
      <c r="AT403" s="28" t="n"/>
      <c r="AU403" s="241" t="n"/>
      <c r="AV403" s="27" t="n"/>
      <c r="AW403" s="28" t="n"/>
      <c r="AX403" s="241" t="n"/>
      <c r="AY403" s="27" t="n"/>
      <c r="AZ403" s="28" t="n"/>
      <c r="BA403" s="241" t="n"/>
      <c r="BB403" s="27" t="n"/>
      <c r="BC403" s="28" t="n"/>
      <c r="BD403" s="241" t="n"/>
      <c r="BE403" s="27" t="n"/>
      <c r="BF403" s="28" t="n"/>
      <c r="BG403" s="241" t="n"/>
      <c r="BH403" s="27" t="n"/>
      <c r="BI403" s="28" t="n"/>
    </row>
    <row r="404" hidden="1" outlineLevel="2" ht="14.4" customFormat="1" customHeight="1" s="498">
      <c r="A404" s="204" t="inlineStr">
        <is>
          <t xml:space="preserve">  - Subgerente</t>
        </is>
      </c>
      <c r="B404" s="488" t="n"/>
      <c r="C404" s="201" t="n"/>
      <c r="D404" s="41" t="n"/>
      <c r="E404" s="41" t="n"/>
      <c r="F404" s="41" t="n"/>
      <c r="G404" s="56" t="n"/>
      <c r="H404" s="241" t="n"/>
      <c r="I404" s="27" t="n"/>
      <c r="J404" s="28" t="n"/>
      <c r="K404" s="241" t="n"/>
      <c r="L404" s="27" t="n"/>
      <c r="M404" s="28" t="n"/>
      <c r="N404" s="241" t="n"/>
      <c r="O404" s="27" t="n"/>
      <c r="P404" s="28" t="n"/>
      <c r="Q404" s="241" t="n"/>
      <c r="R404" s="27" t="n"/>
      <c r="S404" s="28" t="n"/>
      <c r="T404" s="241" t="n"/>
      <c r="U404" s="27" t="n"/>
      <c r="V404" s="28" t="n"/>
      <c r="W404" s="241" t="n"/>
      <c r="X404" s="27" t="n"/>
      <c r="Y404" s="28" t="n"/>
      <c r="Z404" s="241" t="n"/>
      <c r="AA404" s="27" t="n"/>
      <c r="AB404" s="28" t="n"/>
      <c r="AC404" s="241" t="n"/>
      <c r="AD404" s="27" t="n"/>
      <c r="AE404" s="28" t="n"/>
      <c r="AF404" s="241" t="n"/>
      <c r="AG404" s="27" t="n"/>
      <c r="AH404" s="28" t="n"/>
      <c r="AI404" s="241" t="n"/>
      <c r="AJ404" s="27" t="n"/>
      <c r="AK404" s="28" t="n"/>
      <c r="AL404" s="241" t="n"/>
      <c r="AM404" s="27" t="n"/>
      <c r="AN404" s="28" t="n"/>
      <c r="AO404" s="241" t="n"/>
      <c r="AP404" s="27" t="n"/>
      <c r="AQ404" s="28" t="n"/>
      <c r="AR404" s="241" t="n"/>
      <c r="AS404" s="27" t="n"/>
      <c r="AT404" s="28" t="n"/>
      <c r="AU404" s="241" t="n"/>
      <c r="AV404" s="27" t="n"/>
      <c r="AW404" s="28" t="n"/>
      <c r="AX404" s="241" t="n"/>
      <c r="AY404" s="27" t="n"/>
      <c r="AZ404" s="28" t="n"/>
      <c r="BA404" s="241" t="n"/>
      <c r="BB404" s="27" t="n"/>
      <c r="BC404" s="28" t="n"/>
      <c r="BD404" s="241" t="n"/>
      <c r="BE404" s="27" t="n"/>
      <c r="BF404" s="28" t="n"/>
      <c r="BG404" s="241" t="n"/>
      <c r="BH404" s="27" t="n"/>
      <c r="BI404" s="28" t="n"/>
    </row>
    <row r="405" hidden="1" outlineLevel="2" ht="14.4" customFormat="1" customHeight="1" s="498">
      <c r="A405" s="204" t="inlineStr">
        <is>
          <t xml:space="preserve">  - Coordenador</t>
        </is>
      </c>
      <c r="B405" s="488" t="n"/>
      <c r="C405" s="201" t="n"/>
      <c r="D405" s="41" t="n"/>
      <c r="E405" s="41" t="n"/>
      <c r="F405" s="41" t="n"/>
      <c r="G405" s="56" t="n"/>
      <c r="H405" s="241" t="n"/>
      <c r="I405" s="27" t="n"/>
      <c r="J405" s="28" t="n"/>
      <c r="K405" s="241" t="n"/>
      <c r="L405" s="27" t="n"/>
      <c r="M405" s="28" t="n"/>
      <c r="N405" s="241" t="n"/>
      <c r="O405" s="27" t="n"/>
      <c r="P405" s="28" t="n"/>
      <c r="Q405" s="241" t="n"/>
      <c r="R405" s="27" t="n"/>
      <c r="S405" s="28" t="n"/>
      <c r="T405" s="241" t="n"/>
      <c r="U405" s="27" t="n"/>
      <c r="V405" s="28" t="n"/>
      <c r="W405" s="241" t="n"/>
      <c r="X405" s="27" t="n"/>
      <c r="Y405" s="28" t="n"/>
      <c r="Z405" s="241" t="n"/>
      <c r="AA405" s="27" t="n"/>
      <c r="AB405" s="28" t="n"/>
      <c r="AC405" s="241" t="n"/>
      <c r="AD405" s="27" t="n"/>
      <c r="AE405" s="28" t="n"/>
      <c r="AF405" s="241" t="n"/>
      <c r="AG405" s="27" t="n"/>
      <c r="AH405" s="28" t="n"/>
      <c r="AI405" s="241" t="n"/>
      <c r="AJ405" s="27" t="n"/>
      <c r="AK405" s="28" t="n"/>
      <c r="AL405" s="241" t="n"/>
      <c r="AM405" s="27" t="n"/>
      <c r="AN405" s="28" t="n"/>
      <c r="AO405" s="241" t="n"/>
      <c r="AP405" s="27" t="n"/>
      <c r="AQ405" s="28" t="n"/>
      <c r="AR405" s="241" t="n"/>
      <c r="AS405" s="27" t="n"/>
      <c r="AT405" s="28" t="n"/>
      <c r="AU405" s="241" t="n"/>
      <c r="AV405" s="27" t="n"/>
      <c r="AW405" s="28" t="n"/>
      <c r="AX405" s="241" t="n"/>
      <c r="AY405" s="27" t="n"/>
      <c r="AZ405" s="28" t="n"/>
      <c r="BA405" s="241" t="n"/>
      <c r="BB405" s="27" t="n"/>
      <c r="BC405" s="28" t="n"/>
      <c r="BD405" s="241" t="n"/>
      <c r="BE405" s="27" t="n"/>
      <c r="BF405" s="28" t="n"/>
      <c r="BG405" s="241" t="n"/>
      <c r="BH405" s="27" t="n"/>
      <c r="BI405" s="28" t="n"/>
    </row>
    <row r="406" hidden="1" outlineLevel="2" ht="14.4" customFormat="1" customHeight="1" s="498">
      <c r="A406" s="204" t="inlineStr">
        <is>
          <t xml:space="preserve">  - Administrativa</t>
        </is>
      </c>
      <c r="B406" s="488" t="n"/>
      <c r="C406" s="201" t="n"/>
      <c r="D406" s="41" t="n"/>
      <c r="E406" s="41" t="n"/>
      <c r="F406" s="41" t="n"/>
      <c r="G406" s="56" t="n"/>
      <c r="H406" s="241" t="n"/>
      <c r="I406" s="27" t="n"/>
      <c r="J406" s="28" t="n"/>
      <c r="K406" s="241" t="n"/>
      <c r="L406" s="27" t="n"/>
      <c r="M406" s="28" t="n"/>
      <c r="N406" s="241" t="n"/>
      <c r="O406" s="27" t="n"/>
      <c r="P406" s="28" t="n"/>
      <c r="Q406" s="241" t="n"/>
      <c r="R406" s="27" t="n"/>
      <c r="S406" s="28" t="n"/>
      <c r="T406" s="241" t="n"/>
      <c r="U406" s="27" t="n"/>
      <c r="V406" s="28" t="n"/>
      <c r="W406" s="241" t="n"/>
      <c r="X406" s="27" t="n"/>
      <c r="Y406" s="28" t="n"/>
      <c r="Z406" s="241" t="n"/>
      <c r="AA406" s="27" t="n"/>
      <c r="AB406" s="28" t="n"/>
      <c r="AC406" s="241" t="n"/>
      <c r="AD406" s="27" t="n"/>
      <c r="AE406" s="28" t="n"/>
      <c r="AF406" s="241" t="n"/>
      <c r="AG406" s="27" t="n"/>
      <c r="AH406" s="28" t="n"/>
      <c r="AI406" s="241" t="n"/>
      <c r="AJ406" s="27" t="n"/>
      <c r="AK406" s="28" t="n"/>
      <c r="AL406" s="241" t="n"/>
      <c r="AM406" s="27" t="n"/>
      <c r="AN406" s="28" t="n"/>
      <c r="AO406" s="241" t="n"/>
      <c r="AP406" s="27" t="n"/>
      <c r="AQ406" s="28" t="n"/>
      <c r="AR406" s="241" t="n"/>
      <c r="AS406" s="27" t="n"/>
      <c r="AT406" s="28" t="n"/>
      <c r="AU406" s="241" t="n"/>
      <c r="AV406" s="27" t="n"/>
      <c r="AW406" s="28" t="n"/>
      <c r="AX406" s="241" t="n"/>
      <c r="AY406" s="27" t="n"/>
      <c r="AZ406" s="28" t="n"/>
      <c r="BA406" s="241" t="n"/>
      <c r="BB406" s="27" t="n"/>
      <c r="BC406" s="28" t="n"/>
      <c r="BD406" s="241" t="n"/>
      <c r="BE406" s="27" t="n"/>
      <c r="BF406" s="28" t="n"/>
      <c r="BG406" s="241" t="n"/>
      <c r="BH406" s="27" t="n"/>
      <c r="BI406" s="28" t="n"/>
    </row>
    <row r="407" hidden="1" outlineLevel="2" ht="14.4" customFormat="1" customHeight="1" s="498">
      <c r="A407" s="204" t="inlineStr">
        <is>
          <t xml:space="preserve">  - Chefe de Cozinha</t>
        </is>
      </c>
      <c r="B407" s="488" t="n"/>
      <c r="C407" s="201" t="n"/>
      <c r="D407" s="41" t="n"/>
      <c r="E407" s="41" t="n"/>
      <c r="F407" s="41" t="n"/>
      <c r="G407" s="56" t="n"/>
      <c r="H407" s="241" t="n"/>
      <c r="I407" s="27" t="n"/>
      <c r="J407" s="28" t="n"/>
      <c r="K407" s="241" t="n"/>
      <c r="L407" s="27" t="n"/>
      <c r="M407" s="28" t="n"/>
      <c r="N407" s="241" t="n"/>
      <c r="O407" s="27" t="n"/>
      <c r="P407" s="28" t="n"/>
      <c r="Q407" s="241" t="n"/>
      <c r="R407" s="27" t="n"/>
      <c r="S407" s="28" t="n"/>
      <c r="T407" s="241" t="n"/>
      <c r="U407" s="27" t="n"/>
      <c r="V407" s="28" t="n"/>
      <c r="W407" s="241" t="n"/>
      <c r="X407" s="27" t="n"/>
      <c r="Y407" s="28" t="n"/>
      <c r="Z407" s="241" t="n"/>
      <c r="AA407" s="27" t="n"/>
      <c r="AB407" s="28" t="n"/>
      <c r="AC407" s="241" t="n"/>
      <c r="AD407" s="27" t="n"/>
      <c r="AE407" s="28" t="n"/>
      <c r="AF407" s="241" t="n"/>
      <c r="AG407" s="27" t="n"/>
      <c r="AH407" s="28" t="n"/>
      <c r="AI407" s="241" t="n"/>
      <c r="AJ407" s="27" t="n"/>
      <c r="AK407" s="28" t="n"/>
      <c r="AL407" s="241" t="n"/>
      <c r="AM407" s="27" t="n"/>
      <c r="AN407" s="28" t="n"/>
      <c r="AO407" s="241" t="n"/>
      <c r="AP407" s="27" t="n"/>
      <c r="AQ407" s="28" t="n"/>
      <c r="AR407" s="241" t="n"/>
      <c r="AS407" s="27" t="n"/>
      <c r="AT407" s="28" t="n"/>
      <c r="AU407" s="241" t="n"/>
      <c r="AV407" s="27" t="n"/>
      <c r="AW407" s="28" t="n"/>
      <c r="AX407" s="241" t="n"/>
      <c r="AY407" s="27" t="n"/>
      <c r="AZ407" s="28" t="n"/>
      <c r="BA407" s="241" t="n"/>
      <c r="BB407" s="27" t="n"/>
      <c r="BC407" s="28" t="n"/>
      <c r="BD407" s="241" t="n"/>
      <c r="BE407" s="27" t="n"/>
      <c r="BF407" s="28" t="n"/>
      <c r="BG407" s="241" t="n"/>
      <c r="BH407" s="27" t="n"/>
      <c r="BI407" s="28" t="n"/>
    </row>
    <row r="408" hidden="1" outlineLevel="2" ht="14.4" customFormat="1" customHeight="1" s="498">
      <c r="A408" s="204" t="inlineStr">
        <is>
          <t xml:space="preserve">  - Chefe de Bar</t>
        </is>
      </c>
      <c r="B408" s="488" t="n"/>
      <c r="C408" s="201" t="n"/>
      <c r="D408" s="41" t="n"/>
      <c r="E408" s="41" t="n"/>
      <c r="F408" s="41" t="n"/>
      <c r="G408" s="56" t="n"/>
      <c r="H408" s="241" t="n"/>
      <c r="I408" s="27" t="n"/>
      <c r="J408" s="28" t="n"/>
      <c r="K408" s="241" t="n"/>
      <c r="L408" s="27" t="n"/>
      <c r="M408" s="28" t="n"/>
      <c r="N408" s="241" t="n"/>
      <c r="O408" s="27" t="n"/>
      <c r="P408" s="28" t="n"/>
      <c r="Q408" s="241" t="n"/>
      <c r="R408" s="27" t="n"/>
      <c r="S408" s="28" t="n"/>
      <c r="T408" s="241" t="n"/>
      <c r="U408" s="27" t="n"/>
      <c r="V408" s="28" t="n"/>
      <c r="W408" s="241" t="n"/>
      <c r="X408" s="27" t="n"/>
      <c r="Y408" s="28" t="n"/>
      <c r="Z408" s="241" t="n"/>
      <c r="AA408" s="27" t="n"/>
      <c r="AB408" s="28" t="n"/>
      <c r="AC408" s="241" t="n"/>
      <c r="AD408" s="27" t="n"/>
      <c r="AE408" s="28" t="n"/>
      <c r="AF408" s="241" t="n"/>
      <c r="AG408" s="27" t="n"/>
      <c r="AH408" s="28" t="n"/>
      <c r="AI408" s="241" t="n"/>
      <c r="AJ408" s="27" t="n"/>
      <c r="AK408" s="28" t="n"/>
      <c r="AL408" s="241" t="n"/>
      <c r="AM408" s="27" t="n"/>
      <c r="AN408" s="28" t="n"/>
      <c r="AO408" s="241" t="n"/>
      <c r="AP408" s="27" t="n"/>
      <c r="AQ408" s="28" t="n"/>
      <c r="AR408" s="241" t="n"/>
      <c r="AS408" s="27" t="n"/>
      <c r="AT408" s="28" t="n"/>
      <c r="AU408" s="241" t="n"/>
      <c r="AV408" s="27" t="n"/>
      <c r="AW408" s="28" t="n"/>
      <c r="AX408" s="241" t="n"/>
      <c r="AY408" s="27" t="n"/>
      <c r="AZ408" s="28" t="n"/>
      <c r="BA408" s="241" t="n"/>
      <c r="BB408" s="27" t="n"/>
      <c r="BC408" s="28" t="n"/>
      <c r="BD408" s="241" t="n"/>
      <c r="BE408" s="27" t="n"/>
      <c r="BF408" s="28" t="n"/>
      <c r="BG408" s="241" t="n"/>
      <c r="BH408" s="27" t="n"/>
      <c r="BI408" s="28" t="n"/>
    </row>
    <row r="409" hidden="1" outlineLevel="2" ht="14.4" customFormat="1" customHeight="1" s="498">
      <c r="A409" s="204" t="inlineStr">
        <is>
          <t xml:space="preserve">  - Sub Chefe de Cozinha</t>
        </is>
      </c>
      <c r="B409" s="488" t="n"/>
      <c r="C409" s="201" t="n"/>
      <c r="D409" s="41" t="n"/>
      <c r="E409" s="41" t="n"/>
      <c r="F409" s="41" t="n"/>
      <c r="G409" s="56" t="n"/>
      <c r="H409" s="241" t="n"/>
      <c r="I409" s="27" t="n"/>
      <c r="J409" s="28" t="n"/>
      <c r="K409" s="241" t="n"/>
      <c r="L409" s="27" t="n"/>
      <c r="M409" s="28" t="n"/>
      <c r="N409" s="241" t="n"/>
      <c r="O409" s="27" t="n"/>
      <c r="P409" s="28" t="n"/>
      <c r="Q409" s="241" t="n"/>
      <c r="R409" s="27" t="n"/>
      <c r="S409" s="28" t="n"/>
      <c r="T409" s="241" t="n"/>
      <c r="U409" s="27" t="n"/>
      <c r="V409" s="28" t="n"/>
      <c r="W409" s="241" t="n"/>
      <c r="X409" s="27" t="n"/>
      <c r="Y409" s="28" t="n"/>
      <c r="Z409" s="241" t="n"/>
      <c r="AA409" s="27" t="n"/>
      <c r="AB409" s="28" t="n"/>
      <c r="AC409" s="241" t="n"/>
      <c r="AD409" s="27" t="n"/>
      <c r="AE409" s="28" t="n"/>
      <c r="AF409" s="241" t="n"/>
      <c r="AG409" s="27" t="n"/>
      <c r="AH409" s="28" t="n"/>
      <c r="AI409" s="241" t="n"/>
      <c r="AJ409" s="27" t="n"/>
      <c r="AK409" s="28" t="n"/>
      <c r="AL409" s="241" t="n"/>
      <c r="AM409" s="27" t="n"/>
      <c r="AN409" s="28" t="n"/>
      <c r="AO409" s="241" t="n"/>
      <c r="AP409" s="27" t="n"/>
      <c r="AQ409" s="28" t="n"/>
      <c r="AR409" s="241" t="n"/>
      <c r="AS409" s="27" t="n"/>
      <c r="AT409" s="28" t="n"/>
      <c r="AU409" s="241" t="n"/>
      <c r="AV409" s="27" t="n"/>
      <c r="AW409" s="28" t="n"/>
      <c r="AX409" s="241" t="n"/>
      <c r="AY409" s="27" t="n"/>
      <c r="AZ409" s="28" t="n"/>
      <c r="BA409" s="241" t="n"/>
      <c r="BB409" s="27" t="n"/>
      <c r="BC409" s="28" t="n"/>
      <c r="BD409" s="241" t="n"/>
      <c r="BE409" s="27" t="n"/>
      <c r="BF409" s="28" t="n"/>
      <c r="BG409" s="241" t="n"/>
      <c r="BH409" s="27" t="n"/>
      <c r="BI409" s="28" t="n"/>
    </row>
    <row r="410" hidden="1" outlineLevel="2" ht="14.4" customFormat="1" customHeight="1" s="498">
      <c r="A410" s="204" t="inlineStr">
        <is>
          <t xml:space="preserve">  - Sub Chefe De Bar</t>
        </is>
      </c>
      <c r="B410" s="488" t="n"/>
      <c r="C410" s="201" t="n"/>
      <c r="D410" s="41" t="n"/>
      <c r="E410" s="41" t="n"/>
      <c r="F410" s="41" t="n"/>
      <c r="G410" s="56" t="n"/>
      <c r="H410" s="241" t="n"/>
      <c r="I410" s="27" t="n"/>
      <c r="J410" s="28" t="n"/>
      <c r="K410" s="241" t="n"/>
      <c r="L410" s="27" t="n"/>
      <c r="M410" s="28" t="n"/>
      <c r="N410" s="241" t="n"/>
      <c r="O410" s="27" t="n"/>
      <c r="P410" s="28" t="n"/>
      <c r="Q410" s="241" t="n"/>
      <c r="R410" s="27" t="n"/>
      <c r="S410" s="28" t="n"/>
      <c r="T410" s="241" t="n"/>
      <c r="U410" s="27" t="n"/>
      <c r="V410" s="28" t="n"/>
      <c r="W410" s="241" t="n"/>
      <c r="X410" s="27" t="n"/>
      <c r="Y410" s="28" t="n"/>
      <c r="Z410" s="241" t="n"/>
      <c r="AA410" s="27" t="n"/>
      <c r="AB410" s="28" t="n"/>
      <c r="AC410" s="241" t="n"/>
      <c r="AD410" s="27" t="n"/>
      <c r="AE410" s="28" t="n"/>
      <c r="AF410" s="241" t="n"/>
      <c r="AG410" s="27" t="n"/>
      <c r="AH410" s="28" t="n"/>
      <c r="AI410" s="241" t="n"/>
      <c r="AJ410" s="27" t="n"/>
      <c r="AK410" s="28" t="n"/>
      <c r="AL410" s="241" t="n"/>
      <c r="AM410" s="27" t="n"/>
      <c r="AN410" s="28" t="n"/>
      <c r="AO410" s="241" t="n"/>
      <c r="AP410" s="27" t="n"/>
      <c r="AQ410" s="28" t="n"/>
      <c r="AR410" s="241" t="n"/>
      <c r="AS410" s="27" t="n"/>
      <c r="AT410" s="28" t="n"/>
      <c r="AU410" s="241" t="n"/>
      <c r="AV410" s="27" t="n"/>
      <c r="AW410" s="28" t="n"/>
      <c r="AX410" s="241" t="n"/>
      <c r="AY410" s="27" t="n"/>
      <c r="AZ410" s="28" t="n"/>
      <c r="BA410" s="241" t="n"/>
      <c r="BB410" s="27" t="n"/>
      <c r="BC410" s="28" t="n"/>
      <c r="BD410" s="241" t="n"/>
      <c r="BE410" s="27" t="n"/>
      <c r="BF410" s="28" t="n"/>
      <c r="BG410" s="241" t="n"/>
      <c r="BH410" s="27" t="n"/>
      <c r="BI410" s="28" t="n"/>
    </row>
    <row r="411" hidden="1" outlineLevel="2" ht="14.4" customFormat="1" customHeight="1" s="498">
      <c r="A411" s="204" t="inlineStr">
        <is>
          <t xml:space="preserve">  - Maitre</t>
        </is>
      </c>
      <c r="B411" s="488" t="n"/>
      <c r="C411" s="201" t="n"/>
      <c r="D411" s="41" t="n"/>
      <c r="E411" s="41" t="n"/>
      <c r="F411" s="41" t="n"/>
      <c r="G411" s="56" t="n"/>
      <c r="H411" s="241" t="n"/>
      <c r="I411" s="27" t="n"/>
      <c r="J411" s="28" t="n"/>
      <c r="K411" s="241" t="n"/>
      <c r="L411" s="27" t="n"/>
      <c r="M411" s="28" t="n"/>
      <c r="N411" s="241" t="n"/>
      <c r="O411" s="27" t="n"/>
      <c r="P411" s="28" t="n"/>
      <c r="Q411" s="241" t="n"/>
      <c r="R411" s="27" t="n"/>
      <c r="S411" s="28" t="n"/>
      <c r="T411" s="241" t="n"/>
      <c r="U411" s="27" t="n"/>
      <c r="V411" s="28" t="n"/>
      <c r="W411" s="241" t="n"/>
      <c r="X411" s="27" t="n"/>
      <c r="Y411" s="28" t="n"/>
      <c r="Z411" s="241" t="n"/>
      <c r="AA411" s="27" t="n"/>
      <c r="AB411" s="28" t="n"/>
      <c r="AC411" s="241" t="n"/>
      <c r="AD411" s="27" t="n"/>
      <c r="AE411" s="28" t="n"/>
      <c r="AF411" s="241" t="n"/>
      <c r="AG411" s="27" t="n"/>
      <c r="AH411" s="28" t="n"/>
      <c r="AI411" s="241" t="n"/>
      <c r="AJ411" s="27" t="n"/>
      <c r="AK411" s="28" t="n"/>
      <c r="AL411" s="241" t="n"/>
      <c r="AM411" s="27" t="n"/>
      <c r="AN411" s="28" t="n"/>
      <c r="AO411" s="241" t="n"/>
      <c r="AP411" s="27" t="n"/>
      <c r="AQ411" s="28" t="n"/>
      <c r="AR411" s="241" t="n"/>
      <c r="AS411" s="27" t="n"/>
      <c r="AT411" s="28" t="n"/>
      <c r="AU411" s="241" t="n"/>
      <c r="AV411" s="27" t="n"/>
      <c r="AW411" s="28" t="n"/>
      <c r="AX411" s="241" t="n"/>
      <c r="AY411" s="27" t="n"/>
      <c r="AZ411" s="28" t="n"/>
      <c r="BA411" s="241" t="n"/>
      <c r="BB411" s="27" t="n"/>
      <c r="BC411" s="28" t="n"/>
      <c r="BD411" s="241" t="n"/>
      <c r="BE411" s="27" t="n"/>
      <c r="BF411" s="28" t="n"/>
      <c r="BG411" s="241" t="n"/>
      <c r="BH411" s="27" t="n"/>
      <c r="BI411" s="28" t="n"/>
    </row>
    <row r="412" hidden="1" outlineLevel="2" ht="14.4" customFormat="1" customHeight="1" s="498">
      <c r="A412" s="204" t="inlineStr">
        <is>
          <t xml:space="preserve">  - Chefe de Fila</t>
        </is>
      </c>
      <c r="B412" s="488" t="n"/>
      <c r="C412" s="201" t="n"/>
      <c r="D412" s="41" t="n"/>
      <c r="E412" s="41" t="n"/>
      <c r="F412" s="41" t="n"/>
      <c r="G412" s="56" t="n"/>
      <c r="H412" s="241" t="n"/>
      <c r="I412" s="27" t="n"/>
      <c r="J412" s="28" t="n"/>
      <c r="K412" s="241" t="n"/>
      <c r="L412" s="27" t="n"/>
      <c r="M412" s="28" t="n"/>
      <c r="N412" s="241" t="n"/>
      <c r="O412" s="27" t="n"/>
      <c r="P412" s="28" t="n"/>
      <c r="Q412" s="241" t="n"/>
      <c r="R412" s="27" t="n"/>
      <c r="S412" s="28" t="n"/>
      <c r="T412" s="241" t="n"/>
      <c r="U412" s="27" t="n"/>
      <c r="V412" s="28" t="n"/>
      <c r="W412" s="241" t="n"/>
      <c r="X412" s="27" t="n"/>
      <c r="Y412" s="28" t="n"/>
      <c r="Z412" s="241" t="n"/>
      <c r="AA412" s="27" t="n"/>
      <c r="AB412" s="28" t="n"/>
      <c r="AC412" s="241" t="n"/>
      <c r="AD412" s="27" t="n"/>
      <c r="AE412" s="28" t="n"/>
      <c r="AF412" s="241" t="n"/>
      <c r="AG412" s="27" t="n"/>
      <c r="AH412" s="28" t="n"/>
      <c r="AI412" s="241" t="n"/>
      <c r="AJ412" s="27" t="n"/>
      <c r="AK412" s="28" t="n"/>
      <c r="AL412" s="241" t="n"/>
      <c r="AM412" s="27" t="n"/>
      <c r="AN412" s="28" t="n"/>
      <c r="AO412" s="241" t="n"/>
      <c r="AP412" s="27" t="n"/>
      <c r="AQ412" s="28" t="n"/>
      <c r="AR412" s="241" t="n"/>
      <c r="AS412" s="27" t="n"/>
      <c r="AT412" s="28" t="n"/>
      <c r="AU412" s="241" t="n"/>
      <c r="AV412" s="27" t="n"/>
      <c r="AW412" s="28" t="n"/>
      <c r="AX412" s="241" t="n"/>
      <c r="AY412" s="27" t="n"/>
      <c r="AZ412" s="28" t="n"/>
      <c r="BA412" s="241" t="n"/>
      <c r="BB412" s="27" t="n"/>
      <c r="BC412" s="28" t="n"/>
      <c r="BD412" s="241" t="n"/>
      <c r="BE412" s="27" t="n"/>
      <c r="BF412" s="28" t="n"/>
      <c r="BG412" s="241" t="n"/>
      <c r="BH412" s="27" t="n"/>
      <c r="BI412" s="28" t="n"/>
    </row>
    <row r="413" hidden="1" outlineLevel="2" ht="14.4" customFormat="1" customHeight="1" s="498">
      <c r="A413" s="204" t="inlineStr">
        <is>
          <t xml:space="preserve">  - Hostess</t>
        </is>
      </c>
      <c r="B413" s="488" t="n"/>
      <c r="C413" s="201" t="n"/>
      <c r="D413" s="41" t="n"/>
      <c r="E413" s="41" t="n"/>
      <c r="F413" s="41" t="n"/>
      <c r="G413" s="56" t="n"/>
      <c r="H413" s="241" t="n"/>
      <c r="I413" s="27" t="n"/>
      <c r="J413" s="28" t="n"/>
      <c r="K413" s="241" t="n"/>
      <c r="L413" s="27" t="n"/>
      <c r="M413" s="28" t="n"/>
      <c r="N413" s="241" t="n"/>
      <c r="O413" s="27" t="n"/>
      <c r="P413" s="28" t="n"/>
      <c r="Q413" s="241" t="n"/>
      <c r="R413" s="27" t="n"/>
      <c r="S413" s="28" t="n"/>
      <c r="T413" s="241" t="n"/>
      <c r="U413" s="27" t="n"/>
      <c r="V413" s="28" t="n"/>
      <c r="W413" s="241" t="n"/>
      <c r="X413" s="27" t="n"/>
      <c r="Y413" s="28" t="n"/>
      <c r="Z413" s="241" t="n"/>
      <c r="AA413" s="27" t="n"/>
      <c r="AB413" s="28" t="n"/>
      <c r="AC413" s="241" t="n"/>
      <c r="AD413" s="27" t="n"/>
      <c r="AE413" s="28" t="n"/>
      <c r="AF413" s="241" t="n"/>
      <c r="AG413" s="27" t="n"/>
      <c r="AH413" s="28" t="n"/>
      <c r="AI413" s="241" t="n"/>
      <c r="AJ413" s="27" t="n"/>
      <c r="AK413" s="28" t="n"/>
      <c r="AL413" s="241" t="n"/>
      <c r="AM413" s="27" t="n"/>
      <c r="AN413" s="28" t="n"/>
      <c r="AO413" s="241" t="n"/>
      <c r="AP413" s="27" t="n"/>
      <c r="AQ413" s="28" t="n"/>
      <c r="AR413" s="241" t="n"/>
      <c r="AS413" s="27" t="n"/>
      <c r="AT413" s="28" t="n"/>
      <c r="AU413" s="241" t="n"/>
      <c r="AV413" s="27" t="n"/>
      <c r="AW413" s="28" t="n"/>
      <c r="AX413" s="241" t="n"/>
      <c r="AY413" s="27" t="n"/>
      <c r="AZ413" s="28" t="n"/>
      <c r="BA413" s="241" t="n"/>
      <c r="BB413" s="27" t="n"/>
      <c r="BC413" s="28" t="n"/>
      <c r="BD413" s="241" t="n"/>
      <c r="BE413" s="27" t="n"/>
      <c r="BF413" s="28" t="n"/>
      <c r="BG413" s="241" t="n"/>
      <c r="BH413" s="27" t="n"/>
      <c r="BI413" s="28" t="n"/>
    </row>
    <row r="414" hidden="1" outlineLevel="2" ht="14.4" customFormat="1" customHeight="1" s="498">
      <c r="A414" s="205" t="n"/>
      <c r="B414" s="23" t="n"/>
      <c r="C414" s="3" t="n"/>
      <c r="D414" s="4" t="n"/>
      <c r="E414" s="198" t="n"/>
      <c r="F414" s="56" t="n"/>
      <c r="G414" s="56" t="n"/>
      <c r="H414" s="282" t="n"/>
      <c r="I414" s="235" t="n"/>
      <c r="J414" s="199" t="n"/>
      <c r="K414" s="282" t="n"/>
      <c r="L414" s="235" t="n"/>
      <c r="M414" s="199" t="n"/>
      <c r="N414" s="282" t="n"/>
      <c r="O414" s="235" t="n"/>
      <c r="P414" s="199" t="n"/>
      <c r="Q414" s="282" t="n"/>
      <c r="R414" s="235" t="n"/>
      <c r="S414" s="199" t="n"/>
      <c r="T414" s="282" t="n"/>
      <c r="U414" s="235" t="n"/>
      <c r="V414" s="199" t="n"/>
      <c r="W414" s="282" t="n"/>
      <c r="X414" s="235" t="n"/>
      <c r="Y414" s="199" t="n"/>
      <c r="Z414" s="282" t="n"/>
      <c r="AA414" s="235" t="n"/>
      <c r="AB414" s="199" t="n"/>
      <c r="AC414" s="282" t="n"/>
      <c r="AD414" s="235" t="n"/>
      <c r="AE414" s="199" t="n"/>
      <c r="AF414" s="282" t="n"/>
      <c r="AG414" s="235" t="n"/>
      <c r="AH414" s="199" t="n"/>
      <c r="AI414" s="282" t="n"/>
      <c r="AJ414" s="235" t="n"/>
      <c r="AK414" s="199" t="n"/>
      <c r="AL414" s="282" t="n"/>
      <c r="AM414" s="235" t="n"/>
      <c r="AN414" s="199" t="n"/>
      <c r="AO414" s="282" t="n"/>
      <c r="AP414" s="235" t="n"/>
      <c r="AQ414" s="199" t="n"/>
      <c r="AR414" s="282" t="n"/>
      <c r="AS414" s="235" t="n"/>
      <c r="AT414" s="199" t="n"/>
      <c r="AU414" s="282" t="n"/>
      <c r="AV414" s="235" t="n"/>
      <c r="AW414" s="199" t="n"/>
      <c r="AX414" s="282" t="n"/>
      <c r="AY414" s="235" t="n"/>
      <c r="AZ414" s="199" t="n"/>
      <c r="BA414" s="282" t="n"/>
      <c r="BB414" s="235" t="n"/>
      <c r="BC414" s="199" t="n"/>
      <c r="BD414" s="282" t="n"/>
      <c r="BE414" s="235" t="n"/>
      <c r="BF414" s="199" t="n"/>
      <c r="BG414" s="282" t="n"/>
      <c r="BH414" s="235" t="n"/>
      <c r="BI414" s="199" t="n"/>
    </row>
    <row r="415" hidden="1" outlineLevel="2" ht="14.4" customFormat="1" customHeight="1" s="498">
      <c r="A415" s="200" t="inlineStr">
        <is>
          <t>Quadro de funcionários, por função</t>
        </is>
      </c>
      <c r="B415" s="59" t="n"/>
      <c r="C415" s="60" t="n"/>
      <c r="D415" s="61" t="n"/>
      <c r="E415" s="62" t="n"/>
      <c r="F415" s="63" t="n"/>
      <c r="G415" s="56" t="n"/>
      <c r="H415" s="211" t="n"/>
      <c r="I415" s="202" t="n"/>
      <c r="J415" s="203" t="n"/>
      <c r="K415" s="211" t="n"/>
      <c r="L415" s="202" t="n"/>
      <c r="M415" s="203" t="n"/>
      <c r="N415" s="211" t="n"/>
      <c r="O415" s="202" t="n"/>
      <c r="P415" s="203" t="n"/>
      <c r="Q415" s="211" t="n"/>
      <c r="R415" s="202" t="n"/>
      <c r="S415" s="203" t="n"/>
      <c r="T415" s="211" t="n"/>
      <c r="U415" s="202" t="n"/>
      <c r="V415" s="203" t="n"/>
      <c r="W415" s="211" t="n"/>
      <c r="X415" s="202" t="n"/>
      <c r="Y415" s="203" t="n"/>
      <c r="Z415" s="211" t="n"/>
      <c r="AA415" s="202" t="n"/>
      <c r="AB415" s="203" t="n"/>
      <c r="AC415" s="211" t="n"/>
      <c r="AD415" s="202" t="n"/>
      <c r="AE415" s="203" t="n"/>
      <c r="AF415" s="211" t="n"/>
      <c r="AG415" s="202" t="n"/>
      <c r="AH415" s="203" t="n"/>
      <c r="AI415" s="211" t="n"/>
      <c r="AJ415" s="202" t="n"/>
      <c r="AK415" s="203" t="n"/>
      <c r="AL415" s="211" t="n"/>
      <c r="AM415" s="202" t="n"/>
      <c r="AN415" s="203" t="n"/>
      <c r="AO415" s="211" t="n"/>
      <c r="AP415" s="202" t="n"/>
      <c r="AQ415" s="203" t="n"/>
      <c r="AR415" s="211" t="n"/>
      <c r="AS415" s="202" t="n"/>
      <c r="AT415" s="203" t="n"/>
      <c r="AU415" s="211" t="n"/>
      <c r="AV415" s="202" t="n"/>
      <c r="AW415" s="203" t="n"/>
      <c r="AX415" s="211" t="n"/>
      <c r="AY415" s="202" t="n"/>
      <c r="AZ415" s="203" t="n"/>
      <c r="BA415" s="211" t="n"/>
      <c r="BB415" s="202" t="n"/>
      <c r="BC415" s="203" t="n"/>
      <c r="BD415" s="211" t="n"/>
      <c r="BE415" s="202" t="n"/>
      <c r="BF415" s="203" t="n"/>
      <c r="BG415" s="211" t="n"/>
      <c r="BH415" s="202" t="n"/>
      <c r="BI415" s="203" t="n"/>
    </row>
    <row r="416" hidden="1" outlineLevel="2" ht="14.4" customFormat="1" customHeight="1" s="498">
      <c r="A416" s="204" t="inlineStr">
        <is>
          <t xml:space="preserve">  -  Maitre</t>
        </is>
      </c>
      <c r="B416" s="488" t="n"/>
      <c r="C416" s="60" t="n"/>
      <c r="D416" s="61" t="n"/>
      <c r="E416" s="62" t="n"/>
      <c r="F416" s="41" t="n"/>
      <c r="G416" s="56" t="n"/>
      <c r="H416" s="241" t="n"/>
      <c r="I416" s="27" t="n"/>
      <c r="J416" s="28" t="n"/>
      <c r="K416" s="241" t="n"/>
      <c r="L416" s="27" t="n"/>
      <c r="M416" s="28" t="n"/>
      <c r="N416" s="241" t="n"/>
      <c r="O416" s="27" t="n"/>
      <c r="P416" s="28" t="n"/>
      <c r="Q416" s="241" t="n"/>
      <c r="R416" s="27" t="n"/>
      <c r="S416" s="28" t="n"/>
      <c r="T416" s="241" t="n"/>
      <c r="U416" s="27" t="n"/>
      <c r="V416" s="28" t="n"/>
      <c r="W416" s="241" t="n"/>
      <c r="X416" s="27" t="n"/>
      <c r="Y416" s="28" t="n"/>
      <c r="Z416" s="241" t="n"/>
      <c r="AA416" s="27" t="n"/>
      <c r="AB416" s="28" t="n"/>
      <c r="AC416" s="241" t="n"/>
      <c r="AD416" s="27" t="n"/>
      <c r="AE416" s="28" t="n"/>
      <c r="AF416" s="241" t="n"/>
      <c r="AG416" s="27" t="n"/>
      <c r="AH416" s="28" t="n"/>
      <c r="AI416" s="241" t="n"/>
      <c r="AJ416" s="27" t="n"/>
      <c r="AK416" s="28" t="n"/>
      <c r="AL416" s="241" t="n"/>
      <c r="AM416" s="27" t="n"/>
      <c r="AN416" s="28" t="n"/>
      <c r="AO416" s="241" t="n"/>
      <c r="AP416" s="27" t="n"/>
      <c r="AQ416" s="28" t="n"/>
      <c r="AR416" s="241" t="n"/>
      <c r="AS416" s="27" t="n"/>
      <c r="AT416" s="28" t="n"/>
      <c r="AU416" s="241" t="n"/>
      <c r="AV416" s="27" t="n"/>
      <c r="AW416" s="28" t="n"/>
      <c r="AX416" s="241" t="n"/>
      <c r="AY416" s="27" t="n"/>
      <c r="AZ416" s="28" t="n"/>
      <c r="BA416" s="241" t="n"/>
      <c r="BB416" s="27" t="n"/>
      <c r="BC416" s="28" t="n"/>
      <c r="BD416" s="241" t="n"/>
      <c r="BE416" s="27" t="n"/>
      <c r="BF416" s="28" t="n"/>
      <c r="BG416" s="241" t="n"/>
      <c r="BH416" s="27" t="n"/>
      <c r="BI416" s="28" t="n"/>
    </row>
    <row r="417" hidden="1" outlineLevel="2" ht="14.4" customFormat="1" customHeight="1" s="498">
      <c r="A417" s="204" t="inlineStr">
        <is>
          <t xml:space="preserve">  -  Garçon III</t>
        </is>
      </c>
      <c r="B417" s="488" t="n"/>
      <c r="C417" s="60" t="n"/>
      <c r="D417" s="61" t="n"/>
      <c r="E417" s="62" t="n"/>
      <c r="F417" s="41" t="n"/>
      <c r="G417" s="56" t="n"/>
      <c r="H417" s="241" t="n"/>
      <c r="I417" s="27" t="n"/>
      <c r="J417" s="28" t="n"/>
      <c r="K417" s="241" t="n"/>
      <c r="L417" s="27" t="n"/>
      <c r="M417" s="28" t="n"/>
      <c r="N417" s="241" t="n"/>
      <c r="O417" s="27" t="n"/>
      <c r="P417" s="28" t="n"/>
      <c r="Q417" s="241" t="n"/>
      <c r="R417" s="27" t="n"/>
      <c r="S417" s="28" t="n"/>
      <c r="T417" s="241" t="n"/>
      <c r="U417" s="27" t="n"/>
      <c r="V417" s="28" t="n"/>
      <c r="W417" s="241" t="n"/>
      <c r="X417" s="27" t="n"/>
      <c r="Y417" s="28" t="n"/>
      <c r="Z417" s="241" t="n"/>
      <c r="AA417" s="27" t="n"/>
      <c r="AB417" s="28" t="n"/>
      <c r="AC417" s="241" t="n"/>
      <c r="AD417" s="27" t="n"/>
      <c r="AE417" s="28" t="n"/>
      <c r="AF417" s="241" t="n"/>
      <c r="AG417" s="27" t="n"/>
      <c r="AH417" s="28" t="n"/>
      <c r="AI417" s="241" t="n"/>
      <c r="AJ417" s="27" t="n"/>
      <c r="AK417" s="28" t="n"/>
      <c r="AL417" s="241" t="n"/>
      <c r="AM417" s="27" t="n"/>
      <c r="AN417" s="28" t="n"/>
      <c r="AO417" s="241" t="n"/>
      <c r="AP417" s="27" t="n"/>
      <c r="AQ417" s="28" t="n"/>
      <c r="AR417" s="241" t="n"/>
      <c r="AS417" s="27" t="n"/>
      <c r="AT417" s="28" t="n"/>
      <c r="AU417" s="241" t="n"/>
      <c r="AV417" s="27" t="n"/>
      <c r="AW417" s="28" t="n"/>
      <c r="AX417" s="241" t="n"/>
      <c r="AY417" s="27" t="n"/>
      <c r="AZ417" s="28" t="n"/>
      <c r="BA417" s="241" t="n"/>
      <c r="BB417" s="27" t="n"/>
      <c r="BC417" s="28" t="n"/>
      <c r="BD417" s="241" t="n"/>
      <c r="BE417" s="27" t="n"/>
      <c r="BF417" s="28" t="n"/>
      <c r="BG417" s="241" t="n"/>
      <c r="BH417" s="27" t="n"/>
      <c r="BI417" s="28" t="n"/>
    </row>
    <row r="418" hidden="1" outlineLevel="2" ht="14.4" customFormat="1" customHeight="1" s="498">
      <c r="A418" s="204" t="inlineStr">
        <is>
          <t xml:space="preserve">  -  Garçon II</t>
        </is>
      </c>
      <c r="B418" s="488" t="n"/>
      <c r="C418" s="60" t="n"/>
      <c r="D418" s="61" t="n"/>
      <c r="E418" s="62" t="n"/>
      <c r="F418" s="41" t="n"/>
      <c r="G418" s="56" t="n"/>
      <c r="H418" s="241" t="n"/>
      <c r="I418" s="27" t="n"/>
      <c r="J418" s="28" t="n"/>
      <c r="K418" s="241" t="n"/>
      <c r="L418" s="27" t="n"/>
      <c r="M418" s="28" t="n"/>
      <c r="N418" s="241" t="n"/>
      <c r="O418" s="27" t="n"/>
      <c r="P418" s="28" t="n"/>
      <c r="Q418" s="241" t="n"/>
      <c r="R418" s="27" t="n"/>
      <c r="S418" s="28" t="n"/>
      <c r="T418" s="241" t="n"/>
      <c r="U418" s="27" t="n"/>
      <c r="V418" s="28" t="n"/>
      <c r="W418" s="241" t="n"/>
      <c r="X418" s="27" t="n"/>
      <c r="Y418" s="28" t="n"/>
      <c r="Z418" s="241" t="n"/>
      <c r="AA418" s="27" t="n"/>
      <c r="AB418" s="28" t="n"/>
      <c r="AC418" s="241" t="n"/>
      <c r="AD418" s="27" t="n"/>
      <c r="AE418" s="28" t="n"/>
      <c r="AF418" s="241" t="n"/>
      <c r="AG418" s="27" t="n"/>
      <c r="AH418" s="28" t="n"/>
      <c r="AI418" s="241" t="n"/>
      <c r="AJ418" s="27" t="n"/>
      <c r="AK418" s="28" t="n"/>
      <c r="AL418" s="241" t="n"/>
      <c r="AM418" s="27" t="n"/>
      <c r="AN418" s="28" t="n"/>
      <c r="AO418" s="241" t="n"/>
      <c r="AP418" s="27" t="n"/>
      <c r="AQ418" s="28" t="n"/>
      <c r="AR418" s="241" t="n"/>
      <c r="AS418" s="27" t="n"/>
      <c r="AT418" s="28" t="n"/>
      <c r="AU418" s="241" t="n"/>
      <c r="AV418" s="27" t="n"/>
      <c r="AW418" s="28" t="n"/>
      <c r="AX418" s="241" t="n"/>
      <c r="AY418" s="27" t="n"/>
      <c r="AZ418" s="28" t="n"/>
      <c r="BA418" s="241" t="n"/>
      <c r="BB418" s="27" t="n"/>
      <c r="BC418" s="28" t="n"/>
      <c r="BD418" s="241" t="n"/>
      <c r="BE418" s="27" t="n"/>
      <c r="BF418" s="28" t="n"/>
      <c r="BG418" s="241" t="n"/>
      <c r="BH418" s="27" t="n"/>
      <c r="BI418" s="28" t="n"/>
    </row>
    <row r="419" hidden="1" outlineLevel="2" ht="14.4" customFormat="1" customHeight="1" s="498">
      <c r="A419" s="204" t="inlineStr">
        <is>
          <t xml:space="preserve">  -  Garçon I</t>
        </is>
      </c>
      <c r="B419" s="488" t="n"/>
      <c r="C419" s="60" t="n"/>
      <c r="D419" s="61" t="n"/>
      <c r="E419" s="62" t="n"/>
      <c r="F419" s="41" t="n"/>
      <c r="G419" s="56" t="n"/>
      <c r="H419" s="241" t="n"/>
      <c r="I419" s="27" t="n"/>
      <c r="J419" s="28" t="n"/>
      <c r="K419" s="241" t="n"/>
      <c r="L419" s="27" t="n"/>
      <c r="M419" s="28" t="n"/>
      <c r="N419" s="241" t="n"/>
      <c r="O419" s="27" t="n"/>
      <c r="P419" s="28" t="n"/>
      <c r="Q419" s="241" t="n"/>
      <c r="R419" s="27" t="n"/>
      <c r="S419" s="28" t="n"/>
      <c r="T419" s="241" t="n"/>
      <c r="U419" s="27" t="n"/>
      <c r="V419" s="28" t="n"/>
      <c r="W419" s="241" t="n"/>
      <c r="X419" s="27" t="n"/>
      <c r="Y419" s="28" t="n"/>
      <c r="Z419" s="241" t="n"/>
      <c r="AA419" s="27" t="n"/>
      <c r="AB419" s="28" t="n"/>
      <c r="AC419" s="241" t="n"/>
      <c r="AD419" s="27" t="n"/>
      <c r="AE419" s="28" t="n"/>
      <c r="AF419" s="241" t="n"/>
      <c r="AG419" s="27" t="n"/>
      <c r="AH419" s="28" t="n"/>
      <c r="AI419" s="241" t="n"/>
      <c r="AJ419" s="27" t="n"/>
      <c r="AK419" s="28" t="n"/>
      <c r="AL419" s="241" t="n"/>
      <c r="AM419" s="27" t="n"/>
      <c r="AN419" s="28" t="n"/>
      <c r="AO419" s="241" t="n"/>
      <c r="AP419" s="27" t="n"/>
      <c r="AQ419" s="28" t="n"/>
      <c r="AR419" s="241" t="n"/>
      <c r="AS419" s="27" t="n"/>
      <c r="AT419" s="28" t="n"/>
      <c r="AU419" s="241" t="n"/>
      <c r="AV419" s="27" t="n"/>
      <c r="AW419" s="28" t="n"/>
      <c r="AX419" s="241" t="n"/>
      <c r="AY419" s="27" t="n"/>
      <c r="AZ419" s="28" t="n"/>
      <c r="BA419" s="241" t="n"/>
      <c r="BB419" s="27" t="n"/>
      <c r="BC419" s="28" t="n"/>
      <c r="BD419" s="241" t="n"/>
      <c r="BE419" s="27" t="n"/>
      <c r="BF419" s="28" t="n"/>
      <c r="BG419" s="241" t="n"/>
      <c r="BH419" s="27" t="n"/>
      <c r="BI419" s="28" t="n"/>
    </row>
    <row r="420" hidden="1" outlineLevel="2" ht="14.4" customFormat="1" customHeight="1" s="498">
      <c r="A420" s="204" t="inlineStr">
        <is>
          <t xml:space="preserve">  -  Passador de Chopp</t>
        </is>
      </c>
      <c r="B420" s="488" t="n"/>
      <c r="C420" s="60" t="n"/>
      <c r="D420" s="61" t="n"/>
      <c r="E420" s="206" t="n"/>
      <c r="F420" s="41" t="n"/>
      <c r="G420" s="56" t="n"/>
      <c r="H420" s="241" t="n"/>
      <c r="I420" s="27" t="n"/>
      <c r="J420" s="28" t="n"/>
      <c r="K420" s="241" t="n"/>
      <c r="L420" s="27" t="n"/>
      <c r="M420" s="28" t="n"/>
      <c r="N420" s="241" t="n"/>
      <c r="O420" s="27" t="n"/>
      <c r="P420" s="28" t="n"/>
      <c r="Q420" s="241" t="n"/>
      <c r="R420" s="27" t="n"/>
      <c r="S420" s="28" t="n"/>
      <c r="T420" s="241" t="n"/>
      <c r="U420" s="27" t="n"/>
      <c r="V420" s="28" t="n"/>
      <c r="W420" s="241" t="n"/>
      <c r="X420" s="27" t="n"/>
      <c r="Y420" s="28" t="n"/>
      <c r="Z420" s="241" t="n"/>
      <c r="AA420" s="27" t="n"/>
      <c r="AB420" s="28" t="n"/>
      <c r="AC420" s="241" t="n"/>
      <c r="AD420" s="27" t="n"/>
      <c r="AE420" s="28" t="n"/>
      <c r="AF420" s="241" t="n"/>
      <c r="AG420" s="27" t="n"/>
      <c r="AH420" s="28" t="n"/>
      <c r="AI420" s="241" t="n"/>
      <c r="AJ420" s="27" t="n"/>
      <c r="AK420" s="28" t="n"/>
      <c r="AL420" s="241" t="n"/>
      <c r="AM420" s="27" t="n"/>
      <c r="AN420" s="28" t="n"/>
      <c r="AO420" s="241" t="n"/>
      <c r="AP420" s="27" t="n"/>
      <c r="AQ420" s="28" t="n"/>
      <c r="AR420" s="241" t="n"/>
      <c r="AS420" s="27" t="n"/>
      <c r="AT420" s="28" t="n"/>
      <c r="AU420" s="241" t="n"/>
      <c r="AV420" s="27" t="n"/>
      <c r="AW420" s="28" t="n"/>
      <c r="AX420" s="241" t="n"/>
      <c r="AY420" s="27" t="n"/>
      <c r="AZ420" s="28" t="n"/>
      <c r="BA420" s="241" t="n"/>
      <c r="BB420" s="27" t="n"/>
      <c r="BC420" s="28" t="n"/>
      <c r="BD420" s="241" t="n"/>
      <c r="BE420" s="27" t="n"/>
      <c r="BF420" s="28" t="n"/>
      <c r="BG420" s="241" t="n"/>
      <c r="BH420" s="27" t="n"/>
      <c r="BI420" s="28" t="n"/>
    </row>
    <row r="421" hidden="1" outlineLevel="2" ht="14.4" customFormat="1" customHeight="1" s="498">
      <c r="A421" s="204" t="inlineStr">
        <is>
          <t xml:space="preserve">  -  Cumin</t>
        </is>
      </c>
      <c r="B421" s="488" t="n"/>
      <c r="C421" s="60" t="n"/>
      <c r="D421" s="61" t="n"/>
      <c r="E421" s="62" t="n"/>
      <c r="F421" s="41" t="n"/>
      <c r="G421" s="56" t="n"/>
      <c r="H421" s="241" t="n"/>
      <c r="I421" s="27" t="n"/>
      <c r="J421" s="28" t="n"/>
      <c r="K421" s="241" t="n"/>
      <c r="L421" s="27" t="n"/>
      <c r="M421" s="28" t="n"/>
      <c r="N421" s="241" t="n"/>
      <c r="O421" s="27" t="n"/>
      <c r="P421" s="28" t="n"/>
      <c r="Q421" s="241" t="n"/>
      <c r="R421" s="27" t="n"/>
      <c r="S421" s="28" t="n"/>
      <c r="T421" s="241" t="n"/>
      <c r="U421" s="27" t="n"/>
      <c r="V421" s="28" t="n"/>
      <c r="W421" s="241" t="n"/>
      <c r="X421" s="27" t="n"/>
      <c r="Y421" s="28" t="n"/>
      <c r="Z421" s="241" t="n"/>
      <c r="AA421" s="27" t="n"/>
      <c r="AB421" s="28" t="n"/>
      <c r="AC421" s="241" t="n"/>
      <c r="AD421" s="27" t="n"/>
      <c r="AE421" s="28" t="n"/>
      <c r="AF421" s="241" t="n"/>
      <c r="AG421" s="27" t="n"/>
      <c r="AH421" s="28" t="n"/>
      <c r="AI421" s="241" t="n"/>
      <c r="AJ421" s="27" t="n"/>
      <c r="AK421" s="28" t="n"/>
      <c r="AL421" s="241" t="n"/>
      <c r="AM421" s="27" t="n"/>
      <c r="AN421" s="28" t="n"/>
      <c r="AO421" s="241" t="n"/>
      <c r="AP421" s="27" t="n"/>
      <c r="AQ421" s="28" t="n"/>
      <c r="AR421" s="241" t="n"/>
      <c r="AS421" s="27" t="n"/>
      <c r="AT421" s="28" t="n"/>
      <c r="AU421" s="241" t="n"/>
      <c r="AV421" s="27" t="n"/>
      <c r="AW421" s="28" t="n"/>
      <c r="AX421" s="241" t="n"/>
      <c r="AY421" s="27" t="n"/>
      <c r="AZ421" s="28" t="n"/>
      <c r="BA421" s="241" t="n"/>
      <c r="BB421" s="27" t="n"/>
      <c r="BC421" s="28" t="n"/>
      <c r="BD421" s="241" t="n"/>
      <c r="BE421" s="27" t="n"/>
      <c r="BF421" s="28" t="n"/>
      <c r="BG421" s="241" t="n"/>
      <c r="BH421" s="27" t="n"/>
      <c r="BI421" s="28" t="n"/>
    </row>
    <row r="422" hidden="1" outlineLevel="2" ht="14.4" customFormat="1" customHeight="1" s="498">
      <c r="A422" s="204" t="inlineStr">
        <is>
          <t xml:space="preserve">  -  Sub Chefe de Bar</t>
        </is>
      </c>
      <c r="B422" s="488" t="n"/>
      <c r="C422" s="60" t="n"/>
      <c r="D422" s="61" t="n"/>
      <c r="E422" s="62" t="n"/>
      <c r="F422" s="41" t="n"/>
      <c r="G422" s="56" t="n"/>
      <c r="H422" s="241" t="n"/>
      <c r="I422" s="27" t="n"/>
      <c r="J422" s="28" t="n"/>
      <c r="K422" s="241" t="n"/>
      <c r="L422" s="27" t="n"/>
      <c r="M422" s="28" t="n"/>
      <c r="N422" s="241" t="n"/>
      <c r="O422" s="27" t="n"/>
      <c r="P422" s="28" t="n"/>
      <c r="Q422" s="241" t="n"/>
      <c r="R422" s="27" t="n"/>
      <c r="S422" s="28" t="n"/>
      <c r="T422" s="241" t="n"/>
      <c r="U422" s="27" t="n"/>
      <c r="V422" s="28" t="n"/>
      <c r="W422" s="241" t="n"/>
      <c r="X422" s="27" t="n"/>
      <c r="Y422" s="28" t="n"/>
      <c r="Z422" s="241" t="n"/>
      <c r="AA422" s="27" t="n"/>
      <c r="AB422" s="28" t="n"/>
      <c r="AC422" s="241" t="n"/>
      <c r="AD422" s="27" t="n"/>
      <c r="AE422" s="28" t="n"/>
      <c r="AF422" s="241" t="n"/>
      <c r="AG422" s="27" t="n"/>
      <c r="AH422" s="28" t="n"/>
      <c r="AI422" s="241" t="n"/>
      <c r="AJ422" s="27" t="n"/>
      <c r="AK422" s="28" t="n"/>
      <c r="AL422" s="241" t="n"/>
      <c r="AM422" s="27" t="n"/>
      <c r="AN422" s="28" t="n"/>
      <c r="AO422" s="241" t="n"/>
      <c r="AP422" s="27" t="n"/>
      <c r="AQ422" s="28" t="n"/>
      <c r="AR422" s="241" t="n"/>
      <c r="AS422" s="27" t="n"/>
      <c r="AT422" s="28" t="n"/>
      <c r="AU422" s="241" t="n"/>
      <c r="AV422" s="27" t="n"/>
      <c r="AW422" s="28" t="n"/>
      <c r="AX422" s="241" t="n"/>
      <c r="AY422" s="27" t="n"/>
      <c r="AZ422" s="28" t="n"/>
      <c r="BA422" s="241" t="n"/>
      <c r="BB422" s="27" t="n"/>
      <c r="BC422" s="28" t="n"/>
      <c r="BD422" s="241" t="n"/>
      <c r="BE422" s="27" t="n"/>
      <c r="BF422" s="28" t="n"/>
      <c r="BG422" s="241" t="n"/>
      <c r="BH422" s="27" t="n"/>
      <c r="BI422" s="28" t="n"/>
    </row>
    <row r="423" hidden="1" outlineLevel="2" ht="14.4" customFormat="1" customHeight="1" s="498">
      <c r="A423" s="204" t="inlineStr">
        <is>
          <t xml:space="preserve">  -  Bartender III</t>
        </is>
      </c>
      <c r="B423" s="488" t="n"/>
      <c r="C423" s="60" t="n"/>
      <c r="D423" s="61" t="n"/>
      <c r="E423" s="62" t="n"/>
      <c r="F423" s="41" t="n"/>
      <c r="G423" s="56" t="n"/>
      <c r="H423" s="241" t="n"/>
      <c r="I423" s="27" t="n"/>
      <c r="J423" s="28" t="n"/>
      <c r="K423" s="241" t="n"/>
      <c r="L423" s="27" t="n"/>
      <c r="M423" s="28" t="n"/>
      <c r="N423" s="241" t="n"/>
      <c r="O423" s="27" t="n"/>
      <c r="P423" s="28" t="n"/>
      <c r="Q423" s="241" t="n"/>
      <c r="R423" s="27" t="n"/>
      <c r="S423" s="28" t="n"/>
      <c r="T423" s="241" t="n"/>
      <c r="U423" s="27" t="n"/>
      <c r="V423" s="28" t="n"/>
      <c r="W423" s="241" t="n"/>
      <c r="X423" s="27" t="n"/>
      <c r="Y423" s="28" t="n"/>
      <c r="Z423" s="241" t="n"/>
      <c r="AA423" s="27" t="n"/>
      <c r="AB423" s="28" t="n"/>
      <c r="AC423" s="241" t="n"/>
      <c r="AD423" s="27" t="n"/>
      <c r="AE423" s="28" t="n"/>
      <c r="AF423" s="241" t="n"/>
      <c r="AG423" s="27" t="n"/>
      <c r="AH423" s="28" t="n"/>
      <c r="AI423" s="241" t="n"/>
      <c r="AJ423" s="27" t="n"/>
      <c r="AK423" s="28" t="n"/>
      <c r="AL423" s="241" t="n"/>
      <c r="AM423" s="27" t="n"/>
      <c r="AN423" s="28" t="n"/>
      <c r="AO423" s="241" t="n"/>
      <c r="AP423" s="27" t="n"/>
      <c r="AQ423" s="28" t="n"/>
      <c r="AR423" s="241" t="n"/>
      <c r="AS423" s="27" t="n"/>
      <c r="AT423" s="28" t="n"/>
      <c r="AU423" s="241" t="n"/>
      <c r="AV423" s="27" t="n"/>
      <c r="AW423" s="28" t="n"/>
      <c r="AX423" s="241" t="n"/>
      <c r="AY423" s="27" t="n"/>
      <c r="AZ423" s="28" t="n"/>
      <c r="BA423" s="241" t="n"/>
      <c r="BB423" s="27" t="n"/>
      <c r="BC423" s="28" t="n"/>
      <c r="BD423" s="241" t="n"/>
      <c r="BE423" s="27" t="n"/>
      <c r="BF423" s="28" t="n"/>
      <c r="BG423" s="241" t="n"/>
      <c r="BH423" s="27" t="n"/>
      <c r="BI423" s="28" t="n"/>
    </row>
    <row r="424" hidden="1" outlineLevel="2" ht="14.4" customFormat="1" customHeight="1" s="498">
      <c r="A424" s="204" t="inlineStr">
        <is>
          <t xml:space="preserve">  -  Bartender II</t>
        </is>
      </c>
      <c r="B424" s="488" t="n"/>
      <c r="C424" s="60" t="n"/>
      <c r="D424" s="61" t="n"/>
      <c r="E424" s="62" t="n"/>
      <c r="F424" s="41" t="n"/>
      <c r="G424" s="56" t="n"/>
      <c r="H424" s="241" t="n"/>
      <c r="I424" s="27" t="n"/>
      <c r="J424" s="28" t="n"/>
      <c r="K424" s="241" t="n"/>
      <c r="L424" s="27" t="n"/>
      <c r="M424" s="28" t="n"/>
      <c r="N424" s="241" t="n"/>
      <c r="O424" s="27" t="n"/>
      <c r="P424" s="28" t="n"/>
      <c r="Q424" s="241" t="n"/>
      <c r="R424" s="27" t="n"/>
      <c r="S424" s="28" t="n"/>
      <c r="T424" s="241" t="n"/>
      <c r="U424" s="27" t="n"/>
      <c r="V424" s="28" t="n"/>
      <c r="W424" s="241" t="n"/>
      <c r="X424" s="27" t="n"/>
      <c r="Y424" s="28" t="n"/>
      <c r="Z424" s="241" t="n"/>
      <c r="AA424" s="27" t="n"/>
      <c r="AB424" s="28" t="n"/>
      <c r="AC424" s="241" t="n"/>
      <c r="AD424" s="27" t="n"/>
      <c r="AE424" s="28" t="n"/>
      <c r="AF424" s="241" t="n"/>
      <c r="AG424" s="27" t="n"/>
      <c r="AH424" s="28" t="n"/>
      <c r="AI424" s="241" t="n"/>
      <c r="AJ424" s="27" t="n"/>
      <c r="AK424" s="28" t="n"/>
      <c r="AL424" s="241" t="n"/>
      <c r="AM424" s="27" t="n"/>
      <c r="AN424" s="28" t="n"/>
      <c r="AO424" s="241" t="n"/>
      <c r="AP424" s="27" t="n"/>
      <c r="AQ424" s="28" t="n"/>
      <c r="AR424" s="241" t="n"/>
      <c r="AS424" s="27" t="n"/>
      <c r="AT424" s="28" t="n"/>
      <c r="AU424" s="241" t="n"/>
      <c r="AV424" s="27" t="n"/>
      <c r="AW424" s="28" t="n"/>
      <c r="AX424" s="241" t="n"/>
      <c r="AY424" s="27" t="n"/>
      <c r="AZ424" s="28" t="n"/>
      <c r="BA424" s="241" t="n"/>
      <c r="BB424" s="27" t="n"/>
      <c r="BC424" s="28" t="n"/>
      <c r="BD424" s="241" t="n"/>
      <c r="BE424" s="27" t="n"/>
      <c r="BF424" s="28" t="n"/>
      <c r="BG424" s="241" t="n"/>
      <c r="BH424" s="27" t="n"/>
      <c r="BI424" s="28" t="n"/>
    </row>
    <row r="425" hidden="1" outlineLevel="2" ht="14.4" customFormat="1" customHeight="1" s="498">
      <c r="A425" s="204" t="inlineStr">
        <is>
          <t xml:space="preserve">  -  Bartender I</t>
        </is>
      </c>
      <c r="B425" s="488" t="n"/>
      <c r="C425" s="60" t="n"/>
      <c r="D425" s="61" t="n"/>
      <c r="E425" s="206" t="n"/>
      <c r="F425" s="41" t="n"/>
      <c r="G425" s="56" t="n"/>
      <c r="H425" s="241" t="n"/>
      <c r="I425" s="27" t="n"/>
      <c r="J425" s="28" t="n"/>
      <c r="K425" s="241" t="n"/>
      <c r="L425" s="27" t="n"/>
      <c r="M425" s="28" t="n"/>
      <c r="N425" s="241" t="n"/>
      <c r="O425" s="27" t="n"/>
      <c r="P425" s="28" t="n"/>
      <c r="Q425" s="241" t="n"/>
      <c r="R425" s="27" t="n"/>
      <c r="S425" s="28" t="n"/>
      <c r="T425" s="241" t="n"/>
      <c r="U425" s="27" t="n"/>
      <c r="V425" s="28" t="n"/>
      <c r="W425" s="241" t="n"/>
      <c r="X425" s="27" t="n"/>
      <c r="Y425" s="28" t="n"/>
      <c r="Z425" s="241" t="n"/>
      <c r="AA425" s="27" t="n"/>
      <c r="AB425" s="28" t="n"/>
      <c r="AC425" s="241" t="n"/>
      <c r="AD425" s="27" t="n"/>
      <c r="AE425" s="28" t="n"/>
      <c r="AF425" s="241" t="n"/>
      <c r="AG425" s="27" t="n"/>
      <c r="AH425" s="28" t="n"/>
      <c r="AI425" s="241" t="n"/>
      <c r="AJ425" s="27" t="n"/>
      <c r="AK425" s="28" t="n"/>
      <c r="AL425" s="241" t="n"/>
      <c r="AM425" s="27" t="n"/>
      <c r="AN425" s="28" t="n"/>
      <c r="AO425" s="241" t="n"/>
      <c r="AP425" s="27" t="n"/>
      <c r="AQ425" s="28" t="n"/>
      <c r="AR425" s="241" t="n"/>
      <c r="AS425" s="27" t="n"/>
      <c r="AT425" s="28" t="n"/>
      <c r="AU425" s="241" t="n"/>
      <c r="AV425" s="27" t="n"/>
      <c r="AW425" s="28" t="n"/>
      <c r="AX425" s="241" t="n"/>
      <c r="AY425" s="27" t="n"/>
      <c r="AZ425" s="28" t="n"/>
      <c r="BA425" s="241" t="n"/>
      <c r="BB425" s="27" t="n"/>
      <c r="BC425" s="28" t="n"/>
      <c r="BD425" s="241" t="n"/>
      <c r="BE425" s="27" t="n"/>
      <c r="BF425" s="28" t="n"/>
      <c r="BG425" s="241" t="n"/>
      <c r="BH425" s="27" t="n"/>
      <c r="BI425" s="28" t="n"/>
    </row>
    <row r="426" hidden="1" outlineLevel="2" ht="14.4" customFormat="1" customHeight="1" s="498">
      <c r="A426" s="204" t="inlineStr">
        <is>
          <t xml:space="preserve">  -  Bar Back</t>
        </is>
      </c>
      <c r="B426" s="488" t="n"/>
      <c r="C426" s="60" t="n"/>
      <c r="D426" s="61" t="n"/>
      <c r="E426" s="206" t="n"/>
      <c r="F426" s="41" t="n"/>
      <c r="G426" s="56" t="n"/>
      <c r="H426" s="241" t="n"/>
      <c r="I426" s="27" t="n"/>
      <c r="J426" s="28" t="n"/>
      <c r="K426" s="241" t="n"/>
      <c r="L426" s="27" t="n"/>
      <c r="M426" s="28" t="n"/>
      <c r="N426" s="241" t="n"/>
      <c r="O426" s="27" t="n"/>
      <c r="P426" s="28" t="n"/>
      <c r="Q426" s="241" t="n"/>
      <c r="R426" s="27" t="n"/>
      <c r="S426" s="28" t="n"/>
      <c r="T426" s="241" t="n"/>
      <c r="U426" s="27" t="n"/>
      <c r="V426" s="28" t="n"/>
      <c r="W426" s="241" t="n"/>
      <c r="X426" s="27" t="n"/>
      <c r="Y426" s="28" t="n"/>
      <c r="Z426" s="241" t="n"/>
      <c r="AA426" s="27" t="n"/>
      <c r="AB426" s="28" t="n"/>
      <c r="AC426" s="241" t="n"/>
      <c r="AD426" s="27" t="n"/>
      <c r="AE426" s="28" t="n"/>
      <c r="AF426" s="241" t="n"/>
      <c r="AG426" s="27" t="n"/>
      <c r="AH426" s="28" t="n"/>
      <c r="AI426" s="241" t="n"/>
      <c r="AJ426" s="27" t="n"/>
      <c r="AK426" s="28" t="n"/>
      <c r="AL426" s="241" t="n"/>
      <c r="AM426" s="27" t="n"/>
      <c r="AN426" s="28" t="n"/>
      <c r="AO426" s="241" t="n"/>
      <c r="AP426" s="27" t="n"/>
      <c r="AQ426" s="28" t="n"/>
      <c r="AR426" s="241" t="n"/>
      <c r="AS426" s="27" t="n"/>
      <c r="AT426" s="28" t="n"/>
      <c r="AU426" s="241" t="n"/>
      <c r="AV426" s="27" t="n"/>
      <c r="AW426" s="28" t="n"/>
      <c r="AX426" s="241" t="n"/>
      <c r="AY426" s="27" t="n"/>
      <c r="AZ426" s="28" t="n"/>
      <c r="BA426" s="241" t="n"/>
      <c r="BB426" s="27" t="n"/>
      <c r="BC426" s="28" t="n"/>
      <c r="BD426" s="241" t="n"/>
      <c r="BE426" s="27" t="n"/>
      <c r="BF426" s="28" t="n"/>
      <c r="BG426" s="241" t="n"/>
      <c r="BH426" s="27" t="n"/>
      <c r="BI426" s="28" t="n"/>
    </row>
    <row r="427" hidden="1" outlineLevel="2" ht="14.4" customFormat="1" customHeight="1" s="498">
      <c r="A427" s="204" t="inlineStr">
        <is>
          <t xml:space="preserve">  -  Barista III</t>
        </is>
      </c>
      <c r="B427" s="488" t="n"/>
      <c r="C427" s="60" t="n"/>
      <c r="D427" s="61" t="n"/>
      <c r="E427" s="206" t="n"/>
      <c r="F427" s="41" t="n"/>
      <c r="G427" s="56" t="n"/>
      <c r="H427" s="241" t="n"/>
      <c r="I427" s="27" t="n"/>
      <c r="J427" s="28" t="n"/>
      <c r="K427" s="241" t="n"/>
      <c r="L427" s="27" t="n"/>
      <c r="M427" s="28" t="n"/>
      <c r="N427" s="241" t="n"/>
      <c r="O427" s="27" t="n"/>
      <c r="P427" s="28" t="n"/>
      <c r="Q427" s="241" t="n"/>
      <c r="R427" s="27" t="n"/>
      <c r="S427" s="28" t="n"/>
      <c r="T427" s="241" t="n"/>
      <c r="U427" s="27" t="n"/>
      <c r="V427" s="28" t="n"/>
      <c r="W427" s="241" t="n"/>
      <c r="X427" s="27" t="n"/>
      <c r="Y427" s="28" t="n"/>
      <c r="Z427" s="241" t="n"/>
      <c r="AA427" s="27" t="n"/>
      <c r="AB427" s="28" t="n"/>
      <c r="AC427" s="241" t="n"/>
      <c r="AD427" s="27" t="n"/>
      <c r="AE427" s="28" t="n"/>
      <c r="AF427" s="241" t="n"/>
      <c r="AG427" s="27" t="n"/>
      <c r="AH427" s="28" t="n"/>
      <c r="AI427" s="241" t="n"/>
      <c r="AJ427" s="27" t="n"/>
      <c r="AK427" s="28" t="n"/>
      <c r="AL427" s="241" t="n"/>
      <c r="AM427" s="27" t="n"/>
      <c r="AN427" s="28" t="n"/>
      <c r="AO427" s="241" t="n"/>
      <c r="AP427" s="27" t="n"/>
      <c r="AQ427" s="28" t="n"/>
      <c r="AR427" s="241" t="n"/>
      <c r="AS427" s="27" t="n"/>
      <c r="AT427" s="28" t="n"/>
      <c r="AU427" s="241" t="n"/>
      <c r="AV427" s="27" t="n"/>
      <c r="AW427" s="28" t="n"/>
      <c r="AX427" s="241" t="n"/>
      <c r="AY427" s="27" t="n"/>
      <c r="AZ427" s="28" t="n"/>
      <c r="BA427" s="241" t="n"/>
      <c r="BB427" s="27" t="n"/>
      <c r="BC427" s="28" t="n"/>
      <c r="BD427" s="241" t="n"/>
      <c r="BE427" s="27" t="n"/>
      <c r="BF427" s="28" t="n"/>
      <c r="BG427" s="241" t="n"/>
      <c r="BH427" s="27" t="n"/>
      <c r="BI427" s="28" t="n"/>
    </row>
    <row r="428" hidden="1" outlineLevel="2" ht="14.4" customFormat="1" customHeight="1" s="498">
      <c r="A428" s="204" t="inlineStr">
        <is>
          <t xml:space="preserve">  -  Barista II</t>
        </is>
      </c>
      <c r="B428" s="488" t="n"/>
      <c r="C428" s="60" t="n"/>
      <c r="D428" s="61" t="n"/>
      <c r="E428" s="206" t="n"/>
      <c r="F428" s="41" t="n"/>
      <c r="G428" s="56" t="n"/>
      <c r="H428" s="241" t="n"/>
      <c r="I428" s="27" t="n"/>
      <c r="J428" s="28" t="n"/>
      <c r="K428" s="241" t="n"/>
      <c r="L428" s="27" t="n"/>
      <c r="M428" s="28" t="n"/>
      <c r="N428" s="241" t="n"/>
      <c r="O428" s="27" t="n"/>
      <c r="P428" s="28" t="n"/>
      <c r="Q428" s="241" t="n"/>
      <c r="R428" s="27" t="n"/>
      <c r="S428" s="28" t="n"/>
      <c r="T428" s="241" t="n"/>
      <c r="U428" s="27" t="n"/>
      <c r="V428" s="28" t="n"/>
      <c r="W428" s="241" t="n"/>
      <c r="X428" s="27" t="n"/>
      <c r="Y428" s="28" t="n"/>
      <c r="Z428" s="241" t="n"/>
      <c r="AA428" s="27" t="n"/>
      <c r="AB428" s="28" t="n"/>
      <c r="AC428" s="241" t="n"/>
      <c r="AD428" s="27" t="n"/>
      <c r="AE428" s="28" t="n"/>
      <c r="AF428" s="241" t="n"/>
      <c r="AG428" s="27" t="n"/>
      <c r="AH428" s="28" t="n"/>
      <c r="AI428" s="241" t="n"/>
      <c r="AJ428" s="27" t="n"/>
      <c r="AK428" s="28" t="n"/>
      <c r="AL428" s="241" t="n"/>
      <c r="AM428" s="27" t="n"/>
      <c r="AN428" s="28" t="n"/>
      <c r="AO428" s="241" t="n"/>
      <c r="AP428" s="27" t="n"/>
      <c r="AQ428" s="28" t="n"/>
      <c r="AR428" s="241" t="n"/>
      <c r="AS428" s="27" t="n"/>
      <c r="AT428" s="28" t="n"/>
      <c r="AU428" s="241" t="n"/>
      <c r="AV428" s="27" t="n"/>
      <c r="AW428" s="28" t="n"/>
      <c r="AX428" s="241" t="n"/>
      <c r="AY428" s="27" t="n"/>
      <c r="AZ428" s="28" t="n"/>
      <c r="BA428" s="241" t="n"/>
      <c r="BB428" s="27" t="n"/>
      <c r="BC428" s="28" t="n"/>
      <c r="BD428" s="241" t="n"/>
      <c r="BE428" s="27" t="n"/>
      <c r="BF428" s="28" t="n"/>
      <c r="BG428" s="241" t="n"/>
      <c r="BH428" s="27" t="n"/>
      <c r="BI428" s="28" t="n"/>
    </row>
    <row r="429" hidden="1" outlineLevel="2" ht="14.4" customFormat="1" customHeight="1" s="498">
      <c r="A429" s="204" t="inlineStr">
        <is>
          <t xml:space="preserve">  -  Barista I</t>
        </is>
      </c>
      <c r="B429" s="488" t="n"/>
      <c r="C429" s="60" t="n"/>
      <c r="D429" s="61" t="n"/>
      <c r="E429" s="206" t="n"/>
      <c r="F429" s="41" t="n"/>
      <c r="G429" s="56" t="n"/>
      <c r="H429" s="241" t="n"/>
      <c r="I429" s="27" t="n"/>
      <c r="J429" s="28" t="n"/>
      <c r="K429" s="241" t="n"/>
      <c r="L429" s="27" t="n"/>
      <c r="M429" s="28" t="n"/>
      <c r="N429" s="241" t="n"/>
      <c r="O429" s="27" t="n"/>
      <c r="P429" s="28" t="n"/>
      <c r="Q429" s="241" t="n"/>
      <c r="R429" s="27" t="n"/>
      <c r="S429" s="28" t="n"/>
      <c r="T429" s="241" t="n"/>
      <c r="U429" s="27" t="n"/>
      <c r="V429" s="28" t="n"/>
      <c r="W429" s="241" t="n"/>
      <c r="X429" s="27" t="n"/>
      <c r="Y429" s="28" t="n"/>
      <c r="Z429" s="241" t="n"/>
      <c r="AA429" s="27" t="n"/>
      <c r="AB429" s="28" t="n"/>
      <c r="AC429" s="241" t="n"/>
      <c r="AD429" s="27" t="n"/>
      <c r="AE429" s="28" t="n"/>
      <c r="AF429" s="241" t="n"/>
      <c r="AG429" s="27" t="n"/>
      <c r="AH429" s="28" t="n"/>
      <c r="AI429" s="241" t="n"/>
      <c r="AJ429" s="27" t="n"/>
      <c r="AK429" s="28" t="n"/>
      <c r="AL429" s="241" t="n"/>
      <c r="AM429" s="27" t="n"/>
      <c r="AN429" s="28" t="n"/>
      <c r="AO429" s="241" t="n"/>
      <c r="AP429" s="27" t="n"/>
      <c r="AQ429" s="28" t="n"/>
      <c r="AR429" s="241" t="n"/>
      <c r="AS429" s="27" t="n"/>
      <c r="AT429" s="28" t="n"/>
      <c r="AU429" s="241" t="n"/>
      <c r="AV429" s="27" t="n"/>
      <c r="AW429" s="28" t="n"/>
      <c r="AX429" s="241" t="n"/>
      <c r="AY429" s="27" t="n"/>
      <c r="AZ429" s="28" t="n"/>
      <c r="BA429" s="241" t="n"/>
      <c r="BB429" s="27" t="n"/>
      <c r="BC429" s="28" t="n"/>
      <c r="BD429" s="241" t="n"/>
      <c r="BE429" s="27" t="n"/>
      <c r="BF429" s="28" t="n"/>
      <c r="BG429" s="241" t="n"/>
      <c r="BH429" s="27" t="n"/>
      <c r="BI429" s="28" t="n"/>
    </row>
    <row r="430" hidden="1" outlineLevel="2" ht="14.4" customFormat="1" customHeight="1" s="498">
      <c r="A430" s="204" t="inlineStr">
        <is>
          <t xml:space="preserve">  -  Chopeiro III</t>
        </is>
      </c>
      <c r="B430" s="488" t="n"/>
      <c r="C430" s="60" t="n"/>
      <c r="D430" s="61" t="n"/>
      <c r="E430" s="206" t="n"/>
      <c r="F430" s="41" t="n"/>
      <c r="G430" s="56" t="n"/>
      <c r="H430" s="241" t="n"/>
      <c r="I430" s="27" t="n"/>
      <c r="J430" s="28" t="n"/>
      <c r="K430" s="241" t="n"/>
      <c r="L430" s="27" t="n"/>
      <c r="M430" s="28" t="n"/>
      <c r="N430" s="241" t="n"/>
      <c r="O430" s="27" t="n"/>
      <c r="P430" s="28" t="n"/>
      <c r="Q430" s="241" t="n"/>
      <c r="R430" s="27" t="n"/>
      <c r="S430" s="28" t="n"/>
      <c r="T430" s="241" t="n"/>
      <c r="U430" s="27" t="n"/>
      <c r="V430" s="28" t="n"/>
      <c r="W430" s="241" t="n"/>
      <c r="X430" s="27" t="n"/>
      <c r="Y430" s="28" t="n"/>
      <c r="Z430" s="241" t="n"/>
      <c r="AA430" s="27" t="n"/>
      <c r="AB430" s="28" t="n"/>
      <c r="AC430" s="241" t="n"/>
      <c r="AD430" s="27" t="n"/>
      <c r="AE430" s="28" t="n"/>
      <c r="AF430" s="241" t="n"/>
      <c r="AG430" s="27" t="n"/>
      <c r="AH430" s="28" t="n"/>
      <c r="AI430" s="241" t="n"/>
      <c r="AJ430" s="27" t="n"/>
      <c r="AK430" s="28" t="n"/>
      <c r="AL430" s="241" t="n"/>
      <c r="AM430" s="27" t="n"/>
      <c r="AN430" s="28" t="n"/>
      <c r="AO430" s="241" t="n"/>
      <c r="AP430" s="27" t="n"/>
      <c r="AQ430" s="28" t="n"/>
      <c r="AR430" s="241" t="n"/>
      <c r="AS430" s="27" t="n"/>
      <c r="AT430" s="28" t="n"/>
      <c r="AU430" s="241" t="n"/>
      <c r="AV430" s="27" t="n"/>
      <c r="AW430" s="28" t="n"/>
      <c r="AX430" s="241" t="n"/>
      <c r="AY430" s="27" t="n"/>
      <c r="AZ430" s="28" t="n"/>
      <c r="BA430" s="241" t="n"/>
      <c r="BB430" s="27" t="n"/>
      <c r="BC430" s="28" t="n"/>
      <c r="BD430" s="241" t="n"/>
      <c r="BE430" s="27" t="n"/>
      <c r="BF430" s="28" t="n"/>
      <c r="BG430" s="241" t="n"/>
      <c r="BH430" s="27" t="n"/>
      <c r="BI430" s="28" t="n"/>
    </row>
    <row r="431" hidden="1" outlineLevel="2" ht="14.4" customFormat="1" customHeight="1" s="498">
      <c r="A431" s="204" t="inlineStr">
        <is>
          <t xml:space="preserve">  -  Chopeiro II</t>
        </is>
      </c>
      <c r="B431" s="488" t="n"/>
      <c r="C431" s="60" t="n"/>
      <c r="D431" s="61" t="n"/>
      <c r="E431" s="206" t="n"/>
      <c r="F431" s="41" t="n"/>
      <c r="G431" s="56" t="n"/>
      <c r="H431" s="241" t="n"/>
      <c r="I431" s="27" t="n"/>
      <c r="J431" s="28" t="n"/>
      <c r="K431" s="241" t="n"/>
      <c r="L431" s="27" t="n"/>
      <c r="M431" s="28" t="n"/>
      <c r="N431" s="241" t="n"/>
      <c r="O431" s="27" t="n"/>
      <c r="P431" s="28" t="n"/>
      <c r="Q431" s="241" t="n"/>
      <c r="R431" s="27" t="n"/>
      <c r="S431" s="28" t="n"/>
      <c r="T431" s="241" t="n"/>
      <c r="U431" s="27" t="n"/>
      <c r="V431" s="28" t="n"/>
      <c r="W431" s="241" t="n"/>
      <c r="X431" s="27" t="n"/>
      <c r="Y431" s="28" t="n"/>
      <c r="Z431" s="241" t="n"/>
      <c r="AA431" s="27" t="n"/>
      <c r="AB431" s="28" t="n"/>
      <c r="AC431" s="241" t="n"/>
      <c r="AD431" s="27" t="n"/>
      <c r="AE431" s="28" t="n"/>
      <c r="AF431" s="241" t="n"/>
      <c r="AG431" s="27" t="n"/>
      <c r="AH431" s="28" t="n"/>
      <c r="AI431" s="241" t="n"/>
      <c r="AJ431" s="27" t="n"/>
      <c r="AK431" s="28" t="n"/>
      <c r="AL431" s="241" t="n"/>
      <c r="AM431" s="27" t="n"/>
      <c r="AN431" s="28" t="n"/>
      <c r="AO431" s="241" t="n"/>
      <c r="AP431" s="27" t="n"/>
      <c r="AQ431" s="28" t="n"/>
      <c r="AR431" s="241" t="n"/>
      <c r="AS431" s="27" t="n"/>
      <c r="AT431" s="28" t="n"/>
      <c r="AU431" s="241" t="n"/>
      <c r="AV431" s="27" t="n"/>
      <c r="AW431" s="28" t="n"/>
      <c r="AX431" s="241" t="n"/>
      <c r="AY431" s="27" t="n"/>
      <c r="AZ431" s="28" t="n"/>
      <c r="BA431" s="241" t="n"/>
      <c r="BB431" s="27" t="n"/>
      <c r="BC431" s="28" t="n"/>
      <c r="BD431" s="241" t="n"/>
      <c r="BE431" s="27" t="n"/>
      <c r="BF431" s="28" t="n"/>
      <c r="BG431" s="241" t="n"/>
      <c r="BH431" s="27" t="n"/>
      <c r="BI431" s="28" t="n"/>
    </row>
    <row r="432" hidden="1" outlineLevel="2" ht="14.4" customFormat="1" customHeight="1" s="498">
      <c r="A432" s="204" t="inlineStr">
        <is>
          <t xml:space="preserve">  -  Chopeiro I</t>
        </is>
      </c>
      <c r="B432" s="488" t="n"/>
      <c r="C432" s="60" t="n"/>
      <c r="D432" s="61" t="n"/>
      <c r="E432" s="206" t="n"/>
      <c r="F432" s="41" t="n"/>
      <c r="G432" s="56" t="n"/>
      <c r="H432" s="241" t="n"/>
      <c r="I432" s="27" t="n"/>
      <c r="J432" s="28" t="n"/>
      <c r="K432" s="241" t="n"/>
      <c r="L432" s="27" t="n"/>
      <c r="M432" s="28" t="n"/>
      <c r="N432" s="241" t="n"/>
      <c r="O432" s="27" t="n"/>
      <c r="P432" s="28" t="n"/>
      <c r="Q432" s="241" t="n"/>
      <c r="R432" s="27" t="n"/>
      <c r="S432" s="28" t="n"/>
      <c r="T432" s="241" t="n"/>
      <c r="U432" s="27" t="n"/>
      <c r="V432" s="28" t="n"/>
      <c r="W432" s="241" t="n"/>
      <c r="X432" s="27" t="n"/>
      <c r="Y432" s="28" t="n"/>
      <c r="Z432" s="241" t="n"/>
      <c r="AA432" s="27" t="n"/>
      <c r="AB432" s="28" t="n"/>
      <c r="AC432" s="241" t="n"/>
      <c r="AD432" s="27" t="n"/>
      <c r="AE432" s="28" t="n"/>
      <c r="AF432" s="241" t="n"/>
      <c r="AG432" s="27" t="n"/>
      <c r="AH432" s="28" t="n"/>
      <c r="AI432" s="241" t="n"/>
      <c r="AJ432" s="27" t="n"/>
      <c r="AK432" s="28" t="n"/>
      <c r="AL432" s="241" t="n"/>
      <c r="AM432" s="27" t="n"/>
      <c r="AN432" s="28" t="n"/>
      <c r="AO432" s="241" t="n"/>
      <c r="AP432" s="27" t="n"/>
      <c r="AQ432" s="28" t="n"/>
      <c r="AR432" s="241" t="n"/>
      <c r="AS432" s="27" t="n"/>
      <c r="AT432" s="28" t="n"/>
      <c r="AU432" s="241" t="n"/>
      <c r="AV432" s="27" t="n"/>
      <c r="AW432" s="28" t="n"/>
      <c r="AX432" s="241" t="n"/>
      <c r="AY432" s="27" t="n"/>
      <c r="AZ432" s="28" t="n"/>
      <c r="BA432" s="241" t="n"/>
      <c r="BB432" s="27" t="n"/>
      <c r="BC432" s="28" t="n"/>
      <c r="BD432" s="241" t="n"/>
      <c r="BE432" s="27" t="n"/>
      <c r="BF432" s="28" t="n"/>
      <c r="BG432" s="241" t="n"/>
      <c r="BH432" s="27" t="n"/>
      <c r="BI432" s="28" t="n"/>
    </row>
    <row r="433" hidden="1" outlineLevel="2" ht="14.4" customFormat="1" customHeight="1" s="498">
      <c r="A433" s="204" t="inlineStr">
        <is>
          <t xml:space="preserve">  -  Sub Chefe de Cozinha</t>
        </is>
      </c>
      <c r="B433" s="488" t="n"/>
      <c r="C433" s="60" t="n"/>
      <c r="D433" s="61" t="n"/>
      <c r="E433" s="206" t="n"/>
      <c r="F433" s="41" t="n"/>
      <c r="G433" s="56" t="n"/>
      <c r="H433" s="241" t="n"/>
      <c r="I433" s="27" t="n"/>
      <c r="J433" s="28" t="n"/>
      <c r="K433" s="241" t="n"/>
      <c r="L433" s="27" t="n"/>
      <c r="M433" s="28" t="n"/>
      <c r="N433" s="241" t="n"/>
      <c r="O433" s="27" t="n"/>
      <c r="P433" s="28" t="n"/>
      <c r="Q433" s="241" t="n"/>
      <c r="R433" s="27" t="n"/>
      <c r="S433" s="28" t="n"/>
      <c r="T433" s="241" t="n"/>
      <c r="U433" s="27" t="n"/>
      <c r="V433" s="28" t="n"/>
      <c r="W433" s="241" t="n"/>
      <c r="X433" s="27" t="n"/>
      <c r="Y433" s="28" t="n"/>
      <c r="Z433" s="241" t="n"/>
      <c r="AA433" s="27" t="n"/>
      <c r="AB433" s="28" t="n"/>
      <c r="AC433" s="241" t="n"/>
      <c r="AD433" s="27" t="n"/>
      <c r="AE433" s="28" t="n"/>
      <c r="AF433" s="241" t="n"/>
      <c r="AG433" s="27" t="n"/>
      <c r="AH433" s="28" t="n"/>
      <c r="AI433" s="241" t="n"/>
      <c r="AJ433" s="27" t="n"/>
      <c r="AK433" s="28" t="n"/>
      <c r="AL433" s="241" t="n"/>
      <c r="AM433" s="27" t="n"/>
      <c r="AN433" s="28" t="n"/>
      <c r="AO433" s="241" t="n"/>
      <c r="AP433" s="27" t="n"/>
      <c r="AQ433" s="28" t="n"/>
      <c r="AR433" s="241" t="n"/>
      <c r="AS433" s="27" t="n"/>
      <c r="AT433" s="28" t="n"/>
      <c r="AU433" s="241" t="n"/>
      <c r="AV433" s="27" t="n"/>
      <c r="AW433" s="28" t="n"/>
      <c r="AX433" s="241" t="n"/>
      <c r="AY433" s="27" t="n"/>
      <c r="AZ433" s="28" t="n"/>
      <c r="BA433" s="241" t="n"/>
      <c r="BB433" s="27" t="n"/>
      <c r="BC433" s="28" t="n"/>
      <c r="BD433" s="241" t="n"/>
      <c r="BE433" s="27" t="n"/>
      <c r="BF433" s="28" t="n"/>
      <c r="BG433" s="241" t="n"/>
      <c r="BH433" s="27" t="n"/>
      <c r="BI433" s="28" t="n"/>
    </row>
    <row r="434" hidden="1" outlineLevel="2" ht="14.4" customFormat="1" customHeight="1" s="498">
      <c r="A434" s="204" t="inlineStr">
        <is>
          <t xml:space="preserve">  -  Cozinheiro Líder</t>
        </is>
      </c>
      <c r="B434" s="488" t="n"/>
      <c r="C434" s="60" t="n"/>
      <c r="D434" s="61" t="n"/>
      <c r="E434" s="206" t="n"/>
      <c r="F434" s="41" t="n"/>
      <c r="G434" s="56" t="n"/>
      <c r="H434" s="241" t="n"/>
      <c r="I434" s="27" t="n"/>
      <c r="J434" s="28" t="n"/>
      <c r="K434" s="241" t="n"/>
      <c r="L434" s="27" t="n"/>
      <c r="M434" s="28" t="n"/>
      <c r="N434" s="241" t="n"/>
      <c r="O434" s="27" t="n"/>
      <c r="P434" s="28" t="n"/>
      <c r="Q434" s="241" t="n"/>
      <c r="R434" s="27" t="n"/>
      <c r="S434" s="28" t="n"/>
      <c r="T434" s="241" t="n"/>
      <c r="U434" s="27" t="n"/>
      <c r="V434" s="28" t="n"/>
      <c r="W434" s="241" t="n"/>
      <c r="X434" s="27" t="n"/>
      <c r="Y434" s="28" t="n"/>
      <c r="Z434" s="241" t="n"/>
      <c r="AA434" s="27" t="n"/>
      <c r="AB434" s="28" t="n"/>
      <c r="AC434" s="241" t="n"/>
      <c r="AD434" s="27" t="n"/>
      <c r="AE434" s="28" t="n"/>
      <c r="AF434" s="241" t="n"/>
      <c r="AG434" s="27" t="n"/>
      <c r="AH434" s="28" t="n"/>
      <c r="AI434" s="241" t="n"/>
      <c r="AJ434" s="27" t="n"/>
      <c r="AK434" s="28" t="n"/>
      <c r="AL434" s="241" t="n"/>
      <c r="AM434" s="27" t="n"/>
      <c r="AN434" s="28" t="n"/>
      <c r="AO434" s="241" t="n"/>
      <c r="AP434" s="27" t="n"/>
      <c r="AQ434" s="28" t="n"/>
      <c r="AR434" s="241" t="n"/>
      <c r="AS434" s="27" t="n"/>
      <c r="AT434" s="28" t="n"/>
      <c r="AU434" s="241" t="n"/>
      <c r="AV434" s="27" t="n"/>
      <c r="AW434" s="28" t="n"/>
      <c r="AX434" s="241" t="n"/>
      <c r="AY434" s="27" t="n"/>
      <c r="AZ434" s="28" t="n"/>
      <c r="BA434" s="241" t="n"/>
      <c r="BB434" s="27" t="n"/>
      <c r="BC434" s="28" t="n"/>
      <c r="BD434" s="241" t="n"/>
      <c r="BE434" s="27" t="n"/>
      <c r="BF434" s="28" t="n"/>
      <c r="BG434" s="241" t="n"/>
      <c r="BH434" s="27" t="n"/>
      <c r="BI434" s="28" t="n"/>
    </row>
    <row r="435" hidden="1" outlineLevel="2" ht="14.4" customFormat="1" customHeight="1" s="498">
      <c r="A435" s="204" t="inlineStr">
        <is>
          <t xml:space="preserve">  -  Cozinheiro III</t>
        </is>
      </c>
      <c r="B435" s="488" t="n"/>
      <c r="C435" s="60" t="n"/>
      <c r="D435" s="61" t="n"/>
      <c r="E435" s="206" t="n"/>
      <c r="F435" s="41" t="n"/>
      <c r="G435" s="56" t="n"/>
      <c r="H435" s="241" t="n"/>
      <c r="I435" s="27" t="n"/>
      <c r="J435" s="28" t="n"/>
      <c r="K435" s="241" t="n"/>
      <c r="L435" s="27" t="n"/>
      <c r="M435" s="28" t="n"/>
      <c r="N435" s="241" t="n"/>
      <c r="O435" s="27" t="n"/>
      <c r="P435" s="28" t="n"/>
      <c r="Q435" s="241" t="n"/>
      <c r="R435" s="27" t="n"/>
      <c r="S435" s="28" t="n"/>
      <c r="T435" s="241" t="n"/>
      <c r="U435" s="27" t="n"/>
      <c r="V435" s="28" t="n"/>
      <c r="W435" s="241" t="n"/>
      <c r="X435" s="27" t="n"/>
      <c r="Y435" s="28" t="n"/>
      <c r="Z435" s="241" t="n"/>
      <c r="AA435" s="27" t="n"/>
      <c r="AB435" s="28" t="n"/>
      <c r="AC435" s="241" t="n"/>
      <c r="AD435" s="27" t="n"/>
      <c r="AE435" s="28" t="n"/>
      <c r="AF435" s="241" t="n"/>
      <c r="AG435" s="27" t="n"/>
      <c r="AH435" s="28" t="n"/>
      <c r="AI435" s="241" t="n"/>
      <c r="AJ435" s="27" t="n"/>
      <c r="AK435" s="28" t="n"/>
      <c r="AL435" s="241" t="n"/>
      <c r="AM435" s="27" t="n"/>
      <c r="AN435" s="28" t="n"/>
      <c r="AO435" s="241" t="n"/>
      <c r="AP435" s="27" t="n"/>
      <c r="AQ435" s="28" t="n"/>
      <c r="AR435" s="241" t="n"/>
      <c r="AS435" s="27" t="n"/>
      <c r="AT435" s="28" t="n"/>
      <c r="AU435" s="241" t="n"/>
      <c r="AV435" s="27" t="n"/>
      <c r="AW435" s="28" t="n"/>
      <c r="AX435" s="241" t="n"/>
      <c r="AY435" s="27" t="n"/>
      <c r="AZ435" s="28" t="n"/>
      <c r="BA435" s="241" t="n"/>
      <c r="BB435" s="27" t="n"/>
      <c r="BC435" s="28" t="n"/>
      <c r="BD435" s="241" t="n"/>
      <c r="BE435" s="27" t="n"/>
      <c r="BF435" s="28" t="n"/>
      <c r="BG435" s="241" t="n"/>
      <c r="BH435" s="27" t="n"/>
      <c r="BI435" s="28" t="n"/>
    </row>
    <row r="436" hidden="1" outlineLevel="2" ht="14.4" customFormat="1" customHeight="1" s="498">
      <c r="A436" s="204" t="inlineStr">
        <is>
          <t xml:space="preserve">  -  Cozinheiro II</t>
        </is>
      </c>
      <c r="B436" s="488" t="n"/>
      <c r="C436" s="60" t="n"/>
      <c r="D436" s="61" t="n"/>
      <c r="E436" s="206" t="n"/>
      <c r="F436" s="41" t="n"/>
      <c r="G436" s="56" t="n"/>
      <c r="H436" s="241" t="n"/>
      <c r="I436" s="27" t="n"/>
      <c r="J436" s="28" t="n"/>
      <c r="K436" s="241" t="n"/>
      <c r="L436" s="27" t="n"/>
      <c r="M436" s="28" t="n"/>
      <c r="N436" s="241" t="n"/>
      <c r="O436" s="27" t="n"/>
      <c r="P436" s="28" t="n"/>
      <c r="Q436" s="241" t="n"/>
      <c r="R436" s="27" t="n"/>
      <c r="S436" s="28" t="n"/>
      <c r="T436" s="241" t="n"/>
      <c r="U436" s="27" t="n"/>
      <c r="V436" s="28" t="n"/>
      <c r="W436" s="241" t="n"/>
      <c r="X436" s="27" t="n"/>
      <c r="Y436" s="28" t="n"/>
      <c r="Z436" s="241" t="n"/>
      <c r="AA436" s="27" t="n"/>
      <c r="AB436" s="28" t="n"/>
      <c r="AC436" s="241" t="n"/>
      <c r="AD436" s="27" t="n"/>
      <c r="AE436" s="28" t="n"/>
      <c r="AF436" s="241" t="n"/>
      <c r="AG436" s="27" t="n"/>
      <c r="AH436" s="28" t="n"/>
      <c r="AI436" s="241" t="n"/>
      <c r="AJ436" s="27" t="n"/>
      <c r="AK436" s="28" t="n"/>
      <c r="AL436" s="241" t="n"/>
      <c r="AM436" s="27" t="n"/>
      <c r="AN436" s="28" t="n"/>
      <c r="AO436" s="241" t="n"/>
      <c r="AP436" s="27" t="n"/>
      <c r="AQ436" s="28" t="n"/>
      <c r="AR436" s="241" t="n"/>
      <c r="AS436" s="27" t="n"/>
      <c r="AT436" s="28" t="n"/>
      <c r="AU436" s="241" t="n"/>
      <c r="AV436" s="27" t="n"/>
      <c r="AW436" s="28" t="n"/>
      <c r="AX436" s="241" t="n"/>
      <c r="AY436" s="27" t="n"/>
      <c r="AZ436" s="28" t="n"/>
      <c r="BA436" s="241" t="n"/>
      <c r="BB436" s="27" t="n"/>
      <c r="BC436" s="28" t="n"/>
      <c r="BD436" s="241" t="n"/>
      <c r="BE436" s="27" t="n"/>
      <c r="BF436" s="28" t="n"/>
      <c r="BG436" s="241" t="n"/>
      <c r="BH436" s="27" t="n"/>
      <c r="BI436" s="28" t="n"/>
    </row>
    <row r="437" hidden="1" outlineLevel="2" ht="14.4" customFormat="1" customHeight="1" s="498">
      <c r="A437" s="204" t="inlineStr">
        <is>
          <t xml:space="preserve">  -  Cozinheiro I</t>
        </is>
      </c>
      <c r="B437" s="488" t="n"/>
      <c r="C437" s="60" t="n"/>
      <c r="D437" s="61" t="n"/>
      <c r="E437" s="206" t="n"/>
      <c r="F437" s="41" t="n"/>
      <c r="G437" s="56" t="n"/>
      <c r="H437" s="241" t="n"/>
      <c r="I437" s="27" t="n"/>
      <c r="J437" s="28" t="n"/>
      <c r="K437" s="241" t="n"/>
      <c r="L437" s="27" t="n"/>
      <c r="M437" s="28" t="n"/>
      <c r="N437" s="241" t="n"/>
      <c r="O437" s="27" t="n"/>
      <c r="P437" s="28" t="n"/>
      <c r="Q437" s="241" t="n"/>
      <c r="R437" s="27" t="n"/>
      <c r="S437" s="28" t="n"/>
      <c r="T437" s="241" t="n"/>
      <c r="U437" s="27" t="n"/>
      <c r="V437" s="28" t="n"/>
      <c r="W437" s="241" t="n"/>
      <c r="X437" s="27" t="n"/>
      <c r="Y437" s="28" t="n"/>
      <c r="Z437" s="241" t="n"/>
      <c r="AA437" s="27" t="n"/>
      <c r="AB437" s="28" t="n"/>
      <c r="AC437" s="241" t="n"/>
      <c r="AD437" s="27" t="n"/>
      <c r="AE437" s="28" t="n"/>
      <c r="AF437" s="241" t="n"/>
      <c r="AG437" s="27" t="n"/>
      <c r="AH437" s="28" t="n"/>
      <c r="AI437" s="241" t="n"/>
      <c r="AJ437" s="27" t="n"/>
      <c r="AK437" s="28" t="n"/>
      <c r="AL437" s="241" t="n"/>
      <c r="AM437" s="27" t="n"/>
      <c r="AN437" s="28" t="n"/>
      <c r="AO437" s="241" t="n"/>
      <c r="AP437" s="27" t="n"/>
      <c r="AQ437" s="28" t="n"/>
      <c r="AR437" s="241" t="n"/>
      <c r="AS437" s="27" t="n"/>
      <c r="AT437" s="28" t="n"/>
      <c r="AU437" s="241" t="n"/>
      <c r="AV437" s="27" t="n"/>
      <c r="AW437" s="28" t="n"/>
      <c r="AX437" s="241" t="n"/>
      <c r="AY437" s="27" t="n"/>
      <c r="AZ437" s="28" t="n"/>
      <c r="BA437" s="241" t="n"/>
      <c r="BB437" s="27" t="n"/>
      <c r="BC437" s="28" t="n"/>
      <c r="BD437" s="241" t="n"/>
      <c r="BE437" s="27" t="n"/>
      <c r="BF437" s="28" t="n"/>
      <c r="BG437" s="241" t="n"/>
      <c r="BH437" s="27" t="n"/>
      <c r="BI437" s="28" t="n"/>
    </row>
    <row r="438" hidden="1" outlineLevel="2" ht="14.4" customFormat="1" customHeight="1" s="498">
      <c r="A438" s="204" t="inlineStr">
        <is>
          <t xml:space="preserve">  -  Ajud cozinha</t>
        </is>
      </c>
      <c r="B438" s="488" t="n"/>
      <c r="C438" s="60" t="n"/>
      <c r="D438" s="61" t="n"/>
      <c r="E438" s="206" t="n"/>
      <c r="F438" s="41" t="n"/>
      <c r="G438" s="56" t="n"/>
      <c r="H438" s="241" t="n"/>
      <c r="I438" s="27" t="n"/>
      <c r="J438" s="28" t="n"/>
      <c r="K438" s="241" t="n"/>
      <c r="L438" s="27" t="n"/>
      <c r="M438" s="28" t="n"/>
      <c r="N438" s="241" t="n"/>
      <c r="O438" s="27" t="n"/>
      <c r="P438" s="28" t="n"/>
      <c r="Q438" s="241" t="n"/>
      <c r="R438" s="27" t="n"/>
      <c r="S438" s="28" t="n"/>
      <c r="T438" s="241" t="n"/>
      <c r="U438" s="27" t="n"/>
      <c r="V438" s="28" t="n"/>
      <c r="W438" s="241" t="n"/>
      <c r="X438" s="27" t="n"/>
      <c r="Y438" s="28" t="n"/>
      <c r="Z438" s="241" t="n"/>
      <c r="AA438" s="27" t="n"/>
      <c r="AB438" s="28" t="n"/>
      <c r="AC438" s="241" t="n"/>
      <c r="AD438" s="27" t="n"/>
      <c r="AE438" s="28" t="n"/>
      <c r="AF438" s="241" t="n"/>
      <c r="AG438" s="27" t="n"/>
      <c r="AH438" s="28" t="n"/>
      <c r="AI438" s="241" t="n"/>
      <c r="AJ438" s="27" t="n"/>
      <c r="AK438" s="28" t="n"/>
      <c r="AL438" s="241" t="n"/>
      <c r="AM438" s="27" t="n"/>
      <c r="AN438" s="28" t="n"/>
      <c r="AO438" s="241" t="n"/>
      <c r="AP438" s="27" t="n"/>
      <c r="AQ438" s="28" t="n"/>
      <c r="AR438" s="241" t="n"/>
      <c r="AS438" s="27" t="n"/>
      <c r="AT438" s="28" t="n"/>
      <c r="AU438" s="241" t="n"/>
      <c r="AV438" s="27" t="n"/>
      <c r="AW438" s="28" t="n"/>
      <c r="AX438" s="241" t="n"/>
      <c r="AY438" s="27" t="n"/>
      <c r="AZ438" s="28" t="n"/>
      <c r="BA438" s="241" t="n"/>
      <c r="BB438" s="27" t="n"/>
      <c r="BC438" s="28" t="n"/>
      <c r="BD438" s="241" t="n"/>
      <c r="BE438" s="27" t="n"/>
      <c r="BF438" s="28" t="n"/>
      <c r="BG438" s="241" t="n"/>
      <c r="BH438" s="27" t="n"/>
      <c r="BI438" s="28" t="n"/>
    </row>
    <row r="439" hidden="1" outlineLevel="2" ht="14.4" customFormat="1" customHeight="1" s="498">
      <c r="A439" s="204" t="inlineStr">
        <is>
          <t xml:space="preserve">  -  Saladeiro</t>
        </is>
      </c>
      <c r="B439" s="488" t="n"/>
      <c r="C439" s="60" t="n"/>
      <c r="D439" s="61" t="n"/>
      <c r="E439" s="206" t="n"/>
      <c r="F439" s="41" t="n"/>
      <c r="G439" s="56" t="n"/>
      <c r="H439" s="241" t="n"/>
      <c r="I439" s="27" t="n"/>
      <c r="J439" s="28" t="n"/>
      <c r="K439" s="241" t="n"/>
      <c r="L439" s="27" t="n"/>
      <c r="M439" s="28" t="n"/>
      <c r="N439" s="241" t="n"/>
      <c r="O439" s="27" t="n"/>
      <c r="P439" s="28" t="n"/>
      <c r="Q439" s="241" t="n"/>
      <c r="R439" s="27" t="n"/>
      <c r="S439" s="28" t="n"/>
      <c r="T439" s="241" t="n"/>
      <c r="U439" s="27" t="n"/>
      <c r="V439" s="28" t="n"/>
      <c r="W439" s="241" t="n"/>
      <c r="X439" s="27" t="n"/>
      <c r="Y439" s="28" t="n"/>
      <c r="Z439" s="241" t="n"/>
      <c r="AA439" s="27" t="n"/>
      <c r="AB439" s="28" t="n"/>
      <c r="AC439" s="241" t="n"/>
      <c r="AD439" s="27" t="n"/>
      <c r="AE439" s="28" t="n"/>
      <c r="AF439" s="241" t="n"/>
      <c r="AG439" s="27" t="n"/>
      <c r="AH439" s="28" t="n"/>
      <c r="AI439" s="241" t="n"/>
      <c r="AJ439" s="27" t="n"/>
      <c r="AK439" s="28" t="n"/>
      <c r="AL439" s="241" t="n"/>
      <c r="AM439" s="27" t="n"/>
      <c r="AN439" s="28" t="n"/>
      <c r="AO439" s="241" t="n"/>
      <c r="AP439" s="27" t="n"/>
      <c r="AQ439" s="28" t="n"/>
      <c r="AR439" s="241" t="n"/>
      <c r="AS439" s="27" t="n"/>
      <c r="AT439" s="28" t="n"/>
      <c r="AU439" s="241" t="n"/>
      <c r="AV439" s="27" t="n"/>
      <c r="AW439" s="28" t="n"/>
      <c r="AX439" s="241" t="n"/>
      <c r="AY439" s="27" t="n"/>
      <c r="AZ439" s="28" t="n"/>
      <c r="BA439" s="241" t="n"/>
      <c r="BB439" s="27" t="n"/>
      <c r="BC439" s="28" t="n"/>
      <c r="BD439" s="241" t="n"/>
      <c r="BE439" s="27" t="n"/>
      <c r="BF439" s="28" t="n"/>
      <c r="BG439" s="241" t="n"/>
      <c r="BH439" s="27" t="n"/>
      <c r="BI439" s="28" t="n"/>
    </row>
    <row r="440" hidden="1" outlineLevel="2" ht="14.4" customFormat="1" customHeight="1" s="498">
      <c r="A440" s="204" t="inlineStr">
        <is>
          <t xml:space="preserve">  -  Pia</t>
        </is>
      </c>
      <c r="B440" s="488" t="n"/>
      <c r="C440" s="60" t="n"/>
      <c r="D440" s="61" t="n"/>
      <c r="E440" s="206" t="n"/>
      <c r="F440" s="41" t="n"/>
      <c r="G440" s="56" t="n"/>
      <c r="H440" s="241" t="n"/>
      <c r="I440" s="27" t="n"/>
      <c r="J440" s="28" t="n"/>
      <c r="K440" s="241" t="n"/>
      <c r="L440" s="27" t="n"/>
      <c r="M440" s="28" t="n"/>
      <c r="N440" s="241" t="n"/>
      <c r="O440" s="27" t="n"/>
      <c r="P440" s="28" t="n"/>
      <c r="Q440" s="241" t="n"/>
      <c r="R440" s="27" t="n"/>
      <c r="S440" s="28" t="n"/>
      <c r="T440" s="241" t="n"/>
      <c r="U440" s="27" t="n"/>
      <c r="V440" s="28" t="n"/>
      <c r="W440" s="241" t="n"/>
      <c r="X440" s="27" t="n"/>
      <c r="Y440" s="28" t="n"/>
      <c r="Z440" s="241" t="n"/>
      <c r="AA440" s="27" t="n"/>
      <c r="AB440" s="28" t="n"/>
      <c r="AC440" s="241" t="n"/>
      <c r="AD440" s="27" t="n"/>
      <c r="AE440" s="28" t="n"/>
      <c r="AF440" s="241" t="n"/>
      <c r="AG440" s="27" t="n"/>
      <c r="AH440" s="28" t="n"/>
      <c r="AI440" s="241" t="n"/>
      <c r="AJ440" s="27" t="n"/>
      <c r="AK440" s="28" t="n"/>
      <c r="AL440" s="241" t="n"/>
      <c r="AM440" s="27" t="n"/>
      <c r="AN440" s="28" t="n"/>
      <c r="AO440" s="241" t="n"/>
      <c r="AP440" s="27" t="n"/>
      <c r="AQ440" s="28" t="n"/>
      <c r="AR440" s="241" t="n"/>
      <c r="AS440" s="27" t="n"/>
      <c r="AT440" s="28" t="n"/>
      <c r="AU440" s="241" t="n"/>
      <c r="AV440" s="27" t="n"/>
      <c r="AW440" s="28" t="n"/>
      <c r="AX440" s="241" t="n"/>
      <c r="AY440" s="27" t="n"/>
      <c r="AZ440" s="28" t="n"/>
      <c r="BA440" s="241" t="n"/>
      <c r="BB440" s="27" t="n"/>
      <c r="BC440" s="28" t="n"/>
      <c r="BD440" s="241" t="n"/>
      <c r="BE440" s="27" t="n"/>
      <c r="BF440" s="28" t="n"/>
      <c r="BG440" s="241" t="n"/>
      <c r="BH440" s="27" t="n"/>
      <c r="BI440" s="28" t="n"/>
    </row>
    <row r="441" hidden="1" outlineLevel="2" ht="14.4" customFormat="1" customHeight="1" s="498">
      <c r="A441" s="204" t="inlineStr">
        <is>
          <t xml:space="preserve">  -  Sub Chefe de Confeitaria</t>
        </is>
      </c>
      <c r="B441" s="488" t="n"/>
      <c r="C441" s="60" t="n"/>
      <c r="D441" s="61" t="n"/>
      <c r="E441" s="206" t="n"/>
      <c r="F441" s="41" t="n"/>
      <c r="G441" s="56" t="n"/>
      <c r="H441" s="241" t="n"/>
      <c r="I441" s="27" t="n"/>
      <c r="J441" s="28" t="n"/>
      <c r="K441" s="241" t="n"/>
      <c r="L441" s="27" t="n"/>
      <c r="M441" s="28" t="n"/>
      <c r="N441" s="241" t="n"/>
      <c r="O441" s="27" t="n"/>
      <c r="P441" s="28" t="n"/>
      <c r="Q441" s="241" t="n"/>
      <c r="R441" s="27" t="n"/>
      <c r="S441" s="28" t="n"/>
      <c r="T441" s="241" t="n"/>
      <c r="U441" s="27" t="n"/>
      <c r="V441" s="28" t="n"/>
      <c r="W441" s="241" t="n"/>
      <c r="X441" s="27" t="n"/>
      <c r="Y441" s="28" t="n"/>
      <c r="Z441" s="241" t="n"/>
      <c r="AA441" s="27" t="n"/>
      <c r="AB441" s="28" t="n"/>
      <c r="AC441" s="241" t="n"/>
      <c r="AD441" s="27" t="n"/>
      <c r="AE441" s="28" t="n"/>
      <c r="AF441" s="241" t="n"/>
      <c r="AG441" s="27" t="n"/>
      <c r="AH441" s="28" t="n"/>
      <c r="AI441" s="241" t="n"/>
      <c r="AJ441" s="27" t="n"/>
      <c r="AK441" s="28" t="n"/>
      <c r="AL441" s="241" t="n"/>
      <c r="AM441" s="27" t="n"/>
      <c r="AN441" s="28" t="n"/>
      <c r="AO441" s="241" t="n"/>
      <c r="AP441" s="27" t="n"/>
      <c r="AQ441" s="28" t="n"/>
      <c r="AR441" s="241" t="n"/>
      <c r="AS441" s="27" t="n"/>
      <c r="AT441" s="28" t="n"/>
      <c r="AU441" s="241" t="n"/>
      <c r="AV441" s="27" t="n"/>
      <c r="AW441" s="28" t="n"/>
      <c r="AX441" s="241" t="n"/>
      <c r="AY441" s="27" t="n"/>
      <c r="AZ441" s="28" t="n"/>
      <c r="BA441" s="241" t="n"/>
      <c r="BB441" s="27" t="n"/>
      <c r="BC441" s="28" t="n"/>
      <c r="BD441" s="241" t="n"/>
      <c r="BE441" s="27" t="n"/>
      <c r="BF441" s="28" t="n"/>
      <c r="BG441" s="241" t="n"/>
      <c r="BH441" s="27" t="n"/>
      <c r="BI441" s="28" t="n"/>
    </row>
    <row r="442" hidden="1" outlineLevel="2" ht="14.4" customFormat="1" customHeight="1" s="498">
      <c r="A442" s="204" t="inlineStr">
        <is>
          <t xml:space="preserve">  -  Confeiteiro III</t>
        </is>
      </c>
      <c r="B442" s="488" t="n"/>
      <c r="C442" s="60" t="n"/>
      <c r="D442" s="61" t="n"/>
      <c r="E442" s="206" t="n"/>
      <c r="F442" s="41" t="n"/>
      <c r="G442" s="56" t="n"/>
      <c r="H442" s="241" t="n"/>
      <c r="I442" s="27" t="n"/>
      <c r="J442" s="28" t="n"/>
      <c r="K442" s="241" t="n"/>
      <c r="L442" s="27" t="n"/>
      <c r="M442" s="28" t="n"/>
      <c r="N442" s="241" t="n"/>
      <c r="O442" s="27" t="n"/>
      <c r="P442" s="28" t="n"/>
      <c r="Q442" s="241" t="n"/>
      <c r="R442" s="27" t="n"/>
      <c r="S442" s="28" t="n"/>
      <c r="T442" s="241" t="n"/>
      <c r="U442" s="27" t="n"/>
      <c r="V442" s="28" t="n"/>
      <c r="W442" s="241" t="n"/>
      <c r="X442" s="27" t="n"/>
      <c r="Y442" s="28" t="n"/>
      <c r="Z442" s="241" t="n"/>
      <c r="AA442" s="27" t="n"/>
      <c r="AB442" s="28" t="n"/>
      <c r="AC442" s="241" t="n"/>
      <c r="AD442" s="27" t="n"/>
      <c r="AE442" s="28" t="n"/>
      <c r="AF442" s="241" t="n"/>
      <c r="AG442" s="27" t="n"/>
      <c r="AH442" s="28" t="n"/>
      <c r="AI442" s="241" t="n"/>
      <c r="AJ442" s="27" t="n"/>
      <c r="AK442" s="28" t="n"/>
      <c r="AL442" s="241" t="n"/>
      <c r="AM442" s="27" t="n"/>
      <c r="AN442" s="28" t="n"/>
      <c r="AO442" s="241" t="n"/>
      <c r="AP442" s="27" t="n"/>
      <c r="AQ442" s="28" t="n"/>
      <c r="AR442" s="241" t="n"/>
      <c r="AS442" s="27" t="n"/>
      <c r="AT442" s="28" t="n"/>
      <c r="AU442" s="241" t="n"/>
      <c r="AV442" s="27" t="n"/>
      <c r="AW442" s="28" t="n"/>
      <c r="AX442" s="241" t="n"/>
      <c r="AY442" s="27" t="n"/>
      <c r="AZ442" s="28" t="n"/>
      <c r="BA442" s="241" t="n"/>
      <c r="BB442" s="27" t="n"/>
      <c r="BC442" s="28" t="n"/>
      <c r="BD442" s="241" t="n"/>
      <c r="BE442" s="27" t="n"/>
      <c r="BF442" s="28" t="n"/>
      <c r="BG442" s="241" t="n"/>
      <c r="BH442" s="27" t="n"/>
      <c r="BI442" s="28" t="n"/>
    </row>
    <row r="443" hidden="1" outlineLevel="2" ht="14.4" customFormat="1" customHeight="1" s="498">
      <c r="A443" s="204" t="inlineStr">
        <is>
          <t xml:space="preserve">  -  Confeiteiro II</t>
        </is>
      </c>
      <c r="B443" s="488" t="n"/>
      <c r="C443" s="60" t="n"/>
      <c r="D443" s="61" t="n"/>
      <c r="E443" s="206" t="n"/>
      <c r="F443" s="41" t="n"/>
      <c r="G443" s="56" t="n"/>
      <c r="H443" s="241" t="n"/>
      <c r="I443" s="27" t="n"/>
      <c r="J443" s="28" t="n"/>
      <c r="K443" s="241" t="n"/>
      <c r="L443" s="27" t="n"/>
      <c r="M443" s="28" t="n"/>
      <c r="N443" s="241" t="n"/>
      <c r="O443" s="27" t="n"/>
      <c r="P443" s="28" t="n"/>
      <c r="Q443" s="241" t="n"/>
      <c r="R443" s="27" t="n"/>
      <c r="S443" s="28" t="n"/>
      <c r="T443" s="241" t="n"/>
      <c r="U443" s="27" t="n"/>
      <c r="V443" s="28" t="n"/>
      <c r="W443" s="241" t="n"/>
      <c r="X443" s="27" t="n"/>
      <c r="Y443" s="28" t="n"/>
      <c r="Z443" s="241" t="n"/>
      <c r="AA443" s="27" t="n"/>
      <c r="AB443" s="28" t="n"/>
      <c r="AC443" s="241" t="n"/>
      <c r="AD443" s="27" t="n"/>
      <c r="AE443" s="28" t="n"/>
      <c r="AF443" s="241" t="n"/>
      <c r="AG443" s="27" t="n"/>
      <c r="AH443" s="28" t="n"/>
      <c r="AI443" s="241" t="n"/>
      <c r="AJ443" s="27" t="n"/>
      <c r="AK443" s="28" t="n"/>
      <c r="AL443" s="241" t="n"/>
      <c r="AM443" s="27" t="n"/>
      <c r="AN443" s="28" t="n"/>
      <c r="AO443" s="241" t="n"/>
      <c r="AP443" s="27" t="n"/>
      <c r="AQ443" s="28" t="n"/>
      <c r="AR443" s="241" t="n"/>
      <c r="AS443" s="27" t="n"/>
      <c r="AT443" s="28" t="n"/>
      <c r="AU443" s="241" t="n"/>
      <c r="AV443" s="27" t="n"/>
      <c r="AW443" s="28" t="n"/>
      <c r="AX443" s="241" t="n"/>
      <c r="AY443" s="27" t="n"/>
      <c r="AZ443" s="28" t="n"/>
      <c r="BA443" s="241" t="n"/>
      <c r="BB443" s="27" t="n"/>
      <c r="BC443" s="28" t="n"/>
      <c r="BD443" s="241" t="n"/>
      <c r="BE443" s="27" t="n"/>
      <c r="BF443" s="28" t="n"/>
      <c r="BG443" s="241" t="n"/>
      <c r="BH443" s="27" t="n"/>
      <c r="BI443" s="28" t="n"/>
    </row>
    <row r="444" hidden="1" outlineLevel="2" ht="14.4" customFormat="1" customHeight="1" s="498">
      <c r="A444" s="204" t="inlineStr">
        <is>
          <t xml:space="preserve">  -  Confeiteiro I</t>
        </is>
      </c>
      <c r="B444" s="488" t="n"/>
      <c r="C444" s="60" t="n"/>
      <c r="D444" s="61" t="n"/>
      <c r="E444" s="206" t="n"/>
      <c r="F444" s="41" t="n"/>
      <c r="G444" s="56" t="n"/>
      <c r="H444" s="241" t="n"/>
      <c r="I444" s="27" t="n"/>
      <c r="J444" s="28" t="n"/>
      <c r="K444" s="241" t="n"/>
      <c r="L444" s="27" t="n"/>
      <c r="M444" s="28" t="n"/>
      <c r="N444" s="241" t="n"/>
      <c r="O444" s="27" t="n"/>
      <c r="P444" s="28" t="n"/>
      <c r="Q444" s="241" t="n"/>
      <c r="R444" s="27" t="n"/>
      <c r="S444" s="28" t="n"/>
      <c r="T444" s="241" t="n"/>
      <c r="U444" s="27" t="n"/>
      <c r="V444" s="28" t="n"/>
      <c r="W444" s="241" t="n"/>
      <c r="X444" s="27" t="n"/>
      <c r="Y444" s="28" t="n"/>
      <c r="Z444" s="241" t="n"/>
      <c r="AA444" s="27" t="n"/>
      <c r="AB444" s="28" t="n"/>
      <c r="AC444" s="241" t="n"/>
      <c r="AD444" s="27" t="n"/>
      <c r="AE444" s="28" t="n"/>
      <c r="AF444" s="241" t="n"/>
      <c r="AG444" s="27" t="n"/>
      <c r="AH444" s="28" t="n"/>
      <c r="AI444" s="241" t="n"/>
      <c r="AJ444" s="27" t="n"/>
      <c r="AK444" s="28" t="n"/>
      <c r="AL444" s="241" t="n"/>
      <c r="AM444" s="27" t="n"/>
      <c r="AN444" s="28" t="n"/>
      <c r="AO444" s="241" t="n"/>
      <c r="AP444" s="27" t="n"/>
      <c r="AQ444" s="28" t="n"/>
      <c r="AR444" s="241" t="n"/>
      <c r="AS444" s="27" t="n"/>
      <c r="AT444" s="28" t="n"/>
      <c r="AU444" s="241" t="n"/>
      <c r="AV444" s="27" t="n"/>
      <c r="AW444" s="28" t="n"/>
      <c r="AX444" s="241" t="n"/>
      <c r="AY444" s="27" t="n"/>
      <c r="AZ444" s="28" t="n"/>
      <c r="BA444" s="241" t="n"/>
      <c r="BB444" s="27" t="n"/>
      <c r="BC444" s="28" t="n"/>
      <c r="BD444" s="241" t="n"/>
      <c r="BE444" s="27" t="n"/>
      <c r="BF444" s="28" t="n"/>
      <c r="BG444" s="241" t="n"/>
      <c r="BH444" s="27" t="n"/>
      <c r="BI444" s="28" t="n"/>
    </row>
    <row r="445" hidden="1" outlineLevel="2" ht="14.4" customFormat="1" customHeight="1" s="498">
      <c r="A445" s="204" t="inlineStr">
        <is>
          <t xml:space="preserve">  -  Copeiro</t>
        </is>
      </c>
      <c r="B445" s="488" t="n"/>
      <c r="C445" s="60" t="n"/>
      <c r="D445" s="61" t="n"/>
      <c r="E445" s="206" t="n"/>
      <c r="F445" s="41" t="n"/>
      <c r="G445" s="56" t="n"/>
      <c r="H445" s="241" t="n"/>
      <c r="I445" s="27" t="n"/>
      <c r="J445" s="28" t="n"/>
      <c r="K445" s="241" t="n"/>
      <c r="L445" s="27" t="n"/>
      <c r="M445" s="28" t="n"/>
      <c r="N445" s="241" t="n"/>
      <c r="O445" s="27" t="n"/>
      <c r="P445" s="28" t="n"/>
      <c r="Q445" s="241" t="n"/>
      <c r="R445" s="27" t="n"/>
      <c r="S445" s="28" t="n"/>
      <c r="T445" s="241" t="n"/>
      <c r="U445" s="27" t="n"/>
      <c r="V445" s="28" t="n"/>
      <c r="W445" s="241" t="n"/>
      <c r="X445" s="27" t="n"/>
      <c r="Y445" s="28" t="n"/>
      <c r="Z445" s="241" t="n"/>
      <c r="AA445" s="27" t="n"/>
      <c r="AB445" s="28" t="n"/>
      <c r="AC445" s="241" t="n"/>
      <c r="AD445" s="27" t="n"/>
      <c r="AE445" s="28" t="n"/>
      <c r="AF445" s="241" t="n"/>
      <c r="AG445" s="27" t="n"/>
      <c r="AH445" s="28" t="n"/>
      <c r="AI445" s="241" t="n"/>
      <c r="AJ445" s="27" t="n"/>
      <c r="AK445" s="28" t="n"/>
      <c r="AL445" s="241" t="n"/>
      <c r="AM445" s="27" t="n"/>
      <c r="AN445" s="28" t="n"/>
      <c r="AO445" s="241" t="n"/>
      <c r="AP445" s="27" t="n"/>
      <c r="AQ445" s="28" t="n"/>
      <c r="AR445" s="241" t="n"/>
      <c r="AS445" s="27" t="n"/>
      <c r="AT445" s="28" t="n"/>
      <c r="AU445" s="241" t="n"/>
      <c r="AV445" s="27" t="n"/>
      <c r="AW445" s="28" t="n"/>
      <c r="AX445" s="241" t="n"/>
      <c r="AY445" s="27" t="n"/>
      <c r="AZ445" s="28" t="n"/>
      <c r="BA445" s="241" t="n"/>
      <c r="BB445" s="27" t="n"/>
      <c r="BC445" s="28" t="n"/>
      <c r="BD445" s="241" t="n"/>
      <c r="BE445" s="27" t="n"/>
      <c r="BF445" s="28" t="n"/>
      <c r="BG445" s="241" t="n"/>
      <c r="BH445" s="27" t="n"/>
      <c r="BI445" s="28" t="n"/>
    </row>
    <row r="446" hidden="1" outlineLevel="2" ht="14.4" customFormat="1" customHeight="1" s="498">
      <c r="A446" s="204" t="inlineStr">
        <is>
          <t xml:space="preserve">  -  Pizzaiolo</t>
        </is>
      </c>
      <c r="B446" s="488" t="n"/>
      <c r="C446" s="60" t="n"/>
      <c r="D446" s="61" t="n"/>
      <c r="E446" s="206" t="n"/>
      <c r="F446" s="41" t="n"/>
      <c r="G446" s="56" t="n"/>
      <c r="H446" s="241" t="n"/>
      <c r="I446" s="27" t="n"/>
      <c r="J446" s="28" t="n"/>
      <c r="K446" s="241" t="n"/>
      <c r="L446" s="27" t="n"/>
      <c r="M446" s="28" t="n"/>
      <c r="N446" s="241" t="n"/>
      <c r="O446" s="27" t="n"/>
      <c r="P446" s="28" t="n"/>
      <c r="Q446" s="241" t="n"/>
      <c r="R446" s="27" t="n"/>
      <c r="S446" s="28" t="n"/>
      <c r="T446" s="241" t="n"/>
      <c r="U446" s="27" t="n"/>
      <c r="V446" s="28" t="n"/>
      <c r="W446" s="241" t="n"/>
      <c r="X446" s="27" t="n"/>
      <c r="Y446" s="28" t="n"/>
      <c r="Z446" s="241" t="n"/>
      <c r="AA446" s="27" t="n"/>
      <c r="AB446" s="28" t="n"/>
      <c r="AC446" s="241" t="n"/>
      <c r="AD446" s="27" t="n"/>
      <c r="AE446" s="28" t="n"/>
      <c r="AF446" s="241" t="n"/>
      <c r="AG446" s="27" t="n"/>
      <c r="AH446" s="28" t="n"/>
      <c r="AI446" s="241" t="n"/>
      <c r="AJ446" s="27" t="n"/>
      <c r="AK446" s="28" t="n"/>
      <c r="AL446" s="241" t="n"/>
      <c r="AM446" s="27" t="n"/>
      <c r="AN446" s="28" t="n"/>
      <c r="AO446" s="241" t="n"/>
      <c r="AP446" s="27" t="n"/>
      <c r="AQ446" s="28" t="n"/>
      <c r="AR446" s="241" t="n"/>
      <c r="AS446" s="27" t="n"/>
      <c r="AT446" s="28" t="n"/>
      <c r="AU446" s="241" t="n"/>
      <c r="AV446" s="27" t="n"/>
      <c r="AW446" s="28" t="n"/>
      <c r="AX446" s="241" t="n"/>
      <c r="AY446" s="27" t="n"/>
      <c r="AZ446" s="28" t="n"/>
      <c r="BA446" s="241" t="n"/>
      <c r="BB446" s="27" t="n"/>
      <c r="BC446" s="28" t="n"/>
      <c r="BD446" s="241" t="n"/>
      <c r="BE446" s="27" t="n"/>
      <c r="BF446" s="28" t="n"/>
      <c r="BG446" s="241" t="n"/>
      <c r="BH446" s="27" t="n"/>
      <c r="BI446" s="28" t="n"/>
    </row>
    <row r="447" hidden="1" outlineLevel="2" ht="14.4" customFormat="1" customHeight="1" s="498">
      <c r="A447" s="204" t="inlineStr">
        <is>
          <t xml:space="preserve">  -  Ajudante de Pizzaiolo</t>
        </is>
      </c>
      <c r="B447" s="488" t="n"/>
      <c r="C447" s="60" t="n"/>
      <c r="D447" s="61" t="n"/>
      <c r="E447" s="206" t="n"/>
      <c r="F447" s="41" t="n"/>
      <c r="G447" s="56" t="n"/>
      <c r="H447" s="241" t="n"/>
      <c r="I447" s="27" t="n"/>
      <c r="J447" s="28" t="n"/>
      <c r="K447" s="241" t="n"/>
      <c r="L447" s="27" t="n"/>
      <c r="M447" s="28" t="n"/>
      <c r="N447" s="241" t="n"/>
      <c r="O447" s="27" t="n"/>
      <c r="P447" s="28" t="n"/>
      <c r="Q447" s="241" t="n"/>
      <c r="R447" s="27" t="n"/>
      <c r="S447" s="28" t="n"/>
      <c r="T447" s="241" t="n"/>
      <c r="U447" s="27" t="n"/>
      <c r="V447" s="28" t="n"/>
      <c r="W447" s="241" t="n"/>
      <c r="X447" s="27" t="n"/>
      <c r="Y447" s="28" t="n"/>
      <c r="Z447" s="241" t="n"/>
      <c r="AA447" s="27" t="n"/>
      <c r="AB447" s="28" t="n"/>
      <c r="AC447" s="241" t="n"/>
      <c r="AD447" s="27" t="n"/>
      <c r="AE447" s="28" t="n"/>
      <c r="AF447" s="241" t="n"/>
      <c r="AG447" s="27" t="n"/>
      <c r="AH447" s="28" t="n"/>
      <c r="AI447" s="241" t="n"/>
      <c r="AJ447" s="27" t="n"/>
      <c r="AK447" s="28" t="n"/>
      <c r="AL447" s="241" t="n"/>
      <c r="AM447" s="27" t="n"/>
      <c r="AN447" s="28" t="n"/>
      <c r="AO447" s="241" t="n"/>
      <c r="AP447" s="27" t="n"/>
      <c r="AQ447" s="28" t="n"/>
      <c r="AR447" s="241" t="n"/>
      <c r="AS447" s="27" t="n"/>
      <c r="AT447" s="28" t="n"/>
      <c r="AU447" s="241" t="n"/>
      <c r="AV447" s="27" t="n"/>
      <c r="AW447" s="28" t="n"/>
      <c r="AX447" s="241" t="n"/>
      <c r="AY447" s="27" t="n"/>
      <c r="AZ447" s="28" t="n"/>
      <c r="BA447" s="241" t="n"/>
      <c r="BB447" s="27" t="n"/>
      <c r="BC447" s="28" t="n"/>
      <c r="BD447" s="241" t="n"/>
      <c r="BE447" s="27" t="n"/>
      <c r="BF447" s="28" t="n"/>
      <c r="BG447" s="241" t="n"/>
      <c r="BH447" s="27" t="n"/>
      <c r="BI447" s="28" t="n"/>
    </row>
    <row r="448" hidden="1" outlineLevel="2" ht="14.4" customFormat="1" customHeight="1" s="498">
      <c r="A448" s="204" t="inlineStr">
        <is>
          <t xml:space="preserve">  -  Boqueta</t>
        </is>
      </c>
      <c r="B448" s="488" t="n"/>
      <c r="C448" s="60" t="n"/>
      <c r="D448" s="61" t="n"/>
      <c r="E448" s="206" t="n"/>
      <c r="F448" s="41" t="n"/>
      <c r="G448" s="56" t="n"/>
      <c r="H448" s="241" t="n"/>
      <c r="I448" s="27" t="n"/>
      <c r="J448" s="28" t="n"/>
      <c r="K448" s="241" t="n"/>
      <c r="L448" s="27" t="n"/>
      <c r="M448" s="28" t="n"/>
      <c r="N448" s="241" t="n"/>
      <c r="O448" s="27" t="n"/>
      <c r="P448" s="28" t="n"/>
      <c r="Q448" s="241" t="n"/>
      <c r="R448" s="27" t="n"/>
      <c r="S448" s="28" t="n"/>
      <c r="T448" s="241" t="n"/>
      <c r="U448" s="27" t="n"/>
      <c r="V448" s="28" t="n"/>
      <c r="W448" s="241" t="n"/>
      <c r="X448" s="27" t="n"/>
      <c r="Y448" s="28" t="n"/>
      <c r="Z448" s="241" t="n"/>
      <c r="AA448" s="27" t="n"/>
      <c r="AB448" s="28" t="n"/>
      <c r="AC448" s="241" t="n"/>
      <c r="AD448" s="27" t="n"/>
      <c r="AE448" s="28" t="n"/>
      <c r="AF448" s="241" t="n"/>
      <c r="AG448" s="27" t="n"/>
      <c r="AH448" s="28" t="n"/>
      <c r="AI448" s="241" t="n"/>
      <c r="AJ448" s="27" t="n"/>
      <c r="AK448" s="28" t="n"/>
      <c r="AL448" s="241" t="n"/>
      <c r="AM448" s="27" t="n"/>
      <c r="AN448" s="28" t="n"/>
      <c r="AO448" s="241" t="n"/>
      <c r="AP448" s="27" t="n"/>
      <c r="AQ448" s="28" t="n"/>
      <c r="AR448" s="241" t="n"/>
      <c r="AS448" s="27" t="n"/>
      <c r="AT448" s="28" t="n"/>
      <c r="AU448" s="241" t="n"/>
      <c r="AV448" s="27" t="n"/>
      <c r="AW448" s="28" t="n"/>
      <c r="AX448" s="241" t="n"/>
      <c r="AY448" s="27" t="n"/>
      <c r="AZ448" s="28" t="n"/>
      <c r="BA448" s="241" t="n"/>
      <c r="BB448" s="27" t="n"/>
      <c r="BC448" s="28" t="n"/>
      <c r="BD448" s="241" t="n"/>
      <c r="BE448" s="27" t="n"/>
      <c r="BF448" s="28" t="n"/>
      <c r="BG448" s="241" t="n"/>
      <c r="BH448" s="27" t="n"/>
      <c r="BI448" s="28" t="n"/>
    </row>
    <row r="449" hidden="1" outlineLevel="2" ht="14.4" customFormat="1" customHeight="1" s="498">
      <c r="A449" s="204" t="inlineStr">
        <is>
          <t xml:space="preserve">  -  Churrasqueiro I</t>
        </is>
      </c>
      <c r="B449" s="488" t="n"/>
      <c r="C449" s="60" t="n"/>
      <c r="D449" s="61" t="n"/>
      <c r="E449" s="206" t="n"/>
      <c r="F449" s="41" t="n"/>
      <c r="G449" s="56" t="n"/>
      <c r="H449" s="241" t="n"/>
      <c r="I449" s="27" t="n"/>
      <c r="J449" s="28" t="n"/>
      <c r="K449" s="241" t="n"/>
      <c r="L449" s="27" t="n"/>
      <c r="M449" s="28" t="n"/>
      <c r="N449" s="241" t="n"/>
      <c r="O449" s="27" t="n"/>
      <c r="P449" s="28" t="n"/>
      <c r="Q449" s="241" t="n"/>
      <c r="R449" s="27" t="n"/>
      <c r="S449" s="28" t="n"/>
      <c r="T449" s="241" t="n"/>
      <c r="U449" s="27" t="n"/>
      <c r="V449" s="28" t="n"/>
      <c r="W449" s="241" t="n"/>
      <c r="X449" s="27" t="n"/>
      <c r="Y449" s="28" t="n"/>
      <c r="Z449" s="241" t="n"/>
      <c r="AA449" s="27" t="n"/>
      <c r="AB449" s="28" t="n"/>
      <c r="AC449" s="241" t="n"/>
      <c r="AD449" s="27" t="n"/>
      <c r="AE449" s="28" t="n"/>
      <c r="AF449" s="241" t="n"/>
      <c r="AG449" s="27" t="n"/>
      <c r="AH449" s="28" t="n"/>
      <c r="AI449" s="241" t="n"/>
      <c r="AJ449" s="27" t="n"/>
      <c r="AK449" s="28" t="n"/>
      <c r="AL449" s="241" t="n"/>
      <c r="AM449" s="27" t="n"/>
      <c r="AN449" s="28" t="n"/>
      <c r="AO449" s="241" t="n"/>
      <c r="AP449" s="27" t="n"/>
      <c r="AQ449" s="28" t="n"/>
      <c r="AR449" s="241" t="n"/>
      <c r="AS449" s="27" t="n"/>
      <c r="AT449" s="28" t="n"/>
      <c r="AU449" s="241" t="n"/>
      <c r="AV449" s="27" t="n"/>
      <c r="AW449" s="28" t="n"/>
      <c r="AX449" s="241" t="n"/>
      <c r="AY449" s="27" t="n"/>
      <c r="AZ449" s="28" t="n"/>
      <c r="BA449" s="241" t="n"/>
      <c r="BB449" s="27" t="n"/>
      <c r="BC449" s="28" t="n"/>
      <c r="BD449" s="241" t="n"/>
      <c r="BE449" s="27" t="n"/>
      <c r="BF449" s="28" t="n"/>
      <c r="BG449" s="241" t="n"/>
      <c r="BH449" s="27" t="n"/>
      <c r="BI449" s="28" t="n"/>
    </row>
    <row r="450" hidden="1" outlineLevel="2" ht="14.4" customFormat="1" customHeight="1" s="498">
      <c r="A450" s="204" t="inlineStr">
        <is>
          <t xml:space="preserve">  -  Churrasqueiro II</t>
        </is>
      </c>
      <c r="B450" s="488" t="n"/>
      <c r="C450" s="60" t="n"/>
      <c r="D450" s="61" t="n"/>
      <c r="E450" s="206" t="n"/>
      <c r="F450" s="41" t="n"/>
      <c r="G450" s="56" t="n"/>
      <c r="H450" s="241" t="n"/>
      <c r="I450" s="27" t="n"/>
      <c r="J450" s="28" t="n"/>
      <c r="K450" s="241" t="n"/>
      <c r="L450" s="27" t="n"/>
      <c r="M450" s="28" t="n"/>
      <c r="N450" s="241" t="n"/>
      <c r="O450" s="27" t="n"/>
      <c r="P450" s="28" t="n"/>
      <c r="Q450" s="241" t="n"/>
      <c r="R450" s="27" t="n"/>
      <c r="S450" s="28" t="n"/>
      <c r="T450" s="241" t="n"/>
      <c r="U450" s="27" t="n"/>
      <c r="V450" s="28" t="n"/>
      <c r="W450" s="241" t="n"/>
      <c r="X450" s="27" t="n"/>
      <c r="Y450" s="28" t="n"/>
      <c r="Z450" s="241" t="n"/>
      <c r="AA450" s="27" t="n"/>
      <c r="AB450" s="28" t="n"/>
      <c r="AC450" s="241" t="n"/>
      <c r="AD450" s="27" t="n"/>
      <c r="AE450" s="28" t="n"/>
      <c r="AF450" s="241" t="n"/>
      <c r="AG450" s="27" t="n"/>
      <c r="AH450" s="28" t="n"/>
      <c r="AI450" s="241" t="n"/>
      <c r="AJ450" s="27" t="n"/>
      <c r="AK450" s="28" t="n"/>
      <c r="AL450" s="241" t="n"/>
      <c r="AM450" s="27" t="n"/>
      <c r="AN450" s="28" t="n"/>
      <c r="AO450" s="241" t="n"/>
      <c r="AP450" s="27" t="n"/>
      <c r="AQ450" s="28" t="n"/>
      <c r="AR450" s="241" t="n"/>
      <c r="AS450" s="27" t="n"/>
      <c r="AT450" s="28" t="n"/>
      <c r="AU450" s="241" t="n"/>
      <c r="AV450" s="27" t="n"/>
      <c r="AW450" s="28" t="n"/>
      <c r="AX450" s="241" t="n"/>
      <c r="AY450" s="27" t="n"/>
      <c r="AZ450" s="28" t="n"/>
      <c r="BA450" s="241" t="n"/>
      <c r="BB450" s="27" t="n"/>
      <c r="BC450" s="28" t="n"/>
      <c r="BD450" s="241" t="n"/>
      <c r="BE450" s="27" t="n"/>
      <c r="BF450" s="28" t="n"/>
      <c r="BG450" s="241" t="n"/>
      <c r="BH450" s="27" t="n"/>
      <c r="BI450" s="28" t="n"/>
    </row>
    <row r="451" hidden="1" outlineLevel="2" ht="14.4" customFormat="1" customHeight="1" s="498">
      <c r="A451" s="204" t="inlineStr">
        <is>
          <t xml:space="preserve">  -  Churrasqueiro III</t>
        </is>
      </c>
      <c r="B451" s="488" t="n"/>
      <c r="C451" s="60" t="n"/>
      <c r="D451" s="61" t="n"/>
      <c r="E451" s="206" t="n"/>
      <c r="F451" s="41" t="n"/>
      <c r="G451" s="56" t="n"/>
      <c r="H451" s="241" t="n"/>
      <c r="I451" s="27" t="n"/>
      <c r="J451" s="28" t="n"/>
      <c r="K451" s="241" t="n"/>
      <c r="L451" s="27" t="n"/>
      <c r="M451" s="28" t="n"/>
      <c r="N451" s="241" t="n"/>
      <c r="O451" s="27" t="n"/>
      <c r="P451" s="28" t="n"/>
      <c r="Q451" s="241" t="n"/>
      <c r="R451" s="27" t="n"/>
      <c r="S451" s="28" t="n"/>
      <c r="T451" s="241" t="n"/>
      <c r="U451" s="27" t="n"/>
      <c r="V451" s="28" t="n"/>
      <c r="W451" s="241" t="n"/>
      <c r="X451" s="27" t="n"/>
      <c r="Y451" s="28" t="n"/>
      <c r="Z451" s="241" t="n"/>
      <c r="AA451" s="27" t="n"/>
      <c r="AB451" s="28" t="n"/>
      <c r="AC451" s="241" t="n"/>
      <c r="AD451" s="27" t="n"/>
      <c r="AE451" s="28" t="n"/>
      <c r="AF451" s="241" t="n"/>
      <c r="AG451" s="27" t="n"/>
      <c r="AH451" s="28" t="n"/>
      <c r="AI451" s="241" t="n"/>
      <c r="AJ451" s="27" t="n"/>
      <c r="AK451" s="28" t="n"/>
      <c r="AL451" s="241" t="n"/>
      <c r="AM451" s="27" t="n"/>
      <c r="AN451" s="28" t="n"/>
      <c r="AO451" s="241" t="n"/>
      <c r="AP451" s="27" t="n"/>
      <c r="AQ451" s="28" t="n"/>
      <c r="AR451" s="241" t="n"/>
      <c r="AS451" s="27" t="n"/>
      <c r="AT451" s="28" t="n"/>
      <c r="AU451" s="241" t="n"/>
      <c r="AV451" s="27" t="n"/>
      <c r="AW451" s="28" t="n"/>
      <c r="AX451" s="241" t="n"/>
      <c r="AY451" s="27" t="n"/>
      <c r="AZ451" s="28" t="n"/>
      <c r="BA451" s="241" t="n"/>
      <c r="BB451" s="27" t="n"/>
      <c r="BC451" s="28" t="n"/>
      <c r="BD451" s="241" t="n"/>
      <c r="BE451" s="27" t="n"/>
      <c r="BF451" s="28" t="n"/>
      <c r="BG451" s="241" t="n"/>
      <c r="BH451" s="27" t="n"/>
      <c r="BI451" s="28" t="n"/>
    </row>
    <row r="452" hidden="1" outlineLevel="2" ht="14.4" customFormat="1" customHeight="1" s="498">
      <c r="A452" s="204" t="inlineStr">
        <is>
          <t xml:space="preserve">  -  Ajud Limpeza</t>
        </is>
      </c>
      <c r="B452" s="488" t="n"/>
      <c r="C452" s="60" t="n"/>
      <c r="D452" s="61" t="n"/>
      <c r="E452" s="206" t="n"/>
      <c r="F452" s="41" t="n"/>
      <c r="G452" s="56" t="n"/>
      <c r="H452" s="241" t="n"/>
      <c r="I452" s="27" t="n"/>
      <c r="J452" s="28" t="n"/>
      <c r="K452" s="241" t="n"/>
      <c r="L452" s="27" t="n"/>
      <c r="M452" s="28" t="n"/>
      <c r="N452" s="241" t="n"/>
      <c r="O452" s="27" t="n"/>
      <c r="P452" s="28" t="n"/>
      <c r="Q452" s="241" t="n"/>
      <c r="R452" s="27" t="n"/>
      <c r="S452" s="28" t="n"/>
      <c r="T452" s="241" t="n"/>
      <c r="U452" s="27" t="n"/>
      <c r="V452" s="28" t="n"/>
      <c r="W452" s="241" t="n"/>
      <c r="X452" s="27" t="n"/>
      <c r="Y452" s="28" t="n"/>
      <c r="Z452" s="241" t="n"/>
      <c r="AA452" s="27" t="n"/>
      <c r="AB452" s="28" t="n"/>
      <c r="AC452" s="241" t="n"/>
      <c r="AD452" s="27" t="n"/>
      <c r="AE452" s="28" t="n"/>
      <c r="AF452" s="241" t="n"/>
      <c r="AG452" s="27" t="n"/>
      <c r="AH452" s="28" t="n"/>
      <c r="AI452" s="241" t="n"/>
      <c r="AJ452" s="27" t="n"/>
      <c r="AK452" s="28" t="n"/>
      <c r="AL452" s="241" t="n"/>
      <c r="AM452" s="27" t="n"/>
      <c r="AN452" s="28" t="n"/>
      <c r="AO452" s="241" t="n"/>
      <c r="AP452" s="27" t="n"/>
      <c r="AQ452" s="28" t="n"/>
      <c r="AR452" s="241" t="n"/>
      <c r="AS452" s="27" t="n"/>
      <c r="AT452" s="28" t="n"/>
      <c r="AU452" s="241" t="n"/>
      <c r="AV452" s="27" t="n"/>
      <c r="AW452" s="28" t="n"/>
      <c r="AX452" s="241" t="n"/>
      <c r="AY452" s="27" t="n"/>
      <c r="AZ452" s="28" t="n"/>
      <c r="BA452" s="241" t="n"/>
      <c r="BB452" s="27" t="n"/>
      <c r="BC452" s="28" t="n"/>
      <c r="BD452" s="241" t="n"/>
      <c r="BE452" s="27" t="n"/>
      <c r="BF452" s="28" t="n"/>
      <c r="BG452" s="241" t="n"/>
      <c r="BH452" s="27" t="n"/>
      <c r="BI452" s="28" t="n"/>
    </row>
    <row r="453" hidden="1" outlineLevel="2" ht="14.4" customFormat="1" customHeight="1" s="498">
      <c r="A453" s="204" t="inlineStr">
        <is>
          <t xml:space="preserve">  -  Estoquista III</t>
        </is>
      </c>
      <c r="B453" s="488" t="n"/>
      <c r="C453" s="60" t="n"/>
      <c r="D453" s="61" t="n"/>
      <c r="E453" s="206" t="n"/>
      <c r="F453" s="41" t="n"/>
      <c r="G453" s="56" t="n"/>
      <c r="H453" s="241" t="n"/>
      <c r="I453" s="27" t="n"/>
      <c r="J453" s="28" t="n"/>
      <c r="K453" s="241" t="n"/>
      <c r="L453" s="27" t="n"/>
      <c r="M453" s="28" t="n"/>
      <c r="N453" s="241" t="n"/>
      <c r="O453" s="27" t="n"/>
      <c r="P453" s="28" t="n"/>
      <c r="Q453" s="241" t="n"/>
      <c r="R453" s="27" t="n"/>
      <c r="S453" s="28" t="n"/>
      <c r="T453" s="241" t="n"/>
      <c r="U453" s="27" t="n"/>
      <c r="V453" s="28" t="n"/>
      <c r="W453" s="241" t="n"/>
      <c r="X453" s="27" t="n"/>
      <c r="Y453" s="28" t="n"/>
      <c r="Z453" s="241" t="n"/>
      <c r="AA453" s="27" t="n"/>
      <c r="AB453" s="28" t="n"/>
      <c r="AC453" s="241" t="n"/>
      <c r="AD453" s="27" t="n"/>
      <c r="AE453" s="28" t="n"/>
      <c r="AF453" s="241" t="n"/>
      <c r="AG453" s="27" t="n"/>
      <c r="AH453" s="28" t="n"/>
      <c r="AI453" s="241" t="n"/>
      <c r="AJ453" s="27" t="n"/>
      <c r="AK453" s="28" t="n"/>
      <c r="AL453" s="241" t="n"/>
      <c r="AM453" s="27" t="n"/>
      <c r="AN453" s="28" t="n"/>
      <c r="AO453" s="241" t="n"/>
      <c r="AP453" s="27" t="n"/>
      <c r="AQ453" s="28" t="n"/>
      <c r="AR453" s="241" t="n"/>
      <c r="AS453" s="27" t="n"/>
      <c r="AT453" s="28" t="n"/>
      <c r="AU453" s="241" t="n"/>
      <c r="AV453" s="27" t="n"/>
      <c r="AW453" s="28" t="n"/>
      <c r="AX453" s="241" t="n"/>
      <c r="AY453" s="27" t="n"/>
      <c r="AZ453" s="28" t="n"/>
      <c r="BA453" s="241" t="n"/>
      <c r="BB453" s="27" t="n"/>
      <c r="BC453" s="28" t="n"/>
      <c r="BD453" s="241" t="n"/>
      <c r="BE453" s="27" t="n"/>
      <c r="BF453" s="28" t="n"/>
      <c r="BG453" s="241" t="n"/>
      <c r="BH453" s="27" t="n"/>
      <c r="BI453" s="28" t="n"/>
    </row>
    <row r="454" hidden="1" outlineLevel="2" ht="14.4" customFormat="1" customHeight="1" s="498">
      <c r="A454" s="204" t="inlineStr">
        <is>
          <t xml:space="preserve">  -  Estoquista II</t>
        </is>
      </c>
      <c r="B454" s="488" t="n"/>
      <c r="C454" s="60" t="n"/>
      <c r="D454" s="61" t="n"/>
      <c r="E454" s="206" t="n"/>
      <c r="F454" s="41" t="n"/>
      <c r="G454" s="56" t="n"/>
      <c r="H454" s="241" t="n"/>
      <c r="I454" s="27" t="n"/>
      <c r="J454" s="28" t="n"/>
      <c r="K454" s="241" t="n"/>
      <c r="L454" s="27" t="n"/>
      <c r="M454" s="28" t="n"/>
      <c r="N454" s="241" t="n"/>
      <c r="O454" s="27" t="n"/>
      <c r="P454" s="28" t="n"/>
      <c r="Q454" s="241" t="n"/>
      <c r="R454" s="27" t="n"/>
      <c r="S454" s="28" t="n"/>
      <c r="T454" s="241" t="n"/>
      <c r="U454" s="27" t="n"/>
      <c r="V454" s="28" t="n"/>
      <c r="W454" s="241" t="n"/>
      <c r="X454" s="27" t="n"/>
      <c r="Y454" s="28" t="n"/>
      <c r="Z454" s="241" t="n"/>
      <c r="AA454" s="27" t="n"/>
      <c r="AB454" s="28" t="n"/>
      <c r="AC454" s="241" t="n"/>
      <c r="AD454" s="27" t="n"/>
      <c r="AE454" s="28" t="n"/>
      <c r="AF454" s="241" t="n"/>
      <c r="AG454" s="27" t="n"/>
      <c r="AH454" s="28" t="n"/>
      <c r="AI454" s="241" t="n"/>
      <c r="AJ454" s="27" t="n"/>
      <c r="AK454" s="28" t="n"/>
      <c r="AL454" s="241" t="n"/>
      <c r="AM454" s="27" t="n"/>
      <c r="AN454" s="28" t="n"/>
      <c r="AO454" s="241" t="n"/>
      <c r="AP454" s="27" t="n"/>
      <c r="AQ454" s="28" t="n"/>
      <c r="AR454" s="241" t="n"/>
      <c r="AS454" s="27" t="n"/>
      <c r="AT454" s="28" t="n"/>
      <c r="AU454" s="241" t="n"/>
      <c r="AV454" s="27" t="n"/>
      <c r="AW454" s="28" t="n"/>
      <c r="AX454" s="241" t="n"/>
      <c r="AY454" s="27" t="n"/>
      <c r="AZ454" s="28" t="n"/>
      <c r="BA454" s="241" t="n"/>
      <c r="BB454" s="27" t="n"/>
      <c r="BC454" s="28" t="n"/>
      <c r="BD454" s="241" t="n"/>
      <c r="BE454" s="27" t="n"/>
      <c r="BF454" s="28" t="n"/>
      <c r="BG454" s="241" t="n"/>
      <c r="BH454" s="27" t="n"/>
      <c r="BI454" s="28" t="n"/>
    </row>
    <row r="455" hidden="1" outlineLevel="2" ht="14.4" customFormat="1" customHeight="1" s="498">
      <c r="A455" s="204" t="inlineStr">
        <is>
          <t xml:space="preserve">  -  Estoquista I</t>
        </is>
      </c>
      <c r="B455" s="488" t="n"/>
      <c r="C455" s="60" t="n"/>
      <c r="D455" s="61" t="n"/>
      <c r="E455" s="206" t="n"/>
      <c r="F455" s="41" t="n"/>
      <c r="G455" s="56" t="n"/>
      <c r="H455" s="241" t="n"/>
      <c r="I455" s="27" t="n"/>
      <c r="J455" s="28" t="n"/>
      <c r="K455" s="241" t="n"/>
      <c r="L455" s="27" t="n"/>
      <c r="M455" s="28" t="n"/>
      <c r="N455" s="241" t="n"/>
      <c r="O455" s="27" t="n"/>
      <c r="P455" s="28" t="n"/>
      <c r="Q455" s="241" t="n"/>
      <c r="R455" s="27" t="n"/>
      <c r="S455" s="28" t="n"/>
      <c r="T455" s="241" t="n"/>
      <c r="U455" s="27" t="n"/>
      <c r="V455" s="28" t="n"/>
      <c r="W455" s="241" t="n"/>
      <c r="X455" s="27" t="n"/>
      <c r="Y455" s="28" t="n"/>
      <c r="Z455" s="241" t="n"/>
      <c r="AA455" s="27" t="n"/>
      <c r="AB455" s="28" t="n"/>
      <c r="AC455" s="241" t="n"/>
      <c r="AD455" s="27" t="n"/>
      <c r="AE455" s="28" t="n"/>
      <c r="AF455" s="241" t="n"/>
      <c r="AG455" s="27" t="n"/>
      <c r="AH455" s="28" t="n"/>
      <c r="AI455" s="241" t="n"/>
      <c r="AJ455" s="27" t="n"/>
      <c r="AK455" s="28" t="n"/>
      <c r="AL455" s="241" t="n"/>
      <c r="AM455" s="27" t="n"/>
      <c r="AN455" s="28" t="n"/>
      <c r="AO455" s="241" t="n"/>
      <c r="AP455" s="27" t="n"/>
      <c r="AQ455" s="28" t="n"/>
      <c r="AR455" s="241" t="n"/>
      <c r="AS455" s="27" t="n"/>
      <c r="AT455" s="28" t="n"/>
      <c r="AU455" s="241" t="n"/>
      <c r="AV455" s="27" t="n"/>
      <c r="AW455" s="28" t="n"/>
      <c r="AX455" s="241" t="n"/>
      <c r="AY455" s="27" t="n"/>
      <c r="AZ455" s="28" t="n"/>
      <c r="BA455" s="241" t="n"/>
      <c r="BB455" s="27" t="n"/>
      <c r="BC455" s="28" t="n"/>
      <c r="BD455" s="241" t="n"/>
      <c r="BE455" s="27" t="n"/>
      <c r="BF455" s="28" t="n"/>
      <c r="BG455" s="241" t="n"/>
      <c r="BH455" s="27" t="n"/>
      <c r="BI455" s="28" t="n"/>
    </row>
    <row r="456" hidden="1" outlineLevel="2" ht="14.4" customFormat="1" customHeight="1" s="498">
      <c r="A456" s="204" t="inlineStr">
        <is>
          <t xml:space="preserve">  -  Chefe de Manutenção</t>
        </is>
      </c>
      <c r="B456" s="488" t="n"/>
      <c r="C456" s="60" t="n"/>
      <c r="D456" s="61" t="n"/>
      <c r="E456" s="206" t="n"/>
      <c r="F456" s="41" t="n"/>
      <c r="G456" s="56" t="n"/>
      <c r="H456" s="241" t="n"/>
      <c r="I456" s="27" t="n"/>
      <c r="J456" s="28" t="n"/>
      <c r="K456" s="241" t="n"/>
      <c r="L456" s="27" t="n"/>
      <c r="M456" s="28" t="n"/>
      <c r="N456" s="241" t="n"/>
      <c r="O456" s="27" t="n"/>
      <c r="P456" s="28" t="n"/>
      <c r="Q456" s="241" t="n"/>
      <c r="R456" s="27" t="n"/>
      <c r="S456" s="28" t="n"/>
      <c r="T456" s="241" t="n"/>
      <c r="U456" s="27" t="n"/>
      <c r="V456" s="28" t="n"/>
      <c r="W456" s="241" t="n"/>
      <c r="X456" s="27" t="n"/>
      <c r="Y456" s="28" t="n"/>
      <c r="Z456" s="241" t="n"/>
      <c r="AA456" s="27" t="n"/>
      <c r="AB456" s="28" t="n"/>
      <c r="AC456" s="241" t="n"/>
      <c r="AD456" s="27" t="n"/>
      <c r="AE456" s="28" t="n"/>
      <c r="AF456" s="241" t="n"/>
      <c r="AG456" s="27" t="n"/>
      <c r="AH456" s="28" t="n"/>
      <c r="AI456" s="241" t="n"/>
      <c r="AJ456" s="27" t="n"/>
      <c r="AK456" s="28" t="n"/>
      <c r="AL456" s="241" t="n"/>
      <c r="AM456" s="27" t="n"/>
      <c r="AN456" s="28" t="n"/>
      <c r="AO456" s="241" t="n"/>
      <c r="AP456" s="27" t="n"/>
      <c r="AQ456" s="28" t="n"/>
      <c r="AR456" s="241" t="n"/>
      <c r="AS456" s="27" t="n"/>
      <c r="AT456" s="28" t="n"/>
      <c r="AU456" s="241" t="n"/>
      <c r="AV456" s="27" t="n"/>
      <c r="AW456" s="28" t="n"/>
      <c r="AX456" s="241" t="n"/>
      <c r="AY456" s="27" t="n"/>
      <c r="AZ456" s="28" t="n"/>
      <c r="BA456" s="241" t="n"/>
      <c r="BB456" s="27" t="n"/>
      <c r="BC456" s="28" t="n"/>
      <c r="BD456" s="241" t="n"/>
      <c r="BE456" s="27" t="n"/>
      <c r="BF456" s="28" t="n"/>
      <c r="BG456" s="241" t="n"/>
      <c r="BH456" s="27" t="n"/>
      <c r="BI456" s="28" t="n"/>
    </row>
    <row r="457" hidden="1" outlineLevel="2" ht="14.4" customFormat="1" customHeight="1" s="498">
      <c r="A457" s="204" t="inlineStr">
        <is>
          <t xml:space="preserve">  -  Aux. Manutenção III</t>
        </is>
      </c>
      <c r="B457" s="488" t="n"/>
      <c r="C457" s="60" t="n"/>
      <c r="D457" s="61" t="n"/>
      <c r="E457" s="206" t="n"/>
      <c r="F457" s="41" t="n"/>
      <c r="G457" s="56" t="n"/>
      <c r="H457" s="241" t="n"/>
      <c r="I457" s="27" t="n"/>
      <c r="J457" s="28" t="n"/>
      <c r="K457" s="241" t="n"/>
      <c r="L457" s="27" t="n"/>
      <c r="M457" s="28" t="n"/>
      <c r="N457" s="241" t="n"/>
      <c r="O457" s="27" t="n"/>
      <c r="P457" s="28" t="n"/>
      <c r="Q457" s="241" t="n"/>
      <c r="R457" s="27" t="n"/>
      <c r="S457" s="28" t="n"/>
      <c r="T457" s="241" t="n"/>
      <c r="U457" s="27" t="n"/>
      <c r="V457" s="28" t="n"/>
      <c r="W457" s="241" t="n"/>
      <c r="X457" s="27" t="n"/>
      <c r="Y457" s="28" t="n"/>
      <c r="Z457" s="241" t="n"/>
      <c r="AA457" s="27" t="n"/>
      <c r="AB457" s="28" t="n"/>
      <c r="AC457" s="241" t="n"/>
      <c r="AD457" s="27" t="n"/>
      <c r="AE457" s="28" t="n"/>
      <c r="AF457" s="241" t="n"/>
      <c r="AG457" s="27" t="n"/>
      <c r="AH457" s="28" t="n"/>
      <c r="AI457" s="241" t="n"/>
      <c r="AJ457" s="27" t="n"/>
      <c r="AK457" s="28" t="n"/>
      <c r="AL457" s="241" t="n"/>
      <c r="AM457" s="27" t="n"/>
      <c r="AN457" s="28" t="n"/>
      <c r="AO457" s="241" t="n"/>
      <c r="AP457" s="27" t="n"/>
      <c r="AQ457" s="28" t="n"/>
      <c r="AR457" s="241" t="n"/>
      <c r="AS457" s="27" t="n"/>
      <c r="AT457" s="28" t="n"/>
      <c r="AU457" s="241" t="n"/>
      <c r="AV457" s="27" t="n"/>
      <c r="AW457" s="28" t="n"/>
      <c r="AX457" s="241" t="n"/>
      <c r="AY457" s="27" t="n"/>
      <c r="AZ457" s="28" t="n"/>
      <c r="BA457" s="241" t="n"/>
      <c r="BB457" s="27" t="n"/>
      <c r="BC457" s="28" t="n"/>
      <c r="BD457" s="241" t="n"/>
      <c r="BE457" s="27" t="n"/>
      <c r="BF457" s="28" t="n"/>
      <c r="BG457" s="241" t="n"/>
      <c r="BH457" s="27" t="n"/>
      <c r="BI457" s="28" t="n"/>
    </row>
    <row r="458" hidden="1" outlineLevel="2" ht="14.4" customFormat="1" customHeight="1" s="498">
      <c r="A458" s="204" t="inlineStr">
        <is>
          <t xml:space="preserve">  -  Aux. Manutenção II</t>
        </is>
      </c>
      <c r="B458" s="488" t="n"/>
      <c r="C458" s="60" t="n"/>
      <c r="D458" s="61" t="n"/>
      <c r="E458" s="206" t="n"/>
      <c r="F458" s="41" t="n"/>
      <c r="G458" s="56" t="n"/>
      <c r="H458" s="241" t="n"/>
      <c r="I458" s="27" t="n"/>
      <c r="J458" s="28" t="n"/>
      <c r="K458" s="241" t="n"/>
      <c r="L458" s="27" t="n"/>
      <c r="M458" s="28" t="n"/>
      <c r="N458" s="241" t="n"/>
      <c r="O458" s="27" t="n"/>
      <c r="P458" s="28" t="n"/>
      <c r="Q458" s="241" t="n"/>
      <c r="R458" s="27" t="n"/>
      <c r="S458" s="28" t="n"/>
      <c r="T458" s="241" t="n"/>
      <c r="U458" s="27" t="n"/>
      <c r="V458" s="28" t="n"/>
      <c r="W458" s="241" t="n"/>
      <c r="X458" s="27" t="n"/>
      <c r="Y458" s="28" t="n"/>
      <c r="Z458" s="241" t="n"/>
      <c r="AA458" s="27" t="n"/>
      <c r="AB458" s="28" t="n"/>
      <c r="AC458" s="241" t="n"/>
      <c r="AD458" s="27" t="n"/>
      <c r="AE458" s="28" t="n"/>
      <c r="AF458" s="241" t="n"/>
      <c r="AG458" s="27" t="n"/>
      <c r="AH458" s="28" t="n"/>
      <c r="AI458" s="241" t="n"/>
      <c r="AJ458" s="27" t="n"/>
      <c r="AK458" s="28" t="n"/>
      <c r="AL458" s="241" t="n"/>
      <c r="AM458" s="27" t="n"/>
      <c r="AN458" s="28" t="n"/>
      <c r="AO458" s="241" t="n"/>
      <c r="AP458" s="27" t="n"/>
      <c r="AQ458" s="28" t="n"/>
      <c r="AR458" s="241" t="n"/>
      <c r="AS458" s="27" t="n"/>
      <c r="AT458" s="28" t="n"/>
      <c r="AU458" s="241" t="n"/>
      <c r="AV458" s="27" t="n"/>
      <c r="AW458" s="28" t="n"/>
      <c r="AX458" s="241" t="n"/>
      <c r="AY458" s="27" t="n"/>
      <c r="AZ458" s="28" t="n"/>
      <c r="BA458" s="241" t="n"/>
      <c r="BB458" s="27" t="n"/>
      <c r="BC458" s="28" t="n"/>
      <c r="BD458" s="241" t="n"/>
      <c r="BE458" s="27" t="n"/>
      <c r="BF458" s="28" t="n"/>
      <c r="BG458" s="241" t="n"/>
      <c r="BH458" s="27" t="n"/>
      <c r="BI458" s="28" t="n"/>
    </row>
    <row r="459" hidden="1" outlineLevel="2" ht="14.4" customFormat="1" customHeight="1" s="498">
      <c r="A459" s="204" t="inlineStr">
        <is>
          <t xml:space="preserve">  -  Aux. Manutenção I</t>
        </is>
      </c>
      <c r="B459" s="488" t="n"/>
      <c r="C459" s="60" t="n"/>
      <c r="D459" s="61" t="n"/>
      <c r="E459" s="206" t="n"/>
      <c r="F459" s="41" t="n"/>
      <c r="G459" s="56" t="n"/>
      <c r="H459" s="241" t="n"/>
      <c r="I459" s="27" t="n"/>
      <c r="J459" s="28" t="n"/>
      <c r="K459" s="241" t="n"/>
      <c r="L459" s="27" t="n"/>
      <c r="M459" s="28" t="n"/>
      <c r="N459" s="241" t="n"/>
      <c r="O459" s="27" t="n"/>
      <c r="P459" s="28" t="n"/>
      <c r="Q459" s="241" t="n"/>
      <c r="R459" s="27" t="n"/>
      <c r="S459" s="28" t="n"/>
      <c r="T459" s="241" t="n"/>
      <c r="U459" s="27" t="n"/>
      <c r="V459" s="28" t="n"/>
      <c r="W459" s="241" t="n"/>
      <c r="X459" s="27" t="n"/>
      <c r="Y459" s="28" t="n"/>
      <c r="Z459" s="241" t="n"/>
      <c r="AA459" s="27" t="n"/>
      <c r="AB459" s="28" t="n"/>
      <c r="AC459" s="241" t="n"/>
      <c r="AD459" s="27" t="n"/>
      <c r="AE459" s="28" t="n"/>
      <c r="AF459" s="241" t="n"/>
      <c r="AG459" s="27" t="n"/>
      <c r="AH459" s="28" t="n"/>
      <c r="AI459" s="241" t="n"/>
      <c r="AJ459" s="27" t="n"/>
      <c r="AK459" s="28" t="n"/>
      <c r="AL459" s="241" t="n"/>
      <c r="AM459" s="27" t="n"/>
      <c r="AN459" s="28" t="n"/>
      <c r="AO459" s="241" t="n"/>
      <c r="AP459" s="27" t="n"/>
      <c r="AQ459" s="28" t="n"/>
      <c r="AR459" s="241" t="n"/>
      <c r="AS459" s="27" t="n"/>
      <c r="AT459" s="28" t="n"/>
      <c r="AU459" s="241" t="n"/>
      <c r="AV459" s="27" t="n"/>
      <c r="AW459" s="28" t="n"/>
      <c r="AX459" s="241" t="n"/>
      <c r="AY459" s="27" t="n"/>
      <c r="AZ459" s="28" t="n"/>
      <c r="BA459" s="241" t="n"/>
      <c r="BB459" s="27" t="n"/>
      <c r="BC459" s="28" t="n"/>
      <c r="BD459" s="241" t="n"/>
      <c r="BE459" s="27" t="n"/>
      <c r="BF459" s="28" t="n"/>
      <c r="BG459" s="241" t="n"/>
      <c r="BH459" s="27" t="n"/>
      <c r="BI459" s="28" t="n"/>
    </row>
    <row r="460" hidden="1" outlineLevel="2" ht="14.4" customFormat="1" customHeight="1" s="498">
      <c r="A460" s="204" t="inlineStr">
        <is>
          <t xml:space="preserve">  -  Chefe da Portaria</t>
        </is>
      </c>
      <c r="B460" s="488" t="n"/>
      <c r="C460" s="60" t="n"/>
      <c r="D460" s="61" t="n"/>
      <c r="E460" s="206" t="n"/>
      <c r="F460" s="41" t="n"/>
      <c r="G460" s="56" t="n"/>
      <c r="H460" s="241" t="n"/>
      <c r="I460" s="27" t="n"/>
      <c r="J460" s="28" t="n"/>
      <c r="K460" s="241" t="n"/>
      <c r="L460" s="27" t="n"/>
      <c r="M460" s="28" t="n"/>
      <c r="N460" s="241" t="n"/>
      <c r="O460" s="27" t="n"/>
      <c r="P460" s="28" t="n"/>
      <c r="Q460" s="241" t="n"/>
      <c r="R460" s="27" t="n"/>
      <c r="S460" s="28" t="n"/>
      <c r="T460" s="241" t="n"/>
      <c r="U460" s="27" t="n"/>
      <c r="V460" s="28" t="n"/>
      <c r="W460" s="241" t="n"/>
      <c r="X460" s="27" t="n"/>
      <c r="Y460" s="28" t="n"/>
      <c r="Z460" s="241" t="n"/>
      <c r="AA460" s="27" t="n"/>
      <c r="AB460" s="28" t="n"/>
      <c r="AC460" s="241" t="n"/>
      <c r="AD460" s="27" t="n"/>
      <c r="AE460" s="28" t="n"/>
      <c r="AF460" s="241" t="n"/>
      <c r="AG460" s="27" t="n"/>
      <c r="AH460" s="28" t="n"/>
      <c r="AI460" s="241" t="n"/>
      <c r="AJ460" s="27" t="n"/>
      <c r="AK460" s="28" t="n"/>
      <c r="AL460" s="241" t="n"/>
      <c r="AM460" s="27" t="n"/>
      <c r="AN460" s="28" t="n"/>
      <c r="AO460" s="241" t="n"/>
      <c r="AP460" s="27" t="n"/>
      <c r="AQ460" s="28" t="n"/>
      <c r="AR460" s="241" t="n"/>
      <c r="AS460" s="27" t="n"/>
      <c r="AT460" s="28" t="n"/>
      <c r="AU460" s="241" t="n"/>
      <c r="AV460" s="27" t="n"/>
      <c r="AW460" s="28" t="n"/>
      <c r="AX460" s="241" t="n"/>
      <c r="AY460" s="27" t="n"/>
      <c r="AZ460" s="28" t="n"/>
      <c r="BA460" s="241" t="n"/>
      <c r="BB460" s="27" t="n"/>
      <c r="BC460" s="28" t="n"/>
      <c r="BD460" s="241" t="n"/>
      <c r="BE460" s="27" t="n"/>
      <c r="BF460" s="28" t="n"/>
      <c r="BG460" s="241" t="n"/>
      <c r="BH460" s="27" t="n"/>
      <c r="BI460" s="28" t="n"/>
    </row>
    <row r="461" hidden="1" outlineLevel="2" ht="14.4" customFormat="1" customHeight="1" s="498">
      <c r="A461" s="204" t="inlineStr">
        <is>
          <t xml:space="preserve">  -  Porteiro III</t>
        </is>
      </c>
      <c r="B461" s="488" t="n"/>
      <c r="C461" s="60" t="n"/>
      <c r="D461" s="61" t="n"/>
      <c r="E461" s="206" t="n"/>
      <c r="F461" s="41" t="n"/>
      <c r="G461" s="56" t="n"/>
      <c r="H461" s="241" t="n"/>
      <c r="I461" s="27" t="n"/>
      <c r="J461" s="28" t="n"/>
      <c r="K461" s="241" t="n"/>
      <c r="L461" s="27" t="n"/>
      <c r="M461" s="28" t="n"/>
      <c r="N461" s="241" t="n"/>
      <c r="O461" s="27" t="n"/>
      <c r="P461" s="28" t="n"/>
      <c r="Q461" s="241" t="n"/>
      <c r="R461" s="27" t="n"/>
      <c r="S461" s="28" t="n"/>
      <c r="T461" s="241" t="n"/>
      <c r="U461" s="27" t="n"/>
      <c r="V461" s="28" t="n"/>
      <c r="W461" s="241" t="n"/>
      <c r="X461" s="27" t="n"/>
      <c r="Y461" s="28" t="n"/>
      <c r="Z461" s="241" t="n"/>
      <c r="AA461" s="27" t="n"/>
      <c r="AB461" s="28" t="n"/>
      <c r="AC461" s="241" t="n"/>
      <c r="AD461" s="27" t="n"/>
      <c r="AE461" s="28" t="n"/>
      <c r="AF461" s="241" t="n"/>
      <c r="AG461" s="27" t="n"/>
      <c r="AH461" s="28" t="n"/>
      <c r="AI461" s="241" t="n"/>
      <c r="AJ461" s="27" t="n"/>
      <c r="AK461" s="28" t="n"/>
      <c r="AL461" s="241" t="n"/>
      <c r="AM461" s="27" t="n"/>
      <c r="AN461" s="28" t="n"/>
      <c r="AO461" s="241" t="n"/>
      <c r="AP461" s="27" t="n"/>
      <c r="AQ461" s="28" t="n"/>
      <c r="AR461" s="241" t="n"/>
      <c r="AS461" s="27" t="n"/>
      <c r="AT461" s="28" t="n"/>
      <c r="AU461" s="241" t="n"/>
      <c r="AV461" s="27" t="n"/>
      <c r="AW461" s="28" t="n"/>
      <c r="AX461" s="241" t="n"/>
      <c r="AY461" s="27" t="n"/>
      <c r="AZ461" s="28" t="n"/>
      <c r="BA461" s="241" t="n"/>
      <c r="BB461" s="27" t="n"/>
      <c r="BC461" s="28" t="n"/>
      <c r="BD461" s="241" t="n"/>
      <c r="BE461" s="27" t="n"/>
      <c r="BF461" s="28" t="n"/>
      <c r="BG461" s="241" t="n"/>
      <c r="BH461" s="27" t="n"/>
      <c r="BI461" s="28" t="n"/>
    </row>
    <row r="462" hidden="1" outlineLevel="2" ht="14.4" customFormat="1" customHeight="1" s="498">
      <c r="A462" s="204" t="inlineStr">
        <is>
          <t xml:space="preserve">  -  Porteiro II</t>
        </is>
      </c>
      <c r="B462" s="488" t="n"/>
      <c r="C462" s="60" t="n"/>
      <c r="D462" s="61" t="n"/>
      <c r="E462" s="206" t="n"/>
      <c r="F462" s="41" t="n"/>
      <c r="G462" s="56" t="n"/>
      <c r="H462" s="241" t="n"/>
      <c r="I462" s="27" t="n"/>
      <c r="J462" s="28" t="n"/>
      <c r="K462" s="241" t="n"/>
      <c r="L462" s="27" t="n"/>
      <c r="M462" s="28" t="n"/>
      <c r="N462" s="241" t="n"/>
      <c r="O462" s="27" t="n"/>
      <c r="P462" s="28" t="n"/>
      <c r="Q462" s="241" t="n"/>
      <c r="R462" s="27" t="n"/>
      <c r="S462" s="28" t="n"/>
      <c r="T462" s="241" t="n"/>
      <c r="U462" s="27" t="n"/>
      <c r="V462" s="28" t="n"/>
      <c r="W462" s="241" t="n"/>
      <c r="X462" s="27" t="n"/>
      <c r="Y462" s="28" t="n"/>
      <c r="Z462" s="241" t="n"/>
      <c r="AA462" s="27" t="n"/>
      <c r="AB462" s="28" t="n"/>
      <c r="AC462" s="241" t="n"/>
      <c r="AD462" s="27" t="n"/>
      <c r="AE462" s="28" t="n"/>
      <c r="AF462" s="241" t="n"/>
      <c r="AG462" s="27" t="n"/>
      <c r="AH462" s="28" t="n"/>
      <c r="AI462" s="241" t="n"/>
      <c r="AJ462" s="27" t="n"/>
      <c r="AK462" s="28" t="n"/>
      <c r="AL462" s="241" t="n"/>
      <c r="AM462" s="27" t="n"/>
      <c r="AN462" s="28" t="n"/>
      <c r="AO462" s="241" t="n"/>
      <c r="AP462" s="27" t="n"/>
      <c r="AQ462" s="28" t="n"/>
      <c r="AR462" s="241" t="n"/>
      <c r="AS462" s="27" t="n"/>
      <c r="AT462" s="28" t="n"/>
      <c r="AU462" s="241" t="n"/>
      <c r="AV462" s="27" t="n"/>
      <c r="AW462" s="28" t="n"/>
      <c r="AX462" s="241" t="n"/>
      <c r="AY462" s="27" t="n"/>
      <c r="AZ462" s="28" t="n"/>
      <c r="BA462" s="241" t="n"/>
      <c r="BB462" s="27" t="n"/>
      <c r="BC462" s="28" t="n"/>
      <c r="BD462" s="241" t="n"/>
      <c r="BE462" s="27" t="n"/>
      <c r="BF462" s="28" t="n"/>
      <c r="BG462" s="241" t="n"/>
      <c r="BH462" s="27" t="n"/>
      <c r="BI462" s="28" t="n"/>
    </row>
    <row r="463" hidden="1" outlineLevel="2" ht="14.4" customFormat="1" customHeight="1" s="498">
      <c r="A463" s="204" t="inlineStr">
        <is>
          <t xml:space="preserve">  -  Porteiro I</t>
        </is>
      </c>
      <c r="B463" s="488" t="n"/>
      <c r="C463" s="60" t="n"/>
      <c r="D463" s="61" t="n"/>
      <c r="E463" s="206" t="n"/>
      <c r="F463" s="41" t="n"/>
      <c r="G463" s="56" t="n"/>
      <c r="H463" s="241" t="n"/>
      <c r="I463" s="27" t="n"/>
      <c r="J463" s="28" t="n"/>
      <c r="K463" s="241" t="n"/>
      <c r="L463" s="27" t="n"/>
      <c r="M463" s="28" t="n"/>
      <c r="N463" s="241" t="n"/>
      <c r="O463" s="27" t="n"/>
      <c r="P463" s="28" t="n"/>
      <c r="Q463" s="241" t="n"/>
      <c r="R463" s="27" t="n"/>
      <c r="S463" s="28" t="n"/>
      <c r="T463" s="241" t="n"/>
      <c r="U463" s="27" t="n"/>
      <c r="V463" s="28" t="n"/>
      <c r="W463" s="241" t="n"/>
      <c r="X463" s="27" t="n"/>
      <c r="Y463" s="28" t="n"/>
      <c r="Z463" s="241" t="n"/>
      <c r="AA463" s="27" t="n"/>
      <c r="AB463" s="28" t="n"/>
      <c r="AC463" s="241" t="n"/>
      <c r="AD463" s="27" t="n"/>
      <c r="AE463" s="28" t="n"/>
      <c r="AF463" s="241" t="n"/>
      <c r="AG463" s="27" t="n"/>
      <c r="AH463" s="28" t="n"/>
      <c r="AI463" s="241" t="n"/>
      <c r="AJ463" s="27" t="n"/>
      <c r="AK463" s="28" t="n"/>
      <c r="AL463" s="241" t="n"/>
      <c r="AM463" s="27" t="n"/>
      <c r="AN463" s="28" t="n"/>
      <c r="AO463" s="241" t="n"/>
      <c r="AP463" s="27" t="n"/>
      <c r="AQ463" s="28" t="n"/>
      <c r="AR463" s="241" t="n"/>
      <c r="AS463" s="27" t="n"/>
      <c r="AT463" s="28" t="n"/>
      <c r="AU463" s="241" t="n"/>
      <c r="AV463" s="27" t="n"/>
      <c r="AW463" s="28" t="n"/>
      <c r="AX463" s="241" t="n"/>
      <c r="AY463" s="27" t="n"/>
      <c r="AZ463" s="28" t="n"/>
      <c r="BA463" s="241" t="n"/>
      <c r="BB463" s="27" t="n"/>
      <c r="BC463" s="28" t="n"/>
      <c r="BD463" s="241" t="n"/>
      <c r="BE463" s="27" t="n"/>
      <c r="BF463" s="28" t="n"/>
      <c r="BG463" s="241" t="n"/>
      <c r="BH463" s="27" t="n"/>
      <c r="BI463" s="28" t="n"/>
    </row>
    <row r="464" hidden="1" outlineLevel="2" ht="14.4" customFormat="1" customHeight="1" s="498">
      <c r="A464" s="204" t="inlineStr">
        <is>
          <t xml:space="preserve">  -  Hostess III</t>
        </is>
      </c>
      <c r="B464" s="488" t="n"/>
      <c r="C464" s="60" t="n"/>
      <c r="D464" s="61" t="n"/>
      <c r="E464" s="206" t="n"/>
      <c r="F464" s="41" t="n"/>
      <c r="G464" s="56" t="n"/>
      <c r="H464" s="241" t="n"/>
      <c r="I464" s="27" t="n"/>
      <c r="J464" s="28" t="n"/>
      <c r="K464" s="241" t="n"/>
      <c r="L464" s="27" t="n"/>
      <c r="M464" s="28" t="n"/>
      <c r="N464" s="241" t="n"/>
      <c r="O464" s="27" t="n"/>
      <c r="P464" s="28" t="n"/>
      <c r="Q464" s="241" t="n"/>
      <c r="R464" s="27" t="n"/>
      <c r="S464" s="28" t="n"/>
      <c r="T464" s="241" t="n"/>
      <c r="U464" s="27" t="n"/>
      <c r="V464" s="28" t="n"/>
      <c r="W464" s="241" t="n"/>
      <c r="X464" s="27" t="n"/>
      <c r="Y464" s="28" t="n"/>
      <c r="Z464" s="241" t="n"/>
      <c r="AA464" s="27" t="n"/>
      <c r="AB464" s="28" t="n"/>
      <c r="AC464" s="241" t="n"/>
      <c r="AD464" s="27" t="n"/>
      <c r="AE464" s="28" t="n"/>
      <c r="AF464" s="241" t="n"/>
      <c r="AG464" s="27" t="n"/>
      <c r="AH464" s="28" t="n"/>
      <c r="AI464" s="241" t="n"/>
      <c r="AJ464" s="27" t="n"/>
      <c r="AK464" s="28" t="n"/>
      <c r="AL464" s="241" t="n"/>
      <c r="AM464" s="27" t="n"/>
      <c r="AN464" s="28" t="n"/>
      <c r="AO464" s="241" t="n"/>
      <c r="AP464" s="27" t="n"/>
      <c r="AQ464" s="28" t="n"/>
      <c r="AR464" s="241" t="n"/>
      <c r="AS464" s="27" t="n"/>
      <c r="AT464" s="28" t="n"/>
      <c r="AU464" s="241" t="n"/>
      <c r="AV464" s="27" t="n"/>
      <c r="AW464" s="28" t="n"/>
      <c r="AX464" s="241" t="n"/>
      <c r="AY464" s="27" t="n"/>
      <c r="AZ464" s="28" t="n"/>
      <c r="BA464" s="241" t="n"/>
      <c r="BB464" s="27" t="n"/>
      <c r="BC464" s="28" t="n"/>
      <c r="BD464" s="241" t="n"/>
      <c r="BE464" s="27" t="n"/>
      <c r="BF464" s="28" t="n"/>
      <c r="BG464" s="241" t="n"/>
      <c r="BH464" s="27" t="n"/>
      <c r="BI464" s="28" t="n"/>
    </row>
    <row r="465" hidden="1" outlineLevel="2" ht="14.4" customFormat="1" customHeight="1" s="498">
      <c r="A465" s="204" t="inlineStr">
        <is>
          <t xml:space="preserve">  -  Hostess II</t>
        </is>
      </c>
      <c r="B465" s="488" t="n"/>
      <c r="C465" s="60" t="n"/>
      <c r="D465" s="61" t="n"/>
      <c r="E465" s="206" t="n"/>
      <c r="F465" s="41" t="n"/>
      <c r="G465" s="56" t="n"/>
      <c r="H465" s="241" t="n"/>
      <c r="I465" s="27" t="n"/>
      <c r="J465" s="28" t="n"/>
      <c r="K465" s="241" t="n"/>
      <c r="L465" s="27" t="n"/>
      <c r="M465" s="28" t="n"/>
      <c r="N465" s="241" t="n"/>
      <c r="O465" s="27" t="n"/>
      <c r="P465" s="28" t="n"/>
      <c r="Q465" s="241" t="n"/>
      <c r="R465" s="27" t="n"/>
      <c r="S465" s="28" t="n"/>
      <c r="T465" s="241" t="n"/>
      <c r="U465" s="27" t="n"/>
      <c r="V465" s="28" t="n"/>
      <c r="W465" s="241" t="n"/>
      <c r="X465" s="27" t="n"/>
      <c r="Y465" s="28" t="n"/>
      <c r="Z465" s="241" t="n"/>
      <c r="AA465" s="27" t="n"/>
      <c r="AB465" s="28" t="n"/>
      <c r="AC465" s="241" t="n"/>
      <c r="AD465" s="27" t="n"/>
      <c r="AE465" s="28" t="n"/>
      <c r="AF465" s="241" t="n"/>
      <c r="AG465" s="27" t="n"/>
      <c r="AH465" s="28" t="n"/>
      <c r="AI465" s="241" t="n"/>
      <c r="AJ465" s="27" t="n"/>
      <c r="AK465" s="28" t="n"/>
      <c r="AL465" s="241" t="n"/>
      <c r="AM465" s="27" t="n"/>
      <c r="AN465" s="28" t="n"/>
      <c r="AO465" s="241" t="n"/>
      <c r="AP465" s="27" t="n"/>
      <c r="AQ465" s="28" t="n"/>
      <c r="AR465" s="241" t="n"/>
      <c r="AS465" s="27" t="n"/>
      <c r="AT465" s="28" t="n"/>
      <c r="AU465" s="241" t="n"/>
      <c r="AV465" s="27" t="n"/>
      <c r="AW465" s="28" t="n"/>
      <c r="AX465" s="241" t="n"/>
      <c r="AY465" s="27" t="n"/>
      <c r="AZ465" s="28" t="n"/>
      <c r="BA465" s="241" t="n"/>
      <c r="BB465" s="27" t="n"/>
      <c r="BC465" s="28" t="n"/>
      <c r="BD465" s="241" t="n"/>
      <c r="BE465" s="27" t="n"/>
      <c r="BF465" s="28" t="n"/>
      <c r="BG465" s="241" t="n"/>
      <c r="BH465" s="27" t="n"/>
      <c r="BI465" s="28" t="n"/>
    </row>
    <row r="466" hidden="1" outlineLevel="2" ht="14.4" customFormat="1" customHeight="1" s="498">
      <c r="A466" s="204" t="inlineStr">
        <is>
          <t xml:space="preserve">  -  Hostess I</t>
        </is>
      </c>
      <c r="B466" s="488" t="n"/>
      <c r="C466" s="60" t="n"/>
      <c r="D466" s="61" t="n"/>
      <c r="E466" s="206" t="n"/>
      <c r="F466" s="41" t="n"/>
      <c r="G466" s="56" t="n"/>
      <c r="H466" s="241" t="n"/>
      <c r="I466" s="27" t="n"/>
      <c r="J466" s="28" t="n"/>
      <c r="K466" s="241" t="n"/>
      <c r="L466" s="27" t="n"/>
      <c r="M466" s="28" t="n"/>
      <c r="N466" s="241" t="n"/>
      <c r="O466" s="27" t="n"/>
      <c r="P466" s="28" t="n"/>
      <c r="Q466" s="241" t="n"/>
      <c r="R466" s="27" t="n"/>
      <c r="S466" s="28" t="n"/>
      <c r="T466" s="241" t="n"/>
      <c r="U466" s="27" t="n"/>
      <c r="V466" s="28" t="n"/>
      <c r="W466" s="241" t="n"/>
      <c r="X466" s="27" t="n"/>
      <c r="Y466" s="28" t="n"/>
      <c r="Z466" s="241" t="n"/>
      <c r="AA466" s="27" t="n"/>
      <c r="AB466" s="28" t="n"/>
      <c r="AC466" s="241" t="n"/>
      <c r="AD466" s="27" t="n"/>
      <c r="AE466" s="28" t="n"/>
      <c r="AF466" s="241" t="n"/>
      <c r="AG466" s="27" t="n"/>
      <c r="AH466" s="28" t="n"/>
      <c r="AI466" s="241" t="n"/>
      <c r="AJ466" s="27" t="n"/>
      <c r="AK466" s="28" t="n"/>
      <c r="AL466" s="241" t="n"/>
      <c r="AM466" s="27" t="n"/>
      <c r="AN466" s="28" t="n"/>
      <c r="AO466" s="241" t="n"/>
      <c r="AP466" s="27" t="n"/>
      <c r="AQ466" s="28" t="n"/>
      <c r="AR466" s="241" t="n"/>
      <c r="AS466" s="27" t="n"/>
      <c r="AT466" s="28" t="n"/>
      <c r="AU466" s="241" t="n"/>
      <c r="AV466" s="27" t="n"/>
      <c r="AW466" s="28" t="n"/>
      <c r="AX466" s="241" t="n"/>
      <c r="AY466" s="27" t="n"/>
      <c r="AZ466" s="28" t="n"/>
      <c r="BA466" s="241" t="n"/>
      <c r="BB466" s="27" t="n"/>
      <c r="BC466" s="28" t="n"/>
      <c r="BD466" s="241" t="n"/>
      <c r="BE466" s="27" t="n"/>
      <c r="BF466" s="28" t="n"/>
      <c r="BG466" s="241" t="n"/>
      <c r="BH466" s="27" t="n"/>
      <c r="BI466" s="28" t="n"/>
    </row>
    <row r="467" hidden="1" outlineLevel="2" ht="14.4" customFormat="1" customHeight="1" s="498">
      <c r="A467" s="204" t="inlineStr">
        <is>
          <t xml:space="preserve">  -  Chefe de Bilheteria</t>
        </is>
      </c>
      <c r="B467" s="488" t="n"/>
      <c r="C467" s="60" t="n"/>
      <c r="D467" s="61" t="n"/>
      <c r="E467" s="206" t="n"/>
      <c r="F467" s="41" t="n"/>
      <c r="G467" s="56" t="n"/>
      <c r="H467" s="241" t="n"/>
      <c r="I467" s="27" t="n"/>
      <c r="J467" s="28" t="n"/>
      <c r="K467" s="241" t="n"/>
      <c r="L467" s="27" t="n"/>
      <c r="M467" s="28" t="n"/>
      <c r="N467" s="241" t="n"/>
      <c r="O467" s="27" t="n"/>
      <c r="P467" s="28" t="n"/>
      <c r="Q467" s="241" t="n"/>
      <c r="R467" s="27" t="n"/>
      <c r="S467" s="28" t="n"/>
      <c r="T467" s="241" t="n"/>
      <c r="U467" s="27" t="n"/>
      <c r="V467" s="28" t="n"/>
      <c r="W467" s="241" t="n"/>
      <c r="X467" s="27" t="n"/>
      <c r="Y467" s="28" t="n"/>
      <c r="Z467" s="241" t="n"/>
      <c r="AA467" s="27" t="n"/>
      <c r="AB467" s="28" t="n"/>
      <c r="AC467" s="241" t="n"/>
      <c r="AD467" s="27" t="n"/>
      <c r="AE467" s="28" t="n"/>
      <c r="AF467" s="241" t="n"/>
      <c r="AG467" s="27" t="n"/>
      <c r="AH467" s="28" t="n"/>
      <c r="AI467" s="241" t="n"/>
      <c r="AJ467" s="27" t="n"/>
      <c r="AK467" s="28" t="n"/>
      <c r="AL467" s="241" t="n"/>
      <c r="AM467" s="27" t="n"/>
      <c r="AN467" s="28" t="n"/>
      <c r="AO467" s="241" t="n"/>
      <c r="AP467" s="27" t="n"/>
      <c r="AQ467" s="28" t="n"/>
      <c r="AR467" s="241" t="n"/>
      <c r="AS467" s="27" t="n"/>
      <c r="AT467" s="28" t="n"/>
      <c r="AU467" s="241" t="n"/>
      <c r="AV467" s="27" t="n"/>
      <c r="AW467" s="28" t="n"/>
      <c r="AX467" s="241" t="n"/>
      <c r="AY467" s="27" t="n"/>
      <c r="AZ467" s="28" t="n"/>
      <c r="BA467" s="241" t="n"/>
      <c r="BB467" s="27" t="n"/>
      <c r="BC467" s="28" t="n"/>
      <c r="BD467" s="241" t="n"/>
      <c r="BE467" s="27" t="n"/>
      <c r="BF467" s="28" t="n"/>
      <c r="BG467" s="241" t="n"/>
      <c r="BH467" s="27" t="n"/>
      <c r="BI467" s="28" t="n"/>
    </row>
    <row r="468" hidden="1" outlineLevel="2" ht="14.4" customFormat="1" customHeight="1" s="498">
      <c r="A468" s="204" t="inlineStr">
        <is>
          <t xml:space="preserve">  -  Bilheteiro III</t>
        </is>
      </c>
      <c r="B468" s="488" t="n"/>
      <c r="C468" s="60" t="n"/>
      <c r="D468" s="61" t="n"/>
      <c r="E468" s="206" t="n"/>
      <c r="F468" s="41" t="n"/>
      <c r="G468" s="56" t="n"/>
      <c r="H468" s="241" t="n"/>
      <c r="I468" s="27" t="n"/>
      <c r="J468" s="28" t="n"/>
      <c r="K468" s="241" t="n"/>
      <c r="L468" s="27" t="n"/>
      <c r="M468" s="28" t="n"/>
      <c r="N468" s="241" t="n"/>
      <c r="O468" s="27" t="n"/>
      <c r="P468" s="28" t="n"/>
      <c r="Q468" s="241" t="n"/>
      <c r="R468" s="27" t="n"/>
      <c r="S468" s="28" t="n"/>
      <c r="T468" s="241" t="n"/>
      <c r="U468" s="27" t="n"/>
      <c r="V468" s="28" t="n"/>
      <c r="W468" s="241" t="n"/>
      <c r="X468" s="27" t="n"/>
      <c r="Y468" s="28" t="n"/>
      <c r="Z468" s="241" t="n"/>
      <c r="AA468" s="27" t="n"/>
      <c r="AB468" s="28" t="n"/>
      <c r="AC468" s="241" t="n"/>
      <c r="AD468" s="27" t="n"/>
      <c r="AE468" s="28" t="n"/>
      <c r="AF468" s="241" t="n"/>
      <c r="AG468" s="27" t="n"/>
      <c r="AH468" s="28" t="n"/>
      <c r="AI468" s="241" t="n"/>
      <c r="AJ468" s="27" t="n"/>
      <c r="AK468" s="28" t="n"/>
      <c r="AL468" s="241" t="n"/>
      <c r="AM468" s="27" t="n"/>
      <c r="AN468" s="28" t="n"/>
      <c r="AO468" s="241" t="n"/>
      <c r="AP468" s="27" t="n"/>
      <c r="AQ468" s="28" t="n"/>
      <c r="AR468" s="241" t="n"/>
      <c r="AS468" s="27" t="n"/>
      <c r="AT468" s="28" t="n"/>
      <c r="AU468" s="241" t="n"/>
      <c r="AV468" s="27" t="n"/>
      <c r="AW468" s="28" t="n"/>
      <c r="AX468" s="241" t="n"/>
      <c r="AY468" s="27" t="n"/>
      <c r="AZ468" s="28" t="n"/>
      <c r="BA468" s="241" t="n"/>
      <c r="BB468" s="27" t="n"/>
      <c r="BC468" s="28" t="n"/>
      <c r="BD468" s="241" t="n"/>
      <c r="BE468" s="27" t="n"/>
      <c r="BF468" s="28" t="n"/>
      <c r="BG468" s="241" t="n"/>
      <c r="BH468" s="27" t="n"/>
      <c r="BI468" s="28" t="n"/>
    </row>
    <row r="469" hidden="1" outlineLevel="2" ht="14.4" customFormat="1" customHeight="1" s="498">
      <c r="A469" s="204" t="inlineStr">
        <is>
          <t xml:space="preserve">  -  Bilheteiro II</t>
        </is>
      </c>
      <c r="B469" s="488" t="n"/>
      <c r="C469" s="60" t="n"/>
      <c r="D469" s="61" t="n"/>
      <c r="E469" s="206" t="n"/>
      <c r="F469" s="41" t="n"/>
      <c r="G469" s="56" t="n"/>
      <c r="H469" s="241" t="n"/>
      <c r="I469" s="27" t="n"/>
      <c r="J469" s="28" t="n"/>
      <c r="K469" s="241" t="n"/>
      <c r="L469" s="27" t="n"/>
      <c r="M469" s="28" t="n"/>
      <c r="N469" s="241" t="n"/>
      <c r="O469" s="27" t="n"/>
      <c r="P469" s="28" t="n"/>
      <c r="Q469" s="241" t="n"/>
      <c r="R469" s="27" t="n"/>
      <c r="S469" s="28" t="n"/>
      <c r="T469" s="241" t="n"/>
      <c r="U469" s="27" t="n"/>
      <c r="V469" s="28" t="n"/>
      <c r="W469" s="241" t="n"/>
      <c r="X469" s="27" t="n"/>
      <c r="Y469" s="28" t="n"/>
      <c r="Z469" s="241" t="n"/>
      <c r="AA469" s="27" t="n"/>
      <c r="AB469" s="28" t="n"/>
      <c r="AC469" s="241" t="n"/>
      <c r="AD469" s="27" t="n"/>
      <c r="AE469" s="28" t="n"/>
      <c r="AF469" s="241" t="n"/>
      <c r="AG469" s="27" t="n"/>
      <c r="AH469" s="28" t="n"/>
      <c r="AI469" s="241" t="n"/>
      <c r="AJ469" s="27" t="n"/>
      <c r="AK469" s="28" t="n"/>
      <c r="AL469" s="241" t="n"/>
      <c r="AM469" s="27" t="n"/>
      <c r="AN469" s="28" t="n"/>
      <c r="AO469" s="241" t="n"/>
      <c r="AP469" s="27" t="n"/>
      <c r="AQ469" s="28" t="n"/>
      <c r="AR469" s="241" t="n"/>
      <c r="AS469" s="27" t="n"/>
      <c r="AT469" s="28" t="n"/>
      <c r="AU469" s="241" t="n"/>
      <c r="AV469" s="27" t="n"/>
      <c r="AW469" s="28" t="n"/>
      <c r="AX469" s="241" t="n"/>
      <c r="AY469" s="27" t="n"/>
      <c r="AZ469" s="28" t="n"/>
      <c r="BA469" s="241" t="n"/>
      <c r="BB469" s="27" t="n"/>
      <c r="BC469" s="28" t="n"/>
      <c r="BD469" s="241" t="n"/>
      <c r="BE469" s="27" t="n"/>
      <c r="BF469" s="28" t="n"/>
      <c r="BG469" s="241" t="n"/>
      <c r="BH469" s="27" t="n"/>
      <c r="BI469" s="28" t="n"/>
    </row>
    <row r="470" hidden="1" outlineLevel="2" ht="14.4" customFormat="1" customHeight="1" s="498">
      <c r="A470" s="204" t="inlineStr">
        <is>
          <t xml:space="preserve">  -  Bilheteiro I</t>
        </is>
      </c>
      <c r="B470" s="488" t="n"/>
      <c r="C470" s="60" t="n"/>
      <c r="D470" s="61" t="n"/>
      <c r="E470" s="206" t="n"/>
      <c r="F470" s="41" t="n"/>
      <c r="G470" s="56" t="n"/>
      <c r="H470" s="241" t="n"/>
      <c r="I470" s="27" t="n"/>
      <c r="J470" s="28" t="n"/>
      <c r="K470" s="241" t="n"/>
      <c r="L470" s="27" t="n"/>
      <c r="M470" s="28" t="n"/>
      <c r="N470" s="241" t="n"/>
      <c r="O470" s="27" t="n"/>
      <c r="P470" s="28" t="n"/>
      <c r="Q470" s="241" t="n"/>
      <c r="R470" s="27" t="n"/>
      <c r="S470" s="28" t="n"/>
      <c r="T470" s="241" t="n"/>
      <c r="U470" s="27" t="n"/>
      <c r="V470" s="28" t="n"/>
      <c r="W470" s="241" t="n"/>
      <c r="X470" s="27" t="n"/>
      <c r="Y470" s="28" t="n"/>
      <c r="Z470" s="241" t="n"/>
      <c r="AA470" s="27" t="n"/>
      <c r="AB470" s="28" t="n"/>
      <c r="AC470" s="241" t="n"/>
      <c r="AD470" s="27" t="n"/>
      <c r="AE470" s="28" t="n"/>
      <c r="AF470" s="241" t="n"/>
      <c r="AG470" s="27" t="n"/>
      <c r="AH470" s="28" t="n"/>
      <c r="AI470" s="241" t="n"/>
      <c r="AJ470" s="27" t="n"/>
      <c r="AK470" s="28" t="n"/>
      <c r="AL470" s="241" t="n"/>
      <c r="AM470" s="27" t="n"/>
      <c r="AN470" s="28" t="n"/>
      <c r="AO470" s="241" t="n"/>
      <c r="AP470" s="27" t="n"/>
      <c r="AQ470" s="28" t="n"/>
      <c r="AR470" s="241" t="n"/>
      <c r="AS470" s="27" t="n"/>
      <c r="AT470" s="28" t="n"/>
      <c r="AU470" s="241" t="n"/>
      <c r="AV470" s="27" t="n"/>
      <c r="AW470" s="28" t="n"/>
      <c r="AX470" s="241" t="n"/>
      <c r="AY470" s="27" t="n"/>
      <c r="AZ470" s="28" t="n"/>
      <c r="BA470" s="241" t="n"/>
      <c r="BB470" s="27" t="n"/>
      <c r="BC470" s="28" t="n"/>
      <c r="BD470" s="241" t="n"/>
      <c r="BE470" s="27" t="n"/>
      <c r="BF470" s="28" t="n"/>
      <c r="BG470" s="241" t="n"/>
      <c r="BH470" s="27" t="n"/>
      <c r="BI470" s="28" t="n"/>
    </row>
    <row r="471" hidden="1" outlineLevel="2" ht="14.4" customFormat="1" customHeight="1" s="498">
      <c r="A471" s="204" t="inlineStr">
        <is>
          <t xml:space="preserve">  -  Caixa</t>
        </is>
      </c>
      <c r="B471" s="488" t="n"/>
      <c r="C471" s="60" t="n"/>
      <c r="D471" s="61" t="n"/>
      <c r="E471" s="206" t="n"/>
      <c r="F471" s="41" t="n"/>
      <c r="G471" s="56" t="n"/>
      <c r="H471" s="241" t="n"/>
      <c r="I471" s="27" t="n"/>
      <c r="J471" s="28" t="n"/>
      <c r="K471" s="241" t="n"/>
      <c r="L471" s="27" t="n"/>
      <c r="M471" s="28" t="n"/>
      <c r="N471" s="241" t="n"/>
      <c r="O471" s="27" t="n"/>
      <c r="P471" s="28" t="n"/>
      <c r="Q471" s="241" t="n"/>
      <c r="R471" s="27" t="n"/>
      <c r="S471" s="28" t="n"/>
      <c r="T471" s="241" t="n"/>
      <c r="U471" s="27" t="n"/>
      <c r="V471" s="28" t="n"/>
      <c r="W471" s="241" t="n"/>
      <c r="X471" s="27" t="n"/>
      <c r="Y471" s="28" t="n"/>
      <c r="Z471" s="241" t="n"/>
      <c r="AA471" s="27" t="n"/>
      <c r="AB471" s="28" t="n"/>
      <c r="AC471" s="241" t="n"/>
      <c r="AD471" s="27" t="n"/>
      <c r="AE471" s="28" t="n"/>
      <c r="AF471" s="241" t="n"/>
      <c r="AG471" s="27" t="n"/>
      <c r="AH471" s="28" t="n"/>
      <c r="AI471" s="241" t="n"/>
      <c r="AJ471" s="27" t="n"/>
      <c r="AK471" s="28" t="n"/>
      <c r="AL471" s="241" t="n"/>
      <c r="AM471" s="27" t="n"/>
      <c r="AN471" s="28" t="n"/>
      <c r="AO471" s="241" t="n"/>
      <c r="AP471" s="27" t="n"/>
      <c r="AQ471" s="28" t="n"/>
      <c r="AR471" s="241" t="n"/>
      <c r="AS471" s="27" t="n"/>
      <c r="AT471" s="28" t="n"/>
      <c r="AU471" s="241" t="n"/>
      <c r="AV471" s="27" t="n"/>
      <c r="AW471" s="28" t="n"/>
      <c r="AX471" s="241" t="n"/>
      <c r="AY471" s="27" t="n"/>
      <c r="AZ471" s="28" t="n"/>
      <c r="BA471" s="241" t="n"/>
      <c r="BB471" s="27" t="n"/>
      <c r="BC471" s="28" t="n"/>
      <c r="BD471" s="241" t="n"/>
      <c r="BE471" s="27" t="n"/>
      <c r="BF471" s="28" t="n"/>
      <c r="BG471" s="241" t="n"/>
      <c r="BH471" s="27" t="n"/>
      <c r="BI471" s="28" t="n"/>
    </row>
    <row r="472" hidden="1" outlineLevel="2" ht="14.4" customFormat="1" customHeight="1" s="498">
      <c r="A472" s="204" t="inlineStr">
        <is>
          <t xml:space="preserve">  -  Operador de Delivery</t>
        </is>
      </c>
      <c r="B472" s="488" t="n"/>
      <c r="C472" s="60" t="n"/>
      <c r="D472" s="61" t="n"/>
      <c r="E472" s="206" t="n"/>
      <c r="F472" s="41" t="n"/>
      <c r="G472" s="56" t="n"/>
      <c r="H472" s="241" t="n"/>
      <c r="I472" s="27" t="n"/>
      <c r="J472" s="28" t="n"/>
      <c r="K472" s="241" t="n"/>
      <c r="L472" s="27" t="n"/>
      <c r="M472" s="28" t="n"/>
      <c r="N472" s="241" t="n"/>
      <c r="O472" s="27" t="n"/>
      <c r="P472" s="28" t="n"/>
      <c r="Q472" s="241" t="n"/>
      <c r="R472" s="27" t="n"/>
      <c r="S472" s="28" t="n"/>
      <c r="T472" s="241" t="n"/>
      <c r="U472" s="27" t="n"/>
      <c r="V472" s="28" t="n"/>
      <c r="W472" s="241" t="n"/>
      <c r="X472" s="27" t="n"/>
      <c r="Y472" s="28" t="n"/>
      <c r="Z472" s="241" t="n"/>
      <c r="AA472" s="27" t="n"/>
      <c r="AB472" s="28" t="n"/>
      <c r="AC472" s="241" t="n"/>
      <c r="AD472" s="27" t="n"/>
      <c r="AE472" s="28" t="n"/>
      <c r="AF472" s="241" t="n"/>
      <c r="AG472" s="27" t="n"/>
      <c r="AH472" s="28" t="n"/>
      <c r="AI472" s="241" t="n"/>
      <c r="AJ472" s="27" t="n"/>
      <c r="AK472" s="28" t="n"/>
      <c r="AL472" s="241" t="n"/>
      <c r="AM472" s="27" t="n"/>
      <c r="AN472" s="28" t="n"/>
      <c r="AO472" s="241" t="n"/>
      <c r="AP472" s="27" t="n"/>
      <c r="AQ472" s="28" t="n"/>
      <c r="AR472" s="241" t="n"/>
      <c r="AS472" s="27" t="n"/>
      <c r="AT472" s="28" t="n"/>
      <c r="AU472" s="241" t="n"/>
      <c r="AV472" s="27" t="n"/>
      <c r="AW472" s="28" t="n"/>
      <c r="AX472" s="241" t="n"/>
      <c r="AY472" s="27" t="n"/>
      <c r="AZ472" s="28" t="n"/>
      <c r="BA472" s="241" t="n"/>
      <c r="BB472" s="27" t="n"/>
      <c r="BC472" s="28" t="n"/>
      <c r="BD472" s="241" t="n"/>
      <c r="BE472" s="27" t="n"/>
      <c r="BF472" s="28" t="n"/>
      <c r="BG472" s="241" t="n"/>
      <c r="BH472" s="27" t="n"/>
      <c r="BI472" s="28" t="n"/>
    </row>
    <row r="473" hidden="1" outlineLevel="2" ht="14.4" customFormat="1" customHeight="1" s="498">
      <c r="A473" s="163" t="n"/>
      <c r="B473" s="23" t="n"/>
      <c r="C473" s="3" t="n"/>
      <c r="D473" s="4" t="n"/>
      <c r="E473" s="4" t="n"/>
      <c r="F473" s="23" t="n"/>
      <c r="G473" s="56" t="n"/>
      <c r="H473" s="273" t="n"/>
      <c r="I473" s="23" t="n"/>
      <c r="J473" s="164" t="n"/>
      <c r="K473" s="273" t="n"/>
      <c r="L473" s="23" t="n"/>
      <c r="M473" s="164" t="n"/>
      <c r="N473" s="273" t="n"/>
      <c r="O473" s="23" t="n"/>
      <c r="P473" s="164" t="n"/>
      <c r="Q473" s="273" t="n"/>
      <c r="R473" s="23" t="n"/>
      <c r="S473" s="164" t="n"/>
      <c r="T473" s="273" t="n"/>
      <c r="U473" s="23" t="n"/>
      <c r="V473" s="164" t="n"/>
      <c r="W473" s="273" t="n"/>
      <c r="X473" s="23" t="n"/>
      <c r="Y473" s="164" t="n"/>
      <c r="Z473" s="273" t="n"/>
      <c r="AA473" s="23" t="n"/>
      <c r="AB473" s="164" t="n"/>
      <c r="AC473" s="273" t="n"/>
      <c r="AD473" s="23" t="n"/>
      <c r="AE473" s="164" t="n"/>
      <c r="AF473" s="273" t="n"/>
      <c r="AG473" s="23" t="n"/>
      <c r="AH473" s="164" t="n"/>
      <c r="AI473" s="273" t="n"/>
      <c r="AJ473" s="23" t="n"/>
      <c r="AK473" s="164" t="n"/>
      <c r="AL473" s="273" t="n"/>
      <c r="AM473" s="23" t="n"/>
      <c r="AN473" s="164" t="n"/>
      <c r="AO473" s="273" t="n"/>
      <c r="AP473" s="23" t="n"/>
      <c r="AQ473" s="164" t="n"/>
      <c r="AR473" s="273" t="n"/>
      <c r="AS473" s="23" t="n"/>
      <c r="AT473" s="164" t="n"/>
      <c r="AU473" s="273" t="n"/>
      <c r="AV473" s="23" t="n"/>
      <c r="AW473" s="164" t="n"/>
      <c r="AX473" s="273" t="n"/>
      <c r="AY473" s="23" t="n"/>
      <c r="AZ473" s="164" t="n"/>
      <c r="BA473" s="273" t="n"/>
      <c r="BB473" s="23" t="n"/>
      <c r="BC473" s="164" t="n"/>
      <c r="BD473" s="273" t="n"/>
      <c r="BE473" s="23" t="n"/>
      <c r="BF473" s="164" t="n"/>
      <c r="BG473" s="273" t="n"/>
      <c r="BH473" s="23" t="n"/>
      <c r="BI473" s="164" t="n"/>
    </row>
    <row r="474" hidden="1" outlineLevel="2" ht="14.4" customFormat="1" customHeight="1" s="498">
      <c r="A474" s="200" t="inlineStr">
        <is>
          <t>Salário base, por função</t>
        </is>
      </c>
      <c r="B474" s="59" t="n"/>
      <c r="C474" s="201" t="n"/>
      <c r="D474" s="41" t="n"/>
      <c r="E474" s="41" t="n"/>
      <c r="F474" s="63" t="n"/>
      <c r="G474" s="56" t="n"/>
      <c r="H474" s="211" t="n"/>
      <c r="I474" s="202" t="n"/>
      <c r="J474" s="203" t="n"/>
      <c r="K474" s="211" t="n"/>
      <c r="L474" s="202" t="n"/>
      <c r="M474" s="203" t="n"/>
      <c r="N474" s="211" t="n"/>
      <c r="O474" s="202" t="n"/>
      <c r="P474" s="203" t="n"/>
      <c r="Q474" s="211" t="n"/>
      <c r="R474" s="202" t="n"/>
      <c r="S474" s="203" t="n"/>
      <c r="T474" s="211" t="n"/>
      <c r="U474" s="202" t="n"/>
      <c r="V474" s="203" t="n"/>
      <c r="W474" s="211" t="n"/>
      <c r="X474" s="202" t="n"/>
      <c r="Y474" s="203" t="n"/>
      <c r="Z474" s="211" t="n"/>
      <c r="AA474" s="202" t="n"/>
      <c r="AB474" s="203" t="n"/>
      <c r="AC474" s="211" t="n"/>
      <c r="AD474" s="202" t="n"/>
      <c r="AE474" s="203" t="n"/>
      <c r="AF474" s="211" t="n"/>
      <c r="AG474" s="202" t="n"/>
      <c r="AH474" s="203" t="n"/>
      <c r="AI474" s="211" t="n"/>
      <c r="AJ474" s="202" t="n"/>
      <c r="AK474" s="203" t="n"/>
      <c r="AL474" s="211" t="n"/>
      <c r="AM474" s="202" t="n"/>
      <c r="AN474" s="203" t="n"/>
      <c r="AO474" s="211" t="n"/>
      <c r="AP474" s="202" t="n"/>
      <c r="AQ474" s="203" t="n"/>
      <c r="AR474" s="211" t="n"/>
      <c r="AS474" s="202" t="n"/>
      <c r="AT474" s="203" t="n"/>
      <c r="AU474" s="211" t="n"/>
      <c r="AV474" s="202" t="n"/>
      <c r="AW474" s="203" t="n"/>
      <c r="AX474" s="211" t="n"/>
      <c r="AY474" s="202" t="n"/>
      <c r="AZ474" s="203" t="n"/>
      <c r="BA474" s="211" t="n"/>
      <c r="BB474" s="202" t="n"/>
      <c r="BC474" s="203" t="n"/>
      <c r="BD474" s="211" t="n"/>
      <c r="BE474" s="202" t="n"/>
      <c r="BF474" s="203" t="n"/>
      <c r="BG474" s="211" t="n"/>
      <c r="BH474" s="202" t="n"/>
      <c r="BI474" s="203" t="n"/>
    </row>
    <row r="475" hidden="1" outlineLevel="2" ht="14.4" customFormat="1" customHeight="1" s="498">
      <c r="A475" s="200" t="inlineStr">
        <is>
          <t>PJ</t>
        </is>
      </c>
      <c r="B475" s="59" t="n"/>
      <c r="C475" s="201" t="n"/>
      <c r="D475" s="41" t="n"/>
      <c r="E475" s="41" t="n"/>
      <c r="F475" s="63" t="n"/>
      <c r="G475" s="56" t="n"/>
      <c r="H475" s="211" t="n"/>
      <c r="I475" s="202" t="n"/>
      <c r="J475" s="203" t="n"/>
      <c r="K475" s="211" t="n"/>
      <c r="L475" s="202" t="n"/>
      <c r="M475" s="203" t="n"/>
      <c r="N475" s="211" t="n"/>
      <c r="O475" s="202" t="n"/>
      <c r="P475" s="203" t="n"/>
      <c r="Q475" s="211" t="n"/>
      <c r="R475" s="202" t="n"/>
      <c r="S475" s="203" t="n"/>
      <c r="T475" s="211" t="n"/>
      <c r="U475" s="202" t="n"/>
      <c r="V475" s="203" t="n"/>
      <c r="W475" s="211" t="n"/>
      <c r="X475" s="202" t="n"/>
      <c r="Y475" s="203" t="n"/>
      <c r="Z475" s="211" t="n"/>
      <c r="AA475" s="202" t="n"/>
      <c r="AB475" s="203" t="n"/>
      <c r="AC475" s="211" t="n"/>
      <c r="AD475" s="202" t="n"/>
      <c r="AE475" s="203" t="n"/>
      <c r="AF475" s="211" t="n"/>
      <c r="AG475" s="202" t="n"/>
      <c r="AH475" s="203" t="n"/>
      <c r="AI475" s="211" t="n"/>
      <c r="AJ475" s="202" t="n"/>
      <c r="AK475" s="203" t="n"/>
      <c r="AL475" s="211" t="n"/>
      <c r="AM475" s="202" t="n"/>
      <c r="AN475" s="203" t="n"/>
      <c r="AO475" s="211" t="n"/>
      <c r="AP475" s="202" t="n"/>
      <c r="AQ475" s="203" t="n"/>
      <c r="AR475" s="211" t="n"/>
      <c r="AS475" s="202" t="n"/>
      <c r="AT475" s="203" t="n"/>
      <c r="AU475" s="211" t="n"/>
      <c r="AV475" s="202" t="n"/>
      <c r="AW475" s="203" t="n"/>
      <c r="AX475" s="211" t="n"/>
      <c r="AY475" s="202" t="n"/>
      <c r="AZ475" s="203" t="n"/>
      <c r="BA475" s="211" t="n"/>
      <c r="BB475" s="202" t="n"/>
      <c r="BC475" s="203" t="n"/>
      <c r="BD475" s="211" t="n"/>
      <c r="BE475" s="202" t="n"/>
      <c r="BF475" s="203" t="n"/>
      <c r="BG475" s="211" t="n"/>
      <c r="BH475" s="202" t="n"/>
      <c r="BI475" s="203" t="n"/>
    </row>
    <row r="476" hidden="1" outlineLevel="2" ht="14.4" customFormat="1" customHeight="1" s="498">
      <c r="A476" s="204" t="inlineStr">
        <is>
          <t xml:space="preserve">  - Squad</t>
        </is>
      </c>
      <c r="B476" s="488" t="n"/>
      <c r="C476" s="201" t="n"/>
      <c r="D476" s="41" t="n"/>
      <c r="E476" s="41" t="n"/>
      <c r="F476" s="41" t="n"/>
      <c r="G476" s="56" t="n"/>
      <c r="H476" s="241" t="n"/>
      <c r="I476" s="27" t="n"/>
      <c r="J476" s="28" t="n"/>
      <c r="K476" s="241" t="n"/>
      <c r="L476" s="27" t="n"/>
      <c r="M476" s="28" t="n"/>
      <c r="N476" s="241" t="n"/>
      <c r="O476" s="27" t="n"/>
      <c r="P476" s="28" t="n"/>
      <c r="Q476" s="241" t="n"/>
      <c r="R476" s="27" t="n"/>
      <c r="S476" s="28" t="n"/>
      <c r="T476" s="241" t="n"/>
      <c r="U476" s="27" t="n"/>
      <c r="V476" s="28" t="n"/>
      <c r="W476" s="241" t="n"/>
      <c r="X476" s="27" t="n"/>
      <c r="Y476" s="28" t="n"/>
      <c r="Z476" s="241" t="n"/>
      <c r="AA476" s="27" t="n"/>
      <c r="AB476" s="28" t="n"/>
      <c r="AC476" s="241" t="n"/>
      <c r="AD476" s="27" t="n"/>
      <c r="AE476" s="28" t="n"/>
      <c r="AF476" s="241" t="n"/>
      <c r="AG476" s="27" t="n"/>
      <c r="AH476" s="28" t="n"/>
      <c r="AI476" s="241" t="n"/>
      <c r="AJ476" s="27" t="n"/>
      <c r="AK476" s="28" t="n"/>
      <c r="AL476" s="241" t="n"/>
      <c r="AM476" s="27" t="n"/>
      <c r="AN476" s="28" t="n"/>
      <c r="AO476" s="241" t="n"/>
      <c r="AP476" s="27" t="n"/>
      <c r="AQ476" s="28" t="n"/>
      <c r="AR476" s="241" t="n"/>
      <c r="AS476" s="27" t="n"/>
      <c r="AT476" s="28" t="n"/>
      <c r="AU476" s="241" t="n"/>
      <c r="AV476" s="27" t="n"/>
      <c r="AW476" s="28" t="n"/>
      <c r="AX476" s="241" t="n"/>
      <c r="AY476" s="27" t="n"/>
      <c r="AZ476" s="28" t="n"/>
      <c r="BA476" s="241" t="n"/>
      <c r="BB476" s="27" t="n"/>
      <c r="BC476" s="28" t="n"/>
      <c r="BD476" s="241" t="n"/>
      <c r="BE476" s="27" t="n"/>
      <c r="BF476" s="28" t="n"/>
      <c r="BG476" s="241" t="n"/>
      <c r="BH476" s="27" t="n"/>
      <c r="BI476" s="28" t="n"/>
    </row>
    <row r="477" hidden="1" outlineLevel="2" ht="14.4" customFormat="1" customHeight="1" s="498">
      <c r="A477" s="204" t="inlineStr">
        <is>
          <t xml:space="preserve">  - Gerente</t>
        </is>
      </c>
      <c r="B477" s="488" t="n"/>
      <c r="C477" s="201" t="n"/>
      <c r="D477" s="41" t="n"/>
      <c r="E477" s="41" t="n"/>
      <c r="F477" s="41" t="n"/>
      <c r="G477" s="56" t="n"/>
      <c r="H477" s="241" t="n"/>
      <c r="I477" s="27" t="n"/>
      <c r="J477" s="28" t="n"/>
      <c r="K477" s="241" t="n"/>
      <c r="L477" s="27" t="n"/>
      <c r="M477" s="28" t="n"/>
      <c r="N477" s="241" t="n"/>
      <c r="O477" s="27" t="n"/>
      <c r="P477" s="28" t="n"/>
      <c r="Q477" s="241" t="n"/>
      <c r="R477" s="27" t="n"/>
      <c r="S477" s="28" t="n"/>
      <c r="T477" s="241" t="n"/>
      <c r="U477" s="27" t="n"/>
      <c r="V477" s="28" t="n"/>
      <c r="W477" s="241" t="n"/>
      <c r="X477" s="27" t="n"/>
      <c r="Y477" s="28" t="n"/>
      <c r="Z477" s="241" t="n"/>
      <c r="AA477" s="27" t="n"/>
      <c r="AB477" s="28" t="n"/>
      <c r="AC477" s="241" t="n"/>
      <c r="AD477" s="27" t="n"/>
      <c r="AE477" s="28" t="n"/>
      <c r="AF477" s="241" t="n"/>
      <c r="AG477" s="27" t="n"/>
      <c r="AH477" s="28" t="n"/>
      <c r="AI477" s="241" t="n"/>
      <c r="AJ477" s="27" t="n"/>
      <c r="AK477" s="28" t="n"/>
      <c r="AL477" s="241" t="n"/>
      <c r="AM477" s="27" t="n"/>
      <c r="AN477" s="28" t="n"/>
      <c r="AO477" s="241" t="n"/>
      <c r="AP477" s="27" t="n"/>
      <c r="AQ477" s="28" t="n"/>
      <c r="AR477" s="241" t="n"/>
      <c r="AS477" s="27" t="n"/>
      <c r="AT477" s="28" t="n"/>
      <c r="AU477" s="241" t="n"/>
      <c r="AV477" s="27" t="n"/>
      <c r="AW477" s="28" t="n"/>
      <c r="AX477" s="241" t="n"/>
      <c r="AY477" s="27" t="n"/>
      <c r="AZ477" s="28" t="n"/>
      <c r="BA477" s="241" t="n"/>
      <c r="BB477" s="27" t="n"/>
      <c r="BC477" s="28" t="n"/>
      <c r="BD477" s="241" t="n"/>
      <c r="BE477" s="27" t="n"/>
      <c r="BF477" s="28" t="n"/>
      <c r="BG477" s="241" t="n"/>
      <c r="BH477" s="27" t="n"/>
      <c r="BI477" s="28" t="n"/>
    </row>
    <row r="478" hidden="1" outlineLevel="2" ht="14.4" customFormat="1" customHeight="1" s="498">
      <c r="A478" s="204" t="inlineStr">
        <is>
          <t xml:space="preserve">  - Subgerente</t>
        </is>
      </c>
      <c r="B478" s="488" t="n"/>
      <c r="C478" s="201" t="n"/>
      <c r="D478" s="41" t="n"/>
      <c r="E478" s="41" t="n"/>
      <c r="F478" s="41" t="n"/>
      <c r="G478" s="56" t="n"/>
      <c r="H478" s="241" t="n"/>
      <c r="I478" s="27" t="n"/>
      <c r="J478" s="28" t="n"/>
      <c r="K478" s="241" t="n"/>
      <c r="L478" s="27" t="n"/>
      <c r="M478" s="28" t="n"/>
      <c r="N478" s="241" t="n"/>
      <c r="O478" s="27" t="n"/>
      <c r="P478" s="28" t="n"/>
      <c r="Q478" s="241" t="n"/>
      <c r="R478" s="27" t="n"/>
      <c r="S478" s="28" t="n"/>
      <c r="T478" s="241" t="n"/>
      <c r="U478" s="27" t="n"/>
      <c r="V478" s="28" t="n"/>
      <c r="W478" s="241" t="n"/>
      <c r="X478" s="27" t="n"/>
      <c r="Y478" s="28" t="n"/>
      <c r="Z478" s="241" t="n"/>
      <c r="AA478" s="27" t="n"/>
      <c r="AB478" s="28" t="n"/>
      <c r="AC478" s="241" t="n"/>
      <c r="AD478" s="27" t="n"/>
      <c r="AE478" s="28" t="n"/>
      <c r="AF478" s="241" t="n"/>
      <c r="AG478" s="27" t="n"/>
      <c r="AH478" s="28" t="n"/>
      <c r="AI478" s="241" t="n"/>
      <c r="AJ478" s="27" t="n"/>
      <c r="AK478" s="28" t="n"/>
      <c r="AL478" s="241" t="n"/>
      <c r="AM478" s="27" t="n"/>
      <c r="AN478" s="28" t="n"/>
      <c r="AO478" s="241" t="n"/>
      <c r="AP478" s="27" t="n"/>
      <c r="AQ478" s="28" t="n"/>
      <c r="AR478" s="241" t="n"/>
      <c r="AS478" s="27" t="n"/>
      <c r="AT478" s="28" t="n"/>
      <c r="AU478" s="241" t="n"/>
      <c r="AV478" s="27" t="n"/>
      <c r="AW478" s="28" t="n"/>
      <c r="AX478" s="241" t="n"/>
      <c r="AY478" s="27" t="n"/>
      <c r="AZ478" s="28" t="n"/>
      <c r="BA478" s="241" t="n"/>
      <c r="BB478" s="27" t="n"/>
      <c r="BC478" s="28" t="n"/>
      <c r="BD478" s="241" t="n"/>
      <c r="BE478" s="27" t="n"/>
      <c r="BF478" s="28" t="n"/>
      <c r="BG478" s="241" t="n"/>
      <c r="BH478" s="27" t="n"/>
      <c r="BI478" s="28" t="n"/>
    </row>
    <row r="479" hidden="1" outlineLevel="2" ht="14.4" customFormat="1" customHeight="1" s="498">
      <c r="A479" s="204" t="inlineStr">
        <is>
          <t xml:space="preserve">  - Coordenador</t>
        </is>
      </c>
      <c r="B479" s="488" t="n"/>
      <c r="C479" s="201" t="n"/>
      <c r="D479" s="41" t="n"/>
      <c r="E479" s="41" t="n"/>
      <c r="F479" s="41" t="n"/>
      <c r="G479" s="56" t="n"/>
      <c r="H479" s="241" t="n"/>
      <c r="I479" s="27" t="n"/>
      <c r="J479" s="28" t="n"/>
      <c r="K479" s="241" t="n"/>
      <c r="L479" s="27" t="n"/>
      <c r="M479" s="28" t="n"/>
      <c r="N479" s="241" t="n"/>
      <c r="O479" s="27" t="n"/>
      <c r="P479" s="28" t="n"/>
      <c r="Q479" s="241" t="n"/>
      <c r="R479" s="27" t="n"/>
      <c r="S479" s="28" t="n"/>
      <c r="T479" s="241" t="n"/>
      <c r="U479" s="27" t="n"/>
      <c r="V479" s="28" t="n"/>
      <c r="W479" s="241" t="n"/>
      <c r="X479" s="27" t="n"/>
      <c r="Y479" s="28" t="n"/>
      <c r="Z479" s="241" t="n"/>
      <c r="AA479" s="27" t="n"/>
      <c r="AB479" s="28" t="n"/>
      <c r="AC479" s="241" t="n"/>
      <c r="AD479" s="27" t="n"/>
      <c r="AE479" s="28" t="n"/>
      <c r="AF479" s="241" t="n"/>
      <c r="AG479" s="27" t="n"/>
      <c r="AH479" s="28" t="n"/>
      <c r="AI479" s="241" t="n"/>
      <c r="AJ479" s="27" t="n"/>
      <c r="AK479" s="28" t="n"/>
      <c r="AL479" s="241" t="n"/>
      <c r="AM479" s="27" t="n"/>
      <c r="AN479" s="28" t="n"/>
      <c r="AO479" s="241" t="n"/>
      <c r="AP479" s="27" t="n"/>
      <c r="AQ479" s="28" t="n"/>
      <c r="AR479" s="241" t="n"/>
      <c r="AS479" s="27" t="n"/>
      <c r="AT479" s="28" t="n"/>
      <c r="AU479" s="241" t="n"/>
      <c r="AV479" s="27" t="n"/>
      <c r="AW479" s="28" t="n"/>
      <c r="AX479" s="241" t="n"/>
      <c r="AY479" s="27" t="n"/>
      <c r="AZ479" s="28" t="n"/>
      <c r="BA479" s="241" t="n"/>
      <c r="BB479" s="27" t="n"/>
      <c r="BC479" s="28" t="n"/>
      <c r="BD479" s="241" t="n"/>
      <c r="BE479" s="27" t="n"/>
      <c r="BF479" s="28" t="n"/>
      <c r="BG479" s="241" t="n"/>
      <c r="BH479" s="27" t="n"/>
      <c r="BI479" s="28" t="n"/>
    </row>
    <row r="480" hidden="1" outlineLevel="2" ht="14.4" customFormat="1" customHeight="1" s="498">
      <c r="A480" s="204" t="inlineStr">
        <is>
          <t xml:space="preserve">  - Administrativa</t>
        </is>
      </c>
      <c r="B480" s="488" t="n"/>
      <c r="C480" s="201" t="n"/>
      <c r="D480" s="41" t="n"/>
      <c r="E480" s="41" t="n"/>
      <c r="F480" s="41" t="n"/>
      <c r="G480" s="56" t="n"/>
      <c r="H480" s="241" t="n"/>
      <c r="I480" s="27" t="n"/>
      <c r="J480" s="28" t="n"/>
      <c r="K480" s="241" t="n"/>
      <c r="L480" s="27" t="n"/>
      <c r="M480" s="28" t="n"/>
      <c r="N480" s="241" t="n"/>
      <c r="O480" s="27" t="n"/>
      <c r="P480" s="28" t="n"/>
      <c r="Q480" s="241" t="n"/>
      <c r="R480" s="27" t="n"/>
      <c r="S480" s="28" t="n"/>
      <c r="T480" s="241" t="n"/>
      <c r="U480" s="27" t="n"/>
      <c r="V480" s="28" t="n"/>
      <c r="W480" s="241" t="n"/>
      <c r="X480" s="27" t="n"/>
      <c r="Y480" s="28" t="n"/>
      <c r="Z480" s="241" t="n"/>
      <c r="AA480" s="27" t="n"/>
      <c r="AB480" s="28" t="n"/>
      <c r="AC480" s="241" t="n"/>
      <c r="AD480" s="27" t="n"/>
      <c r="AE480" s="28" t="n"/>
      <c r="AF480" s="241" t="n"/>
      <c r="AG480" s="27" t="n"/>
      <c r="AH480" s="28" t="n"/>
      <c r="AI480" s="241" t="n"/>
      <c r="AJ480" s="27" t="n"/>
      <c r="AK480" s="28" t="n"/>
      <c r="AL480" s="241" t="n"/>
      <c r="AM480" s="27" t="n"/>
      <c r="AN480" s="28" t="n"/>
      <c r="AO480" s="241" t="n"/>
      <c r="AP480" s="27" t="n"/>
      <c r="AQ480" s="28" t="n"/>
      <c r="AR480" s="241" t="n"/>
      <c r="AS480" s="27" t="n"/>
      <c r="AT480" s="28" t="n"/>
      <c r="AU480" s="241" t="n"/>
      <c r="AV480" s="27" t="n"/>
      <c r="AW480" s="28" t="n"/>
      <c r="AX480" s="241" t="n"/>
      <c r="AY480" s="27" t="n"/>
      <c r="AZ480" s="28" t="n"/>
      <c r="BA480" s="241" t="n"/>
      <c r="BB480" s="27" t="n"/>
      <c r="BC480" s="28" t="n"/>
      <c r="BD480" s="241" t="n"/>
      <c r="BE480" s="27" t="n"/>
      <c r="BF480" s="28" t="n"/>
      <c r="BG480" s="241" t="n"/>
      <c r="BH480" s="27" t="n"/>
      <c r="BI480" s="28" t="n"/>
    </row>
    <row r="481" hidden="1" outlineLevel="2" ht="14.4" customFormat="1" customHeight="1" s="498">
      <c r="A481" s="204" t="inlineStr">
        <is>
          <t xml:space="preserve">  - Chefe de Cozinha</t>
        </is>
      </c>
      <c r="B481" s="488" t="n"/>
      <c r="C481" s="201" t="n"/>
      <c r="D481" s="41" t="n"/>
      <c r="E481" s="41" t="n"/>
      <c r="F481" s="41" t="n"/>
      <c r="G481" s="56" t="n"/>
      <c r="H481" s="241" t="n"/>
      <c r="I481" s="27" t="n"/>
      <c r="J481" s="28" t="n"/>
      <c r="K481" s="241" t="n"/>
      <c r="L481" s="27" t="n"/>
      <c r="M481" s="28" t="n"/>
      <c r="N481" s="241" t="n"/>
      <c r="O481" s="27" t="n"/>
      <c r="P481" s="28" t="n"/>
      <c r="Q481" s="241" t="n"/>
      <c r="R481" s="27" t="n"/>
      <c r="S481" s="28" t="n"/>
      <c r="T481" s="241" t="n"/>
      <c r="U481" s="27" t="n"/>
      <c r="V481" s="28" t="n"/>
      <c r="W481" s="241" t="n"/>
      <c r="X481" s="27" t="n"/>
      <c r="Y481" s="28" t="n"/>
      <c r="Z481" s="241" t="n"/>
      <c r="AA481" s="27" t="n"/>
      <c r="AB481" s="28" t="n"/>
      <c r="AC481" s="241" t="n"/>
      <c r="AD481" s="27" t="n"/>
      <c r="AE481" s="28" t="n"/>
      <c r="AF481" s="241" t="n"/>
      <c r="AG481" s="27" t="n"/>
      <c r="AH481" s="28" t="n"/>
      <c r="AI481" s="241" t="n"/>
      <c r="AJ481" s="27" t="n"/>
      <c r="AK481" s="28" t="n"/>
      <c r="AL481" s="241" t="n"/>
      <c r="AM481" s="27" t="n"/>
      <c r="AN481" s="28" t="n"/>
      <c r="AO481" s="241" t="n"/>
      <c r="AP481" s="27" t="n"/>
      <c r="AQ481" s="28" t="n"/>
      <c r="AR481" s="241" t="n"/>
      <c r="AS481" s="27" t="n"/>
      <c r="AT481" s="28" t="n"/>
      <c r="AU481" s="241" t="n"/>
      <c r="AV481" s="27" t="n"/>
      <c r="AW481" s="28" t="n"/>
      <c r="AX481" s="241" t="n"/>
      <c r="AY481" s="27" t="n"/>
      <c r="AZ481" s="28" t="n"/>
      <c r="BA481" s="241" t="n"/>
      <c r="BB481" s="27" t="n"/>
      <c r="BC481" s="28" t="n"/>
      <c r="BD481" s="241" t="n"/>
      <c r="BE481" s="27" t="n"/>
      <c r="BF481" s="28" t="n"/>
      <c r="BG481" s="241" t="n"/>
      <c r="BH481" s="27" t="n"/>
      <c r="BI481" s="28" t="n"/>
    </row>
    <row r="482" hidden="1" outlineLevel="2" ht="14.4" customFormat="1" customHeight="1" s="498">
      <c r="A482" s="204" t="inlineStr">
        <is>
          <t xml:space="preserve">  - Chefe de Bar</t>
        </is>
      </c>
      <c r="B482" s="488" t="n"/>
      <c r="C482" s="201" t="n"/>
      <c r="D482" s="41" t="n"/>
      <c r="E482" s="41" t="n"/>
      <c r="F482" s="41" t="n"/>
      <c r="G482" s="56" t="n"/>
      <c r="H482" s="241" t="n"/>
      <c r="I482" s="27" t="n"/>
      <c r="J482" s="28" t="n"/>
      <c r="K482" s="241" t="n"/>
      <c r="L482" s="27" t="n"/>
      <c r="M482" s="28" t="n"/>
      <c r="N482" s="241" t="n"/>
      <c r="O482" s="27" t="n"/>
      <c r="P482" s="28" t="n"/>
      <c r="Q482" s="241" t="n"/>
      <c r="R482" s="27" t="n"/>
      <c r="S482" s="28" t="n"/>
      <c r="T482" s="241" t="n"/>
      <c r="U482" s="27" t="n"/>
      <c r="V482" s="28" t="n"/>
      <c r="W482" s="241" t="n"/>
      <c r="X482" s="27" t="n"/>
      <c r="Y482" s="28" t="n"/>
      <c r="Z482" s="241" t="n"/>
      <c r="AA482" s="27" t="n"/>
      <c r="AB482" s="28" t="n"/>
      <c r="AC482" s="241" t="n"/>
      <c r="AD482" s="27" t="n"/>
      <c r="AE482" s="28" t="n"/>
      <c r="AF482" s="241" t="n"/>
      <c r="AG482" s="27" t="n"/>
      <c r="AH482" s="28" t="n"/>
      <c r="AI482" s="241" t="n"/>
      <c r="AJ482" s="27" t="n"/>
      <c r="AK482" s="28" t="n"/>
      <c r="AL482" s="241" t="n"/>
      <c r="AM482" s="27" t="n"/>
      <c r="AN482" s="28" t="n"/>
      <c r="AO482" s="241" t="n"/>
      <c r="AP482" s="27" t="n"/>
      <c r="AQ482" s="28" t="n"/>
      <c r="AR482" s="241" t="n"/>
      <c r="AS482" s="27" t="n"/>
      <c r="AT482" s="28" t="n"/>
      <c r="AU482" s="241" t="n"/>
      <c r="AV482" s="27" t="n"/>
      <c r="AW482" s="28" t="n"/>
      <c r="AX482" s="241" t="n"/>
      <c r="AY482" s="27" t="n"/>
      <c r="AZ482" s="28" t="n"/>
      <c r="BA482" s="241" t="n"/>
      <c r="BB482" s="27" t="n"/>
      <c r="BC482" s="28" t="n"/>
      <c r="BD482" s="241" t="n"/>
      <c r="BE482" s="27" t="n"/>
      <c r="BF482" s="28" t="n"/>
      <c r="BG482" s="241" t="n"/>
      <c r="BH482" s="27" t="n"/>
      <c r="BI482" s="28" t="n"/>
    </row>
    <row r="483" hidden="1" outlineLevel="2" ht="14.4" customFormat="1" customHeight="1" s="498">
      <c r="A483" s="204" t="inlineStr">
        <is>
          <t xml:space="preserve">  - Sub Chefe de Cozinha</t>
        </is>
      </c>
      <c r="B483" s="488" t="n"/>
      <c r="C483" s="201" t="n"/>
      <c r="D483" s="41" t="n"/>
      <c r="E483" s="41" t="n"/>
      <c r="F483" s="41" t="n"/>
      <c r="G483" s="56" t="n"/>
      <c r="H483" s="241" t="n"/>
      <c r="I483" s="27" t="n"/>
      <c r="J483" s="28" t="n"/>
      <c r="K483" s="241" t="n"/>
      <c r="L483" s="27" t="n"/>
      <c r="M483" s="28" t="n"/>
      <c r="N483" s="241" t="n"/>
      <c r="O483" s="27" t="n"/>
      <c r="P483" s="28" t="n"/>
      <c r="Q483" s="241" t="n"/>
      <c r="R483" s="27" t="n"/>
      <c r="S483" s="28" t="n"/>
      <c r="T483" s="241" t="n"/>
      <c r="U483" s="27" t="n"/>
      <c r="V483" s="28" t="n"/>
      <c r="W483" s="241" t="n"/>
      <c r="X483" s="27" t="n"/>
      <c r="Y483" s="28" t="n"/>
      <c r="Z483" s="241" t="n"/>
      <c r="AA483" s="27" t="n"/>
      <c r="AB483" s="28" t="n"/>
      <c r="AC483" s="241" t="n"/>
      <c r="AD483" s="27" t="n"/>
      <c r="AE483" s="28" t="n"/>
      <c r="AF483" s="241" t="n"/>
      <c r="AG483" s="27" t="n"/>
      <c r="AH483" s="28" t="n"/>
      <c r="AI483" s="241" t="n"/>
      <c r="AJ483" s="27" t="n"/>
      <c r="AK483" s="28" t="n"/>
      <c r="AL483" s="241" t="n"/>
      <c r="AM483" s="27" t="n"/>
      <c r="AN483" s="28" t="n"/>
      <c r="AO483" s="241" t="n"/>
      <c r="AP483" s="27" t="n"/>
      <c r="AQ483" s="28" t="n"/>
      <c r="AR483" s="241" t="n"/>
      <c r="AS483" s="27" t="n"/>
      <c r="AT483" s="28" t="n"/>
      <c r="AU483" s="241" t="n"/>
      <c r="AV483" s="27" t="n"/>
      <c r="AW483" s="28" t="n"/>
      <c r="AX483" s="241" t="n"/>
      <c r="AY483" s="27" t="n"/>
      <c r="AZ483" s="28" t="n"/>
      <c r="BA483" s="241" t="n"/>
      <c r="BB483" s="27" t="n"/>
      <c r="BC483" s="28" t="n"/>
      <c r="BD483" s="241" t="n"/>
      <c r="BE483" s="27" t="n"/>
      <c r="BF483" s="28" t="n"/>
      <c r="BG483" s="241" t="n"/>
      <c r="BH483" s="27" t="n"/>
      <c r="BI483" s="28" t="n"/>
    </row>
    <row r="484" hidden="1" outlineLevel="2" ht="14.4" customFormat="1" customHeight="1" s="498">
      <c r="A484" s="204" t="inlineStr">
        <is>
          <t xml:space="preserve">  - Sub Chefe De Bar</t>
        </is>
      </c>
      <c r="B484" s="488" t="n"/>
      <c r="C484" s="201" t="n"/>
      <c r="D484" s="41" t="n"/>
      <c r="E484" s="41" t="n"/>
      <c r="F484" s="41" t="n"/>
      <c r="G484" s="56" t="n"/>
      <c r="H484" s="241" t="n"/>
      <c r="I484" s="27" t="n"/>
      <c r="J484" s="28" t="n"/>
      <c r="K484" s="241" t="n"/>
      <c r="L484" s="27" t="n"/>
      <c r="M484" s="28" t="n"/>
      <c r="N484" s="241" t="n"/>
      <c r="O484" s="27" t="n"/>
      <c r="P484" s="28" t="n"/>
      <c r="Q484" s="241" t="n"/>
      <c r="R484" s="27" t="n"/>
      <c r="S484" s="28" t="n"/>
      <c r="T484" s="241" t="n"/>
      <c r="U484" s="27" t="n"/>
      <c r="V484" s="28" t="n"/>
      <c r="W484" s="241" t="n"/>
      <c r="X484" s="27" t="n"/>
      <c r="Y484" s="28" t="n"/>
      <c r="Z484" s="241" t="n"/>
      <c r="AA484" s="27" t="n"/>
      <c r="AB484" s="28" t="n"/>
      <c r="AC484" s="241" t="n"/>
      <c r="AD484" s="27" t="n"/>
      <c r="AE484" s="28" t="n"/>
      <c r="AF484" s="241" t="n"/>
      <c r="AG484" s="27" t="n"/>
      <c r="AH484" s="28" t="n"/>
      <c r="AI484" s="241" t="n"/>
      <c r="AJ484" s="27" t="n"/>
      <c r="AK484" s="28" t="n"/>
      <c r="AL484" s="241" t="n"/>
      <c r="AM484" s="27" t="n"/>
      <c r="AN484" s="28" t="n"/>
      <c r="AO484" s="241" t="n"/>
      <c r="AP484" s="27" t="n"/>
      <c r="AQ484" s="28" t="n"/>
      <c r="AR484" s="241" t="n"/>
      <c r="AS484" s="27" t="n"/>
      <c r="AT484" s="28" t="n"/>
      <c r="AU484" s="241" t="n"/>
      <c r="AV484" s="27" t="n"/>
      <c r="AW484" s="28" t="n"/>
      <c r="AX484" s="241" t="n"/>
      <c r="AY484" s="27" t="n"/>
      <c r="AZ484" s="28" t="n"/>
      <c r="BA484" s="241" t="n"/>
      <c r="BB484" s="27" t="n"/>
      <c r="BC484" s="28" t="n"/>
      <c r="BD484" s="241" t="n"/>
      <c r="BE484" s="27" t="n"/>
      <c r="BF484" s="28" t="n"/>
      <c r="BG484" s="241" t="n"/>
      <c r="BH484" s="27" t="n"/>
      <c r="BI484" s="28" t="n"/>
    </row>
    <row r="485" hidden="1" outlineLevel="2" ht="14.4" customFormat="1" customHeight="1" s="498">
      <c r="A485" s="204" t="inlineStr">
        <is>
          <t xml:space="preserve">  - Maitre</t>
        </is>
      </c>
      <c r="B485" s="488" t="n"/>
      <c r="C485" s="201" t="n"/>
      <c r="D485" s="41" t="n"/>
      <c r="E485" s="41" t="n"/>
      <c r="F485" s="41" t="n"/>
      <c r="G485" s="56" t="n"/>
      <c r="H485" s="241" t="n"/>
      <c r="I485" s="27" t="n"/>
      <c r="J485" s="28" t="n"/>
      <c r="K485" s="241" t="n"/>
      <c r="L485" s="27" t="n"/>
      <c r="M485" s="28" t="n"/>
      <c r="N485" s="241" t="n"/>
      <c r="O485" s="27" t="n"/>
      <c r="P485" s="28" t="n"/>
      <c r="Q485" s="241" t="n"/>
      <c r="R485" s="27" t="n"/>
      <c r="S485" s="28" t="n"/>
      <c r="T485" s="241" t="n"/>
      <c r="U485" s="27" t="n"/>
      <c r="V485" s="28" t="n"/>
      <c r="W485" s="241" t="n"/>
      <c r="X485" s="27" t="n"/>
      <c r="Y485" s="28" t="n"/>
      <c r="Z485" s="241" t="n"/>
      <c r="AA485" s="27" t="n"/>
      <c r="AB485" s="28" t="n"/>
      <c r="AC485" s="241" t="n"/>
      <c r="AD485" s="27" t="n"/>
      <c r="AE485" s="28" t="n"/>
      <c r="AF485" s="241" t="n"/>
      <c r="AG485" s="27" t="n"/>
      <c r="AH485" s="28" t="n"/>
      <c r="AI485" s="241" t="n"/>
      <c r="AJ485" s="27" t="n"/>
      <c r="AK485" s="28" t="n"/>
      <c r="AL485" s="241" t="n"/>
      <c r="AM485" s="27" t="n"/>
      <c r="AN485" s="28" t="n"/>
      <c r="AO485" s="241" t="n"/>
      <c r="AP485" s="27" t="n"/>
      <c r="AQ485" s="28" t="n"/>
      <c r="AR485" s="241" t="n"/>
      <c r="AS485" s="27" t="n"/>
      <c r="AT485" s="28" t="n"/>
      <c r="AU485" s="241" t="n"/>
      <c r="AV485" s="27" t="n"/>
      <c r="AW485" s="28" t="n"/>
      <c r="AX485" s="241" t="n"/>
      <c r="AY485" s="27" t="n"/>
      <c r="AZ485" s="28" t="n"/>
      <c r="BA485" s="241" t="n"/>
      <c r="BB485" s="27" t="n"/>
      <c r="BC485" s="28" t="n"/>
      <c r="BD485" s="241" t="n"/>
      <c r="BE485" s="27" t="n"/>
      <c r="BF485" s="28" t="n"/>
      <c r="BG485" s="241" t="n"/>
      <c r="BH485" s="27" t="n"/>
      <c r="BI485" s="28" t="n"/>
    </row>
    <row r="486" hidden="1" outlineLevel="2" ht="14.4" customFormat="1" customHeight="1" s="498">
      <c r="A486" s="204" t="inlineStr">
        <is>
          <t xml:space="preserve">  - Chefe de Fila</t>
        </is>
      </c>
      <c r="B486" s="488" t="n"/>
      <c r="C486" s="201" t="n"/>
      <c r="D486" s="41" t="n"/>
      <c r="E486" s="41" t="n"/>
      <c r="F486" s="41" t="n"/>
      <c r="G486" s="56" t="n"/>
      <c r="H486" s="241" t="n"/>
      <c r="I486" s="27" t="n"/>
      <c r="J486" s="28" t="n"/>
      <c r="K486" s="241" t="n"/>
      <c r="L486" s="27" t="n"/>
      <c r="M486" s="28" t="n"/>
      <c r="N486" s="241" t="n"/>
      <c r="O486" s="27" t="n"/>
      <c r="P486" s="28" t="n"/>
      <c r="Q486" s="241" t="n"/>
      <c r="R486" s="27" t="n"/>
      <c r="S486" s="28" t="n"/>
      <c r="T486" s="241" t="n"/>
      <c r="U486" s="27" t="n"/>
      <c r="V486" s="28" t="n"/>
      <c r="W486" s="241" t="n"/>
      <c r="X486" s="27" t="n"/>
      <c r="Y486" s="28" t="n"/>
      <c r="Z486" s="241" t="n"/>
      <c r="AA486" s="27" t="n"/>
      <c r="AB486" s="28" t="n"/>
      <c r="AC486" s="241" t="n"/>
      <c r="AD486" s="27" t="n"/>
      <c r="AE486" s="28" t="n"/>
      <c r="AF486" s="241" t="n"/>
      <c r="AG486" s="27" t="n"/>
      <c r="AH486" s="28" t="n"/>
      <c r="AI486" s="241" t="n"/>
      <c r="AJ486" s="27" t="n"/>
      <c r="AK486" s="28" t="n"/>
      <c r="AL486" s="241" t="n"/>
      <c r="AM486" s="27" t="n"/>
      <c r="AN486" s="28" t="n"/>
      <c r="AO486" s="241" t="n"/>
      <c r="AP486" s="27" t="n"/>
      <c r="AQ486" s="28" t="n"/>
      <c r="AR486" s="241" t="n"/>
      <c r="AS486" s="27" t="n"/>
      <c r="AT486" s="28" t="n"/>
      <c r="AU486" s="241" t="n"/>
      <c r="AV486" s="27" t="n"/>
      <c r="AW486" s="28" t="n"/>
      <c r="AX486" s="241" t="n"/>
      <c r="AY486" s="27" t="n"/>
      <c r="AZ486" s="28" t="n"/>
      <c r="BA486" s="241" t="n"/>
      <c r="BB486" s="27" t="n"/>
      <c r="BC486" s="28" t="n"/>
      <c r="BD486" s="241" t="n"/>
      <c r="BE486" s="27" t="n"/>
      <c r="BF486" s="28" t="n"/>
      <c r="BG486" s="241" t="n"/>
      <c r="BH486" s="27" t="n"/>
      <c r="BI486" s="28" t="n"/>
    </row>
    <row r="487" hidden="1" outlineLevel="2" ht="14.4" customFormat="1" customHeight="1" s="498">
      <c r="A487" s="204" t="inlineStr">
        <is>
          <t xml:space="preserve">  - Hostess</t>
        </is>
      </c>
      <c r="B487" s="488" t="n"/>
      <c r="C487" s="201" t="n"/>
      <c r="D487" s="41" t="n"/>
      <c r="E487" s="41" t="n"/>
      <c r="F487" s="41" t="n"/>
      <c r="G487" s="56" t="n"/>
      <c r="H487" s="241" t="n"/>
      <c r="I487" s="27" t="n"/>
      <c r="J487" s="28" t="n"/>
      <c r="K487" s="241" t="n"/>
      <c r="L487" s="27" t="n"/>
      <c r="M487" s="28" t="n"/>
      <c r="N487" s="241" t="n"/>
      <c r="O487" s="27" t="n"/>
      <c r="P487" s="28" t="n"/>
      <c r="Q487" s="241" t="n"/>
      <c r="R487" s="27" t="n"/>
      <c r="S487" s="28" t="n"/>
      <c r="T487" s="241" t="n"/>
      <c r="U487" s="27" t="n"/>
      <c r="V487" s="28" t="n"/>
      <c r="W487" s="241" t="n"/>
      <c r="X487" s="27" t="n"/>
      <c r="Y487" s="28" t="n"/>
      <c r="Z487" s="241" t="n"/>
      <c r="AA487" s="27" t="n"/>
      <c r="AB487" s="28" t="n"/>
      <c r="AC487" s="241" t="n"/>
      <c r="AD487" s="27" t="n"/>
      <c r="AE487" s="28" t="n"/>
      <c r="AF487" s="241" t="n"/>
      <c r="AG487" s="27" t="n"/>
      <c r="AH487" s="28" t="n"/>
      <c r="AI487" s="241" t="n"/>
      <c r="AJ487" s="27" t="n"/>
      <c r="AK487" s="28" t="n"/>
      <c r="AL487" s="241" t="n"/>
      <c r="AM487" s="27" t="n"/>
      <c r="AN487" s="28" t="n"/>
      <c r="AO487" s="241" t="n"/>
      <c r="AP487" s="27" t="n"/>
      <c r="AQ487" s="28" t="n"/>
      <c r="AR487" s="241" t="n"/>
      <c r="AS487" s="27" t="n"/>
      <c r="AT487" s="28" t="n"/>
      <c r="AU487" s="241" t="n"/>
      <c r="AV487" s="27" t="n"/>
      <c r="AW487" s="28" t="n"/>
      <c r="AX487" s="241" t="n"/>
      <c r="AY487" s="27" t="n"/>
      <c r="AZ487" s="28" t="n"/>
      <c r="BA487" s="241" t="n"/>
      <c r="BB487" s="27" t="n"/>
      <c r="BC487" s="28" t="n"/>
      <c r="BD487" s="241" t="n"/>
      <c r="BE487" s="27" t="n"/>
      <c r="BF487" s="28" t="n"/>
      <c r="BG487" s="241" t="n"/>
      <c r="BH487" s="27" t="n"/>
      <c r="BI487" s="28" t="n"/>
    </row>
    <row r="488" hidden="1" outlineLevel="2" ht="14.4" customFormat="1" customHeight="1" s="498">
      <c r="A488" s="204" t="n">
        <v>0</v>
      </c>
      <c r="B488" s="488" t="n"/>
      <c r="C488" s="201" t="n"/>
      <c r="D488" s="41" t="n"/>
      <c r="E488" s="41" t="n"/>
      <c r="F488" s="41" t="n"/>
      <c r="G488" s="56" t="n"/>
      <c r="H488" s="241" t="n"/>
      <c r="I488" s="27" t="n"/>
      <c r="J488" s="28" t="n"/>
      <c r="K488" s="241" t="n"/>
      <c r="L488" s="27" t="n"/>
      <c r="M488" s="28" t="n"/>
      <c r="N488" s="241" t="n"/>
      <c r="O488" s="27" t="n"/>
      <c r="P488" s="28" t="n"/>
      <c r="Q488" s="241" t="n"/>
      <c r="R488" s="27" t="n"/>
      <c r="S488" s="28" t="n"/>
      <c r="T488" s="241" t="n"/>
      <c r="U488" s="27" t="n"/>
      <c r="V488" s="28" t="n"/>
      <c r="W488" s="241" t="n"/>
      <c r="X488" s="27" t="n"/>
      <c r="Y488" s="28" t="n"/>
      <c r="Z488" s="241" t="n"/>
      <c r="AA488" s="27" t="n"/>
      <c r="AB488" s="28" t="n"/>
      <c r="AC488" s="241" t="n"/>
      <c r="AD488" s="27" t="n"/>
      <c r="AE488" s="28" t="n"/>
      <c r="AF488" s="241" t="n"/>
      <c r="AG488" s="27" t="n"/>
      <c r="AH488" s="28" t="n"/>
      <c r="AI488" s="241" t="n"/>
      <c r="AJ488" s="27" t="n"/>
      <c r="AK488" s="28" t="n"/>
      <c r="AL488" s="241" t="n"/>
      <c r="AM488" s="27" t="n"/>
      <c r="AN488" s="28" t="n"/>
      <c r="AO488" s="241" t="n"/>
      <c r="AP488" s="27" t="n"/>
      <c r="AQ488" s="28" t="n"/>
      <c r="AR488" s="241" t="n"/>
      <c r="AS488" s="27" t="n"/>
      <c r="AT488" s="28" t="n"/>
      <c r="AU488" s="241" t="n"/>
      <c r="AV488" s="27" t="n"/>
      <c r="AW488" s="28" t="n"/>
      <c r="AX488" s="241" t="n"/>
      <c r="AY488" s="27" t="n"/>
      <c r="AZ488" s="28" t="n"/>
      <c r="BA488" s="241" t="n"/>
      <c r="BB488" s="27" t="n"/>
      <c r="BC488" s="28" t="n"/>
      <c r="BD488" s="241" t="n"/>
      <c r="BE488" s="27" t="n"/>
      <c r="BF488" s="28" t="n"/>
      <c r="BG488" s="241" t="n"/>
      <c r="BH488" s="27" t="n"/>
      <c r="BI488" s="28" t="n"/>
    </row>
    <row r="489" hidden="1" outlineLevel="2" ht="14.4" customFormat="1" customHeight="1" s="498">
      <c r="A489" s="163" t="n"/>
      <c r="B489" s="23" t="n"/>
      <c r="C489" s="3" t="n"/>
      <c r="D489" s="4" t="n"/>
      <c r="E489" s="4" t="n"/>
      <c r="F489" s="23" t="n"/>
      <c r="G489" s="56" t="n"/>
      <c r="H489" s="273" t="n"/>
      <c r="I489" s="23" t="n"/>
      <c r="J489" s="164" t="n"/>
      <c r="K489" s="273" t="n"/>
      <c r="L489" s="23" t="n"/>
      <c r="M489" s="164" t="n"/>
      <c r="N489" s="273" t="n"/>
      <c r="O489" s="23" t="n"/>
      <c r="P489" s="164" t="n"/>
      <c r="Q489" s="273" t="n"/>
      <c r="R489" s="23" t="n"/>
      <c r="S489" s="164" t="n"/>
      <c r="T489" s="273" t="n"/>
      <c r="U489" s="23" t="n"/>
      <c r="V489" s="164" t="n"/>
      <c r="W489" s="273" t="n"/>
      <c r="X489" s="23" t="n"/>
      <c r="Y489" s="164" t="n"/>
      <c r="Z489" s="273" t="n"/>
      <c r="AA489" s="23" t="n"/>
      <c r="AB489" s="164" t="n"/>
      <c r="AC489" s="273" t="n"/>
      <c r="AD489" s="23" t="n"/>
      <c r="AE489" s="164" t="n"/>
      <c r="AF489" s="273" t="n"/>
      <c r="AG489" s="23" t="n"/>
      <c r="AH489" s="164" t="n"/>
      <c r="AI489" s="273" t="n"/>
      <c r="AJ489" s="23" t="n"/>
      <c r="AK489" s="164" t="n"/>
      <c r="AL489" s="273" t="n"/>
      <c r="AM489" s="23" t="n"/>
      <c r="AN489" s="164" t="n"/>
      <c r="AO489" s="273" t="n"/>
      <c r="AP489" s="23" t="n"/>
      <c r="AQ489" s="164" t="n"/>
      <c r="AR489" s="273" t="n"/>
      <c r="AS489" s="23" t="n"/>
      <c r="AT489" s="164" t="n"/>
      <c r="AU489" s="273" t="n"/>
      <c r="AV489" s="23" t="n"/>
      <c r="AW489" s="164" t="n"/>
      <c r="AX489" s="273" t="n"/>
      <c r="AY489" s="23" t="n"/>
      <c r="AZ489" s="164" t="n"/>
      <c r="BA489" s="273" t="n"/>
      <c r="BB489" s="23" t="n"/>
      <c r="BC489" s="164" t="n"/>
      <c r="BD489" s="273" t="n"/>
      <c r="BE489" s="23" t="n"/>
      <c r="BF489" s="164" t="n"/>
      <c r="BG489" s="273" t="n"/>
      <c r="BH489" s="23" t="n"/>
      <c r="BI489" s="164" t="n"/>
    </row>
    <row r="490" hidden="1" outlineLevel="2" ht="14.4" customFormat="1" customHeight="1" s="498">
      <c r="A490" s="200" t="inlineStr">
        <is>
          <t>CLT</t>
        </is>
      </c>
      <c r="B490" s="23" t="n"/>
      <c r="C490" s="3" t="n"/>
      <c r="D490" s="16" t="n"/>
      <c r="E490" s="4" t="n"/>
      <c r="F490" s="23" t="n"/>
      <c r="G490" s="56" t="n"/>
      <c r="H490" s="283" t="n"/>
      <c r="I490" s="207" t="n"/>
      <c r="J490" s="208" t="n"/>
      <c r="K490" s="283" t="n"/>
      <c r="L490" s="207" t="n"/>
      <c r="M490" s="208" t="n"/>
      <c r="N490" s="283" t="n"/>
      <c r="O490" s="207" t="n"/>
      <c r="P490" s="208" t="n"/>
      <c r="Q490" s="283" t="n"/>
      <c r="R490" s="207" t="n"/>
      <c r="S490" s="208" t="n"/>
      <c r="T490" s="283" t="n"/>
      <c r="U490" s="207" t="n"/>
      <c r="V490" s="208" t="n"/>
      <c r="W490" s="283" t="n"/>
      <c r="X490" s="207" t="n"/>
      <c r="Y490" s="208" t="n"/>
      <c r="Z490" s="283" t="n"/>
      <c r="AA490" s="207" t="n"/>
      <c r="AB490" s="208" t="n"/>
      <c r="AC490" s="283" t="n"/>
      <c r="AD490" s="207" t="n"/>
      <c r="AE490" s="208" t="n"/>
      <c r="AF490" s="283" t="n"/>
      <c r="AG490" s="207" t="n"/>
      <c r="AH490" s="208" t="n"/>
      <c r="AI490" s="283" t="n"/>
      <c r="AJ490" s="207" t="n"/>
      <c r="AK490" s="208" t="n"/>
      <c r="AL490" s="283" t="n"/>
      <c r="AM490" s="207" t="n"/>
      <c r="AN490" s="208" t="n"/>
      <c r="AO490" s="283" t="n"/>
      <c r="AP490" s="207" t="n"/>
      <c r="AQ490" s="208" t="n"/>
      <c r="AR490" s="283" t="n"/>
      <c r="AS490" s="207" t="n"/>
      <c r="AT490" s="208" t="n"/>
      <c r="AU490" s="283" t="n"/>
      <c r="AV490" s="207" t="n"/>
      <c r="AW490" s="208" t="n"/>
      <c r="AX490" s="283" t="n"/>
      <c r="AY490" s="207" t="n"/>
      <c r="AZ490" s="208" t="n"/>
      <c r="BA490" s="283" t="n"/>
      <c r="BB490" s="207" t="n"/>
      <c r="BC490" s="208" t="n"/>
      <c r="BD490" s="283" t="n"/>
      <c r="BE490" s="207" t="n"/>
      <c r="BF490" s="208" t="n"/>
      <c r="BG490" s="283" t="n"/>
      <c r="BH490" s="207" t="n"/>
      <c r="BI490" s="208" t="n"/>
    </row>
    <row r="491" hidden="1" outlineLevel="2" ht="14.4" customFormat="1" customHeight="1" s="498">
      <c r="A491" s="22" t="inlineStr">
        <is>
          <t xml:space="preserve">  -  Maitre</t>
        </is>
      </c>
      <c r="B491" s="23" t="n"/>
      <c r="C491" s="3" t="n"/>
      <c r="D491" s="16" t="n"/>
      <c r="E491" s="4" t="n"/>
      <c r="F491" s="23" t="n"/>
      <c r="G491" s="56" t="n"/>
      <c r="H491" s="284" t="n"/>
      <c r="I491" s="209" t="n"/>
      <c r="J491" s="210" t="n"/>
      <c r="K491" s="284" t="n"/>
      <c r="L491" s="209" t="n"/>
      <c r="M491" s="210" t="n"/>
      <c r="N491" s="284" t="n"/>
      <c r="O491" s="209" t="n"/>
      <c r="P491" s="210" t="n"/>
      <c r="Q491" s="284" t="n"/>
      <c r="R491" s="209" t="n"/>
      <c r="S491" s="210" t="n"/>
      <c r="T491" s="284" t="n"/>
      <c r="U491" s="209" t="n"/>
      <c r="V491" s="210" t="n"/>
      <c r="W491" s="284" t="n"/>
      <c r="X491" s="209" t="n"/>
      <c r="Y491" s="210" t="n"/>
      <c r="Z491" s="284" t="n"/>
      <c r="AA491" s="209" t="n"/>
      <c r="AB491" s="210" t="n"/>
      <c r="AC491" s="284" t="n"/>
      <c r="AD491" s="209" t="n"/>
      <c r="AE491" s="210" t="n"/>
      <c r="AF491" s="284" t="n"/>
      <c r="AG491" s="209" t="n"/>
      <c r="AH491" s="210" t="n"/>
      <c r="AI491" s="284" t="n"/>
      <c r="AJ491" s="209" t="n"/>
      <c r="AK491" s="210" t="n"/>
      <c r="AL491" s="284" t="n"/>
      <c r="AM491" s="209" t="n"/>
      <c r="AN491" s="210" t="n"/>
      <c r="AO491" s="284" t="n"/>
      <c r="AP491" s="209" t="n"/>
      <c r="AQ491" s="210" t="n"/>
      <c r="AR491" s="284" t="n"/>
      <c r="AS491" s="209" t="n"/>
      <c r="AT491" s="210" t="n"/>
      <c r="AU491" s="284" t="n"/>
      <c r="AV491" s="209" t="n"/>
      <c r="AW491" s="210" t="n"/>
      <c r="AX491" s="284" t="n"/>
      <c r="AY491" s="209" t="n"/>
      <c r="AZ491" s="210" t="n"/>
      <c r="BA491" s="284" t="n"/>
      <c r="BB491" s="209" t="n"/>
      <c r="BC491" s="210" t="n"/>
      <c r="BD491" s="284" t="n"/>
      <c r="BE491" s="209" t="n"/>
      <c r="BF491" s="210" t="n"/>
      <c r="BG491" s="284" t="n"/>
      <c r="BH491" s="209" t="n"/>
      <c r="BI491" s="210" t="n"/>
    </row>
    <row r="492" hidden="1" outlineLevel="2" ht="14.4" customFormat="1" customHeight="1" s="498">
      <c r="A492" s="22" t="inlineStr">
        <is>
          <t xml:space="preserve">  -  Garçon III</t>
        </is>
      </c>
      <c r="B492" s="23" t="n"/>
      <c r="C492" s="3" t="n"/>
      <c r="D492" s="16" t="n"/>
      <c r="E492" s="4" t="n"/>
      <c r="F492" s="23" t="n"/>
      <c r="G492" s="56" t="n"/>
      <c r="H492" s="284" t="n"/>
      <c r="I492" s="209" t="n"/>
      <c r="J492" s="210" t="n"/>
      <c r="K492" s="284" t="n"/>
      <c r="L492" s="209" t="n"/>
      <c r="M492" s="210" t="n"/>
      <c r="N492" s="284" t="n"/>
      <c r="O492" s="209" t="n"/>
      <c r="P492" s="210" t="n"/>
      <c r="Q492" s="284" t="n"/>
      <c r="R492" s="209" t="n"/>
      <c r="S492" s="210" t="n"/>
      <c r="T492" s="284" t="n"/>
      <c r="U492" s="209" t="n"/>
      <c r="V492" s="210" t="n"/>
      <c r="W492" s="284" t="n"/>
      <c r="X492" s="209" t="n"/>
      <c r="Y492" s="210" t="n"/>
      <c r="Z492" s="284" t="n"/>
      <c r="AA492" s="209" t="n"/>
      <c r="AB492" s="210" t="n"/>
      <c r="AC492" s="284" t="n"/>
      <c r="AD492" s="209" t="n"/>
      <c r="AE492" s="210" t="n"/>
      <c r="AF492" s="284" t="n"/>
      <c r="AG492" s="209" t="n"/>
      <c r="AH492" s="210" t="n"/>
      <c r="AI492" s="284" t="n"/>
      <c r="AJ492" s="209" t="n"/>
      <c r="AK492" s="210" t="n"/>
      <c r="AL492" s="284" t="n"/>
      <c r="AM492" s="209" t="n"/>
      <c r="AN492" s="210" t="n"/>
      <c r="AO492" s="284" t="n"/>
      <c r="AP492" s="209" t="n"/>
      <c r="AQ492" s="210" t="n"/>
      <c r="AR492" s="284" t="n"/>
      <c r="AS492" s="209" t="n"/>
      <c r="AT492" s="210" t="n"/>
      <c r="AU492" s="284" t="n"/>
      <c r="AV492" s="209" t="n"/>
      <c r="AW492" s="210" t="n"/>
      <c r="AX492" s="284" t="n"/>
      <c r="AY492" s="209" t="n"/>
      <c r="AZ492" s="210" t="n"/>
      <c r="BA492" s="284" t="n"/>
      <c r="BB492" s="209" t="n"/>
      <c r="BC492" s="210" t="n"/>
      <c r="BD492" s="284" t="n"/>
      <c r="BE492" s="209" t="n"/>
      <c r="BF492" s="210" t="n"/>
      <c r="BG492" s="284" t="n"/>
      <c r="BH492" s="209" t="n"/>
      <c r="BI492" s="210" t="n"/>
    </row>
    <row r="493" hidden="1" outlineLevel="2" ht="14.4" customFormat="1" customHeight="1" s="498">
      <c r="A493" s="22" t="inlineStr">
        <is>
          <t xml:space="preserve">  -  Garçon II</t>
        </is>
      </c>
      <c r="B493" s="23" t="n"/>
      <c r="C493" s="3" t="n"/>
      <c r="D493" s="16" t="n"/>
      <c r="E493" s="4" t="n"/>
      <c r="F493" s="23" t="n"/>
      <c r="G493" s="56" t="n"/>
      <c r="H493" s="284" t="n"/>
      <c r="I493" s="209" t="n"/>
      <c r="J493" s="210" t="n"/>
      <c r="K493" s="284" t="n"/>
      <c r="L493" s="209" t="n"/>
      <c r="M493" s="210" t="n"/>
      <c r="N493" s="284" t="n"/>
      <c r="O493" s="209" t="n"/>
      <c r="P493" s="210" t="n"/>
      <c r="Q493" s="284" t="n"/>
      <c r="R493" s="209" t="n"/>
      <c r="S493" s="210" t="n"/>
      <c r="T493" s="284" t="n"/>
      <c r="U493" s="209" t="n"/>
      <c r="V493" s="210" t="n"/>
      <c r="W493" s="284" t="n"/>
      <c r="X493" s="209" t="n"/>
      <c r="Y493" s="210" t="n"/>
      <c r="Z493" s="284" t="n"/>
      <c r="AA493" s="209" t="n"/>
      <c r="AB493" s="210" t="n"/>
      <c r="AC493" s="284" t="n"/>
      <c r="AD493" s="209" t="n"/>
      <c r="AE493" s="210" t="n"/>
      <c r="AF493" s="284" t="n"/>
      <c r="AG493" s="209" t="n"/>
      <c r="AH493" s="210" t="n"/>
      <c r="AI493" s="284" t="n"/>
      <c r="AJ493" s="209" t="n"/>
      <c r="AK493" s="210" t="n"/>
      <c r="AL493" s="284" t="n"/>
      <c r="AM493" s="209" t="n"/>
      <c r="AN493" s="210" t="n"/>
      <c r="AO493" s="284" t="n"/>
      <c r="AP493" s="209" t="n"/>
      <c r="AQ493" s="210" t="n"/>
      <c r="AR493" s="284" t="n"/>
      <c r="AS493" s="209" t="n"/>
      <c r="AT493" s="210" t="n"/>
      <c r="AU493" s="284" t="n"/>
      <c r="AV493" s="209" t="n"/>
      <c r="AW493" s="210" t="n"/>
      <c r="AX493" s="284" t="n"/>
      <c r="AY493" s="209" t="n"/>
      <c r="AZ493" s="210" t="n"/>
      <c r="BA493" s="284" t="n"/>
      <c r="BB493" s="209" t="n"/>
      <c r="BC493" s="210" t="n"/>
      <c r="BD493" s="284" t="n"/>
      <c r="BE493" s="209" t="n"/>
      <c r="BF493" s="210" t="n"/>
      <c r="BG493" s="284" t="n"/>
      <c r="BH493" s="209" t="n"/>
      <c r="BI493" s="210" t="n"/>
    </row>
    <row r="494" hidden="1" outlineLevel="2" ht="14.4" customFormat="1" customHeight="1" s="498">
      <c r="A494" s="22" t="inlineStr">
        <is>
          <t xml:space="preserve">  -  Garçon I</t>
        </is>
      </c>
      <c r="B494" s="23" t="n"/>
      <c r="C494" s="3" t="n"/>
      <c r="D494" s="16" t="n"/>
      <c r="E494" s="4" t="n"/>
      <c r="F494" s="23" t="n"/>
      <c r="G494" s="56" t="n"/>
      <c r="H494" s="284" t="n"/>
      <c r="I494" s="209" t="n"/>
      <c r="J494" s="210" t="n"/>
      <c r="K494" s="284" t="n"/>
      <c r="L494" s="209" t="n"/>
      <c r="M494" s="210" t="n"/>
      <c r="N494" s="284" t="n"/>
      <c r="O494" s="209" t="n"/>
      <c r="P494" s="210" t="n"/>
      <c r="Q494" s="284" t="n"/>
      <c r="R494" s="209" t="n"/>
      <c r="S494" s="210" t="n"/>
      <c r="T494" s="284" t="n"/>
      <c r="U494" s="209" t="n"/>
      <c r="V494" s="210" t="n"/>
      <c r="W494" s="284" t="n"/>
      <c r="X494" s="209" t="n"/>
      <c r="Y494" s="210" t="n"/>
      <c r="Z494" s="284" t="n"/>
      <c r="AA494" s="209" t="n"/>
      <c r="AB494" s="210" t="n"/>
      <c r="AC494" s="284" t="n"/>
      <c r="AD494" s="209" t="n"/>
      <c r="AE494" s="210" t="n"/>
      <c r="AF494" s="284" t="n"/>
      <c r="AG494" s="209" t="n"/>
      <c r="AH494" s="210" t="n"/>
      <c r="AI494" s="284" t="n"/>
      <c r="AJ494" s="209" t="n"/>
      <c r="AK494" s="210" t="n"/>
      <c r="AL494" s="284" t="n"/>
      <c r="AM494" s="209" t="n"/>
      <c r="AN494" s="210" t="n"/>
      <c r="AO494" s="284" t="n"/>
      <c r="AP494" s="209" t="n"/>
      <c r="AQ494" s="210" t="n"/>
      <c r="AR494" s="284" t="n"/>
      <c r="AS494" s="209" t="n"/>
      <c r="AT494" s="210" t="n"/>
      <c r="AU494" s="284" t="n"/>
      <c r="AV494" s="209" t="n"/>
      <c r="AW494" s="210" t="n"/>
      <c r="AX494" s="284" t="n"/>
      <c r="AY494" s="209" t="n"/>
      <c r="AZ494" s="210" t="n"/>
      <c r="BA494" s="284" t="n"/>
      <c r="BB494" s="209" t="n"/>
      <c r="BC494" s="210" t="n"/>
      <c r="BD494" s="284" t="n"/>
      <c r="BE494" s="209" t="n"/>
      <c r="BF494" s="210" t="n"/>
      <c r="BG494" s="284" t="n"/>
      <c r="BH494" s="209" t="n"/>
      <c r="BI494" s="210" t="n"/>
    </row>
    <row r="495" hidden="1" outlineLevel="2" ht="14.4" customFormat="1" customHeight="1" s="498">
      <c r="A495" s="22" t="inlineStr">
        <is>
          <t xml:space="preserve">  -  Passador de Chopp</t>
        </is>
      </c>
      <c r="B495" s="23" t="n"/>
      <c r="C495" s="3" t="n"/>
      <c r="D495" s="16" t="n"/>
      <c r="E495" s="4" t="n"/>
      <c r="F495" s="23" t="n"/>
      <c r="G495" s="56" t="n"/>
      <c r="H495" s="284" t="n"/>
      <c r="I495" s="209" t="n"/>
      <c r="J495" s="210" t="n"/>
      <c r="K495" s="284" t="n"/>
      <c r="L495" s="209" t="n"/>
      <c r="M495" s="210" t="n"/>
      <c r="N495" s="284" t="n"/>
      <c r="O495" s="209" t="n"/>
      <c r="P495" s="210" t="n"/>
      <c r="Q495" s="284" t="n"/>
      <c r="R495" s="209" t="n"/>
      <c r="S495" s="210" t="n"/>
      <c r="T495" s="284" t="n"/>
      <c r="U495" s="209" t="n"/>
      <c r="V495" s="210" t="n"/>
      <c r="W495" s="284" t="n"/>
      <c r="X495" s="209" t="n"/>
      <c r="Y495" s="210" t="n"/>
      <c r="Z495" s="284" t="n"/>
      <c r="AA495" s="209" t="n"/>
      <c r="AB495" s="210" t="n"/>
      <c r="AC495" s="284" t="n"/>
      <c r="AD495" s="209" t="n"/>
      <c r="AE495" s="210" t="n"/>
      <c r="AF495" s="284" t="n"/>
      <c r="AG495" s="209" t="n"/>
      <c r="AH495" s="210" t="n"/>
      <c r="AI495" s="284" t="n"/>
      <c r="AJ495" s="209" t="n"/>
      <c r="AK495" s="210" t="n"/>
      <c r="AL495" s="284" t="n"/>
      <c r="AM495" s="209" t="n"/>
      <c r="AN495" s="210" t="n"/>
      <c r="AO495" s="284" t="n"/>
      <c r="AP495" s="209" t="n"/>
      <c r="AQ495" s="210" t="n"/>
      <c r="AR495" s="284" t="n"/>
      <c r="AS495" s="209" t="n"/>
      <c r="AT495" s="210" t="n"/>
      <c r="AU495" s="284" t="n"/>
      <c r="AV495" s="209" t="n"/>
      <c r="AW495" s="210" t="n"/>
      <c r="AX495" s="284" t="n"/>
      <c r="AY495" s="209" t="n"/>
      <c r="AZ495" s="210" t="n"/>
      <c r="BA495" s="284" t="n"/>
      <c r="BB495" s="209" t="n"/>
      <c r="BC495" s="210" t="n"/>
      <c r="BD495" s="284" t="n"/>
      <c r="BE495" s="209" t="n"/>
      <c r="BF495" s="210" t="n"/>
      <c r="BG495" s="284" t="n"/>
      <c r="BH495" s="209" t="n"/>
      <c r="BI495" s="210" t="n"/>
    </row>
    <row r="496" hidden="1" outlineLevel="2" ht="14.4" customFormat="1" customHeight="1" s="498">
      <c r="A496" s="22" t="inlineStr">
        <is>
          <t xml:space="preserve">  -  Cumin</t>
        </is>
      </c>
      <c r="B496" s="23" t="n"/>
      <c r="C496" s="3" t="n"/>
      <c r="D496" s="16" t="n"/>
      <c r="E496" s="4" t="n"/>
      <c r="F496" s="23" t="n"/>
      <c r="G496" s="56" t="n"/>
      <c r="H496" s="284" t="n"/>
      <c r="I496" s="209" t="n"/>
      <c r="J496" s="210" t="n"/>
      <c r="K496" s="284" t="n"/>
      <c r="L496" s="209" t="n"/>
      <c r="M496" s="210" t="n"/>
      <c r="N496" s="284" t="n"/>
      <c r="O496" s="209" t="n"/>
      <c r="P496" s="210" t="n"/>
      <c r="Q496" s="284" t="n"/>
      <c r="R496" s="209" t="n"/>
      <c r="S496" s="210" t="n"/>
      <c r="T496" s="284" t="n"/>
      <c r="U496" s="209" t="n"/>
      <c r="V496" s="210" t="n"/>
      <c r="W496" s="284" t="n"/>
      <c r="X496" s="209" t="n"/>
      <c r="Y496" s="210" t="n"/>
      <c r="Z496" s="284" t="n"/>
      <c r="AA496" s="209" t="n"/>
      <c r="AB496" s="210" t="n"/>
      <c r="AC496" s="284" t="n"/>
      <c r="AD496" s="209" t="n"/>
      <c r="AE496" s="210" t="n"/>
      <c r="AF496" s="284" t="n"/>
      <c r="AG496" s="209" t="n"/>
      <c r="AH496" s="210" t="n"/>
      <c r="AI496" s="284" t="n"/>
      <c r="AJ496" s="209" t="n"/>
      <c r="AK496" s="210" t="n"/>
      <c r="AL496" s="284" t="n"/>
      <c r="AM496" s="209" t="n"/>
      <c r="AN496" s="210" t="n"/>
      <c r="AO496" s="284" t="n"/>
      <c r="AP496" s="209" t="n"/>
      <c r="AQ496" s="210" t="n"/>
      <c r="AR496" s="284" t="n"/>
      <c r="AS496" s="209" t="n"/>
      <c r="AT496" s="210" t="n"/>
      <c r="AU496" s="284" t="n"/>
      <c r="AV496" s="209" t="n"/>
      <c r="AW496" s="210" t="n"/>
      <c r="AX496" s="284" t="n"/>
      <c r="AY496" s="209" t="n"/>
      <c r="AZ496" s="210" t="n"/>
      <c r="BA496" s="284" t="n"/>
      <c r="BB496" s="209" t="n"/>
      <c r="BC496" s="210" t="n"/>
      <c r="BD496" s="284" t="n"/>
      <c r="BE496" s="209" t="n"/>
      <c r="BF496" s="210" t="n"/>
      <c r="BG496" s="284" t="n"/>
      <c r="BH496" s="209" t="n"/>
      <c r="BI496" s="210" t="n"/>
    </row>
    <row r="497" hidden="1" outlineLevel="2" ht="14.4" customFormat="1" customHeight="1" s="498">
      <c r="A497" s="22" t="inlineStr">
        <is>
          <t xml:space="preserve">  -  Sub Chefe de Bar</t>
        </is>
      </c>
      <c r="B497" s="23" t="n"/>
      <c r="C497" s="3" t="n"/>
      <c r="D497" s="16" t="n"/>
      <c r="E497" s="4" t="n"/>
      <c r="F497" s="23" t="n"/>
      <c r="G497" s="56" t="n"/>
      <c r="H497" s="284" t="n"/>
      <c r="I497" s="209" t="n"/>
      <c r="J497" s="210" t="n"/>
      <c r="K497" s="284" t="n"/>
      <c r="L497" s="209" t="n"/>
      <c r="M497" s="210" t="n"/>
      <c r="N497" s="284" t="n"/>
      <c r="O497" s="209" t="n"/>
      <c r="P497" s="210" t="n"/>
      <c r="Q497" s="284" t="n"/>
      <c r="R497" s="209" t="n"/>
      <c r="S497" s="210" t="n"/>
      <c r="T497" s="284" t="n"/>
      <c r="U497" s="209" t="n"/>
      <c r="V497" s="210" t="n"/>
      <c r="W497" s="284" t="n"/>
      <c r="X497" s="209" t="n"/>
      <c r="Y497" s="210" t="n"/>
      <c r="Z497" s="284" t="n"/>
      <c r="AA497" s="209" t="n"/>
      <c r="AB497" s="210" t="n"/>
      <c r="AC497" s="284" t="n"/>
      <c r="AD497" s="209" t="n"/>
      <c r="AE497" s="210" t="n"/>
      <c r="AF497" s="284" t="n"/>
      <c r="AG497" s="209" t="n"/>
      <c r="AH497" s="210" t="n"/>
      <c r="AI497" s="284" t="n"/>
      <c r="AJ497" s="209" t="n"/>
      <c r="AK497" s="210" t="n"/>
      <c r="AL497" s="284" t="n"/>
      <c r="AM497" s="209" t="n"/>
      <c r="AN497" s="210" t="n"/>
      <c r="AO497" s="284" t="n"/>
      <c r="AP497" s="209" t="n"/>
      <c r="AQ497" s="210" t="n"/>
      <c r="AR497" s="284" t="n"/>
      <c r="AS497" s="209" t="n"/>
      <c r="AT497" s="210" t="n"/>
      <c r="AU497" s="284" t="n"/>
      <c r="AV497" s="209" t="n"/>
      <c r="AW497" s="210" t="n"/>
      <c r="AX497" s="284" t="n"/>
      <c r="AY497" s="209" t="n"/>
      <c r="AZ497" s="210" t="n"/>
      <c r="BA497" s="284" t="n"/>
      <c r="BB497" s="209" t="n"/>
      <c r="BC497" s="210" t="n"/>
      <c r="BD497" s="284" t="n"/>
      <c r="BE497" s="209" t="n"/>
      <c r="BF497" s="210" t="n"/>
      <c r="BG497" s="284" t="n"/>
      <c r="BH497" s="209" t="n"/>
      <c r="BI497" s="210" t="n"/>
    </row>
    <row r="498" hidden="1" outlineLevel="2" ht="14.4" customFormat="1" customHeight="1" s="498">
      <c r="A498" s="22" t="inlineStr">
        <is>
          <t xml:space="preserve">  -  Bartender III</t>
        </is>
      </c>
      <c r="B498" s="23" t="n"/>
      <c r="C498" s="3" t="n"/>
      <c r="D498" s="16" t="n"/>
      <c r="E498" s="4" t="n"/>
      <c r="F498" s="23" t="n"/>
      <c r="G498" s="56" t="n"/>
      <c r="H498" s="284" t="n"/>
      <c r="I498" s="209" t="n"/>
      <c r="J498" s="210" t="n"/>
      <c r="K498" s="284" t="n"/>
      <c r="L498" s="209" t="n"/>
      <c r="M498" s="210" t="n"/>
      <c r="N498" s="284" t="n"/>
      <c r="O498" s="209" t="n"/>
      <c r="P498" s="210" t="n"/>
      <c r="Q498" s="284" t="n"/>
      <c r="R498" s="209" t="n"/>
      <c r="S498" s="210" t="n"/>
      <c r="T498" s="284" t="n"/>
      <c r="U498" s="209" t="n"/>
      <c r="V498" s="210" t="n"/>
      <c r="W498" s="284" t="n"/>
      <c r="X498" s="209" t="n"/>
      <c r="Y498" s="210" t="n"/>
      <c r="Z498" s="284" t="n"/>
      <c r="AA498" s="209" t="n"/>
      <c r="AB498" s="210" t="n"/>
      <c r="AC498" s="284" t="n"/>
      <c r="AD498" s="209" t="n"/>
      <c r="AE498" s="210" t="n"/>
      <c r="AF498" s="284" t="n"/>
      <c r="AG498" s="209" t="n"/>
      <c r="AH498" s="210" t="n"/>
      <c r="AI498" s="284" t="n"/>
      <c r="AJ498" s="209" t="n"/>
      <c r="AK498" s="210" t="n"/>
      <c r="AL498" s="284" t="n"/>
      <c r="AM498" s="209" t="n"/>
      <c r="AN498" s="210" t="n"/>
      <c r="AO498" s="284" t="n"/>
      <c r="AP498" s="209" t="n"/>
      <c r="AQ498" s="210" t="n"/>
      <c r="AR498" s="284" t="n"/>
      <c r="AS498" s="209" t="n"/>
      <c r="AT498" s="210" t="n"/>
      <c r="AU498" s="284" t="n"/>
      <c r="AV498" s="209" t="n"/>
      <c r="AW498" s="210" t="n"/>
      <c r="AX498" s="284" t="n"/>
      <c r="AY498" s="209" t="n"/>
      <c r="AZ498" s="210" t="n"/>
      <c r="BA498" s="284" t="n"/>
      <c r="BB498" s="209" t="n"/>
      <c r="BC498" s="210" t="n"/>
      <c r="BD498" s="284" t="n"/>
      <c r="BE498" s="209" t="n"/>
      <c r="BF498" s="210" t="n"/>
      <c r="BG498" s="284" t="n"/>
      <c r="BH498" s="209" t="n"/>
      <c r="BI498" s="210" t="n"/>
    </row>
    <row r="499" hidden="1" outlineLevel="2" ht="14.4" customFormat="1" customHeight="1" s="498">
      <c r="A499" s="22" t="inlineStr">
        <is>
          <t xml:space="preserve">  -  Bartender II</t>
        </is>
      </c>
      <c r="B499" s="23" t="n"/>
      <c r="C499" s="3" t="n"/>
      <c r="D499" s="16" t="n"/>
      <c r="E499" s="4" t="n"/>
      <c r="F499" s="23" t="n"/>
      <c r="G499" s="56" t="n"/>
      <c r="H499" s="284" t="n"/>
      <c r="I499" s="209" t="n"/>
      <c r="J499" s="210" t="n"/>
      <c r="K499" s="284" t="n"/>
      <c r="L499" s="209" t="n"/>
      <c r="M499" s="210" t="n"/>
      <c r="N499" s="284" t="n"/>
      <c r="O499" s="209" t="n"/>
      <c r="P499" s="210" t="n"/>
      <c r="Q499" s="284" t="n"/>
      <c r="R499" s="209" t="n"/>
      <c r="S499" s="210" t="n"/>
      <c r="T499" s="284" t="n"/>
      <c r="U499" s="209" t="n"/>
      <c r="V499" s="210" t="n"/>
      <c r="W499" s="284" t="n"/>
      <c r="X499" s="209" t="n"/>
      <c r="Y499" s="210" t="n"/>
      <c r="Z499" s="284" t="n"/>
      <c r="AA499" s="209" t="n"/>
      <c r="AB499" s="210" t="n"/>
      <c r="AC499" s="284" t="n"/>
      <c r="AD499" s="209" t="n"/>
      <c r="AE499" s="210" t="n"/>
      <c r="AF499" s="284" t="n"/>
      <c r="AG499" s="209" t="n"/>
      <c r="AH499" s="210" t="n"/>
      <c r="AI499" s="284" t="n"/>
      <c r="AJ499" s="209" t="n"/>
      <c r="AK499" s="210" t="n"/>
      <c r="AL499" s="284" t="n"/>
      <c r="AM499" s="209" t="n"/>
      <c r="AN499" s="210" t="n"/>
      <c r="AO499" s="284" t="n"/>
      <c r="AP499" s="209" t="n"/>
      <c r="AQ499" s="210" t="n"/>
      <c r="AR499" s="284" t="n"/>
      <c r="AS499" s="209" t="n"/>
      <c r="AT499" s="210" t="n"/>
      <c r="AU499" s="284" t="n"/>
      <c r="AV499" s="209" t="n"/>
      <c r="AW499" s="210" t="n"/>
      <c r="AX499" s="284" t="n"/>
      <c r="AY499" s="209" t="n"/>
      <c r="AZ499" s="210" t="n"/>
      <c r="BA499" s="284" t="n"/>
      <c r="BB499" s="209" t="n"/>
      <c r="BC499" s="210" t="n"/>
      <c r="BD499" s="284" t="n"/>
      <c r="BE499" s="209" t="n"/>
      <c r="BF499" s="210" t="n"/>
      <c r="BG499" s="284" t="n"/>
      <c r="BH499" s="209" t="n"/>
      <c r="BI499" s="210" t="n"/>
    </row>
    <row r="500" hidden="1" outlineLevel="2" ht="14.4" customFormat="1" customHeight="1" s="498">
      <c r="A500" s="22" t="inlineStr">
        <is>
          <t xml:space="preserve">  -  Bartender I</t>
        </is>
      </c>
      <c r="B500" s="23" t="n"/>
      <c r="C500" s="3" t="n"/>
      <c r="D500" s="16" t="n"/>
      <c r="E500" s="4" t="n"/>
      <c r="F500" s="23" t="n"/>
      <c r="G500" s="56" t="n"/>
      <c r="H500" s="284" t="n"/>
      <c r="I500" s="209" t="n"/>
      <c r="J500" s="210" t="n"/>
      <c r="K500" s="284" t="n"/>
      <c r="L500" s="209" t="n"/>
      <c r="M500" s="210" t="n"/>
      <c r="N500" s="284" t="n"/>
      <c r="O500" s="209" t="n"/>
      <c r="P500" s="210" t="n"/>
      <c r="Q500" s="284" t="n"/>
      <c r="R500" s="209" t="n"/>
      <c r="S500" s="210" t="n"/>
      <c r="T500" s="284" t="n"/>
      <c r="U500" s="209" t="n"/>
      <c r="V500" s="210" t="n"/>
      <c r="W500" s="284" t="n"/>
      <c r="X500" s="209" t="n"/>
      <c r="Y500" s="210" t="n"/>
      <c r="Z500" s="284" t="n"/>
      <c r="AA500" s="209" t="n"/>
      <c r="AB500" s="210" t="n"/>
      <c r="AC500" s="284" t="n"/>
      <c r="AD500" s="209" t="n"/>
      <c r="AE500" s="210" t="n"/>
      <c r="AF500" s="284" t="n"/>
      <c r="AG500" s="209" t="n"/>
      <c r="AH500" s="210" t="n"/>
      <c r="AI500" s="284" t="n"/>
      <c r="AJ500" s="209" t="n"/>
      <c r="AK500" s="210" t="n"/>
      <c r="AL500" s="284" t="n"/>
      <c r="AM500" s="209" t="n"/>
      <c r="AN500" s="210" t="n"/>
      <c r="AO500" s="284" t="n"/>
      <c r="AP500" s="209" t="n"/>
      <c r="AQ500" s="210" t="n"/>
      <c r="AR500" s="284" t="n"/>
      <c r="AS500" s="209" t="n"/>
      <c r="AT500" s="210" t="n"/>
      <c r="AU500" s="284" t="n"/>
      <c r="AV500" s="209" t="n"/>
      <c r="AW500" s="210" t="n"/>
      <c r="AX500" s="284" t="n"/>
      <c r="AY500" s="209" t="n"/>
      <c r="AZ500" s="210" t="n"/>
      <c r="BA500" s="284" t="n"/>
      <c r="BB500" s="209" t="n"/>
      <c r="BC500" s="210" t="n"/>
      <c r="BD500" s="284" t="n"/>
      <c r="BE500" s="209" t="n"/>
      <c r="BF500" s="210" t="n"/>
      <c r="BG500" s="284" t="n"/>
      <c r="BH500" s="209" t="n"/>
      <c r="BI500" s="210" t="n"/>
    </row>
    <row r="501" hidden="1" outlineLevel="2" ht="14.4" customFormat="1" customHeight="1" s="498">
      <c r="A501" s="22" t="inlineStr">
        <is>
          <t xml:space="preserve">  -  Bar Back</t>
        </is>
      </c>
      <c r="B501" s="23" t="n"/>
      <c r="C501" s="3" t="n"/>
      <c r="D501" s="16" t="n"/>
      <c r="E501" s="4" t="n"/>
      <c r="F501" s="23" t="n"/>
      <c r="G501" s="56" t="n"/>
      <c r="H501" s="284" t="n"/>
      <c r="I501" s="209" t="n"/>
      <c r="J501" s="210" t="n"/>
      <c r="K501" s="284" t="n"/>
      <c r="L501" s="209" t="n"/>
      <c r="M501" s="210" t="n"/>
      <c r="N501" s="284" t="n"/>
      <c r="O501" s="209" t="n"/>
      <c r="P501" s="210" t="n"/>
      <c r="Q501" s="284" t="n"/>
      <c r="R501" s="209" t="n"/>
      <c r="S501" s="210" t="n"/>
      <c r="T501" s="284" t="n"/>
      <c r="U501" s="209" t="n"/>
      <c r="V501" s="210" t="n"/>
      <c r="W501" s="284" t="n"/>
      <c r="X501" s="209" t="n"/>
      <c r="Y501" s="210" t="n"/>
      <c r="Z501" s="284" t="n"/>
      <c r="AA501" s="209" t="n"/>
      <c r="AB501" s="210" t="n"/>
      <c r="AC501" s="284" t="n"/>
      <c r="AD501" s="209" t="n"/>
      <c r="AE501" s="210" t="n"/>
      <c r="AF501" s="284" t="n"/>
      <c r="AG501" s="209" t="n"/>
      <c r="AH501" s="210" t="n"/>
      <c r="AI501" s="284" t="n"/>
      <c r="AJ501" s="209" t="n"/>
      <c r="AK501" s="210" t="n"/>
      <c r="AL501" s="284" t="n"/>
      <c r="AM501" s="209" t="n"/>
      <c r="AN501" s="210" t="n"/>
      <c r="AO501" s="284" t="n"/>
      <c r="AP501" s="209" t="n"/>
      <c r="AQ501" s="210" t="n"/>
      <c r="AR501" s="284" t="n"/>
      <c r="AS501" s="209" t="n"/>
      <c r="AT501" s="210" t="n"/>
      <c r="AU501" s="284" t="n"/>
      <c r="AV501" s="209" t="n"/>
      <c r="AW501" s="210" t="n"/>
      <c r="AX501" s="284" t="n"/>
      <c r="AY501" s="209" t="n"/>
      <c r="AZ501" s="210" t="n"/>
      <c r="BA501" s="284" t="n"/>
      <c r="BB501" s="209" t="n"/>
      <c r="BC501" s="210" t="n"/>
      <c r="BD501" s="284" t="n"/>
      <c r="BE501" s="209" t="n"/>
      <c r="BF501" s="210" t="n"/>
      <c r="BG501" s="284" t="n"/>
      <c r="BH501" s="209" t="n"/>
      <c r="BI501" s="210" t="n"/>
    </row>
    <row r="502" hidden="1" outlineLevel="2" ht="14.4" customFormat="1" customHeight="1" s="498">
      <c r="A502" s="22" t="inlineStr">
        <is>
          <t xml:space="preserve">  -  Barista III</t>
        </is>
      </c>
      <c r="B502" s="23" t="n"/>
      <c r="C502" s="3" t="n"/>
      <c r="D502" s="16" t="n"/>
      <c r="E502" s="4" t="n"/>
      <c r="F502" s="23" t="n"/>
      <c r="G502" s="56" t="n"/>
      <c r="H502" s="284" t="n"/>
      <c r="I502" s="209" t="n"/>
      <c r="J502" s="210" t="n"/>
      <c r="K502" s="284" t="n"/>
      <c r="L502" s="209" t="n"/>
      <c r="M502" s="210" t="n"/>
      <c r="N502" s="284" t="n"/>
      <c r="O502" s="209" t="n"/>
      <c r="P502" s="210" t="n"/>
      <c r="Q502" s="284" t="n"/>
      <c r="R502" s="209" t="n"/>
      <c r="S502" s="210" t="n"/>
      <c r="T502" s="284" t="n"/>
      <c r="U502" s="209" t="n"/>
      <c r="V502" s="210" t="n"/>
      <c r="W502" s="284" t="n"/>
      <c r="X502" s="209" t="n"/>
      <c r="Y502" s="210" t="n"/>
      <c r="Z502" s="284" t="n"/>
      <c r="AA502" s="209" t="n"/>
      <c r="AB502" s="210" t="n"/>
      <c r="AC502" s="284" t="n"/>
      <c r="AD502" s="209" t="n"/>
      <c r="AE502" s="210" t="n"/>
      <c r="AF502" s="284" t="n"/>
      <c r="AG502" s="209" t="n"/>
      <c r="AH502" s="210" t="n"/>
      <c r="AI502" s="284" t="n"/>
      <c r="AJ502" s="209" t="n"/>
      <c r="AK502" s="210" t="n"/>
      <c r="AL502" s="284" t="n"/>
      <c r="AM502" s="209" t="n"/>
      <c r="AN502" s="210" t="n"/>
      <c r="AO502" s="284" t="n"/>
      <c r="AP502" s="209" t="n"/>
      <c r="AQ502" s="210" t="n"/>
      <c r="AR502" s="284" t="n"/>
      <c r="AS502" s="209" t="n"/>
      <c r="AT502" s="210" t="n"/>
      <c r="AU502" s="284" t="n"/>
      <c r="AV502" s="209" t="n"/>
      <c r="AW502" s="210" t="n"/>
      <c r="AX502" s="284" t="n"/>
      <c r="AY502" s="209" t="n"/>
      <c r="AZ502" s="210" t="n"/>
      <c r="BA502" s="284" t="n"/>
      <c r="BB502" s="209" t="n"/>
      <c r="BC502" s="210" t="n"/>
      <c r="BD502" s="284" t="n"/>
      <c r="BE502" s="209" t="n"/>
      <c r="BF502" s="210" t="n"/>
      <c r="BG502" s="284" t="n"/>
      <c r="BH502" s="209" t="n"/>
      <c r="BI502" s="210" t="n"/>
    </row>
    <row r="503" hidden="1" outlineLevel="2" ht="14.4" customFormat="1" customHeight="1" s="498">
      <c r="A503" s="22" t="inlineStr">
        <is>
          <t xml:space="preserve">  -  Barista II</t>
        </is>
      </c>
      <c r="B503" s="23" t="n"/>
      <c r="C503" s="3" t="n"/>
      <c r="D503" s="16" t="n"/>
      <c r="E503" s="4" t="n"/>
      <c r="F503" s="23" t="n"/>
      <c r="G503" s="56" t="n"/>
      <c r="H503" s="284" t="n"/>
      <c r="I503" s="209" t="n"/>
      <c r="J503" s="210" t="n"/>
      <c r="K503" s="284" t="n"/>
      <c r="L503" s="209" t="n"/>
      <c r="M503" s="210" t="n"/>
      <c r="N503" s="284" t="n"/>
      <c r="O503" s="209" t="n"/>
      <c r="P503" s="210" t="n"/>
      <c r="Q503" s="284" t="n"/>
      <c r="R503" s="209" t="n"/>
      <c r="S503" s="210" t="n"/>
      <c r="T503" s="284" t="n"/>
      <c r="U503" s="209" t="n"/>
      <c r="V503" s="210" t="n"/>
      <c r="W503" s="284" t="n"/>
      <c r="X503" s="209" t="n"/>
      <c r="Y503" s="210" t="n"/>
      <c r="Z503" s="284" t="n"/>
      <c r="AA503" s="209" t="n"/>
      <c r="AB503" s="210" t="n"/>
      <c r="AC503" s="284" t="n"/>
      <c r="AD503" s="209" t="n"/>
      <c r="AE503" s="210" t="n"/>
      <c r="AF503" s="284" t="n"/>
      <c r="AG503" s="209" t="n"/>
      <c r="AH503" s="210" t="n"/>
      <c r="AI503" s="284" t="n"/>
      <c r="AJ503" s="209" t="n"/>
      <c r="AK503" s="210" t="n"/>
      <c r="AL503" s="284" t="n"/>
      <c r="AM503" s="209" t="n"/>
      <c r="AN503" s="210" t="n"/>
      <c r="AO503" s="284" t="n"/>
      <c r="AP503" s="209" t="n"/>
      <c r="AQ503" s="210" t="n"/>
      <c r="AR503" s="284" t="n"/>
      <c r="AS503" s="209" t="n"/>
      <c r="AT503" s="210" t="n"/>
      <c r="AU503" s="284" t="n"/>
      <c r="AV503" s="209" t="n"/>
      <c r="AW503" s="210" t="n"/>
      <c r="AX503" s="284" t="n"/>
      <c r="AY503" s="209" t="n"/>
      <c r="AZ503" s="210" t="n"/>
      <c r="BA503" s="284" t="n"/>
      <c r="BB503" s="209" t="n"/>
      <c r="BC503" s="210" t="n"/>
      <c r="BD503" s="284" t="n"/>
      <c r="BE503" s="209" t="n"/>
      <c r="BF503" s="210" t="n"/>
      <c r="BG503" s="284" t="n"/>
      <c r="BH503" s="209" t="n"/>
      <c r="BI503" s="210" t="n"/>
    </row>
    <row r="504" hidden="1" outlineLevel="2" ht="14.4" customFormat="1" customHeight="1" s="498">
      <c r="A504" s="22" t="inlineStr">
        <is>
          <t xml:space="preserve">  -  Barista I</t>
        </is>
      </c>
      <c r="B504" s="23" t="n"/>
      <c r="C504" s="3" t="n"/>
      <c r="D504" s="16" t="n"/>
      <c r="E504" s="4" t="n"/>
      <c r="F504" s="23" t="n"/>
      <c r="G504" s="56" t="n"/>
      <c r="H504" s="284" t="n"/>
      <c r="I504" s="209" t="n"/>
      <c r="J504" s="210" t="n"/>
      <c r="K504" s="284" t="n"/>
      <c r="L504" s="209" t="n"/>
      <c r="M504" s="210" t="n"/>
      <c r="N504" s="284" t="n"/>
      <c r="O504" s="209" t="n"/>
      <c r="P504" s="210" t="n"/>
      <c r="Q504" s="284" t="n"/>
      <c r="R504" s="209" t="n"/>
      <c r="S504" s="210" t="n"/>
      <c r="T504" s="284" t="n"/>
      <c r="U504" s="209" t="n"/>
      <c r="V504" s="210" t="n"/>
      <c r="W504" s="284" t="n"/>
      <c r="X504" s="209" t="n"/>
      <c r="Y504" s="210" t="n"/>
      <c r="Z504" s="284" t="n"/>
      <c r="AA504" s="209" t="n"/>
      <c r="AB504" s="210" t="n"/>
      <c r="AC504" s="284" t="n"/>
      <c r="AD504" s="209" t="n"/>
      <c r="AE504" s="210" t="n"/>
      <c r="AF504" s="284" t="n"/>
      <c r="AG504" s="209" t="n"/>
      <c r="AH504" s="210" t="n"/>
      <c r="AI504" s="284" t="n"/>
      <c r="AJ504" s="209" t="n"/>
      <c r="AK504" s="210" t="n"/>
      <c r="AL504" s="284" t="n"/>
      <c r="AM504" s="209" t="n"/>
      <c r="AN504" s="210" t="n"/>
      <c r="AO504" s="284" t="n"/>
      <c r="AP504" s="209" t="n"/>
      <c r="AQ504" s="210" t="n"/>
      <c r="AR504" s="284" t="n"/>
      <c r="AS504" s="209" t="n"/>
      <c r="AT504" s="210" t="n"/>
      <c r="AU504" s="284" t="n"/>
      <c r="AV504" s="209" t="n"/>
      <c r="AW504" s="210" t="n"/>
      <c r="AX504" s="284" t="n"/>
      <c r="AY504" s="209" t="n"/>
      <c r="AZ504" s="210" t="n"/>
      <c r="BA504" s="284" t="n"/>
      <c r="BB504" s="209" t="n"/>
      <c r="BC504" s="210" t="n"/>
      <c r="BD504" s="284" t="n"/>
      <c r="BE504" s="209" t="n"/>
      <c r="BF504" s="210" t="n"/>
      <c r="BG504" s="284" t="n"/>
      <c r="BH504" s="209" t="n"/>
      <c r="BI504" s="210" t="n"/>
    </row>
    <row r="505" hidden="1" outlineLevel="2" ht="14.4" customFormat="1" customHeight="1" s="498">
      <c r="A505" s="22" t="inlineStr">
        <is>
          <t xml:space="preserve">  -  Chopeiro III</t>
        </is>
      </c>
      <c r="B505" s="23" t="n"/>
      <c r="C505" s="3" t="n"/>
      <c r="D505" s="16" t="n"/>
      <c r="E505" s="4" t="n"/>
      <c r="F505" s="23" t="n"/>
      <c r="G505" s="56" t="n"/>
      <c r="H505" s="284" t="n"/>
      <c r="I505" s="209" t="n"/>
      <c r="J505" s="210" t="n"/>
      <c r="K505" s="284" t="n"/>
      <c r="L505" s="209" t="n"/>
      <c r="M505" s="210" t="n"/>
      <c r="N505" s="284" t="n"/>
      <c r="O505" s="209" t="n"/>
      <c r="P505" s="210" t="n"/>
      <c r="Q505" s="284" t="n"/>
      <c r="R505" s="209" t="n"/>
      <c r="S505" s="210" t="n"/>
      <c r="T505" s="284" t="n"/>
      <c r="U505" s="209" t="n"/>
      <c r="V505" s="210" t="n"/>
      <c r="W505" s="284" t="n"/>
      <c r="X505" s="209" t="n"/>
      <c r="Y505" s="210" t="n"/>
      <c r="Z505" s="284" t="n"/>
      <c r="AA505" s="209" t="n"/>
      <c r="AB505" s="210" t="n"/>
      <c r="AC505" s="284" t="n"/>
      <c r="AD505" s="209" t="n"/>
      <c r="AE505" s="210" t="n"/>
      <c r="AF505" s="284" t="n"/>
      <c r="AG505" s="209" t="n"/>
      <c r="AH505" s="210" t="n"/>
      <c r="AI505" s="284" t="n"/>
      <c r="AJ505" s="209" t="n"/>
      <c r="AK505" s="210" t="n"/>
      <c r="AL505" s="284" t="n"/>
      <c r="AM505" s="209" t="n"/>
      <c r="AN505" s="210" t="n"/>
      <c r="AO505" s="284" t="n"/>
      <c r="AP505" s="209" t="n"/>
      <c r="AQ505" s="210" t="n"/>
      <c r="AR505" s="284" t="n"/>
      <c r="AS505" s="209" t="n"/>
      <c r="AT505" s="210" t="n"/>
      <c r="AU505" s="284" t="n"/>
      <c r="AV505" s="209" t="n"/>
      <c r="AW505" s="210" t="n"/>
      <c r="AX505" s="284" t="n"/>
      <c r="AY505" s="209" t="n"/>
      <c r="AZ505" s="210" t="n"/>
      <c r="BA505" s="284" t="n"/>
      <c r="BB505" s="209" t="n"/>
      <c r="BC505" s="210" t="n"/>
      <c r="BD505" s="284" t="n"/>
      <c r="BE505" s="209" t="n"/>
      <c r="BF505" s="210" t="n"/>
      <c r="BG505" s="284" t="n"/>
      <c r="BH505" s="209" t="n"/>
      <c r="BI505" s="210" t="n"/>
    </row>
    <row r="506" hidden="1" outlineLevel="2" ht="14.4" customFormat="1" customHeight="1" s="498">
      <c r="A506" s="22" t="inlineStr">
        <is>
          <t xml:space="preserve">  -  Chopeiro II</t>
        </is>
      </c>
      <c r="B506" s="23" t="n"/>
      <c r="C506" s="3" t="n"/>
      <c r="D506" s="16" t="n"/>
      <c r="E506" s="4" t="n"/>
      <c r="F506" s="23" t="n"/>
      <c r="G506" s="56" t="n"/>
      <c r="H506" s="284" t="n"/>
      <c r="I506" s="209" t="n"/>
      <c r="J506" s="210" t="n"/>
      <c r="K506" s="284" t="n"/>
      <c r="L506" s="209" t="n"/>
      <c r="M506" s="210" t="n"/>
      <c r="N506" s="284" t="n"/>
      <c r="O506" s="209" t="n"/>
      <c r="P506" s="210" t="n"/>
      <c r="Q506" s="284" t="n"/>
      <c r="R506" s="209" t="n"/>
      <c r="S506" s="210" t="n"/>
      <c r="T506" s="284" t="n"/>
      <c r="U506" s="209" t="n"/>
      <c r="V506" s="210" t="n"/>
      <c r="W506" s="284" t="n"/>
      <c r="X506" s="209" t="n"/>
      <c r="Y506" s="210" t="n"/>
      <c r="Z506" s="284" t="n"/>
      <c r="AA506" s="209" t="n"/>
      <c r="AB506" s="210" t="n"/>
      <c r="AC506" s="284" t="n"/>
      <c r="AD506" s="209" t="n"/>
      <c r="AE506" s="210" t="n"/>
      <c r="AF506" s="284" t="n"/>
      <c r="AG506" s="209" t="n"/>
      <c r="AH506" s="210" t="n"/>
      <c r="AI506" s="284" t="n"/>
      <c r="AJ506" s="209" t="n"/>
      <c r="AK506" s="210" t="n"/>
      <c r="AL506" s="284" t="n"/>
      <c r="AM506" s="209" t="n"/>
      <c r="AN506" s="210" t="n"/>
      <c r="AO506" s="284" t="n"/>
      <c r="AP506" s="209" t="n"/>
      <c r="AQ506" s="210" t="n"/>
      <c r="AR506" s="284" t="n"/>
      <c r="AS506" s="209" t="n"/>
      <c r="AT506" s="210" t="n"/>
      <c r="AU506" s="284" t="n"/>
      <c r="AV506" s="209" t="n"/>
      <c r="AW506" s="210" t="n"/>
      <c r="AX506" s="284" t="n"/>
      <c r="AY506" s="209" t="n"/>
      <c r="AZ506" s="210" t="n"/>
      <c r="BA506" s="284" t="n"/>
      <c r="BB506" s="209" t="n"/>
      <c r="BC506" s="210" t="n"/>
      <c r="BD506" s="284" t="n"/>
      <c r="BE506" s="209" t="n"/>
      <c r="BF506" s="210" t="n"/>
      <c r="BG506" s="284" t="n"/>
      <c r="BH506" s="209" t="n"/>
      <c r="BI506" s="210" t="n"/>
    </row>
    <row r="507" hidden="1" outlineLevel="2" ht="14.4" customFormat="1" customHeight="1" s="498">
      <c r="A507" s="22" t="inlineStr">
        <is>
          <t xml:space="preserve">  -  Chopeiro I</t>
        </is>
      </c>
      <c r="B507" s="23" t="n"/>
      <c r="C507" s="3" t="n"/>
      <c r="D507" s="16" t="n"/>
      <c r="E507" s="4" t="n"/>
      <c r="F507" s="23" t="n"/>
      <c r="G507" s="56" t="n"/>
      <c r="H507" s="284" t="n"/>
      <c r="I507" s="209" t="n"/>
      <c r="J507" s="210" t="n"/>
      <c r="K507" s="284" t="n"/>
      <c r="L507" s="209" t="n"/>
      <c r="M507" s="210" t="n"/>
      <c r="N507" s="284" t="n"/>
      <c r="O507" s="209" t="n"/>
      <c r="P507" s="210" t="n"/>
      <c r="Q507" s="284" t="n"/>
      <c r="R507" s="209" t="n"/>
      <c r="S507" s="210" t="n"/>
      <c r="T507" s="284" t="n"/>
      <c r="U507" s="209" t="n"/>
      <c r="V507" s="210" t="n"/>
      <c r="W507" s="284" t="n"/>
      <c r="X507" s="209" t="n"/>
      <c r="Y507" s="210" t="n"/>
      <c r="Z507" s="284" t="n"/>
      <c r="AA507" s="209" t="n"/>
      <c r="AB507" s="210" t="n"/>
      <c r="AC507" s="284" t="n"/>
      <c r="AD507" s="209" t="n"/>
      <c r="AE507" s="210" t="n"/>
      <c r="AF507" s="284" t="n"/>
      <c r="AG507" s="209" t="n"/>
      <c r="AH507" s="210" t="n"/>
      <c r="AI507" s="284" t="n"/>
      <c r="AJ507" s="209" t="n"/>
      <c r="AK507" s="210" t="n"/>
      <c r="AL507" s="284" t="n"/>
      <c r="AM507" s="209" t="n"/>
      <c r="AN507" s="210" t="n"/>
      <c r="AO507" s="284" t="n"/>
      <c r="AP507" s="209" t="n"/>
      <c r="AQ507" s="210" t="n"/>
      <c r="AR507" s="284" t="n"/>
      <c r="AS507" s="209" t="n"/>
      <c r="AT507" s="210" t="n"/>
      <c r="AU507" s="284" t="n"/>
      <c r="AV507" s="209" t="n"/>
      <c r="AW507" s="210" t="n"/>
      <c r="AX507" s="284" t="n"/>
      <c r="AY507" s="209" t="n"/>
      <c r="AZ507" s="210" t="n"/>
      <c r="BA507" s="284" t="n"/>
      <c r="BB507" s="209" t="n"/>
      <c r="BC507" s="210" t="n"/>
      <c r="BD507" s="284" t="n"/>
      <c r="BE507" s="209" t="n"/>
      <c r="BF507" s="210" t="n"/>
      <c r="BG507" s="284" t="n"/>
      <c r="BH507" s="209" t="n"/>
      <c r="BI507" s="210" t="n"/>
    </row>
    <row r="508" hidden="1" outlineLevel="2" ht="15.75" customFormat="1" customHeight="1" s="498">
      <c r="A508" s="22" t="inlineStr">
        <is>
          <t xml:space="preserve">  -  Sub Chefe de Cozinha</t>
        </is>
      </c>
      <c r="B508" s="23" t="n"/>
      <c r="C508" s="3" t="n"/>
      <c r="D508" s="16" t="n"/>
      <c r="E508" s="4" t="n"/>
      <c r="F508" s="23" t="n"/>
      <c r="G508" s="56" t="n"/>
      <c r="H508" s="284" t="n"/>
      <c r="I508" s="209" t="n"/>
      <c r="J508" s="210" t="n"/>
      <c r="K508" s="284" t="n"/>
      <c r="L508" s="209" t="n"/>
      <c r="M508" s="210" t="n"/>
      <c r="N508" s="284" t="n"/>
      <c r="O508" s="209" t="n"/>
      <c r="P508" s="210" t="n"/>
      <c r="Q508" s="284" t="n"/>
      <c r="R508" s="209" t="n"/>
      <c r="S508" s="210" t="n"/>
      <c r="T508" s="284" t="n"/>
      <c r="U508" s="209" t="n"/>
      <c r="V508" s="210" t="n"/>
      <c r="W508" s="284" t="n"/>
      <c r="X508" s="209" t="n"/>
      <c r="Y508" s="210" t="n"/>
      <c r="Z508" s="284" t="n"/>
      <c r="AA508" s="209" t="n"/>
      <c r="AB508" s="210" t="n"/>
      <c r="AC508" s="284" t="n"/>
      <c r="AD508" s="209" t="n"/>
      <c r="AE508" s="210" t="n"/>
      <c r="AF508" s="284" t="n"/>
      <c r="AG508" s="209" t="n"/>
      <c r="AH508" s="210" t="n"/>
      <c r="AI508" s="284" t="n"/>
      <c r="AJ508" s="209" t="n"/>
      <c r="AK508" s="210" t="n"/>
      <c r="AL508" s="284" t="n"/>
      <c r="AM508" s="209" t="n"/>
      <c r="AN508" s="210" t="n"/>
      <c r="AO508" s="284" t="n"/>
      <c r="AP508" s="209" t="n"/>
      <c r="AQ508" s="210" t="n"/>
      <c r="AR508" s="284" t="n"/>
      <c r="AS508" s="209" t="n"/>
      <c r="AT508" s="210" t="n"/>
      <c r="AU508" s="284" t="n"/>
      <c r="AV508" s="209" t="n"/>
      <c r="AW508" s="210" t="n"/>
      <c r="AX508" s="284" t="n"/>
      <c r="AY508" s="209" t="n"/>
      <c r="AZ508" s="210" t="n"/>
      <c r="BA508" s="284" t="n"/>
      <c r="BB508" s="209" t="n"/>
      <c r="BC508" s="210" t="n"/>
      <c r="BD508" s="284" t="n"/>
      <c r="BE508" s="209" t="n"/>
      <c r="BF508" s="210" t="n"/>
      <c r="BG508" s="284" t="n"/>
      <c r="BH508" s="209" t="n"/>
      <c r="BI508" s="210" t="n"/>
    </row>
    <row r="509" hidden="1" outlineLevel="2" ht="14.4" customFormat="1" customHeight="1" s="498">
      <c r="A509" s="22" t="inlineStr">
        <is>
          <t xml:space="preserve">  -  Cozinheiro Líder</t>
        </is>
      </c>
      <c r="B509" s="23" t="n"/>
      <c r="C509" s="3" t="n"/>
      <c r="D509" s="16" t="n"/>
      <c r="E509" s="4" t="n"/>
      <c r="F509" s="23" t="n"/>
      <c r="G509" s="56" t="n"/>
      <c r="H509" s="284" t="n"/>
      <c r="I509" s="209" t="n"/>
      <c r="J509" s="210" t="n"/>
      <c r="K509" s="284" t="n"/>
      <c r="L509" s="209" t="n"/>
      <c r="M509" s="210" t="n"/>
      <c r="N509" s="284" t="n"/>
      <c r="O509" s="209" t="n"/>
      <c r="P509" s="210" t="n"/>
      <c r="Q509" s="284" t="n"/>
      <c r="R509" s="209" t="n"/>
      <c r="S509" s="210" t="n"/>
      <c r="T509" s="284" t="n"/>
      <c r="U509" s="209" t="n"/>
      <c r="V509" s="210" t="n"/>
      <c r="W509" s="284" t="n"/>
      <c r="X509" s="209" t="n"/>
      <c r="Y509" s="210" t="n"/>
      <c r="Z509" s="284" t="n"/>
      <c r="AA509" s="209" t="n"/>
      <c r="AB509" s="210" t="n"/>
      <c r="AC509" s="284" t="n"/>
      <c r="AD509" s="209" t="n"/>
      <c r="AE509" s="210" t="n"/>
      <c r="AF509" s="284" t="n"/>
      <c r="AG509" s="209" t="n"/>
      <c r="AH509" s="210" t="n"/>
      <c r="AI509" s="284" t="n"/>
      <c r="AJ509" s="209" t="n"/>
      <c r="AK509" s="210" t="n"/>
      <c r="AL509" s="284" t="n"/>
      <c r="AM509" s="209" t="n"/>
      <c r="AN509" s="210" t="n"/>
      <c r="AO509" s="284" t="n"/>
      <c r="AP509" s="209" t="n"/>
      <c r="AQ509" s="210" t="n"/>
      <c r="AR509" s="284" t="n"/>
      <c r="AS509" s="209" t="n"/>
      <c r="AT509" s="210" t="n"/>
      <c r="AU509" s="284" t="n"/>
      <c r="AV509" s="209" t="n"/>
      <c r="AW509" s="210" t="n"/>
      <c r="AX509" s="284" t="n"/>
      <c r="AY509" s="209" t="n"/>
      <c r="AZ509" s="210" t="n"/>
      <c r="BA509" s="284" t="n"/>
      <c r="BB509" s="209" t="n"/>
      <c r="BC509" s="210" t="n"/>
      <c r="BD509" s="284" t="n"/>
      <c r="BE509" s="209" t="n"/>
      <c r="BF509" s="210" t="n"/>
      <c r="BG509" s="284" t="n"/>
      <c r="BH509" s="209" t="n"/>
      <c r="BI509" s="210" t="n"/>
    </row>
    <row r="510" hidden="1" outlineLevel="2" ht="14.4" customFormat="1" customHeight="1" s="498">
      <c r="A510" s="22" t="inlineStr">
        <is>
          <t xml:space="preserve">  -  Cozinheiro III</t>
        </is>
      </c>
      <c r="B510" s="23" t="n"/>
      <c r="C510" s="3" t="n"/>
      <c r="D510" s="16" t="n"/>
      <c r="E510" s="4" t="n"/>
      <c r="F510" s="23" t="n"/>
      <c r="G510" s="56" t="n"/>
      <c r="H510" s="284" t="n"/>
      <c r="I510" s="209" t="n"/>
      <c r="J510" s="210" t="n"/>
      <c r="K510" s="284" t="n"/>
      <c r="L510" s="209" t="n"/>
      <c r="M510" s="210" t="n"/>
      <c r="N510" s="284" t="n"/>
      <c r="O510" s="209" t="n"/>
      <c r="P510" s="210" t="n"/>
      <c r="Q510" s="284" t="n"/>
      <c r="R510" s="209" t="n"/>
      <c r="S510" s="210" t="n"/>
      <c r="T510" s="284" t="n"/>
      <c r="U510" s="209" t="n"/>
      <c r="V510" s="210" t="n"/>
      <c r="W510" s="284" t="n"/>
      <c r="X510" s="209" t="n"/>
      <c r="Y510" s="210" t="n"/>
      <c r="Z510" s="284" t="n"/>
      <c r="AA510" s="209" t="n"/>
      <c r="AB510" s="210" t="n"/>
      <c r="AC510" s="284" t="n"/>
      <c r="AD510" s="209" t="n"/>
      <c r="AE510" s="210" t="n"/>
      <c r="AF510" s="284" t="n"/>
      <c r="AG510" s="209" t="n"/>
      <c r="AH510" s="210" t="n"/>
      <c r="AI510" s="284" t="n"/>
      <c r="AJ510" s="209" t="n"/>
      <c r="AK510" s="210" t="n"/>
      <c r="AL510" s="284" t="n"/>
      <c r="AM510" s="209" t="n"/>
      <c r="AN510" s="210" t="n"/>
      <c r="AO510" s="284" t="n"/>
      <c r="AP510" s="209" t="n"/>
      <c r="AQ510" s="210" t="n"/>
      <c r="AR510" s="284" t="n"/>
      <c r="AS510" s="209" t="n"/>
      <c r="AT510" s="210" t="n"/>
      <c r="AU510" s="284" t="n"/>
      <c r="AV510" s="209" t="n"/>
      <c r="AW510" s="210" t="n"/>
      <c r="AX510" s="284" t="n"/>
      <c r="AY510" s="209" t="n"/>
      <c r="AZ510" s="210" t="n"/>
      <c r="BA510" s="284" t="n"/>
      <c r="BB510" s="209" t="n"/>
      <c r="BC510" s="210" t="n"/>
      <c r="BD510" s="284" t="n"/>
      <c r="BE510" s="209" t="n"/>
      <c r="BF510" s="210" t="n"/>
      <c r="BG510" s="284" t="n"/>
      <c r="BH510" s="209" t="n"/>
      <c r="BI510" s="210" t="n"/>
    </row>
    <row r="511" hidden="1" outlineLevel="2" ht="14.4" customFormat="1" customHeight="1" s="498">
      <c r="A511" s="22" t="inlineStr">
        <is>
          <t xml:space="preserve">  -  Cozinheiro II</t>
        </is>
      </c>
      <c r="B511" s="23" t="n"/>
      <c r="C511" s="3" t="n"/>
      <c r="D511" s="16" t="n"/>
      <c r="E511" s="4" t="n"/>
      <c r="F511" s="23" t="n"/>
      <c r="G511" s="56" t="n"/>
      <c r="H511" s="284" t="n"/>
      <c r="I511" s="209" t="n"/>
      <c r="J511" s="210" t="n"/>
      <c r="K511" s="284" t="n"/>
      <c r="L511" s="209" t="n"/>
      <c r="M511" s="210" t="n"/>
      <c r="N511" s="284" t="n"/>
      <c r="O511" s="209" t="n"/>
      <c r="P511" s="210" t="n"/>
      <c r="Q511" s="284" t="n"/>
      <c r="R511" s="209" t="n"/>
      <c r="S511" s="210" t="n"/>
      <c r="T511" s="284" t="n"/>
      <c r="U511" s="209" t="n"/>
      <c r="V511" s="210" t="n"/>
      <c r="W511" s="284" t="n"/>
      <c r="X511" s="209" t="n"/>
      <c r="Y511" s="210" t="n"/>
      <c r="Z511" s="284" t="n"/>
      <c r="AA511" s="209" t="n"/>
      <c r="AB511" s="210" t="n"/>
      <c r="AC511" s="284" t="n"/>
      <c r="AD511" s="209" t="n"/>
      <c r="AE511" s="210" t="n"/>
      <c r="AF511" s="284" t="n"/>
      <c r="AG511" s="209" t="n"/>
      <c r="AH511" s="210" t="n"/>
      <c r="AI511" s="284" t="n"/>
      <c r="AJ511" s="209" t="n"/>
      <c r="AK511" s="210" t="n"/>
      <c r="AL511" s="284" t="n"/>
      <c r="AM511" s="209" t="n"/>
      <c r="AN511" s="210" t="n"/>
      <c r="AO511" s="284" t="n"/>
      <c r="AP511" s="209" t="n"/>
      <c r="AQ511" s="210" t="n"/>
      <c r="AR511" s="284" t="n"/>
      <c r="AS511" s="209" t="n"/>
      <c r="AT511" s="210" t="n"/>
      <c r="AU511" s="284" t="n"/>
      <c r="AV511" s="209" t="n"/>
      <c r="AW511" s="210" t="n"/>
      <c r="AX511" s="284" t="n"/>
      <c r="AY511" s="209" t="n"/>
      <c r="AZ511" s="210" t="n"/>
      <c r="BA511" s="284" t="n"/>
      <c r="BB511" s="209" t="n"/>
      <c r="BC511" s="210" t="n"/>
      <c r="BD511" s="284" t="n"/>
      <c r="BE511" s="209" t="n"/>
      <c r="BF511" s="210" t="n"/>
      <c r="BG511" s="284" t="n"/>
      <c r="BH511" s="209" t="n"/>
      <c r="BI511" s="210" t="n"/>
    </row>
    <row r="512" hidden="1" outlineLevel="2" ht="14.4" customFormat="1" customHeight="1" s="498">
      <c r="A512" s="22" t="inlineStr">
        <is>
          <t xml:space="preserve">  -  Cozinheiro I</t>
        </is>
      </c>
      <c r="B512" s="23" t="n"/>
      <c r="C512" s="3" t="n"/>
      <c r="D512" s="16" t="n"/>
      <c r="E512" s="4" t="n"/>
      <c r="F512" s="23" t="n"/>
      <c r="G512" s="56" t="n"/>
      <c r="H512" s="284" t="n"/>
      <c r="I512" s="209" t="n"/>
      <c r="J512" s="210" t="n"/>
      <c r="K512" s="284" t="n"/>
      <c r="L512" s="209" t="n"/>
      <c r="M512" s="210" t="n"/>
      <c r="N512" s="284" t="n"/>
      <c r="O512" s="209" t="n"/>
      <c r="P512" s="210" t="n"/>
      <c r="Q512" s="284" t="n"/>
      <c r="R512" s="209" t="n"/>
      <c r="S512" s="210" t="n"/>
      <c r="T512" s="284" t="n"/>
      <c r="U512" s="209" t="n"/>
      <c r="V512" s="210" t="n"/>
      <c r="W512" s="284" t="n"/>
      <c r="X512" s="209" t="n"/>
      <c r="Y512" s="210" t="n"/>
      <c r="Z512" s="284" t="n"/>
      <c r="AA512" s="209" t="n"/>
      <c r="AB512" s="210" t="n"/>
      <c r="AC512" s="284" t="n"/>
      <c r="AD512" s="209" t="n"/>
      <c r="AE512" s="210" t="n"/>
      <c r="AF512" s="284" t="n"/>
      <c r="AG512" s="209" t="n"/>
      <c r="AH512" s="210" t="n"/>
      <c r="AI512" s="284" t="n"/>
      <c r="AJ512" s="209" t="n"/>
      <c r="AK512" s="210" t="n"/>
      <c r="AL512" s="284" t="n"/>
      <c r="AM512" s="209" t="n"/>
      <c r="AN512" s="210" t="n"/>
      <c r="AO512" s="284" t="n"/>
      <c r="AP512" s="209" t="n"/>
      <c r="AQ512" s="210" t="n"/>
      <c r="AR512" s="284" t="n"/>
      <c r="AS512" s="209" t="n"/>
      <c r="AT512" s="210" t="n"/>
      <c r="AU512" s="284" t="n"/>
      <c r="AV512" s="209" t="n"/>
      <c r="AW512" s="210" t="n"/>
      <c r="AX512" s="284" t="n"/>
      <c r="AY512" s="209" t="n"/>
      <c r="AZ512" s="210" t="n"/>
      <c r="BA512" s="284" t="n"/>
      <c r="BB512" s="209" t="n"/>
      <c r="BC512" s="210" t="n"/>
      <c r="BD512" s="284" t="n"/>
      <c r="BE512" s="209" t="n"/>
      <c r="BF512" s="210" t="n"/>
      <c r="BG512" s="284" t="n"/>
      <c r="BH512" s="209" t="n"/>
      <c r="BI512" s="210" t="n"/>
    </row>
    <row r="513" hidden="1" outlineLevel="2" ht="14.4" customFormat="1" customHeight="1" s="498">
      <c r="A513" s="22" t="inlineStr">
        <is>
          <t xml:space="preserve">  -  Ajud cozinha</t>
        </is>
      </c>
      <c r="B513" s="23" t="n"/>
      <c r="C513" s="3" t="n"/>
      <c r="D513" s="16" t="n"/>
      <c r="E513" s="4" t="n"/>
      <c r="F513" s="23" t="n"/>
      <c r="G513" s="56" t="n"/>
      <c r="H513" s="284" t="n"/>
      <c r="I513" s="209" t="n"/>
      <c r="J513" s="210" t="n"/>
      <c r="K513" s="284" t="n"/>
      <c r="L513" s="209" t="n"/>
      <c r="M513" s="210" t="n"/>
      <c r="N513" s="284" t="n"/>
      <c r="O513" s="209" t="n"/>
      <c r="P513" s="210" t="n"/>
      <c r="Q513" s="284" t="n"/>
      <c r="R513" s="209" t="n"/>
      <c r="S513" s="210" t="n"/>
      <c r="T513" s="284" t="n"/>
      <c r="U513" s="209" t="n"/>
      <c r="V513" s="210" t="n"/>
      <c r="W513" s="284" t="n"/>
      <c r="X513" s="209" t="n"/>
      <c r="Y513" s="210" t="n"/>
      <c r="Z513" s="284" t="n"/>
      <c r="AA513" s="209" t="n"/>
      <c r="AB513" s="210" t="n"/>
      <c r="AC513" s="284" t="n"/>
      <c r="AD513" s="209" t="n"/>
      <c r="AE513" s="210" t="n"/>
      <c r="AF513" s="284" t="n"/>
      <c r="AG513" s="209" t="n"/>
      <c r="AH513" s="210" t="n"/>
      <c r="AI513" s="284" t="n"/>
      <c r="AJ513" s="209" t="n"/>
      <c r="AK513" s="210" t="n"/>
      <c r="AL513" s="284" t="n"/>
      <c r="AM513" s="209" t="n"/>
      <c r="AN513" s="210" t="n"/>
      <c r="AO513" s="284" t="n"/>
      <c r="AP513" s="209" t="n"/>
      <c r="AQ513" s="210" t="n"/>
      <c r="AR513" s="284" t="n"/>
      <c r="AS513" s="209" t="n"/>
      <c r="AT513" s="210" t="n"/>
      <c r="AU513" s="284" t="n"/>
      <c r="AV513" s="209" t="n"/>
      <c r="AW513" s="210" t="n"/>
      <c r="AX513" s="284" t="n"/>
      <c r="AY513" s="209" t="n"/>
      <c r="AZ513" s="210" t="n"/>
      <c r="BA513" s="284" t="n"/>
      <c r="BB513" s="209" t="n"/>
      <c r="BC513" s="210" t="n"/>
      <c r="BD513" s="284" t="n"/>
      <c r="BE513" s="209" t="n"/>
      <c r="BF513" s="210" t="n"/>
      <c r="BG513" s="284" t="n"/>
      <c r="BH513" s="209" t="n"/>
      <c r="BI513" s="210" t="n"/>
    </row>
    <row r="514" hidden="1" outlineLevel="2" ht="14.4" customFormat="1" customHeight="1" s="498">
      <c r="A514" s="22" t="inlineStr">
        <is>
          <t xml:space="preserve">  -  Saladeiro</t>
        </is>
      </c>
      <c r="B514" s="23" t="n"/>
      <c r="C514" s="3" t="n"/>
      <c r="D514" s="16" t="n"/>
      <c r="E514" s="4" t="n"/>
      <c r="F514" s="23" t="n"/>
      <c r="G514" s="56" t="n"/>
      <c r="H514" s="284" t="n"/>
      <c r="I514" s="209" t="n"/>
      <c r="J514" s="210" t="n"/>
      <c r="K514" s="284" t="n"/>
      <c r="L514" s="209" t="n"/>
      <c r="M514" s="210" t="n"/>
      <c r="N514" s="284" t="n"/>
      <c r="O514" s="209" t="n"/>
      <c r="P514" s="210" t="n"/>
      <c r="Q514" s="284" t="n"/>
      <c r="R514" s="209" t="n"/>
      <c r="S514" s="210" t="n"/>
      <c r="T514" s="284" t="n"/>
      <c r="U514" s="209" t="n"/>
      <c r="V514" s="210" t="n"/>
      <c r="W514" s="284" t="n"/>
      <c r="X514" s="209" t="n"/>
      <c r="Y514" s="210" t="n"/>
      <c r="Z514" s="284" t="n"/>
      <c r="AA514" s="209" t="n"/>
      <c r="AB514" s="210" t="n"/>
      <c r="AC514" s="284" t="n"/>
      <c r="AD514" s="209" t="n"/>
      <c r="AE514" s="210" t="n"/>
      <c r="AF514" s="284" t="n"/>
      <c r="AG514" s="209" t="n"/>
      <c r="AH514" s="210" t="n"/>
      <c r="AI514" s="284" t="n"/>
      <c r="AJ514" s="209" t="n"/>
      <c r="AK514" s="210" t="n"/>
      <c r="AL514" s="284" t="n"/>
      <c r="AM514" s="209" t="n"/>
      <c r="AN514" s="210" t="n"/>
      <c r="AO514" s="284" t="n"/>
      <c r="AP514" s="209" t="n"/>
      <c r="AQ514" s="210" t="n"/>
      <c r="AR514" s="284" t="n"/>
      <c r="AS514" s="209" t="n"/>
      <c r="AT514" s="210" t="n"/>
      <c r="AU514" s="284" t="n"/>
      <c r="AV514" s="209" t="n"/>
      <c r="AW514" s="210" t="n"/>
      <c r="AX514" s="284" t="n"/>
      <c r="AY514" s="209" t="n"/>
      <c r="AZ514" s="210" t="n"/>
      <c r="BA514" s="284" t="n"/>
      <c r="BB514" s="209" t="n"/>
      <c r="BC514" s="210" t="n"/>
      <c r="BD514" s="284" t="n"/>
      <c r="BE514" s="209" t="n"/>
      <c r="BF514" s="210" t="n"/>
      <c r="BG514" s="284" t="n"/>
      <c r="BH514" s="209" t="n"/>
      <c r="BI514" s="210" t="n"/>
    </row>
    <row r="515" hidden="1" outlineLevel="2" ht="14.4" customFormat="1" customHeight="1" s="498">
      <c r="A515" s="22" t="inlineStr">
        <is>
          <t xml:space="preserve">  -  Pia</t>
        </is>
      </c>
      <c r="B515" s="23" t="n"/>
      <c r="C515" s="3" t="n"/>
      <c r="D515" s="16" t="n"/>
      <c r="E515" s="4" t="n"/>
      <c r="F515" s="23" t="n"/>
      <c r="G515" s="56" t="n"/>
      <c r="H515" s="284" t="n"/>
      <c r="I515" s="209" t="n"/>
      <c r="J515" s="210" t="n"/>
      <c r="K515" s="284" t="n"/>
      <c r="L515" s="209" t="n"/>
      <c r="M515" s="210" t="n"/>
      <c r="N515" s="284" t="n"/>
      <c r="O515" s="209" t="n"/>
      <c r="P515" s="210" t="n"/>
      <c r="Q515" s="284" t="n"/>
      <c r="R515" s="209" t="n"/>
      <c r="S515" s="210" t="n"/>
      <c r="T515" s="284" t="n"/>
      <c r="U515" s="209" t="n"/>
      <c r="V515" s="210" t="n"/>
      <c r="W515" s="284" t="n"/>
      <c r="X515" s="209" t="n"/>
      <c r="Y515" s="210" t="n"/>
      <c r="Z515" s="284" t="n"/>
      <c r="AA515" s="209" t="n"/>
      <c r="AB515" s="210" t="n"/>
      <c r="AC515" s="284" t="n"/>
      <c r="AD515" s="209" t="n"/>
      <c r="AE515" s="210" t="n"/>
      <c r="AF515" s="284" t="n"/>
      <c r="AG515" s="209" t="n"/>
      <c r="AH515" s="210" t="n"/>
      <c r="AI515" s="284" t="n"/>
      <c r="AJ515" s="209" t="n"/>
      <c r="AK515" s="210" t="n"/>
      <c r="AL515" s="284" t="n"/>
      <c r="AM515" s="209" t="n"/>
      <c r="AN515" s="210" t="n"/>
      <c r="AO515" s="284" t="n"/>
      <c r="AP515" s="209" t="n"/>
      <c r="AQ515" s="210" t="n"/>
      <c r="AR515" s="284" t="n"/>
      <c r="AS515" s="209" t="n"/>
      <c r="AT515" s="210" t="n"/>
      <c r="AU515" s="284" t="n"/>
      <c r="AV515" s="209" t="n"/>
      <c r="AW515" s="210" t="n"/>
      <c r="AX515" s="284" t="n"/>
      <c r="AY515" s="209" t="n"/>
      <c r="AZ515" s="210" t="n"/>
      <c r="BA515" s="284" t="n"/>
      <c r="BB515" s="209" t="n"/>
      <c r="BC515" s="210" t="n"/>
      <c r="BD515" s="284" t="n"/>
      <c r="BE515" s="209" t="n"/>
      <c r="BF515" s="210" t="n"/>
      <c r="BG515" s="284" t="n"/>
      <c r="BH515" s="209" t="n"/>
      <c r="BI515" s="210" t="n"/>
    </row>
    <row r="516" hidden="1" outlineLevel="2" ht="14.4" customFormat="1" customHeight="1" s="498">
      <c r="A516" s="22" t="inlineStr">
        <is>
          <t xml:space="preserve">  -  Sub Chefe de Confeitaria</t>
        </is>
      </c>
      <c r="B516" s="23" t="n"/>
      <c r="C516" s="3" t="n"/>
      <c r="D516" s="16" t="n"/>
      <c r="E516" s="4" t="n"/>
      <c r="F516" s="23" t="n"/>
      <c r="G516" s="56" t="n"/>
      <c r="H516" s="284" t="n"/>
      <c r="I516" s="209" t="n"/>
      <c r="J516" s="210" t="n"/>
      <c r="K516" s="284" t="n"/>
      <c r="L516" s="209" t="n"/>
      <c r="M516" s="210" t="n"/>
      <c r="N516" s="284" t="n"/>
      <c r="O516" s="209" t="n"/>
      <c r="P516" s="210" t="n"/>
      <c r="Q516" s="284" t="n"/>
      <c r="R516" s="209" t="n"/>
      <c r="S516" s="210" t="n"/>
      <c r="T516" s="284" t="n"/>
      <c r="U516" s="209" t="n"/>
      <c r="V516" s="210" t="n"/>
      <c r="W516" s="284" t="n"/>
      <c r="X516" s="209" t="n"/>
      <c r="Y516" s="210" t="n"/>
      <c r="Z516" s="284" t="n"/>
      <c r="AA516" s="209" t="n"/>
      <c r="AB516" s="210" t="n"/>
      <c r="AC516" s="284" t="n"/>
      <c r="AD516" s="209" t="n"/>
      <c r="AE516" s="210" t="n"/>
      <c r="AF516" s="284" t="n"/>
      <c r="AG516" s="209" t="n"/>
      <c r="AH516" s="210" t="n"/>
      <c r="AI516" s="284" t="n"/>
      <c r="AJ516" s="209" t="n"/>
      <c r="AK516" s="210" t="n"/>
      <c r="AL516" s="284" t="n"/>
      <c r="AM516" s="209" t="n"/>
      <c r="AN516" s="210" t="n"/>
      <c r="AO516" s="284" t="n"/>
      <c r="AP516" s="209" t="n"/>
      <c r="AQ516" s="210" t="n"/>
      <c r="AR516" s="284" t="n"/>
      <c r="AS516" s="209" t="n"/>
      <c r="AT516" s="210" t="n"/>
      <c r="AU516" s="284" t="n"/>
      <c r="AV516" s="209" t="n"/>
      <c r="AW516" s="210" t="n"/>
      <c r="AX516" s="284" t="n"/>
      <c r="AY516" s="209" t="n"/>
      <c r="AZ516" s="210" t="n"/>
      <c r="BA516" s="284" t="n"/>
      <c r="BB516" s="209" t="n"/>
      <c r="BC516" s="210" t="n"/>
      <c r="BD516" s="284" t="n"/>
      <c r="BE516" s="209" t="n"/>
      <c r="BF516" s="210" t="n"/>
      <c r="BG516" s="284" t="n"/>
      <c r="BH516" s="209" t="n"/>
      <c r="BI516" s="210" t="n"/>
    </row>
    <row r="517" hidden="1" outlineLevel="2" ht="14.4" customFormat="1" customHeight="1" s="498">
      <c r="A517" s="22" t="inlineStr">
        <is>
          <t xml:space="preserve">  -  Confeiteiro III</t>
        </is>
      </c>
      <c r="B517" s="23" t="n"/>
      <c r="C517" s="3" t="n"/>
      <c r="D517" s="16" t="n"/>
      <c r="E517" s="4" t="n"/>
      <c r="F517" s="23" t="n"/>
      <c r="G517" s="56" t="n"/>
      <c r="H517" s="284" t="n"/>
      <c r="I517" s="209" t="n"/>
      <c r="J517" s="210" t="n"/>
      <c r="K517" s="284" t="n"/>
      <c r="L517" s="209" t="n"/>
      <c r="M517" s="210" t="n"/>
      <c r="N517" s="284" t="n"/>
      <c r="O517" s="209" t="n"/>
      <c r="P517" s="210" t="n"/>
      <c r="Q517" s="284" t="n"/>
      <c r="R517" s="209" t="n"/>
      <c r="S517" s="210" t="n"/>
      <c r="T517" s="284" t="n"/>
      <c r="U517" s="209" t="n"/>
      <c r="V517" s="210" t="n"/>
      <c r="W517" s="284" t="n"/>
      <c r="X517" s="209" t="n"/>
      <c r="Y517" s="210" t="n"/>
      <c r="Z517" s="284" t="n"/>
      <c r="AA517" s="209" t="n"/>
      <c r="AB517" s="210" t="n"/>
      <c r="AC517" s="284" t="n"/>
      <c r="AD517" s="209" t="n"/>
      <c r="AE517" s="210" t="n"/>
      <c r="AF517" s="284" t="n"/>
      <c r="AG517" s="209" t="n"/>
      <c r="AH517" s="210" t="n"/>
      <c r="AI517" s="284" t="n"/>
      <c r="AJ517" s="209" t="n"/>
      <c r="AK517" s="210" t="n"/>
      <c r="AL517" s="284" t="n"/>
      <c r="AM517" s="209" t="n"/>
      <c r="AN517" s="210" t="n"/>
      <c r="AO517" s="284" t="n"/>
      <c r="AP517" s="209" t="n"/>
      <c r="AQ517" s="210" t="n"/>
      <c r="AR517" s="284" t="n"/>
      <c r="AS517" s="209" t="n"/>
      <c r="AT517" s="210" t="n"/>
      <c r="AU517" s="284" t="n"/>
      <c r="AV517" s="209" t="n"/>
      <c r="AW517" s="210" t="n"/>
      <c r="AX517" s="284" t="n"/>
      <c r="AY517" s="209" t="n"/>
      <c r="AZ517" s="210" t="n"/>
      <c r="BA517" s="284" t="n"/>
      <c r="BB517" s="209" t="n"/>
      <c r="BC517" s="210" t="n"/>
      <c r="BD517" s="284" t="n"/>
      <c r="BE517" s="209" t="n"/>
      <c r="BF517" s="210" t="n"/>
      <c r="BG517" s="284" t="n"/>
      <c r="BH517" s="209" t="n"/>
      <c r="BI517" s="210" t="n"/>
    </row>
    <row r="518" hidden="1" outlineLevel="2" ht="14.4" customFormat="1" customHeight="1" s="498">
      <c r="A518" s="22" t="inlineStr">
        <is>
          <t xml:space="preserve">  -  Confeiteiro II</t>
        </is>
      </c>
      <c r="B518" s="23" t="n"/>
      <c r="C518" s="3" t="n"/>
      <c r="D518" s="16" t="n"/>
      <c r="E518" s="4" t="n"/>
      <c r="F518" s="23" t="n"/>
      <c r="G518" s="56" t="n"/>
      <c r="H518" s="284" t="n"/>
      <c r="I518" s="209" t="n"/>
      <c r="J518" s="210" t="n"/>
      <c r="K518" s="284" t="n"/>
      <c r="L518" s="209" t="n"/>
      <c r="M518" s="210" t="n"/>
      <c r="N518" s="284" t="n"/>
      <c r="O518" s="209" t="n"/>
      <c r="P518" s="210" t="n"/>
      <c r="Q518" s="284" t="n"/>
      <c r="R518" s="209" t="n"/>
      <c r="S518" s="210" t="n"/>
      <c r="T518" s="284" t="n"/>
      <c r="U518" s="209" t="n"/>
      <c r="V518" s="210" t="n"/>
      <c r="W518" s="284" t="n"/>
      <c r="X518" s="209" t="n"/>
      <c r="Y518" s="210" t="n"/>
      <c r="Z518" s="284" t="n"/>
      <c r="AA518" s="209" t="n"/>
      <c r="AB518" s="210" t="n"/>
      <c r="AC518" s="284" t="n"/>
      <c r="AD518" s="209" t="n"/>
      <c r="AE518" s="210" t="n"/>
      <c r="AF518" s="284" t="n"/>
      <c r="AG518" s="209" t="n"/>
      <c r="AH518" s="210" t="n"/>
      <c r="AI518" s="284" t="n"/>
      <c r="AJ518" s="209" t="n"/>
      <c r="AK518" s="210" t="n"/>
      <c r="AL518" s="284" t="n"/>
      <c r="AM518" s="209" t="n"/>
      <c r="AN518" s="210" t="n"/>
      <c r="AO518" s="284" t="n"/>
      <c r="AP518" s="209" t="n"/>
      <c r="AQ518" s="210" t="n"/>
      <c r="AR518" s="284" t="n"/>
      <c r="AS518" s="209" t="n"/>
      <c r="AT518" s="210" t="n"/>
      <c r="AU518" s="284" t="n"/>
      <c r="AV518" s="209" t="n"/>
      <c r="AW518" s="210" t="n"/>
      <c r="AX518" s="284" t="n"/>
      <c r="AY518" s="209" t="n"/>
      <c r="AZ518" s="210" t="n"/>
      <c r="BA518" s="284" t="n"/>
      <c r="BB518" s="209" t="n"/>
      <c r="BC518" s="210" t="n"/>
      <c r="BD518" s="284" t="n"/>
      <c r="BE518" s="209" t="n"/>
      <c r="BF518" s="210" t="n"/>
      <c r="BG518" s="284" t="n"/>
      <c r="BH518" s="209" t="n"/>
      <c r="BI518" s="210" t="n"/>
    </row>
    <row r="519" hidden="1" outlineLevel="2" ht="14.4" customFormat="1" customHeight="1" s="498">
      <c r="A519" s="22" t="inlineStr">
        <is>
          <t xml:space="preserve">  -  Confeiteiro I</t>
        </is>
      </c>
      <c r="B519" s="23" t="n"/>
      <c r="C519" s="3" t="n"/>
      <c r="D519" s="16" t="n"/>
      <c r="E519" s="4" t="n"/>
      <c r="F519" s="23" t="n"/>
      <c r="G519" s="56" t="n"/>
      <c r="H519" s="284" t="n"/>
      <c r="I519" s="209" t="n"/>
      <c r="J519" s="210" t="n"/>
      <c r="K519" s="284" t="n"/>
      <c r="L519" s="209" t="n"/>
      <c r="M519" s="210" t="n"/>
      <c r="N519" s="284" t="n"/>
      <c r="O519" s="209" t="n"/>
      <c r="P519" s="210" t="n"/>
      <c r="Q519" s="284" t="n"/>
      <c r="R519" s="209" t="n"/>
      <c r="S519" s="210" t="n"/>
      <c r="T519" s="284" t="n"/>
      <c r="U519" s="209" t="n"/>
      <c r="V519" s="210" t="n"/>
      <c r="W519" s="284" t="n"/>
      <c r="X519" s="209" t="n"/>
      <c r="Y519" s="210" t="n"/>
      <c r="Z519" s="284" t="n"/>
      <c r="AA519" s="209" t="n"/>
      <c r="AB519" s="210" t="n"/>
      <c r="AC519" s="284" t="n"/>
      <c r="AD519" s="209" t="n"/>
      <c r="AE519" s="210" t="n"/>
      <c r="AF519" s="284" t="n"/>
      <c r="AG519" s="209" t="n"/>
      <c r="AH519" s="210" t="n"/>
      <c r="AI519" s="284" t="n"/>
      <c r="AJ519" s="209" t="n"/>
      <c r="AK519" s="210" t="n"/>
      <c r="AL519" s="284" t="n"/>
      <c r="AM519" s="209" t="n"/>
      <c r="AN519" s="210" t="n"/>
      <c r="AO519" s="284" t="n"/>
      <c r="AP519" s="209" t="n"/>
      <c r="AQ519" s="210" t="n"/>
      <c r="AR519" s="284" t="n"/>
      <c r="AS519" s="209" t="n"/>
      <c r="AT519" s="210" t="n"/>
      <c r="AU519" s="284" t="n"/>
      <c r="AV519" s="209" t="n"/>
      <c r="AW519" s="210" t="n"/>
      <c r="AX519" s="284" t="n"/>
      <c r="AY519" s="209" t="n"/>
      <c r="AZ519" s="210" t="n"/>
      <c r="BA519" s="284" t="n"/>
      <c r="BB519" s="209" t="n"/>
      <c r="BC519" s="210" t="n"/>
      <c r="BD519" s="284" t="n"/>
      <c r="BE519" s="209" t="n"/>
      <c r="BF519" s="210" t="n"/>
      <c r="BG519" s="284" t="n"/>
      <c r="BH519" s="209" t="n"/>
      <c r="BI519" s="210" t="n"/>
    </row>
    <row r="520" hidden="1" outlineLevel="2" ht="14.4" customFormat="1" customHeight="1" s="498">
      <c r="A520" s="22" t="inlineStr">
        <is>
          <t xml:space="preserve">  -  Copeiro</t>
        </is>
      </c>
      <c r="B520" s="23" t="n"/>
      <c r="C520" s="3" t="n"/>
      <c r="D520" s="16" t="n"/>
      <c r="E520" s="4" t="n"/>
      <c r="F520" s="23" t="n"/>
      <c r="G520" s="56" t="n"/>
      <c r="H520" s="284" t="n"/>
      <c r="I520" s="209" t="n"/>
      <c r="J520" s="210" t="n"/>
      <c r="K520" s="284" t="n"/>
      <c r="L520" s="209" t="n"/>
      <c r="M520" s="210" t="n"/>
      <c r="N520" s="284" t="n"/>
      <c r="O520" s="209" t="n"/>
      <c r="P520" s="210" t="n"/>
      <c r="Q520" s="284" t="n"/>
      <c r="R520" s="209" t="n"/>
      <c r="S520" s="210" t="n"/>
      <c r="T520" s="284" t="n"/>
      <c r="U520" s="209" t="n"/>
      <c r="V520" s="210" t="n"/>
      <c r="W520" s="284" t="n"/>
      <c r="X520" s="209" t="n"/>
      <c r="Y520" s="210" t="n"/>
      <c r="Z520" s="284" t="n"/>
      <c r="AA520" s="209" t="n"/>
      <c r="AB520" s="210" t="n"/>
      <c r="AC520" s="284" t="n"/>
      <c r="AD520" s="209" t="n"/>
      <c r="AE520" s="210" t="n"/>
      <c r="AF520" s="284" t="n"/>
      <c r="AG520" s="209" t="n"/>
      <c r="AH520" s="210" t="n"/>
      <c r="AI520" s="284" t="n"/>
      <c r="AJ520" s="209" t="n"/>
      <c r="AK520" s="210" t="n"/>
      <c r="AL520" s="284" t="n"/>
      <c r="AM520" s="209" t="n"/>
      <c r="AN520" s="210" t="n"/>
      <c r="AO520" s="284" t="n"/>
      <c r="AP520" s="209" t="n"/>
      <c r="AQ520" s="210" t="n"/>
      <c r="AR520" s="284" t="n"/>
      <c r="AS520" s="209" t="n"/>
      <c r="AT520" s="210" t="n"/>
      <c r="AU520" s="284" t="n"/>
      <c r="AV520" s="209" t="n"/>
      <c r="AW520" s="210" t="n"/>
      <c r="AX520" s="284" t="n"/>
      <c r="AY520" s="209" t="n"/>
      <c r="AZ520" s="210" t="n"/>
      <c r="BA520" s="284" t="n"/>
      <c r="BB520" s="209" t="n"/>
      <c r="BC520" s="210" t="n"/>
      <c r="BD520" s="284" t="n"/>
      <c r="BE520" s="209" t="n"/>
      <c r="BF520" s="210" t="n"/>
      <c r="BG520" s="284" t="n"/>
      <c r="BH520" s="209" t="n"/>
      <c r="BI520" s="210" t="n"/>
    </row>
    <row r="521" hidden="1" outlineLevel="2" ht="14.25" customFormat="1" customHeight="1" s="498">
      <c r="A521" s="22" t="inlineStr">
        <is>
          <t xml:space="preserve">  -  Pizzaiolo</t>
        </is>
      </c>
      <c r="B521" s="23" t="n"/>
      <c r="C521" s="3" t="n"/>
      <c r="D521" s="16" t="n"/>
      <c r="E521" s="4" t="n"/>
      <c r="F521" s="23" t="n"/>
      <c r="G521" s="56" t="n"/>
      <c r="H521" s="284" t="n"/>
      <c r="I521" s="209" t="n"/>
      <c r="J521" s="210" t="n"/>
      <c r="K521" s="284" t="n"/>
      <c r="L521" s="209" t="n"/>
      <c r="M521" s="210" t="n"/>
      <c r="N521" s="284" t="n"/>
      <c r="O521" s="209" t="n"/>
      <c r="P521" s="210" t="n"/>
      <c r="Q521" s="284" t="n"/>
      <c r="R521" s="209" t="n"/>
      <c r="S521" s="210" t="n"/>
      <c r="T521" s="284" t="n"/>
      <c r="U521" s="209" t="n"/>
      <c r="V521" s="210" t="n"/>
      <c r="W521" s="284" t="n"/>
      <c r="X521" s="209" t="n"/>
      <c r="Y521" s="210" t="n"/>
      <c r="Z521" s="284" t="n"/>
      <c r="AA521" s="209" t="n"/>
      <c r="AB521" s="210" t="n"/>
      <c r="AC521" s="284" t="n"/>
      <c r="AD521" s="209" t="n"/>
      <c r="AE521" s="210" t="n"/>
      <c r="AF521" s="284" t="n"/>
      <c r="AG521" s="209" t="n"/>
      <c r="AH521" s="210" t="n"/>
      <c r="AI521" s="284" t="n"/>
      <c r="AJ521" s="209" t="n"/>
      <c r="AK521" s="210" t="n"/>
      <c r="AL521" s="284" t="n"/>
      <c r="AM521" s="209" t="n"/>
      <c r="AN521" s="210" t="n"/>
      <c r="AO521" s="284" t="n"/>
      <c r="AP521" s="209" t="n"/>
      <c r="AQ521" s="210" t="n"/>
      <c r="AR521" s="284" t="n"/>
      <c r="AS521" s="209" t="n"/>
      <c r="AT521" s="210" t="n"/>
      <c r="AU521" s="284" t="n"/>
      <c r="AV521" s="209" t="n"/>
      <c r="AW521" s="210" t="n"/>
      <c r="AX521" s="284" t="n"/>
      <c r="AY521" s="209" t="n"/>
      <c r="AZ521" s="210" t="n"/>
      <c r="BA521" s="284" t="n"/>
      <c r="BB521" s="209" t="n"/>
      <c r="BC521" s="210" t="n"/>
      <c r="BD521" s="284" t="n"/>
      <c r="BE521" s="209" t="n"/>
      <c r="BF521" s="210" t="n"/>
      <c r="BG521" s="284" t="n"/>
      <c r="BH521" s="209" t="n"/>
      <c r="BI521" s="210" t="n"/>
    </row>
    <row r="522" hidden="1" outlineLevel="2" ht="14.4" customFormat="1" customHeight="1" s="498">
      <c r="A522" s="22" t="inlineStr">
        <is>
          <t xml:space="preserve">  -  Ajudante de Pizzaiolo</t>
        </is>
      </c>
      <c r="B522" s="23" t="n"/>
      <c r="C522" s="3" t="n"/>
      <c r="D522" s="16" t="n"/>
      <c r="E522" s="4" t="n"/>
      <c r="F522" s="23" t="n"/>
      <c r="G522" s="56" t="n"/>
      <c r="H522" s="284" t="n"/>
      <c r="I522" s="209" t="n"/>
      <c r="J522" s="210" t="n"/>
      <c r="K522" s="284" t="n"/>
      <c r="L522" s="209" t="n"/>
      <c r="M522" s="210" t="n"/>
      <c r="N522" s="284" t="n"/>
      <c r="O522" s="209" t="n"/>
      <c r="P522" s="210" t="n"/>
      <c r="Q522" s="284" t="n"/>
      <c r="R522" s="209" t="n"/>
      <c r="S522" s="210" t="n"/>
      <c r="T522" s="284" t="n"/>
      <c r="U522" s="209" t="n"/>
      <c r="V522" s="210" t="n"/>
      <c r="W522" s="284" t="n"/>
      <c r="X522" s="209" t="n"/>
      <c r="Y522" s="210" t="n"/>
      <c r="Z522" s="284" t="n"/>
      <c r="AA522" s="209" t="n"/>
      <c r="AB522" s="210" t="n"/>
      <c r="AC522" s="284" t="n"/>
      <c r="AD522" s="209" t="n"/>
      <c r="AE522" s="210" t="n"/>
      <c r="AF522" s="284" t="n"/>
      <c r="AG522" s="209" t="n"/>
      <c r="AH522" s="210" t="n"/>
      <c r="AI522" s="284" t="n"/>
      <c r="AJ522" s="209" t="n"/>
      <c r="AK522" s="210" t="n"/>
      <c r="AL522" s="284" t="n"/>
      <c r="AM522" s="209" t="n"/>
      <c r="AN522" s="210" t="n"/>
      <c r="AO522" s="284" t="n"/>
      <c r="AP522" s="209" t="n"/>
      <c r="AQ522" s="210" t="n"/>
      <c r="AR522" s="284" t="n"/>
      <c r="AS522" s="209" t="n"/>
      <c r="AT522" s="210" t="n"/>
      <c r="AU522" s="284" t="n"/>
      <c r="AV522" s="209" t="n"/>
      <c r="AW522" s="210" t="n"/>
      <c r="AX522" s="284" t="n"/>
      <c r="AY522" s="209" t="n"/>
      <c r="AZ522" s="210" t="n"/>
      <c r="BA522" s="284" t="n"/>
      <c r="BB522" s="209" t="n"/>
      <c r="BC522" s="210" t="n"/>
      <c r="BD522" s="284" t="n"/>
      <c r="BE522" s="209" t="n"/>
      <c r="BF522" s="210" t="n"/>
      <c r="BG522" s="284" t="n"/>
      <c r="BH522" s="209" t="n"/>
      <c r="BI522" s="210" t="n"/>
    </row>
    <row r="523" hidden="1" outlineLevel="2" ht="14.4" customFormat="1" customHeight="1" s="498">
      <c r="A523" s="22" t="inlineStr">
        <is>
          <t xml:space="preserve">  -  Boqueta</t>
        </is>
      </c>
      <c r="B523" s="23" t="n"/>
      <c r="C523" s="3" t="n"/>
      <c r="D523" s="16" t="n"/>
      <c r="E523" s="4" t="n"/>
      <c r="F523" s="23" t="n"/>
      <c r="G523" s="56" t="n"/>
      <c r="H523" s="284" t="n"/>
      <c r="I523" s="209" t="n"/>
      <c r="J523" s="210" t="n"/>
      <c r="K523" s="284" t="n"/>
      <c r="L523" s="209" t="n"/>
      <c r="M523" s="210" t="n"/>
      <c r="N523" s="284" t="n"/>
      <c r="O523" s="209" t="n"/>
      <c r="P523" s="210" t="n"/>
      <c r="Q523" s="284" t="n"/>
      <c r="R523" s="209" t="n"/>
      <c r="S523" s="210" t="n"/>
      <c r="T523" s="284" t="n"/>
      <c r="U523" s="209" t="n"/>
      <c r="V523" s="210" t="n"/>
      <c r="W523" s="284" t="n"/>
      <c r="X523" s="209" t="n"/>
      <c r="Y523" s="210" t="n"/>
      <c r="Z523" s="284" t="n"/>
      <c r="AA523" s="209" t="n"/>
      <c r="AB523" s="210" t="n"/>
      <c r="AC523" s="284" t="n"/>
      <c r="AD523" s="209" t="n"/>
      <c r="AE523" s="210" t="n"/>
      <c r="AF523" s="284" t="n"/>
      <c r="AG523" s="209" t="n"/>
      <c r="AH523" s="210" t="n"/>
      <c r="AI523" s="284" t="n"/>
      <c r="AJ523" s="209" t="n"/>
      <c r="AK523" s="210" t="n"/>
      <c r="AL523" s="284" t="n"/>
      <c r="AM523" s="209" t="n"/>
      <c r="AN523" s="210" t="n"/>
      <c r="AO523" s="284" t="n"/>
      <c r="AP523" s="209" t="n"/>
      <c r="AQ523" s="210" t="n"/>
      <c r="AR523" s="284" t="n"/>
      <c r="AS523" s="209" t="n"/>
      <c r="AT523" s="210" t="n"/>
      <c r="AU523" s="284" t="n"/>
      <c r="AV523" s="209" t="n"/>
      <c r="AW523" s="210" t="n"/>
      <c r="AX523" s="284" t="n"/>
      <c r="AY523" s="209" t="n"/>
      <c r="AZ523" s="210" t="n"/>
      <c r="BA523" s="284" t="n"/>
      <c r="BB523" s="209" t="n"/>
      <c r="BC523" s="210" t="n"/>
      <c r="BD523" s="284" t="n"/>
      <c r="BE523" s="209" t="n"/>
      <c r="BF523" s="210" t="n"/>
      <c r="BG523" s="284" t="n"/>
      <c r="BH523" s="209" t="n"/>
      <c r="BI523" s="210" t="n"/>
    </row>
    <row r="524" hidden="1" outlineLevel="2" ht="14.4" customFormat="1" customHeight="1" s="498">
      <c r="A524" s="22" t="inlineStr">
        <is>
          <t xml:space="preserve">  -  Churrasqueiro I</t>
        </is>
      </c>
      <c r="B524" s="23" t="n"/>
      <c r="C524" s="3" t="n"/>
      <c r="D524" s="16" t="n"/>
      <c r="E524" s="4" t="n"/>
      <c r="F524" s="23" t="n"/>
      <c r="G524" s="56" t="n"/>
      <c r="H524" s="284" t="n"/>
      <c r="I524" s="209" t="n"/>
      <c r="J524" s="210" t="n"/>
      <c r="K524" s="284" t="n"/>
      <c r="L524" s="209" t="n"/>
      <c r="M524" s="210" t="n"/>
      <c r="N524" s="284" t="n"/>
      <c r="O524" s="209" t="n"/>
      <c r="P524" s="210" t="n"/>
      <c r="Q524" s="284" t="n"/>
      <c r="R524" s="209" t="n"/>
      <c r="S524" s="210" t="n"/>
      <c r="T524" s="284" t="n"/>
      <c r="U524" s="209" t="n"/>
      <c r="V524" s="210" t="n"/>
      <c r="W524" s="284" t="n"/>
      <c r="X524" s="209" t="n"/>
      <c r="Y524" s="210" t="n"/>
      <c r="Z524" s="284" t="n"/>
      <c r="AA524" s="209" t="n"/>
      <c r="AB524" s="210" t="n"/>
      <c r="AC524" s="284" t="n"/>
      <c r="AD524" s="209" t="n"/>
      <c r="AE524" s="210" t="n"/>
      <c r="AF524" s="284" t="n"/>
      <c r="AG524" s="209" t="n"/>
      <c r="AH524" s="210" t="n"/>
      <c r="AI524" s="284" t="n"/>
      <c r="AJ524" s="209" t="n"/>
      <c r="AK524" s="210" t="n"/>
      <c r="AL524" s="284" t="n"/>
      <c r="AM524" s="209" t="n"/>
      <c r="AN524" s="210" t="n"/>
      <c r="AO524" s="284" t="n"/>
      <c r="AP524" s="209" t="n"/>
      <c r="AQ524" s="210" t="n"/>
      <c r="AR524" s="284" t="n"/>
      <c r="AS524" s="209" t="n"/>
      <c r="AT524" s="210" t="n"/>
      <c r="AU524" s="284" t="n"/>
      <c r="AV524" s="209" t="n"/>
      <c r="AW524" s="210" t="n"/>
      <c r="AX524" s="284" t="n"/>
      <c r="AY524" s="209" t="n"/>
      <c r="AZ524" s="210" t="n"/>
      <c r="BA524" s="284" t="n"/>
      <c r="BB524" s="209" t="n"/>
      <c r="BC524" s="210" t="n"/>
      <c r="BD524" s="284" t="n"/>
      <c r="BE524" s="209" t="n"/>
      <c r="BF524" s="210" t="n"/>
      <c r="BG524" s="284" t="n"/>
      <c r="BH524" s="209" t="n"/>
      <c r="BI524" s="210" t="n"/>
    </row>
    <row r="525" hidden="1" outlineLevel="2" ht="14.4" customFormat="1" customHeight="1" s="498">
      <c r="A525" s="22" t="inlineStr">
        <is>
          <t xml:space="preserve">  -  Churrasqueiro II</t>
        </is>
      </c>
      <c r="B525" s="23" t="n"/>
      <c r="C525" s="3" t="n"/>
      <c r="D525" s="16" t="n"/>
      <c r="E525" s="4" t="n"/>
      <c r="F525" s="23" t="n"/>
      <c r="G525" s="56" t="n"/>
      <c r="H525" s="284" t="n"/>
      <c r="I525" s="209" t="n"/>
      <c r="J525" s="210" t="n"/>
      <c r="K525" s="284" t="n"/>
      <c r="L525" s="209" t="n"/>
      <c r="M525" s="210" t="n"/>
      <c r="N525" s="284" t="n"/>
      <c r="O525" s="209" t="n"/>
      <c r="P525" s="210" t="n"/>
      <c r="Q525" s="284" t="n"/>
      <c r="R525" s="209" t="n"/>
      <c r="S525" s="210" t="n"/>
      <c r="T525" s="284" t="n"/>
      <c r="U525" s="209" t="n"/>
      <c r="V525" s="210" t="n"/>
      <c r="W525" s="284" t="n"/>
      <c r="X525" s="209" t="n"/>
      <c r="Y525" s="210" t="n"/>
      <c r="Z525" s="284" t="n"/>
      <c r="AA525" s="209" t="n"/>
      <c r="AB525" s="210" t="n"/>
      <c r="AC525" s="284" t="n"/>
      <c r="AD525" s="209" t="n"/>
      <c r="AE525" s="210" t="n"/>
      <c r="AF525" s="284" t="n"/>
      <c r="AG525" s="209" t="n"/>
      <c r="AH525" s="210" t="n"/>
      <c r="AI525" s="284" t="n"/>
      <c r="AJ525" s="209" t="n"/>
      <c r="AK525" s="210" t="n"/>
      <c r="AL525" s="284" t="n"/>
      <c r="AM525" s="209" t="n"/>
      <c r="AN525" s="210" t="n"/>
      <c r="AO525" s="284" t="n"/>
      <c r="AP525" s="209" t="n"/>
      <c r="AQ525" s="210" t="n"/>
      <c r="AR525" s="284" t="n"/>
      <c r="AS525" s="209" t="n"/>
      <c r="AT525" s="210" t="n"/>
      <c r="AU525" s="284" t="n"/>
      <c r="AV525" s="209" t="n"/>
      <c r="AW525" s="210" t="n"/>
      <c r="AX525" s="284" t="n"/>
      <c r="AY525" s="209" t="n"/>
      <c r="AZ525" s="210" t="n"/>
      <c r="BA525" s="284" t="n"/>
      <c r="BB525" s="209" t="n"/>
      <c r="BC525" s="210" t="n"/>
      <c r="BD525" s="284" t="n"/>
      <c r="BE525" s="209" t="n"/>
      <c r="BF525" s="210" t="n"/>
      <c r="BG525" s="284" t="n"/>
      <c r="BH525" s="209" t="n"/>
      <c r="BI525" s="210" t="n"/>
    </row>
    <row r="526" hidden="1" outlineLevel="2" ht="14.4" customFormat="1" customHeight="1" s="498">
      <c r="A526" s="22" t="inlineStr">
        <is>
          <t xml:space="preserve">  -  Churrasqueiro III</t>
        </is>
      </c>
      <c r="B526" s="23" t="n"/>
      <c r="C526" s="3" t="n"/>
      <c r="D526" s="16" t="n"/>
      <c r="E526" s="4" t="n"/>
      <c r="F526" s="23" t="n"/>
      <c r="G526" s="56" t="n"/>
      <c r="H526" s="284" t="n"/>
      <c r="I526" s="209" t="n"/>
      <c r="J526" s="210" t="n"/>
      <c r="K526" s="284" t="n"/>
      <c r="L526" s="209" t="n"/>
      <c r="M526" s="210" t="n"/>
      <c r="N526" s="284" t="n"/>
      <c r="O526" s="209" t="n"/>
      <c r="P526" s="210" t="n"/>
      <c r="Q526" s="284" t="n"/>
      <c r="R526" s="209" t="n"/>
      <c r="S526" s="210" t="n"/>
      <c r="T526" s="284" t="n"/>
      <c r="U526" s="209" t="n"/>
      <c r="V526" s="210" t="n"/>
      <c r="W526" s="284" t="n"/>
      <c r="X526" s="209" t="n"/>
      <c r="Y526" s="210" t="n"/>
      <c r="Z526" s="284" t="n"/>
      <c r="AA526" s="209" t="n"/>
      <c r="AB526" s="210" t="n"/>
      <c r="AC526" s="284" t="n"/>
      <c r="AD526" s="209" t="n"/>
      <c r="AE526" s="210" t="n"/>
      <c r="AF526" s="284" t="n"/>
      <c r="AG526" s="209" t="n"/>
      <c r="AH526" s="210" t="n"/>
      <c r="AI526" s="284" t="n"/>
      <c r="AJ526" s="209" t="n"/>
      <c r="AK526" s="210" t="n"/>
      <c r="AL526" s="284" t="n"/>
      <c r="AM526" s="209" t="n"/>
      <c r="AN526" s="210" t="n"/>
      <c r="AO526" s="284" t="n"/>
      <c r="AP526" s="209" t="n"/>
      <c r="AQ526" s="210" t="n"/>
      <c r="AR526" s="284" t="n"/>
      <c r="AS526" s="209" t="n"/>
      <c r="AT526" s="210" t="n"/>
      <c r="AU526" s="284" t="n"/>
      <c r="AV526" s="209" t="n"/>
      <c r="AW526" s="210" t="n"/>
      <c r="AX526" s="284" t="n"/>
      <c r="AY526" s="209" t="n"/>
      <c r="AZ526" s="210" t="n"/>
      <c r="BA526" s="284" t="n"/>
      <c r="BB526" s="209" t="n"/>
      <c r="BC526" s="210" t="n"/>
      <c r="BD526" s="284" t="n"/>
      <c r="BE526" s="209" t="n"/>
      <c r="BF526" s="210" t="n"/>
      <c r="BG526" s="284" t="n"/>
      <c r="BH526" s="209" t="n"/>
      <c r="BI526" s="210" t="n"/>
    </row>
    <row r="527" hidden="1" outlineLevel="2" ht="14.4" customFormat="1" customHeight="1" s="498">
      <c r="A527" s="22" t="inlineStr">
        <is>
          <t xml:space="preserve">  -  Ajud Limpeza</t>
        </is>
      </c>
      <c r="B527" s="23" t="n"/>
      <c r="C527" s="3" t="n"/>
      <c r="D527" s="16" t="n"/>
      <c r="E527" s="4" t="n"/>
      <c r="F527" s="23" t="n"/>
      <c r="G527" s="56" t="n"/>
      <c r="H527" s="284" t="n"/>
      <c r="I527" s="209" t="n"/>
      <c r="J527" s="210" t="n"/>
      <c r="K527" s="284" t="n"/>
      <c r="L527" s="209" t="n"/>
      <c r="M527" s="210" t="n"/>
      <c r="N527" s="284" t="n"/>
      <c r="O527" s="209" t="n"/>
      <c r="P527" s="210" t="n"/>
      <c r="Q527" s="284" t="n"/>
      <c r="R527" s="209" t="n"/>
      <c r="S527" s="210" t="n"/>
      <c r="T527" s="284" t="n"/>
      <c r="U527" s="209" t="n"/>
      <c r="V527" s="210" t="n"/>
      <c r="W527" s="284" t="n"/>
      <c r="X527" s="209" t="n"/>
      <c r="Y527" s="210" t="n"/>
      <c r="Z527" s="284" t="n"/>
      <c r="AA527" s="209" t="n"/>
      <c r="AB527" s="210" t="n"/>
      <c r="AC527" s="284" t="n"/>
      <c r="AD527" s="209" t="n"/>
      <c r="AE527" s="210" t="n"/>
      <c r="AF527" s="284" t="n"/>
      <c r="AG527" s="209" t="n"/>
      <c r="AH527" s="210" t="n"/>
      <c r="AI527" s="284" t="n"/>
      <c r="AJ527" s="209" t="n"/>
      <c r="AK527" s="210" t="n"/>
      <c r="AL527" s="284" t="n"/>
      <c r="AM527" s="209" t="n"/>
      <c r="AN527" s="210" t="n"/>
      <c r="AO527" s="284" t="n"/>
      <c r="AP527" s="209" t="n"/>
      <c r="AQ527" s="210" t="n"/>
      <c r="AR527" s="284" t="n"/>
      <c r="AS527" s="209" t="n"/>
      <c r="AT527" s="210" t="n"/>
      <c r="AU527" s="284" t="n"/>
      <c r="AV527" s="209" t="n"/>
      <c r="AW527" s="210" t="n"/>
      <c r="AX527" s="284" t="n"/>
      <c r="AY527" s="209" t="n"/>
      <c r="AZ527" s="210" t="n"/>
      <c r="BA527" s="284" t="n"/>
      <c r="BB527" s="209" t="n"/>
      <c r="BC527" s="210" t="n"/>
      <c r="BD527" s="284" t="n"/>
      <c r="BE527" s="209" t="n"/>
      <c r="BF527" s="210" t="n"/>
      <c r="BG527" s="284" t="n"/>
      <c r="BH527" s="209" t="n"/>
      <c r="BI527" s="210" t="n"/>
    </row>
    <row r="528" hidden="1" outlineLevel="2" ht="14.4" customFormat="1" customHeight="1" s="498">
      <c r="A528" s="22" t="inlineStr">
        <is>
          <t xml:space="preserve">  -  Estoquista III</t>
        </is>
      </c>
      <c r="B528" s="23" t="n"/>
      <c r="C528" s="3" t="n"/>
      <c r="D528" s="16" t="n"/>
      <c r="E528" s="4" t="n"/>
      <c r="F528" s="23" t="n"/>
      <c r="G528" s="56" t="n"/>
      <c r="H528" s="284" t="n"/>
      <c r="I528" s="209" t="n"/>
      <c r="J528" s="210" t="n"/>
      <c r="K528" s="284" t="n"/>
      <c r="L528" s="209" t="n"/>
      <c r="M528" s="210" t="n"/>
      <c r="N528" s="284" t="n"/>
      <c r="O528" s="209" t="n"/>
      <c r="P528" s="210" t="n"/>
      <c r="Q528" s="284" t="n"/>
      <c r="R528" s="209" t="n"/>
      <c r="S528" s="210" t="n"/>
      <c r="T528" s="284" t="n"/>
      <c r="U528" s="209" t="n"/>
      <c r="V528" s="210" t="n"/>
      <c r="W528" s="284" t="n"/>
      <c r="X528" s="209" t="n"/>
      <c r="Y528" s="210" t="n"/>
      <c r="Z528" s="284" t="n"/>
      <c r="AA528" s="209" t="n"/>
      <c r="AB528" s="210" t="n"/>
      <c r="AC528" s="284" t="n"/>
      <c r="AD528" s="209" t="n"/>
      <c r="AE528" s="210" t="n"/>
      <c r="AF528" s="284" t="n"/>
      <c r="AG528" s="209" t="n"/>
      <c r="AH528" s="210" t="n"/>
      <c r="AI528" s="284" t="n"/>
      <c r="AJ528" s="209" t="n"/>
      <c r="AK528" s="210" t="n"/>
      <c r="AL528" s="284" t="n"/>
      <c r="AM528" s="209" t="n"/>
      <c r="AN528" s="210" t="n"/>
      <c r="AO528" s="284" t="n"/>
      <c r="AP528" s="209" t="n"/>
      <c r="AQ528" s="210" t="n"/>
      <c r="AR528" s="284" t="n"/>
      <c r="AS528" s="209" t="n"/>
      <c r="AT528" s="210" t="n"/>
      <c r="AU528" s="284" t="n"/>
      <c r="AV528" s="209" t="n"/>
      <c r="AW528" s="210" t="n"/>
      <c r="AX528" s="284" t="n"/>
      <c r="AY528" s="209" t="n"/>
      <c r="AZ528" s="210" t="n"/>
      <c r="BA528" s="284" t="n"/>
      <c r="BB528" s="209" t="n"/>
      <c r="BC528" s="210" t="n"/>
      <c r="BD528" s="284" t="n"/>
      <c r="BE528" s="209" t="n"/>
      <c r="BF528" s="210" t="n"/>
      <c r="BG528" s="284" t="n"/>
      <c r="BH528" s="209" t="n"/>
      <c r="BI528" s="210" t="n"/>
    </row>
    <row r="529" hidden="1" outlineLevel="2" ht="14.4" customFormat="1" customHeight="1" s="498">
      <c r="A529" s="22" t="inlineStr">
        <is>
          <t xml:space="preserve">  -  Estoquista II</t>
        </is>
      </c>
      <c r="B529" s="23" t="n"/>
      <c r="C529" s="3" t="n"/>
      <c r="D529" s="16" t="n"/>
      <c r="E529" s="4" t="n"/>
      <c r="F529" s="23" t="n"/>
      <c r="G529" s="56" t="n"/>
      <c r="H529" s="284" t="n"/>
      <c r="I529" s="209" t="n"/>
      <c r="J529" s="210" t="n"/>
      <c r="K529" s="284" t="n"/>
      <c r="L529" s="209" t="n"/>
      <c r="M529" s="210" t="n"/>
      <c r="N529" s="284" t="n"/>
      <c r="O529" s="209" t="n"/>
      <c r="P529" s="210" t="n"/>
      <c r="Q529" s="284" t="n"/>
      <c r="R529" s="209" t="n"/>
      <c r="S529" s="210" t="n"/>
      <c r="T529" s="284" t="n"/>
      <c r="U529" s="209" t="n"/>
      <c r="V529" s="210" t="n"/>
      <c r="W529" s="284" t="n"/>
      <c r="X529" s="209" t="n"/>
      <c r="Y529" s="210" t="n"/>
      <c r="Z529" s="284" t="n"/>
      <c r="AA529" s="209" t="n"/>
      <c r="AB529" s="210" t="n"/>
      <c r="AC529" s="284" t="n"/>
      <c r="AD529" s="209" t="n"/>
      <c r="AE529" s="210" t="n"/>
      <c r="AF529" s="284" t="n"/>
      <c r="AG529" s="209" t="n"/>
      <c r="AH529" s="210" t="n"/>
      <c r="AI529" s="284" t="n"/>
      <c r="AJ529" s="209" t="n"/>
      <c r="AK529" s="210" t="n"/>
      <c r="AL529" s="284" t="n"/>
      <c r="AM529" s="209" t="n"/>
      <c r="AN529" s="210" t="n"/>
      <c r="AO529" s="284" t="n"/>
      <c r="AP529" s="209" t="n"/>
      <c r="AQ529" s="210" t="n"/>
      <c r="AR529" s="284" t="n"/>
      <c r="AS529" s="209" t="n"/>
      <c r="AT529" s="210" t="n"/>
      <c r="AU529" s="284" t="n"/>
      <c r="AV529" s="209" t="n"/>
      <c r="AW529" s="210" t="n"/>
      <c r="AX529" s="284" t="n"/>
      <c r="AY529" s="209" t="n"/>
      <c r="AZ529" s="210" t="n"/>
      <c r="BA529" s="284" t="n"/>
      <c r="BB529" s="209" t="n"/>
      <c r="BC529" s="210" t="n"/>
      <c r="BD529" s="284" t="n"/>
      <c r="BE529" s="209" t="n"/>
      <c r="BF529" s="210" t="n"/>
      <c r="BG529" s="284" t="n"/>
      <c r="BH529" s="209" t="n"/>
      <c r="BI529" s="210" t="n"/>
    </row>
    <row r="530" hidden="1" outlineLevel="2" ht="14.4" customFormat="1" customHeight="1" s="498">
      <c r="A530" s="22" t="inlineStr">
        <is>
          <t xml:space="preserve">  -  Estoquista I</t>
        </is>
      </c>
      <c r="B530" s="23" t="n"/>
      <c r="C530" s="3" t="n"/>
      <c r="D530" s="16" t="n"/>
      <c r="E530" s="4" t="n"/>
      <c r="F530" s="23" t="n"/>
      <c r="G530" s="56" t="n"/>
      <c r="H530" s="284" t="n"/>
      <c r="I530" s="209" t="n"/>
      <c r="J530" s="210" t="n"/>
      <c r="K530" s="284" t="n"/>
      <c r="L530" s="209" t="n"/>
      <c r="M530" s="210" t="n"/>
      <c r="N530" s="284" t="n"/>
      <c r="O530" s="209" t="n"/>
      <c r="P530" s="210" t="n"/>
      <c r="Q530" s="284" t="n"/>
      <c r="R530" s="209" t="n"/>
      <c r="S530" s="210" t="n"/>
      <c r="T530" s="284" t="n"/>
      <c r="U530" s="209" t="n"/>
      <c r="V530" s="210" t="n"/>
      <c r="W530" s="284" t="n"/>
      <c r="X530" s="209" t="n"/>
      <c r="Y530" s="210" t="n"/>
      <c r="Z530" s="284" t="n"/>
      <c r="AA530" s="209" t="n"/>
      <c r="AB530" s="210" t="n"/>
      <c r="AC530" s="284" t="n"/>
      <c r="AD530" s="209" t="n"/>
      <c r="AE530" s="210" t="n"/>
      <c r="AF530" s="284" t="n"/>
      <c r="AG530" s="209" t="n"/>
      <c r="AH530" s="210" t="n"/>
      <c r="AI530" s="284" t="n"/>
      <c r="AJ530" s="209" t="n"/>
      <c r="AK530" s="210" t="n"/>
      <c r="AL530" s="284" t="n"/>
      <c r="AM530" s="209" t="n"/>
      <c r="AN530" s="210" t="n"/>
      <c r="AO530" s="284" t="n"/>
      <c r="AP530" s="209" t="n"/>
      <c r="AQ530" s="210" t="n"/>
      <c r="AR530" s="284" t="n"/>
      <c r="AS530" s="209" t="n"/>
      <c r="AT530" s="210" t="n"/>
      <c r="AU530" s="284" t="n"/>
      <c r="AV530" s="209" t="n"/>
      <c r="AW530" s="210" t="n"/>
      <c r="AX530" s="284" t="n"/>
      <c r="AY530" s="209" t="n"/>
      <c r="AZ530" s="210" t="n"/>
      <c r="BA530" s="284" t="n"/>
      <c r="BB530" s="209" t="n"/>
      <c r="BC530" s="210" t="n"/>
      <c r="BD530" s="284" t="n"/>
      <c r="BE530" s="209" t="n"/>
      <c r="BF530" s="210" t="n"/>
      <c r="BG530" s="284" t="n"/>
      <c r="BH530" s="209" t="n"/>
      <c r="BI530" s="210" t="n"/>
    </row>
    <row r="531" hidden="1" outlineLevel="2" ht="14.4" customFormat="1" customHeight="1" s="498">
      <c r="A531" s="22" t="inlineStr">
        <is>
          <t xml:space="preserve">  -  Chefe de Manutenção</t>
        </is>
      </c>
      <c r="B531" s="23" t="n"/>
      <c r="C531" s="3" t="n"/>
      <c r="D531" s="16" t="n"/>
      <c r="E531" s="4" t="n"/>
      <c r="F531" s="23" t="n"/>
      <c r="G531" s="56" t="n"/>
      <c r="H531" s="284" t="n"/>
      <c r="I531" s="209" t="n"/>
      <c r="J531" s="210" t="n"/>
      <c r="K531" s="284" t="n"/>
      <c r="L531" s="209" t="n"/>
      <c r="M531" s="210" t="n"/>
      <c r="N531" s="284" t="n"/>
      <c r="O531" s="209" t="n"/>
      <c r="P531" s="210" t="n"/>
      <c r="Q531" s="284" t="n"/>
      <c r="R531" s="209" t="n"/>
      <c r="S531" s="210" t="n"/>
      <c r="T531" s="284" t="n"/>
      <c r="U531" s="209" t="n"/>
      <c r="V531" s="210" t="n"/>
      <c r="W531" s="284" t="n"/>
      <c r="X531" s="209" t="n"/>
      <c r="Y531" s="210" t="n"/>
      <c r="Z531" s="284" t="n"/>
      <c r="AA531" s="209" t="n"/>
      <c r="AB531" s="210" t="n"/>
      <c r="AC531" s="284" t="n"/>
      <c r="AD531" s="209" t="n"/>
      <c r="AE531" s="210" t="n"/>
      <c r="AF531" s="284" t="n"/>
      <c r="AG531" s="209" t="n"/>
      <c r="AH531" s="210" t="n"/>
      <c r="AI531" s="284" t="n"/>
      <c r="AJ531" s="209" t="n"/>
      <c r="AK531" s="210" t="n"/>
      <c r="AL531" s="284" t="n"/>
      <c r="AM531" s="209" t="n"/>
      <c r="AN531" s="210" t="n"/>
      <c r="AO531" s="284" t="n"/>
      <c r="AP531" s="209" t="n"/>
      <c r="AQ531" s="210" t="n"/>
      <c r="AR531" s="284" t="n"/>
      <c r="AS531" s="209" t="n"/>
      <c r="AT531" s="210" t="n"/>
      <c r="AU531" s="284" t="n"/>
      <c r="AV531" s="209" t="n"/>
      <c r="AW531" s="210" t="n"/>
      <c r="AX531" s="284" t="n"/>
      <c r="AY531" s="209" t="n"/>
      <c r="AZ531" s="210" t="n"/>
      <c r="BA531" s="284" t="n"/>
      <c r="BB531" s="209" t="n"/>
      <c r="BC531" s="210" t="n"/>
      <c r="BD531" s="284" t="n"/>
      <c r="BE531" s="209" t="n"/>
      <c r="BF531" s="210" t="n"/>
      <c r="BG531" s="284" t="n"/>
      <c r="BH531" s="209" t="n"/>
      <c r="BI531" s="210" t="n"/>
    </row>
    <row r="532" hidden="1" outlineLevel="2" ht="14.4" customFormat="1" customHeight="1" s="498">
      <c r="A532" s="22" t="inlineStr">
        <is>
          <t xml:space="preserve">  -  Aux. Manutenção III</t>
        </is>
      </c>
      <c r="B532" s="23" t="n"/>
      <c r="C532" s="3" t="n"/>
      <c r="D532" s="16" t="n"/>
      <c r="E532" s="4" t="n"/>
      <c r="F532" s="23" t="n"/>
      <c r="G532" s="56" t="n"/>
      <c r="H532" s="284" t="n"/>
      <c r="I532" s="209" t="n"/>
      <c r="J532" s="210" t="n"/>
      <c r="K532" s="284" t="n"/>
      <c r="L532" s="209" t="n"/>
      <c r="M532" s="210" t="n"/>
      <c r="N532" s="284" t="n"/>
      <c r="O532" s="209" t="n"/>
      <c r="P532" s="210" t="n"/>
      <c r="Q532" s="284" t="n"/>
      <c r="R532" s="209" t="n"/>
      <c r="S532" s="210" t="n"/>
      <c r="T532" s="284" t="n"/>
      <c r="U532" s="209" t="n"/>
      <c r="V532" s="210" t="n"/>
      <c r="W532" s="284" t="n"/>
      <c r="X532" s="209" t="n"/>
      <c r="Y532" s="210" t="n"/>
      <c r="Z532" s="284" t="n"/>
      <c r="AA532" s="209" t="n"/>
      <c r="AB532" s="210" t="n"/>
      <c r="AC532" s="284" t="n"/>
      <c r="AD532" s="209" t="n"/>
      <c r="AE532" s="210" t="n"/>
      <c r="AF532" s="284" t="n"/>
      <c r="AG532" s="209" t="n"/>
      <c r="AH532" s="210" t="n"/>
      <c r="AI532" s="284" t="n"/>
      <c r="AJ532" s="209" t="n"/>
      <c r="AK532" s="210" t="n"/>
      <c r="AL532" s="284" t="n"/>
      <c r="AM532" s="209" t="n"/>
      <c r="AN532" s="210" t="n"/>
      <c r="AO532" s="284" t="n"/>
      <c r="AP532" s="209" t="n"/>
      <c r="AQ532" s="210" t="n"/>
      <c r="AR532" s="284" t="n"/>
      <c r="AS532" s="209" t="n"/>
      <c r="AT532" s="210" t="n"/>
      <c r="AU532" s="284" t="n"/>
      <c r="AV532" s="209" t="n"/>
      <c r="AW532" s="210" t="n"/>
      <c r="AX532" s="284" t="n"/>
      <c r="AY532" s="209" t="n"/>
      <c r="AZ532" s="210" t="n"/>
      <c r="BA532" s="284" t="n"/>
      <c r="BB532" s="209" t="n"/>
      <c r="BC532" s="210" t="n"/>
      <c r="BD532" s="284" t="n"/>
      <c r="BE532" s="209" t="n"/>
      <c r="BF532" s="210" t="n"/>
      <c r="BG532" s="284" t="n"/>
      <c r="BH532" s="209" t="n"/>
      <c r="BI532" s="210" t="n"/>
    </row>
    <row r="533" hidden="1" outlineLevel="2" ht="14.4" customFormat="1" customHeight="1" s="498">
      <c r="A533" s="22" t="inlineStr">
        <is>
          <t xml:space="preserve">  -  Aux. Manutenção II</t>
        </is>
      </c>
      <c r="B533" s="23" t="n"/>
      <c r="C533" s="3" t="n"/>
      <c r="D533" s="16" t="n"/>
      <c r="E533" s="4" t="n"/>
      <c r="F533" s="23" t="n"/>
      <c r="G533" s="56" t="n"/>
      <c r="H533" s="284" t="n"/>
      <c r="I533" s="209" t="n"/>
      <c r="J533" s="210" t="n"/>
      <c r="K533" s="284" t="n"/>
      <c r="L533" s="209" t="n"/>
      <c r="M533" s="210" t="n"/>
      <c r="N533" s="284" t="n"/>
      <c r="O533" s="209" t="n"/>
      <c r="P533" s="210" t="n"/>
      <c r="Q533" s="284" t="n"/>
      <c r="R533" s="209" t="n"/>
      <c r="S533" s="210" t="n"/>
      <c r="T533" s="284" t="n"/>
      <c r="U533" s="209" t="n"/>
      <c r="V533" s="210" t="n"/>
      <c r="W533" s="284" t="n"/>
      <c r="X533" s="209" t="n"/>
      <c r="Y533" s="210" t="n"/>
      <c r="Z533" s="284" t="n"/>
      <c r="AA533" s="209" t="n"/>
      <c r="AB533" s="210" t="n"/>
      <c r="AC533" s="284" t="n"/>
      <c r="AD533" s="209" t="n"/>
      <c r="AE533" s="210" t="n"/>
      <c r="AF533" s="284" t="n"/>
      <c r="AG533" s="209" t="n"/>
      <c r="AH533" s="210" t="n"/>
      <c r="AI533" s="284" t="n"/>
      <c r="AJ533" s="209" t="n"/>
      <c r="AK533" s="210" t="n"/>
      <c r="AL533" s="284" t="n"/>
      <c r="AM533" s="209" t="n"/>
      <c r="AN533" s="210" t="n"/>
      <c r="AO533" s="284" t="n"/>
      <c r="AP533" s="209" t="n"/>
      <c r="AQ533" s="210" t="n"/>
      <c r="AR533" s="284" t="n"/>
      <c r="AS533" s="209" t="n"/>
      <c r="AT533" s="210" t="n"/>
      <c r="AU533" s="284" t="n"/>
      <c r="AV533" s="209" t="n"/>
      <c r="AW533" s="210" t="n"/>
      <c r="AX533" s="284" t="n"/>
      <c r="AY533" s="209" t="n"/>
      <c r="AZ533" s="210" t="n"/>
      <c r="BA533" s="284" t="n"/>
      <c r="BB533" s="209" t="n"/>
      <c r="BC533" s="210" t="n"/>
      <c r="BD533" s="284" t="n"/>
      <c r="BE533" s="209" t="n"/>
      <c r="BF533" s="210" t="n"/>
      <c r="BG533" s="284" t="n"/>
      <c r="BH533" s="209" t="n"/>
      <c r="BI533" s="210" t="n"/>
    </row>
    <row r="534" hidden="1" outlineLevel="2" ht="14.4" customFormat="1" customHeight="1" s="498">
      <c r="A534" s="22" t="inlineStr">
        <is>
          <t xml:space="preserve">  -  Aux. Manutenção I</t>
        </is>
      </c>
      <c r="B534" s="23" t="n"/>
      <c r="C534" s="3" t="n"/>
      <c r="D534" s="16" t="n"/>
      <c r="E534" s="4" t="n"/>
      <c r="F534" s="23" t="n"/>
      <c r="G534" s="56" t="n"/>
      <c r="H534" s="284" t="n"/>
      <c r="I534" s="209" t="n"/>
      <c r="J534" s="210" t="n"/>
      <c r="K534" s="284" t="n"/>
      <c r="L534" s="209" t="n"/>
      <c r="M534" s="210" t="n"/>
      <c r="N534" s="284" t="n"/>
      <c r="O534" s="209" t="n"/>
      <c r="P534" s="210" t="n"/>
      <c r="Q534" s="284" t="n"/>
      <c r="R534" s="209" t="n"/>
      <c r="S534" s="210" t="n"/>
      <c r="T534" s="284" t="n"/>
      <c r="U534" s="209" t="n"/>
      <c r="V534" s="210" t="n"/>
      <c r="W534" s="284" t="n"/>
      <c r="X534" s="209" t="n"/>
      <c r="Y534" s="210" t="n"/>
      <c r="Z534" s="284" t="n"/>
      <c r="AA534" s="209" t="n"/>
      <c r="AB534" s="210" t="n"/>
      <c r="AC534" s="284" t="n"/>
      <c r="AD534" s="209" t="n"/>
      <c r="AE534" s="210" t="n"/>
      <c r="AF534" s="284" t="n"/>
      <c r="AG534" s="209" t="n"/>
      <c r="AH534" s="210" t="n"/>
      <c r="AI534" s="284" t="n"/>
      <c r="AJ534" s="209" t="n"/>
      <c r="AK534" s="210" t="n"/>
      <c r="AL534" s="284" t="n"/>
      <c r="AM534" s="209" t="n"/>
      <c r="AN534" s="210" t="n"/>
      <c r="AO534" s="284" t="n"/>
      <c r="AP534" s="209" t="n"/>
      <c r="AQ534" s="210" t="n"/>
      <c r="AR534" s="284" t="n"/>
      <c r="AS534" s="209" t="n"/>
      <c r="AT534" s="210" t="n"/>
      <c r="AU534" s="284" t="n"/>
      <c r="AV534" s="209" t="n"/>
      <c r="AW534" s="210" t="n"/>
      <c r="AX534" s="284" t="n"/>
      <c r="AY534" s="209" t="n"/>
      <c r="AZ534" s="210" t="n"/>
      <c r="BA534" s="284" t="n"/>
      <c r="BB534" s="209" t="n"/>
      <c r="BC534" s="210" t="n"/>
      <c r="BD534" s="284" t="n"/>
      <c r="BE534" s="209" t="n"/>
      <c r="BF534" s="210" t="n"/>
      <c r="BG534" s="284" t="n"/>
      <c r="BH534" s="209" t="n"/>
      <c r="BI534" s="210" t="n"/>
    </row>
    <row r="535" hidden="1" outlineLevel="2" ht="14.4" customFormat="1" customHeight="1" s="498">
      <c r="A535" s="22" t="inlineStr">
        <is>
          <t xml:space="preserve">  -  Chefe da Portaria</t>
        </is>
      </c>
      <c r="B535" s="23" t="n"/>
      <c r="C535" s="3" t="n"/>
      <c r="D535" s="16" t="n"/>
      <c r="E535" s="4" t="n"/>
      <c r="F535" s="23" t="n"/>
      <c r="G535" s="56" t="n"/>
      <c r="H535" s="284" t="n"/>
      <c r="I535" s="209" t="n"/>
      <c r="J535" s="210" t="n"/>
      <c r="K535" s="284" t="n"/>
      <c r="L535" s="209" t="n"/>
      <c r="M535" s="210" t="n"/>
      <c r="N535" s="284" t="n"/>
      <c r="O535" s="209" t="n"/>
      <c r="P535" s="210" t="n"/>
      <c r="Q535" s="284" t="n"/>
      <c r="R535" s="209" t="n"/>
      <c r="S535" s="210" t="n"/>
      <c r="T535" s="284" t="n"/>
      <c r="U535" s="209" t="n"/>
      <c r="V535" s="210" t="n"/>
      <c r="W535" s="284" t="n"/>
      <c r="X535" s="209" t="n"/>
      <c r="Y535" s="210" t="n"/>
      <c r="Z535" s="284" t="n"/>
      <c r="AA535" s="209" t="n"/>
      <c r="AB535" s="210" t="n"/>
      <c r="AC535" s="284" t="n"/>
      <c r="AD535" s="209" t="n"/>
      <c r="AE535" s="210" t="n"/>
      <c r="AF535" s="284" t="n"/>
      <c r="AG535" s="209" t="n"/>
      <c r="AH535" s="210" t="n"/>
      <c r="AI535" s="284" t="n"/>
      <c r="AJ535" s="209" t="n"/>
      <c r="AK535" s="210" t="n"/>
      <c r="AL535" s="284" t="n"/>
      <c r="AM535" s="209" t="n"/>
      <c r="AN535" s="210" t="n"/>
      <c r="AO535" s="284" t="n"/>
      <c r="AP535" s="209" t="n"/>
      <c r="AQ535" s="210" t="n"/>
      <c r="AR535" s="284" t="n"/>
      <c r="AS535" s="209" t="n"/>
      <c r="AT535" s="210" t="n"/>
      <c r="AU535" s="284" t="n"/>
      <c r="AV535" s="209" t="n"/>
      <c r="AW535" s="210" t="n"/>
      <c r="AX535" s="284" t="n"/>
      <c r="AY535" s="209" t="n"/>
      <c r="AZ535" s="210" t="n"/>
      <c r="BA535" s="284" t="n"/>
      <c r="BB535" s="209" t="n"/>
      <c r="BC535" s="210" t="n"/>
      <c r="BD535" s="284" t="n"/>
      <c r="BE535" s="209" t="n"/>
      <c r="BF535" s="210" t="n"/>
      <c r="BG535" s="284" t="n"/>
      <c r="BH535" s="209" t="n"/>
      <c r="BI535" s="210" t="n"/>
    </row>
    <row r="536" hidden="1" outlineLevel="2" ht="14.4" customFormat="1" customHeight="1" s="498">
      <c r="A536" s="22" t="inlineStr">
        <is>
          <t xml:space="preserve">  -  Porteiro III</t>
        </is>
      </c>
      <c r="B536" s="23" t="n"/>
      <c r="C536" s="3" t="n"/>
      <c r="D536" s="16" t="n"/>
      <c r="E536" s="4" t="n"/>
      <c r="F536" s="23" t="n"/>
      <c r="G536" s="56" t="n"/>
      <c r="H536" s="284" t="n"/>
      <c r="I536" s="209" t="n"/>
      <c r="J536" s="210" t="n"/>
      <c r="K536" s="284" t="n"/>
      <c r="L536" s="209" t="n"/>
      <c r="M536" s="210" t="n"/>
      <c r="N536" s="284" t="n"/>
      <c r="O536" s="209" t="n"/>
      <c r="P536" s="210" t="n"/>
      <c r="Q536" s="284" t="n"/>
      <c r="R536" s="209" t="n"/>
      <c r="S536" s="210" t="n"/>
      <c r="T536" s="284" t="n"/>
      <c r="U536" s="209" t="n"/>
      <c r="V536" s="210" t="n"/>
      <c r="W536" s="284" t="n"/>
      <c r="X536" s="209" t="n"/>
      <c r="Y536" s="210" t="n"/>
      <c r="Z536" s="284" t="n"/>
      <c r="AA536" s="209" t="n"/>
      <c r="AB536" s="210" t="n"/>
      <c r="AC536" s="284" t="n"/>
      <c r="AD536" s="209" t="n"/>
      <c r="AE536" s="210" t="n"/>
      <c r="AF536" s="284" t="n"/>
      <c r="AG536" s="209" t="n"/>
      <c r="AH536" s="210" t="n"/>
      <c r="AI536" s="284" t="n"/>
      <c r="AJ536" s="209" t="n"/>
      <c r="AK536" s="210" t="n"/>
      <c r="AL536" s="284" t="n"/>
      <c r="AM536" s="209" t="n"/>
      <c r="AN536" s="210" t="n"/>
      <c r="AO536" s="284" t="n"/>
      <c r="AP536" s="209" t="n"/>
      <c r="AQ536" s="210" t="n"/>
      <c r="AR536" s="284" t="n"/>
      <c r="AS536" s="209" t="n"/>
      <c r="AT536" s="210" t="n"/>
      <c r="AU536" s="284" t="n"/>
      <c r="AV536" s="209" t="n"/>
      <c r="AW536" s="210" t="n"/>
      <c r="AX536" s="284" t="n"/>
      <c r="AY536" s="209" t="n"/>
      <c r="AZ536" s="210" t="n"/>
      <c r="BA536" s="284" t="n"/>
      <c r="BB536" s="209" t="n"/>
      <c r="BC536" s="210" t="n"/>
      <c r="BD536" s="284" t="n"/>
      <c r="BE536" s="209" t="n"/>
      <c r="BF536" s="210" t="n"/>
      <c r="BG536" s="284" t="n"/>
      <c r="BH536" s="209" t="n"/>
      <c r="BI536" s="210" t="n"/>
    </row>
    <row r="537" hidden="1" outlineLevel="2" ht="14.4" customFormat="1" customHeight="1" s="498">
      <c r="A537" s="22" t="inlineStr">
        <is>
          <t xml:space="preserve">  -  Porteiro II</t>
        </is>
      </c>
      <c r="B537" s="23" t="n"/>
      <c r="C537" s="3" t="n"/>
      <c r="D537" s="16" t="n"/>
      <c r="E537" s="4" t="n"/>
      <c r="F537" s="23" t="n"/>
      <c r="G537" s="56" t="n"/>
      <c r="H537" s="284" t="n"/>
      <c r="I537" s="209" t="n"/>
      <c r="J537" s="210" t="n"/>
      <c r="K537" s="284" t="n"/>
      <c r="L537" s="209" t="n"/>
      <c r="M537" s="210" t="n"/>
      <c r="N537" s="284" t="n"/>
      <c r="O537" s="209" t="n"/>
      <c r="P537" s="210" t="n"/>
      <c r="Q537" s="284" t="n"/>
      <c r="R537" s="209" t="n"/>
      <c r="S537" s="210" t="n"/>
      <c r="T537" s="284" t="n"/>
      <c r="U537" s="209" t="n"/>
      <c r="V537" s="210" t="n"/>
      <c r="W537" s="284" t="n"/>
      <c r="X537" s="209" t="n"/>
      <c r="Y537" s="210" t="n"/>
      <c r="Z537" s="284" t="n"/>
      <c r="AA537" s="209" t="n"/>
      <c r="AB537" s="210" t="n"/>
      <c r="AC537" s="284" t="n"/>
      <c r="AD537" s="209" t="n"/>
      <c r="AE537" s="210" t="n"/>
      <c r="AF537" s="284" t="n"/>
      <c r="AG537" s="209" t="n"/>
      <c r="AH537" s="210" t="n"/>
      <c r="AI537" s="284" t="n"/>
      <c r="AJ537" s="209" t="n"/>
      <c r="AK537" s="210" t="n"/>
      <c r="AL537" s="284" t="n"/>
      <c r="AM537" s="209" t="n"/>
      <c r="AN537" s="210" t="n"/>
      <c r="AO537" s="284" t="n"/>
      <c r="AP537" s="209" t="n"/>
      <c r="AQ537" s="210" t="n"/>
      <c r="AR537" s="284" t="n"/>
      <c r="AS537" s="209" t="n"/>
      <c r="AT537" s="210" t="n"/>
      <c r="AU537" s="284" t="n"/>
      <c r="AV537" s="209" t="n"/>
      <c r="AW537" s="210" t="n"/>
      <c r="AX537" s="284" t="n"/>
      <c r="AY537" s="209" t="n"/>
      <c r="AZ537" s="210" t="n"/>
      <c r="BA537" s="284" t="n"/>
      <c r="BB537" s="209" t="n"/>
      <c r="BC537" s="210" t="n"/>
      <c r="BD537" s="284" t="n"/>
      <c r="BE537" s="209" t="n"/>
      <c r="BF537" s="210" t="n"/>
      <c r="BG537" s="284" t="n"/>
      <c r="BH537" s="209" t="n"/>
      <c r="BI537" s="210" t="n"/>
    </row>
    <row r="538" hidden="1" outlineLevel="2" ht="14.4" customFormat="1" customHeight="1" s="498">
      <c r="A538" s="22" t="inlineStr">
        <is>
          <t xml:space="preserve">  -  Porteiro I</t>
        </is>
      </c>
      <c r="B538" s="23" t="n"/>
      <c r="C538" s="3" t="n"/>
      <c r="D538" s="16" t="n"/>
      <c r="E538" s="4" t="n"/>
      <c r="F538" s="23" t="n"/>
      <c r="G538" s="56" t="n"/>
      <c r="H538" s="284" t="n"/>
      <c r="I538" s="209" t="n"/>
      <c r="J538" s="210" t="n"/>
      <c r="K538" s="284" t="n"/>
      <c r="L538" s="209" t="n"/>
      <c r="M538" s="210" t="n"/>
      <c r="N538" s="284" t="n"/>
      <c r="O538" s="209" t="n"/>
      <c r="P538" s="210" t="n"/>
      <c r="Q538" s="284" t="n"/>
      <c r="R538" s="209" t="n"/>
      <c r="S538" s="210" t="n"/>
      <c r="T538" s="284" t="n"/>
      <c r="U538" s="209" t="n"/>
      <c r="V538" s="210" t="n"/>
      <c r="W538" s="284" t="n"/>
      <c r="X538" s="209" t="n"/>
      <c r="Y538" s="210" t="n"/>
      <c r="Z538" s="284" t="n"/>
      <c r="AA538" s="209" t="n"/>
      <c r="AB538" s="210" t="n"/>
      <c r="AC538" s="284" t="n"/>
      <c r="AD538" s="209" t="n"/>
      <c r="AE538" s="210" t="n"/>
      <c r="AF538" s="284" t="n"/>
      <c r="AG538" s="209" t="n"/>
      <c r="AH538" s="210" t="n"/>
      <c r="AI538" s="284" t="n"/>
      <c r="AJ538" s="209" t="n"/>
      <c r="AK538" s="210" t="n"/>
      <c r="AL538" s="284" t="n"/>
      <c r="AM538" s="209" t="n"/>
      <c r="AN538" s="210" t="n"/>
      <c r="AO538" s="284" t="n"/>
      <c r="AP538" s="209" t="n"/>
      <c r="AQ538" s="210" t="n"/>
      <c r="AR538" s="284" t="n"/>
      <c r="AS538" s="209" t="n"/>
      <c r="AT538" s="210" t="n"/>
      <c r="AU538" s="284" t="n"/>
      <c r="AV538" s="209" t="n"/>
      <c r="AW538" s="210" t="n"/>
      <c r="AX538" s="284" t="n"/>
      <c r="AY538" s="209" t="n"/>
      <c r="AZ538" s="210" t="n"/>
      <c r="BA538" s="284" t="n"/>
      <c r="BB538" s="209" t="n"/>
      <c r="BC538" s="210" t="n"/>
      <c r="BD538" s="284" t="n"/>
      <c r="BE538" s="209" t="n"/>
      <c r="BF538" s="210" t="n"/>
      <c r="BG538" s="284" t="n"/>
      <c r="BH538" s="209" t="n"/>
      <c r="BI538" s="210" t="n"/>
    </row>
    <row r="539" hidden="1" outlineLevel="2" ht="14.4" customFormat="1" customHeight="1" s="498">
      <c r="A539" s="22" t="inlineStr">
        <is>
          <t xml:space="preserve">  -  Hostess III</t>
        </is>
      </c>
      <c r="B539" s="23" t="n"/>
      <c r="C539" s="3" t="n"/>
      <c r="D539" s="16" t="n"/>
      <c r="E539" s="4" t="n"/>
      <c r="F539" s="23" t="n"/>
      <c r="G539" s="56" t="n"/>
      <c r="H539" s="284" t="n"/>
      <c r="I539" s="209" t="n"/>
      <c r="J539" s="210" t="n"/>
      <c r="K539" s="284" t="n"/>
      <c r="L539" s="209" t="n"/>
      <c r="M539" s="210" t="n"/>
      <c r="N539" s="284" t="n"/>
      <c r="O539" s="209" t="n"/>
      <c r="P539" s="210" t="n"/>
      <c r="Q539" s="284" t="n"/>
      <c r="R539" s="209" t="n"/>
      <c r="S539" s="210" t="n"/>
      <c r="T539" s="284" t="n"/>
      <c r="U539" s="209" t="n"/>
      <c r="V539" s="210" t="n"/>
      <c r="W539" s="284" t="n"/>
      <c r="X539" s="209" t="n"/>
      <c r="Y539" s="210" t="n"/>
      <c r="Z539" s="284" t="n"/>
      <c r="AA539" s="209" t="n"/>
      <c r="AB539" s="210" t="n"/>
      <c r="AC539" s="284" t="n"/>
      <c r="AD539" s="209" t="n"/>
      <c r="AE539" s="210" t="n"/>
      <c r="AF539" s="284" t="n"/>
      <c r="AG539" s="209" t="n"/>
      <c r="AH539" s="210" t="n"/>
      <c r="AI539" s="284" t="n"/>
      <c r="AJ539" s="209" t="n"/>
      <c r="AK539" s="210" t="n"/>
      <c r="AL539" s="284" t="n"/>
      <c r="AM539" s="209" t="n"/>
      <c r="AN539" s="210" t="n"/>
      <c r="AO539" s="284" t="n"/>
      <c r="AP539" s="209" t="n"/>
      <c r="AQ539" s="210" t="n"/>
      <c r="AR539" s="284" t="n"/>
      <c r="AS539" s="209" t="n"/>
      <c r="AT539" s="210" t="n"/>
      <c r="AU539" s="284" t="n"/>
      <c r="AV539" s="209" t="n"/>
      <c r="AW539" s="210" t="n"/>
      <c r="AX539" s="284" t="n"/>
      <c r="AY539" s="209" t="n"/>
      <c r="AZ539" s="210" t="n"/>
      <c r="BA539" s="284" t="n"/>
      <c r="BB539" s="209" t="n"/>
      <c r="BC539" s="210" t="n"/>
      <c r="BD539" s="284" t="n"/>
      <c r="BE539" s="209" t="n"/>
      <c r="BF539" s="210" t="n"/>
      <c r="BG539" s="284" t="n"/>
      <c r="BH539" s="209" t="n"/>
      <c r="BI539" s="210" t="n"/>
    </row>
    <row r="540" hidden="1" outlineLevel="2" ht="14.4" customFormat="1" customHeight="1" s="498">
      <c r="A540" s="22" t="inlineStr">
        <is>
          <t xml:space="preserve">  -  Hostess II</t>
        </is>
      </c>
      <c r="B540" s="23" t="n"/>
      <c r="C540" s="3" t="n"/>
      <c r="D540" s="16" t="n"/>
      <c r="E540" s="4" t="n"/>
      <c r="F540" s="23" t="n"/>
      <c r="G540" s="56" t="n"/>
      <c r="H540" s="284" t="n"/>
      <c r="I540" s="209" t="n"/>
      <c r="J540" s="210" t="n"/>
      <c r="K540" s="284" t="n"/>
      <c r="L540" s="209" t="n"/>
      <c r="M540" s="210" t="n"/>
      <c r="N540" s="284" t="n"/>
      <c r="O540" s="209" t="n"/>
      <c r="P540" s="210" t="n"/>
      <c r="Q540" s="284" t="n"/>
      <c r="R540" s="209" t="n"/>
      <c r="S540" s="210" t="n"/>
      <c r="T540" s="284" t="n"/>
      <c r="U540" s="209" t="n"/>
      <c r="V540" s="210" t="n"/>
      <c r="W540" s="284" t="n"/>
      <c r="X540" s="209" t="n"/>
      <c r="Y540" s="210" t="n"/>
      <c r="Z540" s="284" t="n"/>
      <c r="AA540" s="209" t="n"/>
      <c r="AB540" s="210" t="n"/>
      <c r="AC540" s="284" t="n"/>
      <c r="AD540" s="209" t="n"/>
      <c r="AE540" s="210" t="n"/>
      <c r="AF540" s="284" t="n"/>
      <c r="AG540" s="209" t="n"/>
      <c r="AH540" s="210" t="n"/>
      <c r="AI540" s="284" t="n"/>
      <c r="AJ540" s="209" t="n"/>
      <c r="AK540" s="210" t="n"/>
      <c r="AL540" s="284" t="n"/>
      <c r="AM540" s="209" t="n"/>
      <c r="AN540" s="210" t="n"/>
      <c r="AO540" s="284" t="n"/>
      <c r="AP540" s="209" t="n"/>
      <c r="AQ540" s="210" t="n"/>
      <c r="AR540" s="284" t="n"/>
      <c r="AS540" s="209" t="n"/>
      <c r="AT540" s="210" t="n"/>
      <c r="AU540" s="284" t="n"/>
      <c r="AV540" s="209" t="n"/>
      <c r="AW540" s="210" t="n"/>
      <c r="AX540" s="284" t="n"/>
      <c r="AY540" s="209" t="n"/>
      <c r="AZ540" s="210" t="n"/>
      <c r="BA540" s="284" t="n"/>
      <c r="BB540" s="209" t="n"/>
      <c r="BC540" s="210" t="n"/>
      <c r="BD540" s="284" t="n"/>
      <c r="BE540" s="209" t="n"/>
      <c r="BF540" s="210" t="n"/>
      <c r="BG540" s="284" t="n"/>
      <c r="BH540" s="209" t="n"/>
      <c r="BI540" s="210" t="n"/>
    </row>
    <row r="541" hidden="1" outlineLevel="2" ht="14.4" customFormat="1" customHeight="1" s="498">
      <c r="A541" s="22" t="inlineStr">
        <is>
          <t xml:space="preserve">  -  Hostess I</t>
        </is>
      </c>
      <c r="B541" s="23" t="n"/>
      <c r="C541" s="3" t="n"/>
      <c r="D541" s="16" t="n"/>
      <c r="E541" s="4" t="n"/>
      <c r="F541" s="23" t="n"/>
      <c r="G541" s="56" t="n"/>
      <c r="H541" s="284" t="n"/>
      <c r="I541" s="209" t="n"/>
      <c r="J541" s="210" t="n"/>
      <c r="K541" s="284" t="n"/>
      <c r="L541" s="209" t="n"/>
      <c r="M541" s="210" t="n"/>
      <c r="N541" s="284" t="n"/>
      <c r="O541" s="209" t="n"/>
      <c r="P541" s="210" t="n"/>
      <c r="Q541" s="284" t="n"/>
      <c r="R541" s="209" t="n"/>
      <c r="S541" s="210" t="n"/>
      <c r="T541" s="284" t="n"/>
      <c r="U541" s="209" t="n"/>
      <c r="V541" s="210" t="n"/>
      <c r="W541" s="284" t="n"/>
      <c r="X541" s="209" t="n"/>
      <c r="Y541" s="210" t="n"/>
      <c r="Z541" s="284" t="n"/>
      <c r="AA541" s="209" t="n"/>
      <c r="AB541" s="210" t="n"/>
      <c r="AC541" s="284" t="n"/>
      <c r="AD541" s="209" t="n"/>
      <c r="AE541" s="210" t="n"/>
      <c r="AF541" s="284" t="n"/>
      <c r="AG541" s="209" t="n"/>
      <c r="AH541" s="210" t="n"/>
      <c r="AI541" s="284" t="n"/>
      <c r="AJ541" s="209" t="n"/>
      <c r="AK541" s="210" t="n"/>
      <c r="AL541" s="284" t="n"/>
      <c r="AM541" s="209" t="n"/>
      <c r="AN541" s="210" t="n"/>
      <c r="AO541" s="284" t="n"/>
      <c r="AP541" s="209" t="n"/>
      <c r="AQ541" s="210" t="n"/>
      <c r="AR541" s="284" t="n"/>
      <c r="AS541" s="209" t="n"/>
      <c r="AT541" s="210" t="n"/>
      <c r="AU541" s="284" t="n"/>
      <c r="AV541" s="209" t="n"/>
      <c r="AW541" s="210" t="n"/>
      <c r="AX541" s="284" t="n"/>
      <c r="AY541" s="209" t="n"/>
      <c r="AZ541" s="210" t="n"/>
      <c r="BA541" s="284" t="n"/>
      <c r="BB541" s="209" t="n"/>
      <c r="BC541" s="210" t="n"/>
      <c r="BD541" s="284" t="n"/>
      <c r="BE541" s="209" t="n"/>
      <c r="BF541" s="210" t="n"/>
      <c r="BG541" s="284" t="n"/>
      <c r="BH541" s="209" t="n"/>
      <c r="BI541" s="210" t="n"/>
    </row>
    <row r="542" hidden="1" outlineLevel="2" ht="14.4" customFormat="1" customHeight="1" s="498">
      <c r="A542" s="22" t="inlineStr">
        <is>
          <t xml:space="preserve">  -  Chefe de Bilheteria</t>
        </is>
      </c>
      <c r="B542" s="23" t="n"/>
      <c r="C542" s="3" t="n"/>
      <c r="D542" s="16" t="n"/>
      <c r="E542" s="4" t="n"/>
      <c r="F542" s="23" t="n"/>
      <c r="G542" s="56" t="n"/>
      <c r="H542" s="284" t="n"/>
      <c r="I542" s="209" t="n"/>
      <c r="J542" s="210" t="n"/>
      <c r="K542" s="284" t="n"/>
      <c r="L542" s="209" t="n"/>
      <c r="M542" s="210" t="n"/>
      <c r="N542" s="284" t="n"/>
      <c r="O542" s="209" t="n"/>
      <c r="P542" s="210" t="n"/>
      <c r="Q542" s="284" t="n"/>
      <c r="R542" s="209" t="n"/>
      <c r="S542" s="210" t="n"/>
      <c r="T542" s="284" t="n"/>
      <c r="U542" s="209" t="n"/>
      <c r="V542" s="210" t="n"/>
      <c r="W542" s="284" t="n"/>
      <c r="X542" s="209" t="n"/>
      <c r="Y542" s="210" t="n"/>
      <c r="Z542" s="284" t="n"/>
      <c r="AA542" s="209" t="n"/>
      <c r="AB542" s="210" t="n"/>
      <c r="AC542" s="284" t="n"/>
      <c r="AD542" s="209" t="n"/>
      <c r="AE542" s="210" t="n"/>
      <c r="AF542" s="284" t="n"/>
      <c r="AG542" s="209" t="n"/>
      <c r="AH542" s="210" t="n"/>
      <c r="AI542" s="284" t="n"/>
      <c r="AJ542" s="209" t="n"/>
      <c r="AK542" s="210" t="n"/>
      <c r="AL542" s="284" t="n"/>
      <c r="AM542" s="209" t="n"/>
      <c r="AN542" s="210" t="n"/>
      <c r="AO542" s="284" t="n"/>
      <c r="AP542" s="209" t="n"/>
      <c r="AQ542" s="210" t="n"/>
      <c r="AR542" s="284" t="n"/>
      <c r="AS542" s="209" t="n"/>
      <c r="AT542" s="210" t="n"/>
      <c r="AU542" s="284" t="n"/>
      <c r="AV542" s="209" t="n"/>
      <c r="AW542" s="210" t="n"/>
      <c r="AX542" s="284" t="n"/>
      <c r="AY542" s="209" t="n"/>
      <c r="AZ542" s="210" t="n"/>
      <c r="BA542" s="284" t="n"/>
      <c r="BB542" s="209" t="n"/>
      <c r="BC542" s="210" t="n"/>
      <c r="BD542" s="284" t="n"/>
      <c r="BE542" s="209" t="n"/>
      <c r="BF542" s="210" t="n"/>
      <c r="BG542" s="284" t="n"/>
      <c r="BH542" s="209" t="n"/>
      <c r="BI542" s="210" t="n"/>
    </row>
    <row r="543" hidden="1" outlineLevel="2" ht="14.4" customFormat="1" customHeight="1" s="498">
      <c r="A543" s="22" t="inlineStr">
        <is>
          <t xml:space="preserve">  -  Bilheteiro III</t>
        </is>
      </c>
      <c r="B543" s="23" t="n"/>
      <c r="C543" s="3" t="n"/>
      <c r="D543" s="16" t="n"/>
      <c r="E543" s="4" t="n"/>
      <c r="F543" s="23" t="n"/>
      <c r="G543" s="56" t="n"/>
      <c r="H543" s="284" t="n"/>
      <c r="I543" s="209" t="n"/>
      <c r="J543" s="210" t="n"/>
      <c r="K543" s="284" t="n"/>
      <c r="L543" s="209" t="n"/>
      <c r="M543" s="210" t="n"/>
      <c r="N543" s="284" t="n"/>
      <c r="O543" s="209" t="n"/>
      <c r="P543" s="210" t="n"/>
      <c r="Q543" s="284" t="n"/>
      <c r="R543" s="209" t="n"/>
      <c r="S543" s="210" t="n"/>
      <c r="T543" s="284" t="n"/>
      <c r="U543" s="209" t="n"/>
      <c r="V543" s="210" t="n"/>
      <c r="W543" s="284" t="n"/>
      <c r="X543" s="209" t="n"/>
      <c r="Y543" s="210" t="n"/>
      <c r="Z543" s="284" t="n"/>
      <c r="AA543" s="209" t="n"/>
      <c r="AB543" s="210" t="n"/>
      <c r="AC543" s="284" t="n"/>
      <c r="AD543" s="209" t="n"/>
      <c r="AE543" s="210" t="n"/>
      <c r="AF543" s="284" t="n"/>
      <c r="AG543" s="209" t="n"/>
      <c r="AH543" s="210" t="n"/>
      <c r="AI543" s="284" t="n"/>
      <c r="AJ543" s="209" t="n"/>
      <c r="AK543" s="210" t="n"/>
      <c r="AL543" s="284" t="n"/>
      <c r="AM543" s="209" t="n"/>
      <c r="AN543" s="210" t="n"/>
      <c r="AO543" s="284" t="n"/>
      <c r="AP543" s="209" t="n"/>
      <c r="AQ543" s="210" t="n"/>
      <c r="AR543" s="284" t="n"/>
      <c r="AS543" s="209" t="n"/>
      <c r="AT543" s="210" t="n"/>
      <c r="AU543" s="284" t="n"/>
      <c r="AV543" s="209" t="n"/>
      <c r="AW543" s="210" t="n"/>
      <c r="AX543" s="284" t="n"/>
      <c r="AY543" s="209" t="n"/>
      <c r="AZ543" s="210" t="n"/>
      <c r="BA543" s="284" t="n"/>
      <c r="BB543" s="209" t="n"/>
      <c r="BC543" s="210" t="n"/>
      <c r="BD543" s="284" t="n"/>
      <c r="BE543" s="209" t="n"/>
      <c r="BF543" s="210" t="n"/>
      <c r="BG543" s="284" t="n"/>
      <c r="BH543" s="209" t="n"/>
      <c r="BI543" s="210" t="n"/>
    </row>
    <row r="544" hidden="1" outlineLevel="2" ht="14.4" customFormat="1" customHeight="1" s="498">
      <c r="A544" s="22" t="inlineStr">
        <is>
          <t xml:space="preserve">  -  Bilheteiro II</t>
        </is>
      </c>
      <c r="B544" s="23" t="n"/>
      <c r="C544" s="3" t="n"/>
      <c r="D544" s="16" t="n"/>
      <c r="E544" s="4" t="n"/>
      <c r="F544" s="23" t="n"/>
      <c r="G544" s="56" t="n"/>
      <c r="H544" s="284" t="n"/>
      <c r="I544" s="209" t="n"/>
      <c r="J544" s="210" t="n"/>
      <c r="K544" s="284" t="n"/>
      <c r="L544" s="209" t="n"/>
      <c r="M544" s="210" t="n"/>
      <c r="N544" s="284" t="n"/>
      <c r="O544" s="209" t="n"/>
      <c r="P544" s="210" t="n"/>
      <c r="Q544" s="284" t="n"/>
      <c r="R544" s="209" t="n"/>
      <c r="S544" s="210" t="n"/>
      <c r="T544" s="284" t="n"/>
      <c r="U544" s="209" t="n"/>
      <c r="V544" s="210" t="n"/>
      <c r="W544" s="284" t="n"/>
      <c r="X544" s="209" t="n"/>
      <c r="Y544" s="210" t="n"/>
      <c r="Z544" s="284" t="n"/>
      <c r="AA544" s="209" t="n"/>
      <c r="AB544" s="210" t="n"/>
      <c r="AC544" s="284" t="n"/>
      <c r="AD544" s="209" t="n"/>
      <c r="AE544" s="210" t="n"/>
      <c r="AF544" s="284" t="n"/>
      <c r="AG544" s="209" t="n"/>
      <c r="AH544" s="210" t="n"/>
      <c r="AI544" s="284" t="n"/>
      <c r="AJ544" s="209" t="n"/>
      <c r="AK544" s="210" t="n"/>
      <c r="AL544" s="284" t="n"/>
      <c r="AM544" s="209" t="n"/>
      <c r="AN544" s="210" t="n"/>
      <c r="AO544" s="284" t="n"/>
      <c r="AP544" s="209" t="n"/>
      <c r="AQ544" s="210" t="n"/>
      <c r="AR544" s="284" t="n"/>
      <c r="AS544" s="209" t="n"/>
      <c r="AT544" s="210" t="n"/>
      <c r="AU544" s="284" t="n"/>
      <c r="AV544" s="209" t="n"/>
      <c r="AW544" s="210" t="n"/>
      <c r="AX544" s="284" t="n"/>
      <c r="AY544" s="209" t="n"/>
      <c r="AZ544" s="210" t="n"/>
      <c r="BA544" s="284" t="n"/>
      <c r="BB544" s="209" t="n"/>
      <c r="BC544" s="210" t="n"/>
      <c r="BD544" s="284" t="n"/>
      <c r="BE544" s="209" t="n"/>
      <c r="BF544" s="210" t="n"/>
      <c r="BG544" s="284" t="n"/>
      <c r="BH544" s="209" t="n"/>
      <c r="BI544" s="210" t="n"/>
    </row>
    <row r="545" hidden="1" outlineLevel="2" ht="14.4" customFormat="1" customHeight="1" s="498">
      <c r="A545" s="22" t="inlineStr">
        <is>
          <t xml:space="preserve">  -  Bilheteiro I</t>
        </is>
      </c>
      <c r="B545" s="23" t="n"/>
      <c r="C545" s="3" t="n"/>
      <c r="D545" s="16" t="n"/>
      <c r="E545" s="4" t="n"/>
      <c r="F545" s="23" t="n"/>
      <c r="G545" s="56" t="n"/>
      <c r="H545" s="284" t="n"/>
      <c r="I545" s="209" t="n"/>
      <c r="J545" s="210" t="n"/>
      <c r="K545" s="284" t="n"/>
      <c r="L545" s="209" t="n"/>
      <c r="M545" s="210" t="n"/>
      <c r="N545" s="284" t="n"/>
      <c r="O545" s="209" t="n"/>
      <c r="P545" s="210" t="n"/>
      <c r="Q545" s="284" t="n"/>
      <c r="R545" s="209" t="n"/>
      <c r="S545" s="210" t="n"/>
      <c r="T545" s="284" t="n"/>
      <c r="U545" s="209" t="n"/>
      <c r="V545" s="210" t="n"/>
      <c r="W545" s="284" t="n"/>
      <c r="X545" s="209" t="n"/>
      <c r="Y545" s="210" t="n"/>
      <c r="Z545" s="284" t="n"/>
      <c r="AA545" s="209" t="n"/>
      <c r="AB545" s="210" t="n"/>
      <c r="AC545" s="284" t="n"/>
      <c r="AD545" s="209" t="n"/>
      <c r="AE545" s="210" t="n"/>
      <c r="AF545" s="284" t="n"/>
      <c r="AG545" s="209" t="n"/>
      <c r="AH545" s="210" t="n"/>
      <c r="AI545" s="284" t="n"/>
      <c r="AJ545" s="209" t="n"/>
      <c r="AK545" s="210" t="n"/>
      <c r="AL545" s="284" t="n"/>
      <c r="AM545" s="209" t="n"/>
      <c r="AN545" s="210" t="n"/>
      <c r="AO545" s="284" t="n"/>
      <c r="AP545" s="209" t="n"/>
      <c r="AQ545" s="210" t="n"/>
      <c r="AR545" s="284" t="n"/>
      <c r="AS545" s="209" t="n"/>
      <c r="AT545" s="210" t="n"/>
      <c r="AU545" s="284" t="n"/>
      <c r="AV545" s="209" t="n"/>
      <c r="AW545" s="210" t="n"/>
      <c r="AX545" s="284" t="n"/>
      <c r="AY545" s="209" t="n"/>
      <c r="AZ545" s="210" t="n"/>
      <c r="BA545" s="284" t="n"/>
      <c r="BB545" s="209" t="n"/>
      <c r="BC545" s="210" t="n"/>
      <c r="BD545" s="284" t="n"/>
      <c r="BE545" s="209" t="n"/>
      <c r="BF545" s="210" t="n"/>
      <c r="BG545" s="284" t="n"/>
      <c r="BH545" s="209" t="n"/>
      <c r="BI545" s="210" t="n"/>
    </row>
    <row r="546" hidden="1" outlineLevel="2" ht="14.4" customFormat="1" customHeight="1" s="498">
      <c r="A546" s="22" t="inlineStr">
        <is>
          <t xml:space="preserve">  -  Caixa</t>
        </is>
      </c>
      <c r="B546" s="23" t="n"/>
      <c r="C546" s="3" t="n"/>
      <c r="D546" s="16" t="n"/>
      <c r="E546" s="4" t="n"/>
      <c r="F546" s="23" t="n"/>
      <c r="G546" s="56" t="n"/>
      <c r="H546" s="284" t="n"/>
      <c r="I546" s="209" t="n"/>
      <c r="J546" s="210" t="n"/>
      <c r="K546" s="284" t="n"/>
      <c r="L546" s="209" t="n"/>
      <c r="M546" s="210" t="n"/>
      <c r="N546" s="284" t="n"/>
      <c r="O546" s="209" t="n"/>
      <c r="P546" s="210" t="n"/>
      <c r="Q546" s="284" t="n"/>
      <c r="R546" s="209" t="n"/>
      <c r="S546" s="210" t="n"/>
      <c r="T546" s="284" t="n"/>
      <c r="U546" s="209" t="n"/>
      <c r="V546" s="210" t="n"/>
      <c r="W546" s="284" t="n"/>
      <c r="X546" s="209" t="n"/>
      <c r="Y546" s="210" t="n"/>
      <c r="Z546" s="284" t="n"/>
      <c r="AA546" s="209" t="n"/>
      <c r="AB546" s="210" t="n"/>
      <c r="AC546" s="284" t="n"/>
      <c r="AD546" s="209" t="n"/>
      <c r="AE546" s="210" t="n"/>
      <c r="AF546" s="284" t="n"/>
      <c r="AG546" s="209" t="n"/>
      <c r="AH546" s="210" t="n"/>
      <c r="AI546" s="284" t="n"/>
      <c r="AJ546" s="209" t="n"/>
      <c r="AK546" s="210" t="n"/>
      <c r="AL546" s="284" t="n"/>
      <c r="AM546" s="209" t="n"/>
      <c r="AN546" s="210" t="n"/>
      <c r="AO546" s="284" t="n"/>
      <c r="AP546" s="209" t="n"/>
      <c r="AQ546" s="210" t="n"/>
      <c r="AR546" s="284" t="n"/>
      <c r="AS546" s="209" t="n"/>
      <c r="AT546" s="210" t="n"/>
      <c r="AU546" s="284" t="n"/>
      <c r="AV546" s="209" t="n"/>
      <c r="AW546" s="210" t="n"/>
      <c r="AX546" s="284" t="n"/>
      <c r="AY546" s="209" t="n"/>
      <c r="AZ546" s="210" t="n"/>
      <c r="BA546" s="284" t="n"/>
      <c r="BB546" s="209" t="n"/>
      <c r="BC546" s="210" t="n"/>
      <c r="BD546" s="284" t="n"/>
      <c r="BE546" s="209" t="n"/>
      <c r="BF546" s="210" t="n"/>
      <c r="BG546" s="284" t="n"/>
      <c r="BH546" s="209" t="n"/>
      <c r="BI546" s="210" t="n"/>
    </row>
    <row r="547" hidden="1" outlineLevel="2" ht="14.4" customFormat="1" customHeight="1" s="498">
      <c r="A547" s="22" t="inlineStr">
        <is>
          <t xml:space="preserve">  -  Operador de Delivery</t>
        </is>
      </c>
      <c r="B547" s="23" t="n"/>
      <c r="C547" s="3" t="n"/>
      <c r="D547" s="16" t="n"/>
      <c r="E547" s="4" t="n"/>
      <c r="F547" s="23" t="n"/>
      <c r="G547" s="56" t="n"/>
      <c r="H547" s="284" t="n"/>
      <c r="I547" s="209" t="n"/>
      <c r="J547" s="210" t="n"/>
      <c r="K547" s="284" t="n"/>
      <c r="L547" s="209" t="n"/>
      <c r="M547" s="210" t="n"/>
      <c r="N547" s="284" t="n"/>
      <c r="O547" s="209" t="n"/>
      <c r="P547" s="210" t="n"/>
      <c r="Q547" s="284" t="n"/>
      <c r="R547" s="209" t="n"/>
      <c r="S547" s="210" t="n"/>
      <c r="T547" s="284" t="n"/>
      <c r="U547" s="209" t="n"/>
      <c r="V547" s="210" t="n"/>
      <c r="W547" s="284" t="n"/>
      <c r="X547" s="209" t="n"/>
      <c r="Y547" s="210" t="n"/>
      <c r="Z547" s="284" t="n"/>
      <c r="AA547" s="209" t="n"/>
      <c r="AB547" s="210" t="n"/>
      <c r="AC547" s="284" t="n"/>
      <c r="AD547" s="209" t="n"/>
      <c r="AE547" s="210" t="n"/>
      <c r="AF547" s="284" t="n"/>
      <c r="AG547" s="209" t="n"/>
      <c r="AH547" s="210" t="n"/>
      <c r="AI547" s="284" t="n"/>
      <c r="AJ547" s="209" t="n"/>
      <c r="AK547" s="210" t="n"/>
      <c r="AL547" s="284" t="n"/>
      <c r="AM547" s="209" t="n"/>
      <c r="AN547" s="210" t="n"/>
      <c r="AO547" s="284" t="n"/>
      <c r="AP547" s="209" t="n"/>
      <c r="AQ547" s="210" t="n"/>
      <c r="AR547" s="284" t="n"/>
      <c r="AS547" s="209" t="n"/>
      <c r="AT547" s="210" t="n"/>
      <c r="AU547" s="284" t="n"/>
      <c r="AV547" s="209" t="n"/>
      <c r="AW547" s="210" t="n"/>
      <c r="AX547" s="284" t="n"/>
      <c r="AY547" s="209" t="n"/>
      <c r="AZ547" s="210" t="n"/>
      <c r="BA547" s="284" t="n"/>
      <c r="BB547" s="209" t="n"/>
      <c r="BC547" s="210" t="n"/>
      <c r="BD547" s="284" t="n"/>
      <c r="BE547" s="209" t="n"/>
      <c r="BF547" s="210" t="n"/>
      <c r="BG547" s="284" t="n"/>
      <c r="BH547" s="209" t="n"/>
      <c r="BI547" s="210" t="n"/>
    </row>
    <row r="548" hidden="1" outlineLevel="1" ht="16.2" customFormat="1" customHeight="1" s="498">
      <c r="A548" s="163" t="n"/>
      <c r="B548" s="23" t="n"/>
      <c r="C548" s="3" t="n"/>
      <c r="D548" s="4" t="n"/>
      <c r="E548" s="4" t="n"/>
      <c r="F548" s="23" t="n"/>
      <c r="G548" s="56" t="n"/>
      <c r="H548" s="273" t="n"/>
      <c r="I548" s="23" t="n"/>
      <c r="J548" s="164" t="n"/>
      <c r="K548" s="273" t="n"/>
      <c r="L548" s="23" t="n"/>
      <c r="M548" s="164" t="n"/>
      <c r="N548" s="273" t="n"/>
      <c r="O548" s="23" t="n"/>
      <c r="P548" s="164" t="n"/>
      <c r="Q548" s="273" t="n"/>
      <c r="R548" s="23" t="n"/>
      <c r="S548" s="164" t="n"/>
      <c r="T548" s="273" t="n"/>
      <c r="U548" s="23" t="n"/>
      <c r="V548" s="164" t="n"/>
      <c r="W548" s="273" t="n"/>
      <c r="X548" s="23" t="n"/>
      <c r="Y548" s="164" t="n"/>
      <c r="Z548" s="273" t="n"/>
      <c r="AA548" s="23" t="n"/>
      <c r="AB548" s="164" t="n"/>
      <c r="AC548" s="273" t="n"/>
      <c r="AD548" s="23" t="n"/>
      <c r="AE548" s="164" t="n"/>
      <c r="AF548" s="273" t="n"/>
      <c r="AG548" s="23" t="n"/>
      <c r="AH548" s="164" t="n"/>
      <c r="AI548" s="273" t="n"/>
      <c r="AJ548" s="23" t="n"/>
      <c r="AK548" s="164" t="n"/>
      <c r="AL548" s="273" t="n"/>
      <c r="AM548" s="23" t="n"/>
      <c r="AN548" s="164" t="n"/>
      <c r="AO548" s="273" t="n"/>
      <c r="AP548" s="23" t="n"/>
      <c r="AQ548" s="164" t="n"/>
      <c r="AR548" s="273" t="n"/>
      <c r="AS548" s="23" t="n"/>
      <c r="AT548" s="164" t="n"/>
      <c r="AU548" s="273" t="n"/>
      <c r="AV548" s="23" t="n"/>
      <c r="AW548" s="164" t="n"/>
      <c r="AX548" s="273" t="n"/>
      <c r="AY548" s="23" t="n"/>
      <c r="AZ548" s="164" t="n"/>
      <c r="BA548" s="273" t="n"/>
      <c r="BB548" s="23" t="n"/>
      <c r="BC548" s="164" t="n"/>
      <c r="BD548" s="273" t="n"/>
      <c r="BE548" s="23" t="n"/>
      <c r="BF548" s="164" t="n"/>
      <c r="BG548" s="273" t="n"/>
      <c r="BH548" s="23" t="n"/>
      <c r="BI548" s="164" t="n"/>
    </row>
    <row r="549" hidden="1" outlineLevel="1" ht="14.4" customFormat="1" customHeight="1" s="498">
      <c r="A549" s="211" t="inlineStr">
        <is>
          <t>Encargos e Provisões</t>
        </is>
      </c>
      <c r="B549" s="23" t="n"/>
      <c r="C549" s="3" t="n"/>
      <c r="D549" s="212" t="inlineStr">
        <is>
          <t>SIMPLES</t>
        </is>
      </c>
      <c r="E549" s="212" t="inlineStr">
        <is>
          <t>Presumido</t>
        </is>
      </c>
      <c r="F549" s="23" t="n"/>
      <c r="G549" s="56" t="n"/>
      <c r="H549" s="283" t="n"/>
      <c r="I549" s="207" t="n"/>
      <c r="J549" s="208" t="n"/>
      <c r="K549" s="283" t="n"/>
      <c r="L549" s="207" t="n"/>
      <c r="M549" s="208" t="n"/>
      <c r="N549" s="283" t="n"/>
      <c r="O549" s="207" t="n"/>
      <c r="P549" s="208" t="n"/>
      <c r="Q549" s="283" t="n"/>
      <c r="R549" s="207" t="n"/>
      <c r="S549" s="208" t="n"/>
      <c r="T549" s="283" t="n"/>
      <c r="U549" s="207" t="n"/>
      <c r="V549" s="208" t="n"/>
      <c r="W549" s="283" t="n"/>
      <c r="X549" s="207" t="n"/>
      <c r="Y549" s="208" t="n"/>
      <c r="Z549" s="283" t="n"/>
      <c r="AA549" s="207" t="n"/>
      <c r="AB549" s="208" t="n"/>
      <c r="AC549" s="283" t="n"/>
      <c r="AD549" s="207" t="n"/>
      <c r="AE549" s="208" t="n"/>
      <c r="AF549" s="283" t="n"/>
      <c r="AG549" s="207" t="n"/>
      <c r="AH549" s="208" t="n"/>
      <c r="AI549" s="283" t="n"/>
      <c r="AJ549" s="207" t="n"/>
      <c r="AK549" s="208" t="n"/>
      <c r="AL549" s="283" t="n"/>
      <c r="AM549" s="207" t="n"/>
      <c r="AN549" s="208" t="n"/>
      <c r="AO549" s="283" t="n"/>
      <c r="AP549" s="207" t="n"/>
      <c r="AQ549" s="208" t="n"/>
      <c r="AR549" s="283" t="n"/>
      <c r="AS549" s="207" t="n"/>
      <c r="AT549" s="208" t="n"/>
      <c r="AU549" s="283" t="n"/>
      <c r="AV549" s="207" t="n"/>
      <c r="AW549" s="208" t="n"/>
      <c r="AX549" s="283" t="n"/>
      <c r="AY549" s="207" t="n"/>
      <c r="AZ549" s="208" t="n"/>
      <c r="BA549" s="283" t="n"/>
      <c r="BB549" s="207" t="n"/>
      <c r="BC549" s="208" t="n"/>
      <c r="BD549" s="283" t="n"/>
      <c r="BE549" s="207" t="n"/>
      <c r="BF549" s="208" t="n"/>
      <c r="BG549" s="283" t="n"/>
      <c r="BH549" s="207" t="n"/>
      <c r="BI549" s="208" t="n"/>
    </row>
    <row r="550" hidden="1" outlineLevel="2" ht="14.4" customFormat="1" customHeight="1" s="498">
      <c r="A550" s="22" t="inlineStr">
        <is>
          <t>FGTS</t>
        </is>
      </c>
      <c r="B550" s="488" t="n"/>
      <c r="C550" s="3" t="n"/>
      <c r="D550" s="55" t="n">
        <v>0.08</v>
      </c>
      <c r="E550" s="55" t="n">
        <v>0.08</v>
      </c>
      <c r="F550" s="41" t="n"/>
      <c r="G550" s="56" t="n"/>
      <c r="H550" s="241" t="n"/>
      <c r="I550" s="27" t="n"/>
      <c r="J550" s="28" t="n"/>
      <c r="K550" s="241" t="n"/>
      <c r="L550" s="27" t="n"/>
      <c r="M550" s="28" t="n"/>
      <c r="N550" s="241" t="n"/>
      <c r="O550" s="27" t="n"/>
      <c r="P550" s="28" t="n"/>
      <c r="Q550" s="241" t="n"/>
      <c r="R550" s="27" t="n"/>
      <c r="S550" s="28" t="n"/>
      <c r="T550" s="241" t="n"/>
      <c r="U550" s="27" t="n"/>
      <c r="V550" s="28" t="n"/>
      <c r="W550" s="241" t="n"/>
      <c r="X550" s="27" t="n"/>
      <c r="Y550" s="28" t="n"/>
      <c r="Z550" s="241" t="n"/>
      <c r="AA550" s="27" t="n"/>
      <c r="AB550" s="28" t="n"/>
      <c r="AC550" s="241" t="n"/>
      <c r="AD550" s="27" t="n"/>
      <c r="AE550" s="28" t="n"/>
      <c r="AF550" s="241" t="n"/>
      <c r="AG550" s="27" t="n"/>
      <c r="AH550" s="28" t="n"/>
      <c r="AI550" s="241" t="n"/>
      <c r="AJ550" s="27" t="n"/>
      <c r="AK550" s="28" t="n"/>
      <c r="AL550" s="241" t="n"/>
      <c r="AM550" s="27" t="n"/>
      <c r="AN550" s="28" t="n"/>
      <c r="AO550" s="241" t="n"/>
      <c r="AP550" s="27" t="n"/>
      <c r="AQ550" s="28" t="n"/>
      <c r="AR550" s="241" t="n"/>
      <c r="AS550" s="27" t="n"/>
      <c r="AT550" s="28" t="n"/>
      <c r="AU550" s="241" t="n"/>
      <c r="AV550" s="27" t="n"/>
      <c r="AW550" s="28" t="n"/>
      <c r="AX550" s="241" t="n"/>
      <c r="AY550" s="27" t="n"/>
      <c r="AZ550" s="28" t="n"/>
      <c r="BA550" s="241" t="n"/>
      <c r="BB550" s="27" t="n"/>
      <c r="BC550" s="28" t="n"/>
      <c r="BD550" s="241" t="n"/>
      <c r="BE550" s="27" t="n"/>
      <c r="BF550" s="28" t="n"/>
      <c r="BG550" s="241" t="n"/>
      <c r="BH550" s="27" t="n"/>
      <c r="BI550" s="28" t="n"/>
    </row>
    <row r="551" hidden="1" outlineLevel="2" ht="14.4" customFormat="1" customHeight="1" s="498">
      <c r="A551" s="22" t="inlineStr">
        <is>
          <t>INSS</t>
        </is>
      </c>
      <c r="B551" s="488" t="n"/>
      <c r="C551" s="3" t="n"/>
      <c r="D551" s="55" t="n">
        <v>0</v>
      </c>
      <c r="E551" s="55" t="n">
        <v>0.288</v>
      </c>
      <c r="F551" s="41" t="n"/>
      <c r="G551" s="56" t="n"/>
      <c r="H551" s="241" t="n"/>
      <c r="I551" s="27" t="n"/>
      <c r="J551" s="28" t="n"/>
      <c r="K551" s="241" t="n"/>
      <c r="L551" s="27" t="n"/>
      <c r="M551" s="28" t="n"/>
      <c r="N551" s="241" t="n"/>
      <c r="O551" s="27" t="n"/>
      <c r="P551" s="28" t="n"/>
      <c r="Q551" s="241" t="n"/>
      <c r="R551" s="27" t="n"/>
      <c r="S551" s="28" t="n"/>
      <c r="T551" s="241" t="n"/>
      <c r="U551" s="27" t="n"/>
      <c r="V551" s="28" t="n"/>
      <c r="W551" s="241" t="n"/>
      <c r="X551" s="27" t="n"/>
      <c r="Y551" s="28" t="n"/>
      <c r="Z551" s="241" t="n"/>
      <c r="AA551" s="27" t="n"/>
      <c r="AB551" s="28" t="n"/>
      <c r="AC551" s="241" t="n"/>
      <c r="AD551" s="27" t="n"/>
      <c r="AE551" s="28" t="n"/>
      <c r="AF551" s="241" t="n"/>
      <c r="AG551" s="27" t="n"/>
      <c r="AH551" s="28" t="n"/>
      <c r="AI551" s="241" t="n"/>
      <c r="AJ551" s="27" t="n"/>
      <c r="AK551" s="28" t="n"/>
      <c r="AL551" s="241" t="n"/>
      <c r="AM551" s="27" t="n"/>
      <c r="AN551" s="28" t="n"/>
      <c r="AO551" s="241" t="n"/>
      <c r="AP551" s="27" t="n"/>
      <c r="AQ551" s="28" t="n"/>
      <c r="AR551" s="241" t="n"/>
      <c r="AS551" s="27" t="n"/>
      <c r="AT551" s="28" t="n"/>
      <c r="AU551" s="241" t="n"/>
      <c r="AV551" s="27" t="n"/>
      <c r="AW551" s="28" t="n"/>
      <c r="AX551" s="241" t="n"/>
      <c r="AY551" s="27" t="n"/>
      <c r="AZ551" s="28" t="n"/>
      <c r="BA551" s="241" t="n"/>
      <c r="BB551" s="27" t="n"/>
      <c r="BC551" s="28" t="n"/>
      <c r="BD551" s="241" t="n"/>
      <c r="BE551" s="27" t="n"/>
      <c r="BF551" s="28" t="n"/>
      <c r="BG551" s="241" t="n"/>
      <c r="BH551" s="27" t="n"/>
      <c r="BI551" s="28" t="n"/>
    </row>
    <row r="552" hidden="1" outlineLevel="2" ht="14.4" customFormat="1" customHeight="1" s="498">
      <c r="A552" s="22" t="inlineStr">
        <is>
          <t>13º Salários</t>
        </is>
      </c>
      <c r="B552" s="488" t="n"/>
      <c r="C552" s="3" t="n"/>
      <c r="D552" s="55" t="n">
        <v>0.0834</v>
      </c>
      <c r="E552" s="55" t="n">
        <v>0.0834</v>
      </c>
      <c r="F552" s="41" t="n"/>
      <c r="G552" s="56" t="n"/>
      <c r="H552" s="241" t="n"/>
      <c r="I552" s="27" t="n"/>
      <c r="J552" s="28" t="n"/>
      <c r="K552" s="241" t="n"/>
      <c r="L552" s="27" t="n"/>
      <c r="M552" s="28" t="n"/>
      <c r="N552" s="241" t="n"/>
      <c r="O552" s="27" t="n"/>
      <c r="P552" s="28" t="n"/>
      <c r="Q552" s="241" t="n"/>
      <c r="R552" s="27" t="n"/>
      <c r="S552" s="28" t="n"/>
      <c r="T552" s="241" t="n"/>
      <c r="U552" s="27" t="n"/>
      <c r="V552" s="28" t="n"/>
      <c r="W552" s="241" t="n"/>
      <c r="X552" s="27" t="n"/>
      <c r="Y552" s="28" t="n"/>
      <c r="Z552" s="241" t="n"/>
      <c r="AA552" s="27" t="n"/>
      <c r="AB552" s="28" t="n"/>
      <c r="AC552" s="241" t="n"/>
      <c r="AD552" s="27" t="n"/>
      <c r="AE552" s="28" t="n"/>
      <c r="AF552" s="241" t="n"/>
      <c r="AG552" s="27" t="n"/>
      <c r="AH552" s="28" t="n"/>
      <c r="AI552" s="241" t="n"/>
      <c r="AJ552" s="27" t="n"/>
      <c r="AK552" s="28" t="n"/>
      <c r="AL552" s="241" t="n"/>
      <c r="AM552" s="27" t="n"/>
      <c r="AN552" s="28" t="n"/>
      <c r="AO552" s="241" t="n"/>
      <c r="AP552" s="27" t="n"/>
      <c r="AQ552" s="28" t="n"/>
      <c r="AR552" s="241" t="n"/>
      <c r="AS552" s="27" t="n"/>
      <c r="AT552" s="28" t="n"/>
      <c r="AU552" s="241" t="n"/>
      <c r="AV552" s="27" t="n"/>
      <c r="AW552" s="28" t="n"/>
      <c r="AX552" s="241" t="n"/>
      <c r="AY552" s="27" t="n"/>
      <c r="AZ552" s="28" t="n"/>
      <c r="BA552" s="241" t="n"/>
      <c r="BB552" s="27" t="n"/>
      <c r="BC552" s="28" t="n"/>
      <c r="BD552" s="241" t="n"/>
      <c r="BE552" s="27" t="n"/>
      <c r="BF552" s="28" t="n"/>
      <c r="BG552" s="241" t="n"/>
      <c r="BH552" s="27" t="n"/>
      <c r="BI552" s="28" t="n"/>
    </row>
    <row r="553" hidden="1" outlineLevel="2" ht="14.4" customFormat="1" customHeight="1" s="498">
      <c r="A553" s="22" t="inlineStr">
        <is>
          <t>Férias</t>
        </is>
      </c>
      <c r="B553" s="488" t="n"/>
      <c r="C553" s="3" t="n"/>
      <c r="D553" s="55" t="n">
        <v>0.025</v>
      </c>
      <c r="E553" s="55" t="n">
        <v>0.025</v>
      </c>
      <c r="F553" s="41" t="n"/>
      <c r="G553" s="56" t="n"/>
      <c r="H553" s="241" t="n"/>
      <c r="I553" s="27" t="n"/>
      <c r="J553" s="28" t="n"/>
      <c r="K553" s="241" t="n"/>
      <c r="L553" s="27" t="n"/>
      <c r="M553" s="28" t="n"/>
      <c r="N553" s="241" t="n"/>
      <c r="O553" s="27" t="n"/>
      <c r="P553" s="28" t="n"/>
      <c r="Q553" s="241" t="n"/>
      <c r="R553" s="27" t="n"/>
      <c r="S553" s="28" t="n"/>
      <c r="T553" s="241" t="n"/>
      <c r="U553" s="27" t="n"/>
      <c r="V553" s="28" t="n"/>
      <c r="W553" s="241" t="n"/>
      <c r="X553" s="27" t="n"/>
      <c r="Y553" s="28" t="n"/>
      <c r="Z553" s="241" t="n"/>
      <c r="AA553" s="27" t="n"/>
      <c r="AB553" s="28" t="n"/>
      <c r="AC553" s="241" t="n"/>
      <c r="AD553" s="27" t="n"/>
      <c r="AE553" s="28" t="n"/>
      <c r="AF553" s="241" t="n"/>
      <c r="AG553" s="27" t="n"/>
      <c r="AH553" s="28" t="n"/>
      <c r="AI553" s="241" t="n"/>
      <c r="AJ553" s="27" t="n"/>
      <c r="AK553" s="28" t="n"/>
      <c r="AL553" s="241" t="n"/>
      <c r="AM553" s="27" t="n"/>
      <c r="AN553" s="28" t="n"/>
      <c r="AO553" s="241" t="n"/>
      <c r="AP553" s="27" t="n"/>
      <c r="AQ553" s="28" t="n"/>
      <c r="AR553" s="241" t="n"/>
      <c r="AS553" s="27" t="n"/>
      <c r="AT553" s="28" t="n"/>
      <c r="AU553" s="241" t="n"/>
      <c r="AV553" s="27" t="n"/>
      <c r="AW553" s="28" t="n"/>
      <c r="AX553" s="241" t="n"/>
      <c r="AY553" s="27" t="n"/>
      <c r="AZ553" s="28" t="n"/>
      <c r="BA553" s="241" t="n"/>
      <c r="BB553" s="27" t="n"/>
      <c r="BC553" s="28" t="n"/>
      <c r="BD553" s="241" t="n"/>
      <c r="BE553" s="27" t="n"/>
      <c r="BF553" s="28" t="n"/>
      <c r="BG553" s="241" t="n"/>
      <c r="BH553" s="27" t="n"/>
      <c r="BI553" s="28" t="n"/>
    </row>
    <row r="554" hidden="1" outlineLevel="2" ht="14.4" customFormat="1" customHeight="1" s="498">
      <c r="A554" s="22" t="inlineStr">
        <is>
          <t>FGTS / INSS sobre 13º Salários</t>
        </is>
      </c>
      <c r="B554" s="488" t="n"/>
      <c r="C554" s="3" t="n"/>
      <c r="D554" s="55" t="n">
        <v>0.0281</v>
      </c>
      <c r="E554" s="55" t="n">
        <v>0.0281</v>
      </c>
      <c r="F554" s="41" t="n"/>
      <c r="G554" s="56" t="n"/>
      <c r="H554" s="241" t="n"/>
      <c r="I554" s="27" t="n"/>
      <c r="J554" s="28" t="n"/>
      <c r="K554" s="241" t="n"/>
      <c r="L554" s="27" t="n"/>
      <c r="M554" s="28" t="n"/>
      <c r="N554" s="241" t="n"/>
      <c r="O554" s="27" t="n"/>
      <c r="P554" s="28" t="n"/>
      <c r="Q554" s="241" t="n"/>
      <c r="R554" s="27" t="n"/>
      <c r="S554" s="28" t="n"/>
      <c r="T554" s="241" t="n"/>
      <c r="U554" s="27" t="n"/>
      <c r="V554" s="28" t="n"/>
      <c r="W554" s="241" t="n"/>
      <c r="X554" s="27" t="n"/>
      <c r="Y554" s="28" t="n"/>
      <c r="Z554" s="241" t="n"/>
      <c r="AA554" s="27" t="n"/>
      <c r="AB554" s="28" t="n"/>
      <c r="AC554" s="241" t="n"/>
      <c r="AD554" s="27" t="n"/>
      <c r="AE554" s="28" t="n"/>
      <c r="AF554" s="241" t="n"/>
      <c r="AG554" s="27" t="n"/>
      <c r="AH554" s="28" t="n"/>
      <c r="AI554" s="241" t="n"/>
      <c r="AJ554" s="27" t="n"/>
      <c r="AK554" s="28" t="n"/>
      <c r="AL554" s="241" t="n"/>
      <c r="AM554" s="27" t="n"/>
      <c r="AN554" s="28" t="n"/>
      <c r="AO554" s="241" t="n"/>
      <c r="AP554" s="27" t="n"/>
      <c r="AQ554" s="28" t="n"/>
      <c r="AR554" s="241" t="n"/>
      <c r="AS554" s="27" t="n"/>
      <c r="AT554" s="28" t="n"/>
      <c r="AU554" s="241" t="n"/>
      <c r="AV554" s="27" t="n"/>
      <c r="AW554" s="28" t="n"/>
      <c r="AX554" s="241" t="n"/>
      <c r="AY554" s="27" t="n"/>
      <c r="AZ554" s="28" t="n"/>
      <c r="BA554" s="241" t="n"/>
      <c r="BB554" s="27" t="n"/>
      <c r="BC554" s="28" t="n"/>
      <c r="BD554" s="241" t="n"/>
      <c r="BE554" s="27" t="n"/>
      <c r="BF554" s="28" t="n"/>
      <c r="BG554" s="241" t="n"/>
      <c r="BH554" s="27" t="n"/>
      <c r="BI554" s="28" t="n"/>
    </row>
    <row r="555" hidden="1" outlineLevel="2" ht="14.4" customFormat="1" customHeight="1" s="498">
      <c r="A555" s="22" t="inlineStr">
        <is>
          <t>FGTS / INSS sobre Férias</t>
        </is>
      </c>
      <c r="B555" s="488" t="n"/>
      <c r="C555" s="3" t="n"/>
      <c r="D555" s="55" t="n">
        <v>0.008399999999999999</v>
      </c>
      <c r="E555" s="55" t="n">
        <v>0.008399999999999999</v>
      </c>
      <c r="F555" s="41" t="n"/>
      <c r="G555" s="56" t="n"/>
      <c r="H555" s="241" t="n"/>
      <c r="I555" s="27" t="n"/>
      <c r="J555" s="28" t="n"/>
      <c r="K555" s="241" t="n"/>
      <c r="L555" s="27" t="n"/>
      <c r="M555" s="28" t="n"/>
      <c r="N555" s="241" t="n"/>
      <c r="O555" s="27" t="n"/>
      <c r="P555" s="28" t="n"/>
      <c r="Q555" s="241" t="n"/>
      <c r="R555" s="27" t="n"/>
      <c r="S555" s="28" t="n"/>
      <c r="T555" s="241" t="n"/>
      <c r="U555" s="27" t="n"/>
      <c r="V555" s="28" t="n"/>
      <c r="W555" s="241" t="n"/>
      <c r="X555" s="27" t="n"/>
      <c r="Y555" s="28" t="n"/>
      <c r="Z555" s="241" t="n"/>
      <c r="AA555" s="27" t="n"/>
      <c r="AB555" s="28" t="n"/>
      <c r="AC555" s="241" t="n"/>
      <c r="AD555" s="27" t="n"/>
      <c r="AE555" s="28" t="n"/>
      <c r="AF555" s="241" t="n"/>
      <c r="AG555" s="27" t="n"/>
      <c r="AH555" s="28" t="n"/>
      <c r="AI555" s="241" t="n"/>
      <c r="AJ555" s="27" t="n"/>
      <c r="AK555" s="28" t="n"/>
      <c r="AL555" s="241" t="n"/>
      <c r="AM555" s="27" t="n"/>
      <c r="AN555" s="28" t="n"/>
      <c r="AO555" s="241" t="n"/>
      <c r="AP555" s="27" t="n"/>
      <c r="AQ555" s="28" t="n"/>
      <c r="AR555" s="241" t="n"/>
      <c r="AS555" s="27" t="n"/>
      <c r="AT555" s="28" t="n"/>
      <c r="AU555" s="241" t="n"/>
      <c r="AV555" s="27" t="n"/>
      <c r="AW555" s="28" t="n"/>
      <c r="AX555" s="241" t="n"/>
      <c r="AY555" s="27" t="n"/>
      <c r="AZ555" s="28" t="n"/>
      <c r="BA555" s="241" t="n"/>
      <c r="BB555" s="27" t="n"/>
      <c r="BC555" s="28" t="n"/>
      <c r="BD555" s="241" t="n"/>
      <c r="BE555" s="27" t="n"/>
      <c r="BF555" s="28" t="n"/>
      <c r="BG555" s="241" t="n"/>
      <c r="BH555" s="27" t="n"/>
      <c r="BI555" s="28" t="n"/>
    </row>
    <row r="556" hidden="1" outlineLevel="2" ht="14.4" customFormat="1" customHeight="1" s="498">
      <c r="A556" s="22" t="inlineStr">
        <is>
          <t>Contribuições</t>
        </is>
      </c>
      <c r="B556" s="488" t="n"/>
      <c r="C556" s="3" t="n"/>
      <c r="D556" s="55" t="n">
        <v>0</v>
      </c>
      <c r="E556" s="55" t="n">
        <v>0</v>
      </c>
      <c r="F556" s="41" t="n"/>
      <c r="G556" s="56" t="n"/>
      <c r="H556" s="241" t="n"/>
      <c r="I556" s="27" t="n"/>
      <c r="J556" s="28" t="n"/>
      <c r="K556" s="241" t="n"/>
      <c r="L556" s="27" t="n"/>
      <c r="M556" s="28" t="n"/>
      <c r="N556" s="241" t="n"/>
      <c r="O556" s="27" t="n"/>
      <c r="P556" s="28" t="n"/>
      <c r="Q556" s="241" t="n"/>
      <c r="R556" s="27" t="n"/>
      <c r="S556" s="28" t="n"/>
      <c r="T556" s="241" t="n"/>
      <c r="U556" s="27" t="n"/>
      <c r="V556" s="28" t="n"/>
      <c r="W556" s="241" t="n"/>
      <c r="X556" s="27" t="n"/>
      <c r="Y556" s="28" t="n"/>
      <c r="Z556" s="241" t="n"/>
      <c r="AA556" s="27" t="n"/>
      <c r="AB556" s="28" t="n"/>
      <c r="AC556" s="241" t="n"/>
      <c r="AD556" s="27" t="n"/>
      <c r="AE556" s="28" t="n"/>
      <c r="AF556" s="241" t="n"/>
      <c r="AG556" s="27" t="n"/>
      <c r="AH556" s="28" t="n"/>
      <c r="AI556" s="241" t="n"/>
      <c r="AJ556" s="27" t="n"/>
      <c r="AK556" s="28" t="n"/>
      <c r="AL556" s="241" t="n"/>
      <c r="AM556" s="27" t="n"/>
      <c r="AN556" s="28" t="n"/>
      <c r="AO556" s="241" t="n"/>
      <c r="AP556" s="27" t="n"/>
      <c r="AQ556" s="28" t="n"/>
      <c r="AR556" s="241" t="n"/>
      <c r="AS556" s="27" t="n"/>
      <c r="AT556" s="28" t="n"/>
      <c r="AU556" s="241" t="n"/>
      <c r="AV556" s="27" t="n"/>
      <c r="AW556" s="28" t="n"/>
      <c r="AX556" s="241" t="n"/>
      <c r="AY556" s="27" t="n"/>
      <c r="AZ556" s="28" t="n"/>
      <c r="BA556" s="241" t="n"/>
      <c r="BB556" s="27" t="n"/>
      <c r="BC556" s="28" t="n"/>
      <c r="BD556" s="241" t="n"/>
      <c r="BE556" s="27" t="n"/>
      <c r="BF556" s="28" t="n"/>
      <c r="BG556" s="241" t="n"/>
      <c r="BH556" s="27" t="n"/>
      <c r="BI556" s="28" t="n"/>
    </row>
    <row r="557" hidden="1" outlineLevel="2" ht="14.4" customFormat="1" customHeight="1" s="498">
      <c r="A557" s="22" t="inlineStr">
        <is>
          <t>Multa Rescisória</t>
        </is>
      </c>
      <c r="B557" s="488" t="n"/>
      <c r="C557" s="3" t="n"/>
      <c r="D557" s="55" t="n">
        <v>0.15</v>
      </c>
      <c r="E557" s="55" t="n">
        <v>0.05</v>
      </c>
      <c r="F557" s="41" t="n"/>
      <c r="G557" s="56" t="n"/>
      <c r="H557" s="241" t="n"/>
      <c r="I557" s="27" t="n"/>
      <c r="J557" s="28" t="n"/>
      <c r="K557" s="241" t="n"/>
      <c r="L557" s="27" t="n"/>
      <c r="M557" s="28" t="n"/>
      <c r="N557" s="241" t="n"/>
      <c r="O557" s="27" t="n"/>
      <c r="P557" s="28" t="n"/>
      <c r="Q557" s="241" t="n"/>
      <c r="R557" s="27" t="n"/>
      <c r="S557" s="28" t="n"/>
      <c r="T557" s="241" t="n"/>
      <c r="U557" s="27" t="n"/>
      <c r="V557" s="28" t="n"/>
      <c r="W557" s="241" t="n"/>
      <c r="X557" s="27" t="n"/>
      <c r="Y557" s="28" t="n"/>
      <c r="Z557" s="241" t="n"/>
      <c r="AA557" s="27" t="n"/>
      <c r="AB557" s="28" t="n"/>
      <c r="AC557" s="241" t="n"/>
      <c r="AD557" s="27" t="n"/>
      <c r="AE557" s="28" t="n"/>
      <c r="AF557" s="241" t="n"/>
      <c r="AG557" s="27" t="n"/>
      <c r="AH557" s="28" t="n"/>
      <c r="AI557" s="241" t="n"/>
      <c r="AJ557" s="27" t="n"/>
      <c r="AK557" s="28" t="n"/>
      <c r="AL557" s="241" t="n"/>
      <c r="AM557" s="27" t="n"/>
      <c r="AN557" s="28" t="n"/>
      <c r="AO557" s="241" t="n"/>
      <c r="AP557" s="27" t="n"/>
      <c r="AQ557" s="28" t="n"/>
      <c r="AR557" s="241" t="n"/>
      <c r="AS557" s="27" t="n"/>
      <c r="AT557" s="28" t="n"/>
      <c r="AU557" s="241" t="n"/>
      <c r="AV557" s="27" t="n"/>
      <c r="AW557" s="28" t="n"/>
      <c r="AX557" s="241" t="n"/>
      <c r="AY557" s="27" t="n"/>
      <c r="AZ557" s="28" t="n"/>
      <c r="BA557" s="241" t="n"/>
      <c r="BB557" s="27" t="n"/>
      <c r="BC557" s="28" t="n"/>
      <c r="BD557" s="241" t="n"/>
      <c r="BE557" s="27" t="n"/>
      <c r="BF557" s="28" t="n"/>
      <c r="BG557" s="241" t="n"/>
      <c r="BH557" s="27" t="n"/>
      <c r="BI557" s="28" t="n"/>
    </row>
    <row r="558" hidden="1" outlineLevel="2" ht="14.4" customFormat="1" customHeight="1" s="498">
      <c r="A558" s="22" t="inlineStr">
        <is>
          <t>Ações Trabalhistas</t>
        </is>
      </c>
      <c r="B558" s="488" t="n"/>
      <c r="C558" s="3" t="n"/>
      <c r="D558" s="55" t="n">
        <v>0.06</v>
      </c>
      <c r="E558" s="55" t="n">
        <v>0.08500000000000001</v>
      </c>
      <c r="F558" s="41" t="n"/>
      <c r="G558" s="56" t="n"/>
      <c r="H558" s="241" t="n"/>
      <c r="I558" s="27" t="n"/>
      <c r="J558" s="28" t="n"/>
      <c r="K558" s="241" t="n"/>
      <c r="L558" s="27" t="n"/>
      <c r="M558" s="28" t="n"/>
      <c r="N558" s="241" t="n"/>
      <c r="O558" s="27" t="n"/>
      <c r="P558" s="28" t="n"/>
      <c r="Q558" s="241" t="n"/>
      <c r="R558" s="27" t="n"/>
      <c r="S558" s="28" t="n"/>
      <c r="T558" s="241" t="n"/>
      <c r="U558" s="27" t="n"/>
      <c r="V558" s="28" t="n"/>
      <c r="W558" s="241" t="n"/>
      <c r="X558" s="27" t="n"/>
      <c r="Y558" s="28" t="n"/>
      <c r="Z558" s="241" t="n"/>
      <c r="AA558" s="27" t="n"/>
      <c r="AB558" s="28" t="n"/>
      <c r="AC558" s="241" t="n"/>
      <c r="AD558" s="27" t="n"/>
      <c r="AE558" s="28" t="n"/>
      <c r="AF558" s="241" t="n"/>
      <c r="AG558" s="27" t="n"/>
      <c r="AH558" s="28" t="n"/>
      <c r="AI558" s="241" t="n"/>
      <c r="AJ558" s="27" t="n"/>
      <c r="AK558" s="28" t="n"/>
      <c r="AL558" s="241" t="n"/>
      <c r="AM558" s="27" t="n"/>
      <c r="AN558" s="28" t="n"/>
      <c r="AO558" s="241" t="n"/>
      <c r="AP558" s="27" t="n"/>
      <c r="AQ558" s="28" t="n"/>
      <c r="AR558" s="241" t="n"/>
      <c r="AS558" s="27" t="n"/>
      <c r="AT558" s="28" t="n"/>
      <c r="AU558" s="241" t="n"/>
      <c r="AV558" s="27" t="n"/>
      <c r="AW558" s="28" t="n"/>
      <c r="AX558" s="241" t="n"/>
      <c r="AY558" s="27" t="n"/>
      <c r="AZ558" s="28" t="n"/>
      <c r="BA558" s="241" t="n"/>
      <c r="BB558" s="27" t="n"/>
      <c r="BC558" s="28" t="n"/>
      <c r="BD558" s="241" t="n"/>
      <c r="BE558" s="27" t="n"/>
      <c r="BF558" s="28" t="n"/>
      <c r="BG558" s="241" t="n"/>
      <c r="BH558" s="27" t="n"/>
      <c r="BI558" s="28" t="n"/>
    </row>
    <row r="559" hidden="1" outlineLevel="2" ht="14.4" customFormat="1" customHeight="1" s="498">
      <c r="A559" s="22" t="inlineStr">
        <is>
          <t>Adicional Noturno</t>
        </is>
      </c>
      <c r="B559" s="488" t="n"/>
      <c r="C559" s="3" t="n"/>
      <c r="D559" s="55" t="n">
        <v>0.01</v>
      </c>
      <c r="E559" s="55" t="n">
        <v>0.01</v>
      </c>
      <c r="F559" s="41" t="n"/>
      <c r="G559" s="56" t="n"/>
      <c r="H559" s="241" t="n"/>
      <c r="I559" s="27" t="n"/>
      <c r="J559" s="28" t="n"/>
      <c r="K559" s="241" t="n"/>
      <c r="L559" s="27" t="n"/>
      <c r="M559" s="28" t="n"/>
      <c r="N559" s="241" t="n"/>
      <c r="O559" s="27" t="n"/>
      <c r="P559" s="28" t="n"/>
      <c r="Q559" s="241" t="n"/>
      <c r="R559" s="27" t="n"/>
      <c r="S559" s="28" t="n"/>
      <c r="T559" s="241" t="n"/>
      <c r="U559" s="27" t="n"/>
      <c r="V559" s="28" t="n"/>
      <c r="W559" s="241" t="n"/>
      <c r="X559" s="27" t="n"/>
      <c r="Y559" s="28" t="n"/>
      <c r="Z559" s="241" t="n"/>
      <c r="AA559" s="27" t="n"/>
      <c r="AB559" s="28" t="n"/>
      <c r="AC559" s="241" t="n"/>
      <c r="AD559" s="27" t="n"/>
      <c r="AE559" s="28" t="n"/>
      <c r="AF559" s="241" t="n"/>
      <c r="AG559" s="27" t="n"/>
      <c r="AH559" s="28" t="n"/>
      <c r="AI559" s="241" t="n"/>
      <c r="AJ559" s="27" t="n"/>
      <c r="AK559" s="28" t="n"/>
      <c r="AL559" s="241" t="n"/>
      <c r="AM559" s="27" t="n"/>
      <c r="AN559" s="28" t="n"/>
      <c r="AO559" s="241" t="n"/>
      <c r="AP559" s="27" t="n"/>
      <c r="AQ559" s="28" t="n"/>
      <c r="AR559" s="241" t="n"/>
      <c r="AS559" s="27" t="n"/>
      <c r="AT559" s="28" t="n"/>
      <c r="AU559" s="241" t="n"/>
      <c r="AV559" s="27" t="n"/>
      <c r="AW559" s="28" t="n"/>
      <c r="AX559" s="241" t="n"/>
      <c r="AY559" s="27" t="n"/>
      <c r="AZ559" s="28" t="n"/>
      <c r="BA559" s="241" t="n"/>
      <c r="BB559" s="27" t="n"/>
      <c r="BC559" s="28" t="n"/>
      <c r="BD559" s="241" t="n"/>
      <c r="BE559" s="27" t="n"/>
      <c r="BF559" s="28" t="n"/>
      <c r="BG559" s="241" t="n"/>
      <c r="BH559" s="27" t="n"/>
      <c r="BI559" s="28" t="n"/>
    </row>
    <row r="560" hidden="1" outlineLevel="2" ht="14.4" customFormat="1" customHeight="1" s="498">
      <c r="A560" s="22" t="inlineStr">
        <is>
          <t>Hora Extra</t>
        </is>
      </c>
      <c r="B560" s="488" t="n"/>
      <c r="C560" s="3" t="n"/>
      <c r="D560" s="55" t="n">
        <v>0.005</v>
      </c>
      <c r="E560" s="55" t="n">
        <v>0.005</v>
      </c>
      <c r="F560" s="41" t="n"/>
      <c r="G560" s="56" t="n"/>
      <c r="H560" s="241" t="n"/>
      <c r="I560" s="27" t="n"/>
      <c r="J560" s="28" t="n"/>
      <c r="K560" s="241" t="n"/>
      <c r="L560" s="27" t="n"/>
      <c r="M560" s="28" t="n"/>
      <c r="N560" s="241" t="n"/>
      <c r="O560" s="27" t="n"/>
      <c r="P560" s="28" t="n"/>
      <c r="Q560" s="241" t="n"/>
      <c r="R560" s="27" t="n"/>
      <c r="S560" s="28" t="n"/>
      <c r="T560" s="241" t="n"/>
      <c r="U560" s="27" t="n"/>
      <c r="V560" s="28" t="n"/>
      <c r="W560" s="241" t="n"/>
      <c r="X560" s="27" t="n"/>
      <c r="Y560" s="28" t="n"/>
      <c r="Z560" s="241" t="n"/>
      <c r="AA560" s="27" t="n"/>
      <c r="AB560" s="28" t="n"/>
      <c r="AC560" s="241" t="n"/>
      <c r="AD560" s="27" t="n"/>
      <c r="AE560" s="28" t="n"/>
      <c r="AF560" s="241" t="n"/>
      <c r="AG560" s="27" t="n"/>
      <c r="AH560" s="28" t="n"/>
      <c r="AI560" s="241" t="n"/>
      <c r="AJ560" s="27" t="n"/>
      <c r="AK560" s="28" t="n"/>
      <c r="AL560" s="241" t="n"/>
      <c r="AM560" s="27" t="n"/>
      <c r="AN560" s="28" t="n"/>
      <c r="AO560" s="241" t="n"/>
      <c r="AP560" s="27" t="n"/>
      <c r="AQ560" s="28" t="n"/>
      <c r="AR560" s="241" t="n"/>
      <c r="AS560" s="27" t="n"/>
      <c r="AT560" s="28" t="n"/>
      <c r="AU560" s="241" t="n"/>
      <c r="AV560" s="27" t="n"/>
      <c r="AW560" s="28" t="n"/>
      <c r="AX560" s="241" t="n"/>
      <c r="AY560" s="27" t="n"/>
      <c r="AZ560" s="28" t="n"/>
      <c r="BA560" s="241" t="n"/>
      <c r="BB560" s="27" t="n"/>
      <c r="BC560" s="28" t="n"/>
      <c r="BD560" s="241" t="n"/>
      <c r="BE560" s="27" t="n"/>
      <c r="BF560" s="28" t="n"/>
      <c r="BG560" s="241" t="n"/>
      <c r="BH560" s="27" t="n"/>
      <c r="BI560" s="28" t="n"/>
    </row>
    <row r="561" hidden="1" outlineLevel="2" ht="14.4" customFormat="1" customHeight="1" s="498">
      <c r="A561" s="22" t="inlineStr">
        <is>
          <t>Remuneração Variável</t>
        </is>
      </c>
      <c r="B561" s="488" t="n"/>
      <c r="C561" s="3" t="n"/>
      <c r="D561" s="55" t="n">
        <v>0</v>
      </c>
      <c r="E561" s="55" t="n">
        <v>0</v>
      </c>
      <c r="F561" s="41" t="n"/>
      <c r="G561" s="56" t="n"/>
      <c r="H561" s="241" t="n"/>
      <c r="I561" s="27" t="n"/>
      <c r="J561" s="28" t="n"/>
      <c r="K561" s="241" t="n"/>
      <c r="L561" s="27" t="n"/>
      <c r="M561" s="28" t="n"/>
      <c r="N561" s="241" t="n"/>
      <c r="O561" s="27" t="n"/>
      <c r="P561" s="28" t="n"/>
      <c r="Q561" s="241" t="n"/>
      <c r="R561" s="27" t="n"/>
      <c r="S561" s="28" t="n"/>
      <c r="T561" s="241" t="n"/>
      <c r="U561" s="27" t="n"/>
      <c r="V561" s="28" t="n"/>
      <c r="W561" s="241" t="n"/>
      <c r="X561" s="27" t="n"/>
      <c r="Y561" s="28" t="n"/>
      <c r="Z561" s="241" t="n"/>
      <c r="AA561" s="27" t="n"/>
      <c r="AB561" s="28" t="n"/>
      <c r="AC561" s="241" t="n"/>
      <c r="AD561" s="27" t="n"/>
      <c r="AE561" s="28" t="n"/>
      <c r="AF561" s="241" t="n"/>
      <c r="AG561" s="27" t="n"/>
      <c r="AH561" s="28" t="n"/>
      <c r="AI561" s="241" t="n"/>
      <c r="AJ561" s="27" t="n"/>
      <c r="AK561" s="28" t="n"/>
      <c r="AL561" s="241" t="n"/>
      <c r="AM561" s="27" t="n"/>
      <c r="AN561" s="28" t="n"/>
      <c r="AO561" s="241" t="n"/>
      <c r="AP561" s="27" t="n"/>
      <c r="AQ561" s="28" t="n"/>
      <c r="AR561" s="241" t="n"/>
      <c r="AS561" s="27" t="n"/>
      <c r="AT561" s="28" t="n"/>
      <c r="AU561" s="241" t="n"/>
      <c r="AV561" s="27" t="n"/>
      <c r="AW561" s="28" t="n"/>
      <c r="AX561" s="241" t="n"/>
      <c r="AY561" s="27" t="n"/>
      <c r="AZ561" s="28" t="n"/>
      <c r="BA561" s="241" t="n"/>
      <c r="BB561" s="27" t="n"/>
      <c r="BC561" s="28" t="n"/>
      <c r="BD561" s="241" t="n"/>
      <c r="BE561" s="27" t="n"/>
      <c r="BF561" s="28" t="n"/>
      <c r="BG561" s="241" t="n"/>
      <c r="BH561" s="27" t="n"/>
      <c r="BI561" s="28" t="n"/>
    </row>
    <row r="562" hidden="1" outlineLevel="2" ht="14.4" customFormat="1" customHeight="1" s="498">
      <c r="A562" s="22" t="inlineStr">
        <is>
          <t>Premiação</t>
        </is>
      </c>
      <c r="B562" s="488" t="n"/>
      <c r="C562" s="3" t="n"/>
      <c r="D562" s="55" t="n">
        <v>0</v>
      </c>
      <c r="E562" s="55" t="n">
        <v>0</v>
      </c>
      <c r="F562" s="41" t="n"/>
      <c r="G562" s="56" t="n"/>
      <c r="H562" s="241" t="n"/>
      <c r="I562" s="27" t="n"/>
      <c r="J562" s="28" t="n"/>
      <c r="K562" s="241" t="n"/>
      <c r="L562" s="27" t="n"/>
      <c r="M562" s="28" t="n"/>
      <c r="N562" s="241" t="n"/>
      <c r="O562" s="27" t="n"/>
      <c r="P562" s="28" t="n"/>
      <c r="Q562" s="241" t="n"/>
      <c r="R562" s="27" t="n"/>
      <c r="S562" s="28" t="n"/>
      <c r="T562" s="241" t="n"/>
      <c r="U562" s="27" t="n"/>
      <c r="V562" s="28" t="n"/>
      <c r="W562" s="241" t="n"/>
      <c r="X562" s="27" t="n"/>
      <c r="Y562" s="28" t="n"/>
      <c r="Z562" s="241" t="n"/>
      <c r="AA562" s="27" t="n"/>
      <c r="AB562" s="28" t="n"/>
      <c r="AC562" s="241" t="n"/>
      <c r="AD562" s="27" t="n"/>
      <c r="AE562" s="28" t="n"/>
      <c r="AF562" s="241" t="n"/>
      <c r="AG562" s="27" t="n"/>
      <c r="AH562" s="28" t="n"/>
      <c r="AI562" s="241" t="n"/>
      <c r="AJ562" s="27" t="n"/>
      <c r="AK562" s="28" t="n"/>
      <c r="AL562" s="241" t="n"/>
      <c r="AM562" s="27" t="n"/>
      <c r="AN562" s="28" t="n"/>
      <c r="AO562" s="241" t="n"/>
      <c r="AP562" s="27" t="n"/>
      <c r="AQ562" s="28" t="n"/>
      <c r="AR562" s="241" t="n"/>
      <c r="AS562" s="27" t="n"/>
      <c r="AT562" s="28" t="n"/>
      <c r="AU562" s="241" t="n"/>
      <c r="AV562" s="27" t="n"/>
      <c r="AW562" s="28" t="n"/>
      <c r="AX562" s="241" t="n"/>
      <c r="AY562" s="27" t="n"/>
      <c r="AZ562" s="28" t="n"/>
      <c r="BA562" s="241" t="n"/>
      <c r="BB562" s="27" t="n"/>
      <c r="BC562" s="28" t="n"/>
      <c r="BD562" s="241" t="n"/>
      <c r="BE562" s="27" t="n"/>
      <c r="BF562" s="28" t="n"/>
      <c r="BG562" s="241" t="n"/>
      <c r="BH562" s="27" t="n"/>
      <c r="BI562" s="28" t="n"/>
    </row>
    <row r="563" hidden="1" outlineLevel="2" ht="14.4" customFormat="1" customHeight="1" s="498">
      <c r="A563" s="22" t="n"/>
      <c r="B563" s="488" t="n"/>
      <c r="C563" s="3" t="n"/>
      <c r="D563" s="55" t="n">
        <v>0.4499</v>
      </c>
      <c r="E563" s="55" t="n">
        <v>0.6479</v>
      </c>
      <c r="F563" s="41" t="n"/>
      <c r="G563" s="56" t="n"/>
      <c r="H563" s="241" t="n"/>
      <c r="I563" s="27" t="n"/>
      <c r="J563" s="28" t="n"/>
      <c r="K563" s="241" t="n"/>
      <c r="L563" s="27" t="n"/>
      <c r="M563" s="28" t="n"/>
      <c r="N563" s="241" t="n"/>
      <c r="O563" s="27" t="n"/>
      <c r="P563" s="28" t="n"/>
      <c r="Q563" s="241" t="n"/>
      <c r="R563" s="27" t="n"/>
      <c r="S563" s="28" t="n"/>
      <c r="T563" s="241" t="n"/>
      <c r="U563" s="27" t="n"/>
      <c r="V563" s="28" t="n"/>
      <c r="W563" s="241" t="n"/>
      <c r="X563" s="27" t="n"/>
      <c r="Y563" s="28" t="n"/>
      <c r="Z563" s="241" t="n"/>
      <c r="AA563" s="27" t="n"/>
      <c r="AB563" s="28" t="n"/>
      <c r="AC563" s="241" t="n"/>
      <c r="AD563" s="27" t="n"/>
      <c r="AE563" s="28" t="n"/>
      <c r="AF563" s="241" t="n"/>
      <c r="AG563" s="27" t="n"/>
      <c r="AH563" s="28" t="n"/>
      <c r="AI563" s="241" t="n"/>
      <c r="AJ563" s="27" t="n"/>
      <c r="AK563" s="28" t="n"/>
      <c r="AL563" s="241" t="n"/>
      <c r="AM563" s="27" t="n"/>
      <c r="AN563" s="28" t="n"/>
      <c r="AO563" s="241" t="n"/>
      <c r="AP563" s="27" t="n"/>
      <c r="AQ563" s="28" t="n"/>
      <c r="AR563" s="241" t="n"/>
      <c r="AS563" s="27" t="n"/>
      <c r="AT563" s="28" t="n"/>
      <c r="AU563" s="241" t="n"/>
      <c r="AV563" s="27" t="n"/>
      <c r="AW563" s="28" t="n"/>
      <c r="AX563" s="241" t="n"/>
      <c r="AY563" s="27" t="n"/>
      <c r="AZ563" s="28" t="n"/>
      <c r="BA563" s="241" t="n"/>
      <c r="BB563" s="27" t="n"/>
      <c r="BC563" s="28" t="n"/>
      <c r="BD563" s="241" t="n"/>
      <c r="BE563" s="27" t="n"/>
      <c r="BF563" s="28" t="n"/>
      <c r="BG563" s="241" t="n"/>
      <c r="BH563" s="27" t="n"/>
      <c r="BI563" s="28" t="n"/>
    </row>
    <row r="564" hidden="1" outlineLevel="1" ht="14.4" customFormat="1" customHeight="1" s="498">
      <c r="A564" s="163" t="n"/>
      <c r="B564" s="23" t="n"/>
      <c r="C564" s="3" t="n"/>
      <c r="D564" s="110" t="inlineStr">
        <is>
          <t>Utiliza alíquotas do SIMPLES ?</t>
        </is>
      </c>
      <c r="E564" s="110" t="inlineStr">
        <is>
          <t>S</t>
        </is>
      </c>
      <c r="F564" s="23" t="n"/>
      <c r="G564" s="56" t="n"/>
      <c r="H564" s="279" t="n"/>
      <c r="I564" s="180" t="n"/>
      <c r="J564" s="181" t="n"/>
      <c r="K564" s="279" t="n"/>
      <c r="L564" s="180" t="n"/>
      <c r="M564" s="181" t="n"/>
      <c r="N564" s="279" t="n"/>
      <c r="O564" s="180" t="n"/>
      <c r="P564" s="181" t="n"/>
      <c r="Q564" s="279" t="n"/>
      <c r="R564" s="180" t="n"/>
      <c r="S564" s="181" t="n"/>
      <c r="T564" s="279" t="n"/>
      <c r="U564" s="180" t="n"/>
      <c r="V564" s="181" t="n"/>
      <c r="W564" s="279" t="n"/>
      <c r="X564" s="180" t="n"/>
      <c r="Y564" s="181" t="n"/>
      <c r="Z564" s="279" t="n"/>
      <c r="AA564" s="180" t="n"/>
      <c r="AB564" s="181" t="n"/>
      <c r="AC564" s="279" t="n"/>
      <c r="AD564" s="180" t="n"/>
      <c r="AE564" s="181" t="n"/>
      <c r="AF564" s="279" t="n"/>
      <c r="AG564" s="180" t="n"/>
      <c r="AH564" s="181" t="n"/>
      <c r="AI564" s="279" t="n"/>
      <c r="AJ564" s="180" t="n"/>
      <c r="AK564" s="181" t="n"/>
      <c r="AL564" s="279" t="n"/>
      <c r="AM564" s="180" t="n"/>
      <c r="AN564" s="181" t="n"/>
      <c r="AO564" s="279" t="n"/>
      <c r="AP564" s="180" t="n"/>
      <c r="AQ564" s="181" t="n"/>
      <c r="AR564" s="279" t="n"/>
      <c r="AS564" s="180" t="n"/>
      <c r="AT564" s="181" t="n"/>
      <c r="AU564" s="279" t="n"/>
      <c r="AV564" s="180" t="n"/>
      <c r="AW564" s="181" t="n"/>
      <c r="AX564" s="279" t="n"/>
      <c r="AY564" s="180" t="n"/>
      <c r="AZ564" s="181" t="n"/>
      <c r="BA564" s="279" t="n"/>
      <c r="BB564" s="180" t="n"/>
      <c r="BC564" s="181" t="n"/>
      <c r="BD564" s="279" t="n"/>
      <c r="BE564" s="180" t="n"/>
      <c r="BF564" s="181" t="n"/>
      <c r="BG564" s="279" t="n"/>
      <c r="BH564" s="180" t="n"/>
      <c r="BI564" s="181" t="n"/>
    </row>
    <row r="565" hidden="1" outlineLevel="1" ht="14.4" customFormat="1" customHeight="1" s="216">
      <c r="A565" s="213" t="n"/>
      <c r="B565" s="13" t="n"/>
      <c r="C565" s="12" t="n"/>
      <c r="D565" s="13" t="n"/>
      <c r="E565" s="13" t="n"/>
      <c r="F565" s="13" t="n"/>
      <c r="G565" s="214" t="n"/>
      <c r="H565" s="285" t="n"/>
      <c r="I565" s="35" t="n">
        <v>1</v>
      </c>
      <c r="J565" s="215" t="n"/>
      <c r="K565" s="285" t="n"/>
      <c r="L565" s="35" t="n">
        <v>2</v>
      </c>
      <c r="M565" s="215" t="n"/>
      <c r="N565" s="285" t="n"/>
      <c r="O565" s="35" t="n">
        <v>3</v>
      </c>
      <c r="P565" s="215" t="n"/>
      <c r="Q565" s="285" t="n"/>
      <c r="R565" s="35" t="n">
        <v>4</v>
      </c>
      <c r="S565" s="215" t="n"/>
      <c r="T565" s="285" t="n"/>
      <c r="U565" s="35" t="n">
        <v>5</v>
      </c>
      <c r="V565" s="215" t="n"/>
      <c r="W565" s="285" t="n"/>
      <c r="X565" s="35" t="n">
        <v>6</v>
      </c>
      <c r="Y565" s="215" t="n"/>
      <c r="Z565" s="285" t="n"/>
      <c r="AA565" s="35" t="n">
        <v>7</v>
      </c>
      <c r="AB565" s="215" t="n"/>
      <c r="AC565" s="285" t="n"/>
      <c r="AD565" s="35" t="n">
        <v>8</v>
      </c>
      <c r="AE565" s="215" t="n"/>
      <c r="AF565" s="285" t="n"/>
      <c r="AG565" s="35" t="n">
        <v>9</v>
      </c>
      <c r="AH565" s="215" t="n"/>
      <c r="AI565" s="285" t="n"/>
      <c r="AJ565" s="35" t="n">
        <v>10</v>
      </c>
      <c r="AK565" s="215" t="n"/>
      <c r="AL565" s="285" t="n"/>
      <c r="AM565" s="35" t="n">
        <v>11</v>
      </c>
      <c r="AN565" s="215" t="n"/>
      <c r="AO565" s="285" t="n"/>
      <c r="AP565" s="35" t="n">
        <v>12</v>
      </c>
      <c r="AQ565" s="215" t="n"/>
      <c r="AR565" s="285" t="n"/>
      <c r="AS565" s="35" t="n"/>
      <c r="AT565" s="215" t="n"/>
      <c r="AU565" s="285" t="n"/>
      <c r="AV565" s="35" t="n"/>
      <c r="AW565" s="215" t="n"/>
      <c r="AX565" s="285" t="n"/>
      <c r="AY565" s="35" t="n"/>
      <c r="AZ565" s="215" t="n"/>
      <c r="BA565" s="285" t="n"/>
      <c r="BB565" s="35" t="n"/>
      <c r="BC565" s="215" t="n"/>
      <c r="BD565" s="285" t="n"/>
      <c r="BE565" s="35" t="n"/>
      <c r="BF565" s="215" t="n"/>
      <c r="BG565" s="285" t="n"/>
      <c r="BH565" s="35" t="n"/>
      <c r="BI565" s="215" t="n"/>
    </row>
    <row r="566" hidden="1" outlineLevel="1" ht="14.4" customFormat="1" customHeight="1" s="498">
      <c r="A566" s="165" t="inlineStr">
        <is>
          <t>Métricas Faturamento</t>
        </is>
      </c>
      <c r="B566" s="23" t="n"/>
      <c r="C566" s="3" t="n"/>
      <c r="D566" s="4" t="n"/>
      <c r="E566" s="4" t="n"/>
      <c r="F566" s="23" t="n"/>
      <c r="G566" s="56" t="n"/>
      <c r="H566" s="286" t="n"/>
      <c r="I566" s="217" t="n"/>
      <c r="J566" s="218" t="n"/>
      <c r="K566" s="286" t="n"/>
      <c r="L566" s="217" t="n"/>
      <c r="M566" s="218" t="n"/>
      <c r="N566" s="286" t="n"/>
      <c r="O566" s="217" t="n"/>
      <c r="P566" s="218" t="n"/>
      <c r="Q566" s="286" t="n"/>
      <c r="R566" s="217" t="n"/>
      <c r="S566" s="218" t="n"/>
      <c r="T566" s="286" t="n"/>
      <c r="U566" s="217" t="n"/>
      <c r="V566" s="218" t="n"/>
      <c r="W566" s="286" t="n"/>
      <c r="X566" s="217" t="n"/>
      <c r="Y566" s="218" t="n"/>
      <c r="Z566" s="286" t="n"/>
      <c r="AA566" s="217" t="n"/>
      <c r="AB566" s="218" t="n"/>
      <c r="AC566" s="286" t="n"/>
      <c r="AD566" s="217" t="n"/>
      <c r="AE566" s="218" t="n"/>
      <c r="AF566" s="286" t="n"/>
      <c r="AG566" s="217" t="n"/>
      <c r="AH566" s="218" t="n"/>
      <c r="AI566" s="286" t="n"/>
      <c r="AJ566" s="217" t="n"/>
      <c r="AK566" s="218" t="n"/>
      <c r="AL566" s="286" t="n"/>
      <c r="AM566" s="217" t="n"/>
      <c r="AN566" s="218" t="n"/>
      <c r="AO566" s="286" t="n"/>
      <c r="AP566" s="217" t="n"/>
      <c r="AQ566" s="218" t="n"/>
      <c r="AR566" s="286" t="n"/>
      <c r="AS566" s="217" t="n"/>
      <c r="AT566" s="218" t="n"/>
      <c r="AU566" s="286" t="n"/>
      <c r="AV566" s="217" t="n"/>
      <c r="AW566" s="218" t="n"/>
      <c r="AX566" s="286" t="n"/>
      <c r="AY566" s="217" t="n"/>
      <c r="AZ566" s="218" t="n"/>
      <c r="BA566" s="286" t="n"/>
      <c r="BB566" s="217" t="n"/>
      <c r="BC566" s="218" t="n"/>
      <c r="BD566" s="286" t="n"/>
      <c r="BE566" s="217" t="n"/>
      <c r="BF566" s="218" t="n"/>
      <c r="BG566" s="286" t="n"/>
      <c r="BH566" s="217" t="n"/>
      <c r="BI566" s="218" t="n"/>
    </row>
    <row r="567" hidden="1" outlineLevel="2" ht="14.4" customFormat="1" customHeight="1" s="498">
      <c r="A567" s="22" t="inlineStr">
        <is>
          <t># Atendimentos</t>
        </is>
      </c>
      <c r="B567" s="23" t="n"/>
      <c r="C567" s="3" t="n"/>
      <c r="D567" s="4" t="n"/>
      <c r="E567" s="4" t="n"/>
      <c r="F567" s="23" t="n"/>
      <c r="G567" s="56" t="n"/>
      <c r="H567" s="287" t="n"/>
      <c r="I567" s="219" t="n"/>
      <c r="J567" s="220" t="n"/>
      <c r="K567" s="287" t="n"/>
      <c r="L567" s="219" t="n"/>
      <c r="M567" s="220" t="n"/>
      <c r="N567" s="287" t="n"/>
      <c r="O567" s="219" t="n"/>
      <c r="P567" s="220" t="n"/>
      <c r="Q567" s="287" t="n"/>
      <c r="R567" s="219" t="n"/>
      <c r="S567" s="220" t="n"/>
      <c r="T567" s="287" t="n"/>
      <c r="U567" s="219" t="n"/>
      <c r="V567" s="220" t="n"/>
      <c r="W567" s="287" t="n"/>
      <c r="X567" s="219" t="n"/>
      <c r="Y567" s="220" t="n"/>
      <c r="Z567" s="287" t="n"/>
      <c r="AA567" s="219" t="n"/>
      <c r="AB567" s="220" t="n"/>
      <c r="AC567" s="287" t="n"/>
      <c r="AD567" s="219" t="n"/>
      <c r="AE567" s="220" t="n"/>
      <c r="AF567" s="287" t="n"/>
      <c r="AG567" s="219" t="n"/>
      <c r="AH567" s="220" t="n"/>
      <c r="AI567" s="287" t="n"/>
      <c r="AJ567" s="219" t="n"/>
      <c r="AK567" s="220" t="n"/>
      <c r="AL567" s="287" t="n"/>
      <c r="AM567" s="219" t="n"/>
      <c r="AN567" s="220" t="n"/>
      <c r="AO567" s="287" t="n"/>
      <c r="AP567" s="219" t="n"/>
      <c r="AQ567" s="220" t="n"/>
      <c r="AR567" s="287" t="n"/>
      <c r="AS567" s="219" t="n"/>
      <c r="AT567" s="220" t="n"/>
      <c r="AU567" s="287" t="n"/>
      <c r="AV567" s="219" t="n"/>
      <c r="AW567" s="220" t="n"/>
      <c r="AX567" s="287" t="n"/>
      <c r="AY567" s="219" t="n"/>
      <c r="AZ567" s="220" t="n"/>
      <c r="BA567" s="287" t="n"/>
      <c r="BB567" s="219" t="n"/>
      <c r="BC567" s="220" t="n"/>
      <c r="BD567" s="287" t="n"/>
      <c r="BE567" s="219" t="n"/>
      <c r="BF567" s="220" t="n"/>
      <c r="BG567" s="287" t="n"/>
      <c r="BH567" s="219" t="n"/>
      <c r="BI567" s="220" t="n"/>
    </row>
    <row r="568" hidden="1" outlineLevel="2" ht="14.4" customFormat="1" customHeight="1" s="498">
      <c r="A568" s="22" t="inlineStr">
        <is>
          <t>Tkt Médio (R$)</t>
        </is>
      </c>
      <c r="B568" s="23" t="n"/>
      <c r="C568" s="3" t="n"/>
      <c r="D568" s="4" t="n"/>
      <c r="E568" s="4" t="n"/>
      <c r="F568" s="23" t="n"/>
      <c r="G568" s="56" t="n"/>
      <c r="H568" s="522" t="n"/>
      <c r="I568" s="523" t="n"/>
      <c r="J568" s="524" t="n"/>
      <c r="K568" s="522" t="n"/>
      <c r="L568" s="523" t="n"/>
      <c r="M568" s="524" t="n"/>
      <c r="N568" s="522" t="n"/>
      <c r="O568" s="523" t="n"/>
      <c r="P568" s="524" t="n"/>
      <c r="Q568" s="522" t="n"/>
      <c r="R568" s="523" t="n"/>
      <c r="S568" s="524" t="n"/>
      <c r="T568" s="522" t="n"/>
      <c r="U568" s="523" t="n"/>
      <c r="V568" s="524" t="n"/>
      <c r="W568" s="522" t="n"/>
      <c r="X568" s="523" t="n"/>
      <c r="Y568" s="524" t="n"/>
      <c r="Z568" s="522" t="n"/>
      <c r="AA568" s="523" t="n"/>
      <c r="AB568" s="524" t="n"/>
      <c r="AC568" s="522" t="n"/>
      <c r="AD568" s="523" t="n"/>
      <c r="AE568" s="524" t="n"/>
      <c r="AF568" s="522" t="n"/>
      <c r="AG568" s="523" t="n"/>
      <c r="AH568" s="524" t="n"/>
      <c r="AI568" s="522" t="n"/>
      <c r="AJ568" s="523" t="n"/>
      <c r="AK568" s="524" t="n"/>
      <c r="AL568" s="522" t="n"/>
      <c r="AM568" s="523" t="n"/>
      <c r="AN568" s="524" t="n"/>
      <c r="AO568" s="522" t="n"/>
      <c r="AP568" s="523" t="n"/>
      <c r="AQ568" s="524" t="n"/>
      <c r="AR568" s="522" t="n"/>
      <c r="AS568" s="523" t="n"/>
      <c r="AT568" s="524" t="n"/>
      <c r="AU568" s="522" t="n"/>
      <c r="AV568" s="523" t="n"/>
      <c r="AW568" s="524" t="n"/>
      <c r="AX568" s="522" t="n"/>
      <c r="AY568" s="523" t="n"/>
      <c r="AZ568" s="524" t="n"/>
      <c r="BA568" s="522" t="n"/>
      <c r="BB568" s="523" t="n"/>
      <c r="BC568" s="524" t="n"/>
      <c r="BD568" s="522" t="n"/>
      <c r="BE568" s="523" t="n"/>
      <c r="BF568" s="524" t="n"/>
      <c r="BG568" s="522" t="n"/>
      <c r="BH568" s="523" t="n"/>
      <c r="BI568" s="524" t="n"/>
    </row>
    <row r="569" hidden="1" outlineLevel="2" ht="14.4" customFormat="1" customHeight="1" s="498">
      <c r="A569" s="22" t="inlineStr">
        <is>
          <t>% Alimentos</t>
        </is>
      </c>
      <c r="B569" s="23" t="n"/>
      <c r="C569" s="3" t="n"/>
      <c r="D569" s="4" t="n"/>
      <c r="E569" s="4" t="n"/>
      <c r="F569" s="23" t="n"/>
      <c r="G569" s="56" t="n"/>
      <c r="H569" s="289" t="n"/>
      <c r="I569" s="223" t="n"/>
      <c r="J569" s="224" t="n"/>
      <c r="K569" s="289" t="n"/>
      <c r="L569" s="223" t="n"/>
      <c r="M569" s="224" t="n"/>
      <c r="N569" s="289" t="n"/>
      <c r="O569" s="223" t="n"/>
      <c r="P569" s="224" t="n"/>
      <c r="Q569" s="289" t="n"/>
      <c r="R569" s="223" t="n"/>
      <c r="S569" s="224" t="n"/>
      <c r="T569" s="289" t="n"/>
      <c r="U569" s="223" t="n"/>
      <c r="V569" s="224" t="n"/>
      <c r="W569" s="289" t="n"/>
      <c r="X569" s="223" t="n"/>
      <c r="Y569" s="224" t="n"/>
      <c r="Z569" s="289" t="n"/>
      <c r="AA569" s="223" t="n"/>
      <c r="AB569" s="224" t="n"/>
      <c r="AC569" s="289" t="n"/>
      <c r="AD569" s="223" t="n"/>
      <c r="AE569" s="224" t="n"/>
      <c r="AF569" s="289" t="n"/>
      <c r="AG569" s="223" t="n"/>
      <c r="AH569" s="224" t="n"/>
      <c r="AI569" s="289" t="n"/>
      <c r="AJ569" s="223" t="n"/>
      <c r="AK569" s="224" t="n"/>
      <c r="AL569" s="289" t="n"/>
      <c r="AM569" s="223" t="n"/>
      <c r="AN569" s="224" t="n"/>
      <c r="AO569" s="289" t="n"/>
      <c r="AP569" s="223" t="n"/>
      <c r="AQ569" s="224" t="n"/>
      <c r="AR569" s="289" t="n"/>
      <c r="AS569" s="223" t="n"/>
      <c r="AT569" s="224" t="n"/>
      <c r="AU569" s="289" t="n"/>
      <c r="AV569" s="223" t="n"/>
      <c r="AW569" s="224" t="n"/>
      <c r="AX569" s="289" t="n"/>
      <c r="AY569" s="223" t="n"/>
      <c r="AZ569" s="224" t="n"/>
      <c r="BA569" s="289" t="n"/>
      <c r="BB569" s="223" t="n"/>
      <c r="BC569" s="224" t="n"/>
      <c r="BD569" s="289" t="n"/>
      <c r="BE569" s="223" t="n"/>
      <c r="BF569" s="224" t="n"/>
      <c r="BG569" s="289" t="n"/>
      <c r="BH569" s="223" t="n"/>
      <c r="BI569" s="224" t="n"/>
    </row>
    <row r="570" hidden="1" outlineLevel="2" ht="14.4" customFormat="1" customHeight="1" s="498">
      <c r="A570" s="22" t="inlineStr">
        <is>
          <t>% Bebidas</t>
        </is>
      </c>
      <c r="B570" s="23" t="n"/>
      <c r="C570" s="3" t="n"/>
      <c r="D570" s="4" t="n"/>
      <c r="E570" s="4" t="n"/>
      <c r="F570" s="23" t="n"/>
      <c r="G570" s="56" t="n"/>
      <c r="H570" s="289" t="n"/>
      <c r="I570" s="223" t="n"/>
      <c r="J570" s="224" t="n"/>
      <c r="K570" s="289" t="n"/>
      <c r="L570" s="223" t="n"/>
      <c r="M570" s="224" t="n"/>
      <c r="N570" s="289" t="n"/>
      <c r="O570" s="223" t="n"/>
      <c r="P570" s="224" t="n"/>
      <c r="Q570" s="289" t="n"/>
      <c r="R570" s="223" t="n"/>
      <c r="S570" s="224" t="n"/>
      <c r="T570" s="289" t="n"/>
      <c r="U570" s="223" t="n"/>
      <c r="V570" s="224" t="n"/>
      <c r="W570" s="289" t="n"/>
      <c r="X570" s="223" t="n"/>
      <c r="Y570" s="224" t="n"/>
      <c r="Z570" s="289" t="n"/>
      <c r="AA570" s="223" t="n"/>
      <c r="AB570" s="224" t="n"/>
      <c r="AC570" s="289" t="n"/>
      <c r="AD570" s="223" t="n"/>
      <c r="AE570" s="224" t="n"/>
      <c r="AF570" s="289" t="n"/>
      <c r="AG570" s="223" t="n"/>
      <c r="AH570" s="224" t="n"/>
      <c r="AI570" s="289" t="n"/>
      <c r="AJ570" s="223" t="n"/>
      <c r="AK570" s="224" t="n"/>
      <c r="AL570" s="289" t="n"/>
      <c r="AM570" s="223" t="n"/>
      <c r="AN570" s="224" t="n"/>
      <c r="AO570" s="289" t="n"/>
      <c r="AP570" s="223" t="n"/>
      <c r="AQ570" s="224" t="n"/>
      <c r="AR570" s="289" t="n"/>
      <c r="AS570" s="223" t="n"/>
      <c r="AT570" s="224" t="n"/>
      <c r="AU570" s="289" t="n"/>
      <c r="AV570" s="223" t="n"/>
      <c r="AW570" s="224" t="n"/>
      <c r="AX570" s="289" t="n"/>
      <c r="AY570" s="223" t="n"/>
      <c r="AZ570" s="224" t="n"/>
      <c r="BA570" s="289" t="n"/>
      <c r="BB570" s="223" t="n"/>
      <c r="BC570" s="224" t="n"/>
      <c r="BD570" s="289" t="n"/>
      <c r="BE570" s="223" t="n"/>
      <c r="BF570" s="224" t="n"/>
      <c r="BG570" s="289" t="n"/>
      <c r="BH570" s="223" t="n"/>
      <c r="BI570" s="224" t="n"/>
    </row>
    <row r="571" hidden="1" outlineLevel="2" ht="14.4" customFormat="1" customHeight="1" s="498">
      <c r="A571" s="22" t="inlineStr">
        <is>
          <t xml:space="preserve">% Artístico (Couvert/shows) </t>
        </is>
      </c>
      <c r="B571" s="23" t="n"/>
      <c r="C571" s="3" t="n"/>
      <c r="D571" s="4" t="n"/>
      <c r="E571" s="4" t="n"/>
      <c r="F571" s="23" t="n"/>
      <c r="G571" s="56" t="n"/>
      <c r="H571" s="289" t="n"/>
      <c r="I571" s="223" t="n"/>
      <c r="J571" s="224" t="n"/>
      <c r="K571" s="289" t="n"/>
      <c r="L571" s="223" t="n"/>
      <c r="M571" s="224" t="n"/>
      <c r="N571" s="289" t="n"/>
      <c r="O571" s="223" t="n"/>
      <c r="P571" s="224" t="n"/>
      <c r="Q571" s="289" t="n"/>
      <c r="R571" s="223" t="n"/>
      <c r="S571" s="224" t="n"/>
      <c r="T571" s="289" t="n"/>
      <c r="U571" s="223" t="n"/>
      <c r="V571" s="224" t="n"/>
      <c r="W571" s="289" t="n"/>
      <c r="X571" s="223" t="n"/>
      <c r="Y571" s="224" t="n"/>
      <c r="Z571" s="289" t="n"/>
      <c r="AA571" s="223" t="n"/>
      <c r="AB571" s="224" t="n"/>
      <c r="AC571" s="289" t="n"/>
      <c r="AD571" s="223" t="n"/>
      <c r="AE571" s="224" t="n"/>
      <c r="AF571" s="289" t="n"/>
      <c r="AG571" s="223" t="n"/>
      <c r="AH571" s="224" t="n"/>
      <c r="AI571" s="289" t="n"/>
      <c r="AJ571" s="223" t="n"/>
      <c r="AK571" s="224" t="n"/>
      <c r="AL571" s="289" t="n"/>
      <c r="AM571" s="223" t="n"/>
      <c r="AN571" s="224" t="n"/>
      <c r="AO571" s="289" t="n"/>
      <c r="AP571" s="223" t="n"/>
      <c r="AQ571" s="224" t="n"/>
      <c r="AR571" s="289" t="n"/>
      <c r="AS571" s="223" t="n"/>
      <c r="AT571" s="224" t="n"/>
      <c r="AU571" s="289" t="n"/>
      <c r="AV571" s="223" t="n"/>
      <c r="AW571" s="224" t="n"/>
      <c r="AX571" s="289" t="n"/>
      <c r="AY571" s="223" t="n"/>
      <c r="AZ571" s="224" t="n"/>
      <c r="BA571" s="289" t="n"/>
      <c r="BB571" s="223" t="n"/>
      <c r="BC571" s="224" t="n"/>
      <c r="BD571" s="289" t="n"/>
      <c r="BE571" s="223" t="n"/>
      <c r="BF571" s="224" t="n"/>
      <c r="BG571" s="289" t="n"/>
      <c r="BH571" s="223" t="n"/>
      <c r="BI571" s="224" t="n"/>
    </row>
    <row r="572" hidden="1" outlineLevel="2" ht="14.4" customFormat="1" customHeight="1" s="498">
      <c r="A572" s="22" t="inlineStr">
        <is>
          <t>% Gifts</t>
        </is>
      </c>
      <c r="B572" s="23" t="n"/>
      <c r="C572" s="3" t="n"/>
      <c r="D572" s="225" t="n"/>
      <c r="E572" s="4" t="n"/>
      <c r="F572" s="23" t="n"/>
      <c r="G572" s="56" t="n"/>
      <c r="H572" s="289" t="n"/>
      <c r="I572" s="223" t="n"/>
      <c r="J572" s="224" t="n"/>
      <c r="K572" s="289" t="n"/>
      <c r="L572" s="223" t="n"/>
      <c r="M572" s="224" t="n"/>
      <c r="N572" s="289" t="n"/>
      <c r="O572" s="223" t="n"/>
      <c r="P572" s="224" t="n"/>
      <c r="Q572" s="289" t="n"/>
      <c r="R572" s="223" t="n"/>
      <c r="S572" s="224" t="n"/>
      <c r="T572" s="289" t="n"/>
      <c r="U572" s="223" t="n"/>
      <c r="V572" s="224" t="n"/>
      <c r="W572" s="289" t="n"/>
      <c r="X572" s="223" t="n"/>
      <c r="Y572" s="224" t="n"/>
      <c r="Z572" s="289" t="n"/>
      <c r="AA572" s="223" t="n"/>
      <c r="AB572" s="224" t="n"/>
      <c r="AC572" s="289" t="n"/>
      <c r="AD572" s="223" t="n"/>
      <c r="AE572" s="224" t="n"/>
      <c r="AF572" s="289" t="n"/>
      <c r="AG572" s="223" t="n"/>
      <c r="AH572" s="224" t="n"/>
      <c r="AI572" s="289" t="n"/>
      <c r="AJ572" s="223" t="n"/>
      <c r="AK572" s="224" t="n"/>
      <c r="AL572" s="289" t="n"/>
      <c r="AM572" s="223" t="n"/>
      <c r="AN572" s="224" t="n"/>
      <c r="AO572" s="289" t="n"/>
      <c r="AP572" s="223" t="n"/>
      <c r="AQ572" s="224" t="n"/>
      <c r="AR572" s="289" t="n"/>
      <c r="AS572" s="223" t="n"/>
      <c r="AT572" s="224" t="n"/>
      <c r="AU572" s="289" t="n"/>
      <c r="AV572" s="223" t="n"/>
      <c r="AW572" s="224" t="n"/>
      <c r="AX572" s="289" t="n"/>
      <c r="AY572" s="223" t="n"/>
      <c r="AZ572" s="224" t="n"/>
      <c r="BA572" s="289" t="n"/>
      <c r="BB572" s="223" t="n"/>
      <c r="BC572" s="224" t="n"/>
      <c r="BD572" s="289" t="n"/>
      <c r="BE572" s="223" t="n"/>
      <c r="BF572" s="224" t="n"/>
      <c r="BG572" s="289" t="n"/>
      <c r="BH572" s="223" t="n"/>
      <c r="BI572" s="224" t="n"/>
    </row>
    <row r="573" hidden="1" outlineLevel="2" ht="14.4" customFormat="1" customHeight="1" s="498">
      <c r="A573" s="22" t="inlineStr">
        <is>
          <t>% Serviço</t>
        </is>
      </c>
      <c r="B573" s="23" t="n"/>
      <c r="C573" s="3" t="n"/>
      <c r="D573" s="4" t="n"/>
      <c r="E573" s="4" t="n"/>
      <c r="F573" s="23" t="n"/>
      <c r="G573" s="56" t="n"/>
      <c r="H573" s="289" t="n"/>
      <c r="I573" s="223" t="n"/>
      <c r="J573" s="224" t="n"/>
      <c r="K573" s="289" t="n"/>
      <c r="L573" s="223" t="n"/>
      <c r="M573" s="224" t="n"/>
      <c r="N573" s="289" t="n"/>
      <c r="O573" s="223" t="n"/>
      <c r="P573" s="224" t="n"/>
      <c r="Q573" s="289" t="n"/>
      <c r="R573" s="223" t="n"/>
      <c r="S573" s="224" t="n"/>
      <c r="T573" s="289" t="n"/>
      <c r="U573" s="223" t="n"/>
      <c r="V573" s="224" t="n"/>
      <c r="W573" s="289" t="n"/>
      <c r="X573" s="223" t="n"/>
      <c r="Y573" s="224" t="n"/>
      <c r="Z573" s="289" t="n"/>
      <c r="AA573" s="223" t="n"/>
      <c r="AB573" s="224" t="n"/>
      <c r="AC573" s="289" t="n"/>
      <c r="AD573" s="223" t="n"/>
      <c r="AE573" s="224" t="n"/>
      <c r="AF573" s="289" t="n"/>
      <c r="AG573" s="223" t="n"/>
      <c r="AH573" s="224" t="n"/>
      <c r="AI573" s="289" t="n"/>
      <c r="AJ573" s="223" t="n"/>
      <c r="AK573" s="224" t="n"/>
      <c r="AL573" s="289" t="n"/>
      <c r="AM573" s="223" t="n"/>
      <c r="AN573" s="224" t="n"/>
      <c r="AO573" s="289" t="n"/>
      <c r="AP573" s="223" t="n"/>
      <c r="AQ573" s="224" t="n"/>
      <c r="AR573" s="289" t="n"/>
      <c r="AS573" s="223" t="n"/>
      <c r="AT573" s="224" t="n"/>
      <c r="AU573" s="289" t="n"/>
      <c r="AV573" s="223" t="n"/>
      <c r="AW573" s="224" t="n"/>
      <c r="AX573" s="289" t="n"/>
      <c r="AY573" s="223" t="n"/>
      <c r="AZ573" s="224" t="n"/>
      <c r="BA573" s="289" t="n"/>
      <c r="BB573" s="223" t="n"/>
      <c r="BC573" s="224" t="n"/>
      <c r="BD573" s="289" t="n"/>
      <c r="BE573" s="223" t="n"/>
      <c r="BF573" s="224" t="n"/>
      <c r="BG573" s="289" t="n"/>
      <c r="BH573" s="223" t="n"/>
      <c r="BI573" s="224" t="n"/>
    </row>
    <row r="574" hidden="1" outlineLevel="2" ht="14.4" customFormat="1" customHeight="1" s="498">
      <c r="A574" s="22" t="inlineStr">
        <is>
          <t>% Eventos A&amp;B</t>
        </is>
      </c>
      <c r="B574" s="23" t="n"/>
      <c r="C574" s="3" t="n"/>
      <c r="D574" s="4" t="n"/>
      <c r="E574" s="4" t="n"/>
      <c r="F574" s="23" t="n"/>
      <c r="G574" s="56" t="n"/>
      <c r="H574" s="289" t="n"/>
      <c r="I574" s="223" t="n"/>
      <c r="J574" s="224" t="n"/>
      <c r="K574" s="289" t="n"/>
      <c r="L574" s="223" t="n"/>
      <c r="M574" s="224" t="n"/>
      <c r="N574" s="289" t="n"/>
      <c r="O574" s="223" t="n"/>
      <c r="P574" s="224" t="n"/>
      <c r="Q574" s="289" t="n"/>
      <c r="R574" s="223" t="n"/>
      <c r="S574" s="224" t="n"/>
      <c r="T574" s="289" t="n"/>
      <c r="U574" s="223" t="n"/>
      <c r="V574" s="224" t="n"/>
      <c r="W574" s="289" t="n"/>
      <c r="X574" s="223" t="n"/>
      <c r="Y574" s="224" t="n"/>
      <c r="Z574" s="289" t="n"/>
      <c r="AA574" s="223" t="n"/>
      <c r="AB574" s="224" t="n"/>
      <c r="AC574" s="289" t="n"/>
      <c r="AD574" s="223" t="n"/>
      <c r="AE574" s="224" t="n"/>
      <c r="AF574" s="289" t="n"/>
      <c r="AG574" s="223" t="n"/>
      <c r="AH574" s="224" t="n"/>
      <c r="AI574" s="289" t="n"/>
      <c r="AJ574" s="223" t="n"/>
      <c r="AK574" s="224" t="n"/>
      <c r="AL574" s="289" t="n"/>
      <c r="AM574" s="223" t="n"/>
      <c r="AN574" s="224" t="n"/>
      <c r="AO574" s="289" t="n"/>
      <c r="AP574" s="223" t="n"/>
      <c r="AQ574" s="224" t="n"/>
      <c r="AR574" s="289" t="n"/>
      <c r="AS574" s="223" t="n"/>
      <c r="AT574" s="224" t="n"/>
      <c r="AU574" s="289" t="n"/>
      <c r="AV574" s="223" t="n"/>
      <c r="AW574" s="224" t="n"/>
      <c r="AX574" s="289" t="n"/>
      <c r="AY574" s="223" t="n"/>
      <c r="AZ574" s="224" t="n"/>
      <c r="BA574" s="289" t="n"/>
      <c r="BB574" s="223" t="n"/>
      <c r="BC574" s="224" t="n"/>
      <c r="BD574" s="289" t="n"/>
      <c r="BE574" s="223" t="n"/>
      <c r="BF574" s="224" t="n"/>
      <c r="BG574" s="289" t="n"/>
      <c r="BH574" s="223" t="n"/>
      <c r="BI574" s="224" t="n"/>
    </row>
    <row r="575" hidden="1" outlineLevel="2" ht="14.4" customFormat="1" customHeight="1" s="498">
      <c r="A575" s="22" t="inlineStr">
        <is>
          <t>% Eventos Couvert</t>
        </is>
      </c>
      <c r="B575" s="23" t="n"/>
      <c r="C575" s="3" t="n"/>
      <c r="D575" s="4" t="n"/>
      <c r="E575" s="4" t="n"/>
      <c r="F575" s="23" t="n"/>
      <c r="G575" s="56" t="n"/>
      <c r="H575" s="289" t="n"/>
      <c r="I575" s="223" t="n"/>
      <c r="J575" s="224" t="n"/>
      <c r="K575" s="289" t="n"/>
      <c r="L575" s="223" t="n"/>
      <c r="M575" s="224" t="n"/>
      <c r="N575" s="289" t="n"/>
      <c r="O575" s="223" t="n"/>
      <c r="P575" s="224" t="n"/>
      <c r="Q575" s="289" t="n"/>
      <c r="R575" s="223" t="n"/>
      <c r="S575" s="224" t="n"/>
      <c r="T575" s="289" t="n"/>
      <c r="U575" s="223" t="n"/>
      <c r="V575" s="224" t="n"/>
      <c r="W575" s="289" t="n"/>
      <c r="X575" s="223" t="n"/>
      <c r="Y575" s="224" t="n"/>
      <c r="Z575" s="289" t="n"/>
      <c r="AA575" s="223" t="n"/>
      <c r="AB575" s="224" t="n"/>
      <c r="AC575" s="289" t="n"/>
      <c r="AD575" s="223" t="n"/>
      <c r="AE575" s="224" t="n"/>
      <c r="AF575" s="289" t="n"/>
      <c r="AG575" s="223" t="n"/>
      <c r="AH575" s="224" t="n"/>
      <c r="AI575" s="289" t="n"/>
      <c r="AJ575" s="223" t="n"/>
      <c r="AK575" s="224" t="n"/>
      <c r="AL575" s="289" t="n"/>
      <c r="AM575" s="223" t="n"/>
      <c r="AN575" s="224" t="n"/>
      <c r="AO575" s="289" t="n"/>
      <c r="AP575" s="223" t="n"/>
      <c r="AQ575" s="224" t="n"/>
      <c r="AR575" s="289" t="n"/>
      <c r="AS575" s="223" t="n"/>
      <c r="AT575" s="224" t="n"/>
      <c r="AU575" s="289" t="n"/>
      <c r="AV575" s="223" t="n"/>
      <c r="AW575" s="224" t="n"/>
      <c r="AX575" s="289" t="n"/>
      <c r="AY575" s="223" t="n"/>
      <c r="AZ575" s="224" t="n"/>
      <c r="BA575" s="289" t="n"/>
      <c r="BB575" s="223" t="n"/>
      <c r="BC575" s="224" t="n"/>
      <c r="BD575" s="289" t="n"/>
      <c r="BE575" s="223" t="n"/>
      <c r="BF575" s="224" t="n"/>
      <c r="BG575" s="289" t="n"/>
      <c r="BH575" s="223" t="n"/>
      <c r="BI575" s="224" t="n"/>
    </row>
    <row r="576" hidden="1" outlineLevel="2" ht="14.4" customFormat="1" customHeight="1" s="498">
      <c r="A576" s="22" t="inlineStr">
        <is>
          <t>% Eventos Locações</t>
        </is>
      </c>
      <c r="B576" s="23" t="n"/>
      <c r="C576" s="3" t="n"/>
      <c r="D576" s="4" t="n"/>
      <c r="E576" s="4" t="n"/>
      <c r="F576" s="23" t="n"/>
      <c r="G576" s="56" t="n"/>
      <c r="H576" s="289" t="n"/>
      <c r="I576" s="223" t="n"/>
      <c r="J576" s="224" t="n"/>
      <c r="K576" s="289" t="n"/>
      <c r="L576" s="223" t="n"/>
      <c r="M576" s="224" t="n"/>
      <c r="N576" s="289" t="n"/>
      <c r="O576" s="223" t="n"/>
      <c r="P576" s="224" t="n"/>
      <c r="Q576" s="289" t="n"/>
      <c r="R576" s="223" t="n"/>
      <c r="S576" s="224" t="n"/>
      <c r="T576" s="289" t="n"/>
      <c r="U576" s="223" t="n"/>
      <c r="V576" s="224" t="n"/>
      <c r="W576" s="289" t="n"/>
      <c r="X576" s="223" t="n"/>
      <c r="Y576" s="224" t="n"/>
      <c r="Z576" s="289" t="n"/>
      <c r="AA576" s="223" t="n"/>
      <c r="AB576" s="224" t="n"/>
      <c r="AC576" s="289" t="n"/>
      <c r="AD576" s="223" t="n"/>
      <c r="AE576" s="224" t="n"/>
      <c r="AF576" s="289" t="n"/>
      <c r="AG576" s="223" t="n"/>
      <c r="AH576" s="224" t="n"/>
      <c r="AI576" s="289" t="n"/>
      <c r="AJ576" s="223" t="n"/>
      <c r="AK576" s="224" t="n"/>
      <c r="AL576" s="289" t="n"/>
      <c r="AM576" s="223" t="n"/>
      <c r="AN576" s="224" t="n"/>
      <c r="AO576" s="289" t="n"/>
      <c r="AP576" s="223" t="n"/>
      <c r="AQ576" s="224" t="n"/>
      <c r="AR576" s="289" t="n"/>
      <c r="AS576" s="223" t="n"/>
      <c r="AT576" s="224" t="n"/>
      <c r="AU576" s="289" t="n"/>
      <c r="AV576" s="223" t="n"/>
      <c r="AW576" s="224" t="n"/>
      <c r="AX576" s="289" t="n"/>
      <c r="AY576" s="223" t="n"/>
      <c r="AZ576" s="224" t="n"/>
      <c r="BA576" s="289" t="n"/>
      <c r="BB576" s="223" t="n"/>
      <c r="BC576" s="224" t="n"/>
      <c r="BD576" s="289" t="n"/>
      <c r="BE576" s="223" t="n"/>
      <c r="BF576" s="224" t="n"/>
      <c r="BG576" s="289" t="n"/>
      <c r="BH576" s="223" t="n"/>
      <c r="BI576" s="224" t="n"/>
    </row>
    <row r="577" hidden="1" outlineLevel="2" ht="14.4" customFormat="1" customHeight="1" s="498">
      <c r="A577" s="22" t="inlineStr">
        <is>
          <t>% Outros - Delivery</t>
        </is>
      </c>
      <c r="B577" s="23" t="n"/>
      <c r="C577" s="3" t="n"/>
      <c r="D577" s="4" t="n"/>
      <c r="E577" s="4" t="n"/>
      <c r="F577" s="23" t="n"/>
      <c r="G577" s="56" t="n"/>
      <c r="H577" s="289" t="n"/>
      <c r="I577" s="223" t="n"/>
      <c r="J577" s="224" t="n"/>
      <c r="K577" s="289" t="n"/>
      <c r="L577" s="223" t="n"/>
      <c r="M577" s="224" t="n"/>
      <c r="N577" s="289" t="n"/>
      <c r="O577" s="223" t="n"/>
      <c r="P577" s="224" t="n"/>
      <c r="Q577" s="289" t="n"/>
      <c r="R577" s="223" t="n"/>
      <c r="S577" s="224" t="n"/>
      <c r="T577" s="289" t="n"/>
      <c r="U577" s="223" t="n"/>
      <c r="V577" s="224" t="n"/>
      <c r="W577" s="289" t="n"/>
      <c r="X577" s="223" t="n"/>
      <c r="Y577" s="224" t="n"/>
      <c r="Z577" s="289" t="n"/>
      <c r="AA577" s="223" t="n"/>
      <c r="AB577" s="224" t="n"/>
      <c r="AC577" s="289" t="n"/>
      <c r="AD577" s="223" t="n"/>
      <c r="AE577" s="224" t="n"/>
      <c r="AF577" s="289" t="n"/>
      <c r="AG577" s="223" t="n"/>
      <c r="AH577" s="224" t="n"/>
      <c r="AI577" s="289" t="n"/>
      <c r="AJ577" s="223" t="n"/>
      <c r="AK577" s="224" t="n"/>
      <c r="AL577" s="289" t="n"/>
      <c r="AM577" s="223" t="n"/>
      <c r="AN577" s="224" t="n"/>
      <c r="AO577" s="289" t="n"/>
      <c r="AP577" s="223" t="n"/>
      <c r="AQ577" s="224" t="n"/>
      <c r="AR577" s="289" t="n"/>
      <c r="AS577" s="223" t="n"/>
      <c r="AT577" s="224" t="n"/>
      <c r="AU577" s="289" t="n"/>
      <c r="AV577" s="223" t="n"/>
      <c r="AW577" s="224" t="n"/>
      <c r="AX577" s="289" t="n"/>
      <c r="AY577" s="223" t="n"/>
      <c r="AZ577" s="224" t="n"/>
      <c r="BA577" s="289" t="n"/>
      <c r="BB577" s="223" t="n"/>
      <c r="BC577" s="224" t="n"/>
      <c r="BD577" s="289" t="n"/>
      <c r="BE577" s="223" t="n"/>
      <c r="BF577" s="224" t="n"/>
      <c r="BG577" s="289" t="n"/>
      <c r="BH577" s="223" t="n"/>
      <c r="BI577" s="224" t="n"/>
    </row>
    <row r="578" hidden="1" outlineLevel="2" ht="14.4" customFormat="1" customHeight="1" s="498">
      <c r="A578" s="22" t="inlineStr">
        <is>
          <t>% Outras Receitas</t>
        </is>
      </c>
      <c r="B578" s="23" t="n"/>
      <c r="C578" s="3" t="n"/>
      <c r="D578" s="4" t="n"/>
      <c r="E578" s="4" t="n"/>
      <c r="F578" s="23" t="n"/>
      <c r="G578" s="56" t="n"/>
      <c r="H578" s="289" t="n"/>
      <c r="I578" s="223" t="n"/>
      <c r="J578" s="224" t="n"/>
      <c r="K578" s="289" t="n"/>
      <c r="L578" s="223" t="n"/>
      <c r="M578" s="224" t="n"/>
      <c r="N578" s="289" t="n"/>
      <c r="O578" s="223" t="n"/>
      <c r="P578" s="224" t="n"/>
      <c r="Q578" s="289" t="n"/>
      <c r="R578" s="223" t="n"/>
      <c r="S578" s="224" t="n"/>
      <c r="T578" s="289" t="n"/>
      <c r="U578" s="223" t="n"/>
      <c r="V578" s="224" t="n"/>
      <c r="W578" s="289" t="n"/>
      <c r="X578" s="223" t="n"/>
      <c r="Y578" s="224" t="n"/>
      <c r="Z578" s="289" t="n"/>
      <c r="AA578" s="223" t="n"/>
      <c r="AB578" s="224" t="n"/>
      <c r="AC578" s="289" t="n"/>
      <c r="AD578" s="223" t="n"/>
      <c r="AE578" s="224" t="n"/>
      <c r="AF578" s="289" t="n"/>
      <c r="AG578" s="223" t="n"/>
      <c r="AH578" s="224" t="n"/>
      <c r="AI578" s="289" t="n"/>
      <c r="AJ578" s="223" t="n"/>
      <c r="AK578" s="224" t="n"/>
      <c r="AL578" s="289" t="n"/>
      <c r="AM578" s="223" t="n"/>
      <c r="AN578" s="224" t="n"/>
      <c r="AO578" s="289" t="n"/>
      <c r="AP578" s="223" t="n"/>
      <c r="AQ578" s="224" t="n"/>
      <c r="AR578" s="289" t="n"/>
      <c r="AS578" s="223" t="n"/>
      <c r="AT578" s="224" t="n"/>
      <c r="AU578" s="289" t="n"/>
      <c r="AV578" s="223" t="n"/>
      <c r="AW578" s="224" t="n"/>
      <c r="AX578" s="289" t="n"/>
      <c r="AY578" s="223" t="n"/>
      <c r="AZ578" s="224" t="n"/>
      <c r="BA578" s="289" t="n"/>
      <c r="BB578" s="223" t="n"/>
      <c r="BC578" s="224" t="n"/>
      <c r="BD578" s="289" t="n"/>
      <c r="BE578" s="223" t="n"/>
      <c r="BF578" s="224" t="n"/>
      <c r="BG578" s="289" t="n"/>
      <c r="BH578" s="223" t="n"/>
      <c r="BI578" s="224" t="n"/>
    </row>
    <row r="579" hidden="1" outlineLevel="2" ht="14.4" customFormat="1" customHeight="1" s="216">
      <c r="A579" s="213" t="n"/>
      <c r="B579" s="13" t="n"/>
      <c r="C579" s="12" t="n"/>
      <c r="D579" s="13" t="n"/>
      <c r="E579" s="226" t="n"/>
      <c r="F579" s="13" t="n"/>
      <c r="G579" s="214" t="n"/>
      <c r="H579" s="290" t="n"/>
      <c r="I579" s="236" t="n"/>
      <c r="J579" s="227" t="n"/>
      <c r="K579" s="290" t="n"/>
      <c r="L579" s="236" t="n"/>
      <c r="M579" s="227" t="n"/>
      <c r="N579" s="290" t="n"/>
      <c r="O579" s="236" t="n"/>
      <c r="P579" s="227" t="n"/>
      <c r="Q579" s="290" t="n"/>
      <c r="R579" s="236" t="n"/>
      <c r="S579" s="227" t="n"/>
      <c r="T579" s="290" t="n"/>
      <c r="U579" s="236" t="n"/>
      <c r="V579" s="227" t="n"/>
      <c r="W579" s="290" t="n"/>
      <c r="X579" s="236" t="n"/>
      <c r="Y579" s="227" t="n"/>
      <c r="Z579" s="290" t="n"/>
      <c r="AA579" s="236" t="n"/>
      <c r="AB579" s="227" t="n"/>
      <c r="AC579" s="290" t="n"/>
      <c r="AD579" s="236" t="n"/>
      <c r="AE579" s="227" t="n"/>
      <c r="AF579" s="290" t="n"/>
      <c r="AG579" s="236" t="n"/>
      <c r="AH579" s="227" t="n"/>
      <c r="AI579" s="290" t="n"/>
      <c r="AJ579" s="236" t="n"/>
      <c r="AK579" s="227" t="n"/>
      <c r="AL579" s="290" t="n"/>
      <c r="AM579" s="236" t="n"/>
      <c r="AN579" s="227" t="n"/>
      <c r="AO579" s="290" t="n"/>
      <c r="AP579" s="236" t="n"/>
      <c r="AQ579" s="227" t="n"/>
      <c r="AR579" s="290" t="n"/>
      <c r="AS579" s="236" t="n"/>
      <c r="AT579" s="227" t="n"/>
      <c r="AU579" s="290" t="n"/>
      <c r="AV579" s="236" t="n"/>
      <c r="AW579" s="227" t="n"/>
      <c r="AX579" s="290" t="n"/>
      <c r="AY579" s="236" t="n"/>
      <c r="AZ579" s="227" t="n"/>
      <c r="BA579" s="290" t="n"/>
      <c r="BB579" s="236" t="n"/>
      <c r="BC579" s="227" t="n"/>
      <c r="BD579" s="290" t="n"/>
      <c r="BE579" s="236" t="n"/>
      <c r="BF579" s="227" t="n"/>
      <c r="BG579" s="290" t="n"/>
      <c r="BH579" s="236" t="n"/>
      <c r="BI579" s="227" t="n"/>
    </row>
    <row r="580" hidden="1" outlineLevel="2" ht="14.4" customFormat="1" customHeight="1" s="498">
      <c r="A580" s="165" t="inlineStr">
        <is>
          <t>Métricas Desconto</t>
        </is>
      </c>
      <c r="B580" s="23" t="n"/>
      <c r="C580" s="3" t="n"/>
      <c r="D580" s="4" t="n"/>
      <c r="E580" s="4" t="n"/>
      <c r="F580" s="23" t="n"/>
      <c r="G580" s="56" t="n"/>
      <c r="H580" s="286" t="n"/>
      <c r="I580" s="217" t="n"/>
      <c r="J580" s="218" t="n"/>
      <c r="K580" s="286" t="n"/>
      <c r="L580" s="217" t="n"/>
      <c r="M580" s="218" t="n"/>
      <c r="N580" s="286" t="n"/>
      <c r="O580" s="217" t="n"/>
      <c r="P580" s="218" t="n"/>
      <c r="Q580" s="286" t="n"/>
      <c r="R580" s="217" t="n"/>
      <c r="S580" s="218" t="n"/>
      <c r="T580" s="286" t="n"/>
      <c r="U580" s="217" t="n"/>
      <c r="V580" s="218" t="n"/>
      <c r="W580" s="286" t="n"/>
      <c r="X580" s="217" t="n"/>
      <c r="Y580" s="218" t="n"/>
      <c r="Z580" s="286" t="n"/>
      <c r="AA580" s="217" t="n"/>
      <c r="AB580" s="218" t="n"/>
      <c r="AC580" s="286" t="n"/>
      <c r="AD580" s="217" t="n"/>
      <c r="AE580" s="218" t="n"/>
      <c r="AF580" s="286" t="n"/>
      <c r="AG580" s="217" t="n"/>
      <c r="AH580" s="218" t="n"/>
      <c r="AI580" s="286" t="n"/>
      <c r="AJ580" s="217" t="n"/>
      <c r="AK580" s="218" t="n"/>
      <c r="AL580" s="286" t="n"/>
      <c r="AM580" s="217" t="n"/>
      <c r="AN580" s="218" t="n"/>
      <c r="AO580" s="286" t="n"/>
      <c r="AP580" s="217" t="n"/>
      <c r="AQ580" s="218" t="n"/>
      <c r="AR580" s="286" t="n"/>
      <c r="AS580" s="217" t="n"/>
      <c r="AT580" s="218" t="n"/>
      <c r="AU580" s="286" t="n"/>
      <c r="AV580" s="217" t="n"/>
      <c r="AW580" s="218" t="n"/>
      <c r="AX580" s="286" t="n"/>
      <c r="AY580" s="217" t="n"/>
      <c r="AZ580" s="218" t="n"/>
      <c r="BA580" s="286" t="n"/>
      <c r="BB580" s="217" t="n"/>
      <c r="BC580" s="218" t="n"/>
      <c r="BD580" s="286" t="n"/>
      <c r="BE580" s="217" t="n"/>
      <c r="BF580" s="218" t="n"/>
      <c r="BG580" s="286" t="n"/>
      <c r="BH580" s="217" t="n"/>
      <c r="BI580" s="218" t="n"/>
    </row>
    <row r="581" hidden="1" outlineLevel="2" ht="14.4" customFormat="1" customHeight="1" s="498">
      <c r="A581" s="22" t="inlineStr">
        <is>
          <t>% Descontos</t>
        </is>
      </c>
      <c r="B581" s="23" t="n"/>
      <c r="C581" s="3" t="n"/>
      <c r="D581" s="4" t="n"/>
      <c r="E581" s="4" t="n"/>
      <c r="F581" s="23" t="n"/>
      <c r="G581" s="56" t="n"/>
      <c r="H581" s="289" t="n"/>
      <c r="I581" s="223" t="n"/>
      <c r="J581" s="224" t="n"/>
      <c r="K581" s="289" t="n"/>
      <c r="L581" s="223" t="n"/>
      <c r="M581" s="224" t="n"/>
      <c r="N581" s="289" t="n"/>
      <c r="O581" s="223" t="n"/>
      <c r="P581" s="224" t="n"/>
      <c r="Q581" s="289" t="n"/>
      <c r="R581" s="223" t="n"/>
      <c r="S581" s="224" t="n"/>
      <c r="T581" s="289" t="n"/>
      <c r="U581" s="223" t="n"/>
      <c r="V581" s="224" t="n"/>
      <c r="W581" s="289" t="n"/>
      <c r="X581" s="223" t="n"/>
      <c r="Y581" s="224" t="n"/>
      <c r="Z581" s="289" t="n"/>
      <c r="AA581" s="223" t="n"/>
      <c r="AB581" s="224" t="n"/>
      <c r="AC581" s="289" t="n"/>
      <c r="AD581" s="223" t="n"/>
      <c r="AE581" s="224" t="n"/>
      <c r="AF581" s="289" t="n"/>
      <c r="AG581" s="223" t="n"/>
      <c r="AH581" s="224" t="n"/>
      <c r="AI581" s="289" t="n"/>
      <c r="AJ581" s="223" t="n"/>
      <c r="AK581" s="224" t="n"/>
      <c r="AL581" s="289" t="n"/>
      <c r="AM581" s="223" t="n"/>
      <c r="AN581" s="224" t="n"/>
      <c r="AO581" s="289" t="n"/>
      <c r="AP581" s="223" t="n"/>
      <c r="AQ581" s="224" t="n"/>
      <c r="AR581" s="289" t="n"/>
      <c r="AS581" s="223" t="n"/>
      <c r="AT581" s="224" t="n"/>
      <c r="AU581" s="289" t="n"/>
      <c r="AV581" s="223" t="n"/>
      <c r="AW581" s="224" t="n"/>
      <c r="AX581" s="289" t="n"/>
      <c r="AY581" s="223" t="n"/>
      <c r="AZ581" s="224" t="n"/>
      <c r="BA581" s="289" t="n"/>
      <c r="BB581" s="223" t="n"/>
      <c r="BC581" s="224" t="n"/>
      <c r="BD581" s="289" t="n"/>
      <c r="BE581" s="223" t="n"/>
      <c r="BF581" s="224" t="n"/>
      <c r="BG581" s="289" t="n"/>
      <c r="BH581" s="223" t="n"/>
      <c r="BI581" s="224" t="n"/>
    </row>
    <row r="582" hidden="1" outlineLevel="2" ht="14.4" customFormat="1" customHeight="1" s="216">
      <c r="A582" s="213" t="n"/>
      <c r="B582" s="13" t="n"/>
      <c r="C582" s="12" t="n"/>
      <c r="D582" s="13" t="n"/>
      <c r="E582" s="226" t="n"/>
      <c r="F582" s="13" t="n"/>
      <c r="G582" s="214" t="n"/>
      <c r="H582" s="290" t="n"/>
      <c r="I582" s="236" t="n"/>
      <c r="J582" s="227" t="n"/>
      <c r="K582" s="290" t="n"/>
      <c r="L582" s="236" t="n"/>
      <c r="M582" s="227" t="n"/>
      <c r="N582" s="290" t="n"/>
      <c r="O582" s="236" t="n"/>
      <c r="P582" s="227" t="n"/>
      <c r="Q582" s="290" t="n"/>
      <c r="R582" s="236" t="n"/>
      <c r="S582" s="227" t="n"/>
      <c r="T582" s="290" t="n"/>
      <c r="U582" s="236" t="n"/>
      <c r="V582" s="227" t="n"/>
      <c r="W582" s="290" t="n"/>
      <c r="X582" s="236" t="n"/>
      <c r="Y582" s="227" t="n"/>
      <c r="Z582" s="290" t="n"/>
      <c r="AA582" s="236" t="n"/>
      <c r="AB582" s="227" t="n"/>
      <c r="AC582" s="290" t="n"/>
      <c r="AD582" s="236" t="n"/>
      <c r="AE582" s="227" t="n"/>
      <c r="AF582" s="290" t="n"/>
      <c r="AG582" s="236" t="n"/>
      <c r="AH582" s="227" t="n"/>
      <c r="AI582" s="290" t="n"/>
      <c r="AJ582" s="236" t="n"/>
      <c r="AK582" s="227" t="n"/>
      <c r="AL582" s="290" t="n"/>
      <c r="AM582" s="236" t="n"/>
      <c r="AN582" s="227" t="n"/>
      <c r="AO582" s="290" t="n"/>
      <c r="AP582" s="236" t="n"/>
      <c r="AQ582" s="227" t="n"/>
      <c r="AR582" s="290" t="n"/>
      <c r="AS582" s="236" t="n"/>
      <c r="AT582" s="227" t="n"/>
      <c r="AU582" s="290" t="n"/>
      <c r="AV582" s="236" t="n"/>
      <c r="AW582" s="227" t="n"/>
      <c r="AX582" s="290" t="n"/>
      <c r="AY582" s="236" t="n"/>
      <c r="AZ582" s="227" t="n"/>
      <c r="BA582" s="290" t="n"/>
      <c r="BB582" s="236" t="n"/>
      <c r="BC582" s="227" t="n"/>
      <c r="BD582" s="290" t="n"/>
      <c r="BE582" s="236" t="n"/>
      <c r="BF582" s="227" t="n"/>
      <c r="BG582" s="290" t="n"/>
      <c r="BH582" s="236" t="n"/>
      <c r="BI582" s="227" t="n"/>
    </row>
    <row r="583" hidden="1" outlineLevel="2" ht="14.4" customFormat="1" customHeight="1" s="216">
      <c r="A583" s="213" t="n"/>
      <c r="B583" s="13" t="n"/>
      <c r="C583" s="12" t="n"/>
      <c r="D583" s="13" t="n"/>
      <c r="E583" s="226" t="n"/>
      <c r="F583" s="13" t="n"/>
      <c r="G583" s="214" t="n"/>
      <c r="H583" s="290" t="n"/>
      <c r="I583" s="236" t="n"/>
      <c r="J583" s="227" t="n"/>
      <c r="K583" s="290" t="n"/>
      <c r="L583" s="236" t="n"/>
      <c r="M583" s="227" t="n"/>
      <c r="N583" s="290" t="n"/>
      <c r="O583" s="236" t="n"/>
      <c r="P583" s="227" t="n"/>
      <c r="Q583" s="290" t="n"/>
      <c r="R583" s="236" t="n"/>
      <c r="S583" s="227" t="n"/>
      <c r="T583" s="290" t="n"/>
      <c r="U583" s="236" t="n"/>
      <c r="V583" s="227" t="n"/>
      <c r="W583" s="290" t="n"/>
      <c r="X583" s="236" t="n"/>
      <c r="Y583" s="227" t="n"/>
      <c r="Z583" s="290" t="n"/>
      <c r="AA583" s="236" t="n"/>
      <c r="AB583" s="227" t="n"/>
      <c r="AC583" s="290" t="n"/>
      <c r="AD583" s="236" t="n"/>
      <c r="AE583" s="227" t="n"/>
      <c r="AF583" s="290" t="n"/>
      <c r="AG583" s="236" t="n"/>
      <c r="AH583" s="227" t="n"/>
      <c r="AI583" s="290" t="n"/>
      <c r="AJ583" s="236" t="n"/>
      <c r="AK583" s="227" t="n"/>
      <c r="AL583" s="290" t="n"/>
      <c r="AM583" s="236" t="n"/>
      <c r="AN583" s="227" t="n"/>
      <c r="AO583" s="290" t="n"/>
      <c r="AP583" s="236" t="n"/>
      <c r="AQ583" s="227" t="n"/>
      <c r="AR583" s="290" t="n"/>
      <c r="AS583" s="236" t="n"/>
      <c r="AT583" s="227" t="n"/>
      <c r="AU583" s="290" t="n"/>
      <c r="AV583" s="236" t="n"/>
      <c r="AW583" s="227" t="n"/>
      <c r="AX583" s="290" t="n"/>
      <c r="AY583" s="236" t="n"/>
      <c r="AZ583" s="227" t="n"/>
      <c r="BA583" s="290" t="n"/>
      <c r="BB583" s="236" t="n"/>
      <c r="BC583" s="227" t="n"/>
      <c r="BD583" s="290" t="n"/>
      <c r="BE583" s="236" t="n"/>
      <c r="BF583" s="227" t="n"/>
      <c r="BG583" s="290" t="n"/>
      <c r="BH583" s="236" t="n"/>
      <c r="BI583" s="227" t="n"/>
    </row>
    <row r="584" hidden="1" outlineLevel="2" ht="15" customFormat="1" customHeight="1" s="498" thickBot="1">
      <c r="A584" s="22" t="inlineStr">
        <is>
          <t>RAMP-UP de Vendas</t>
        </is>
      </c>
      <c r="B584" s="23" t="n"/>
      <c r="C584" s="3" t="n"/>
      <c r="D584" s="4" t="n"/>
      <c r="E584" s="4" t="n"/>
      <c r="F584" s="23" t="n"/>
      <c r="G584" s="56" t="n"/>
      <c r="H584" s="291" t="n"/>
      <c r="I584" s="292" t="n">
        <v>1</v>
      </c>
      <c r="J584" s="293" t="n"/>
      <c r="K584" s="291" t="n"/>
      <c r="L584" s="292" t="n">
        <v>1</v>
      </c>
      <c r="M584" s="293" t="n"/>
      <c r="N584" s="291" t="n"/>
      <c r="O584" s="292" t="n">
        <v>1</v>
      </c>
      <c r="P584" s="293" t="n"/>
      <c r="Q584" s="291" t="n"/>
      <c r="R584" s="292" t="n">
        <v>1</v>
      </c>
      <c r="S584" s="293" t="n"/>
      <c r="T584" s="291" t="n"/>
      <c r="U584" s="292" t="n">
        <v>1</v>
      </c>
      <c r="V584" s="293" t="n"/>
      <c r="W584" s="291" t="n"/>
      <c r="X584" s="292" t="n">
        <v>1</v>
      </c>
      <c r="Y584" s="293" t="n"/>
      <c r="Z584" s="291" t="n"/>
      <c r="AA584" s="292" t="n">
        <v>1</v>
      </c>
      <c r="AB584" s="293" t="n"/>
      <c r="AC584" s="291" t="n"/>
      <c r="AD584" s="292" t="n">
        <v>1</v>
      </c>
      <c r="AE584" s="293" t="n"/>
      <c r="AF584" s="291" t="n"/>
      <c r="AG584" s="292" t="n">
        <v>1</v>
      </c>
      <c r="AH584" s="293" t="n"/>
      <c r="AI584" s="291" t="n"/>
      <c r="AJ584" s="292" t="n">
        <v>1</v>
      </c>
      <c r="AK584" s="293" t="n"/>
      <c r="AL584" s="291" t="n"/>
      <c r="AM584" s="292" t="n">
        <v>1</v>
      </c>
      <c r="AN584" s="293" t="n"/>
      <c r="AO584" s="291" t="n"/>
      <c r="AP584" s="292" t="n">
        <v>1</v>
      </c>
      <c r="AQ584" s="293" t="n"/>
      <c r="AR584" s="291" t="n"/>
      <c r="AS584" s="292" t="n"/>
      <c r="AT584" s="293" t="n"/>
      <c r="AU584" s="291" t="n"/>
      <c r="AV584" s="292" t="n"/>
      <c r="AW584" s="293" t="n"/>
      <c r="AX584" s="291" t="n"/>
      <c r="AY584" s="292" t="n"/>
      <c r="AZ584" s="293" t="n"/>
      <c r="BA584" s="291" t="n"/>
      <c r="BB584" s="292" t="n"/>
      <c r="BC584" s="293" t="n"/>
      <c r="BD584" s="291" t="n"/>
      <c r="BE584" s="292" t="n"/>
      <c r="BF584" s="293" t="n"/>
      <c r="BG584" s="291" t="n"/>
      <c r="BH584" s="292" t="n"/>
      <c r="BI584" s="293" t="n"/>
    </row>
    <row r="585" hidden="1" outlineLevel="1" ht="14.4" customFormat="1" customHeight="1" s="216">
      <c r="A585" s="213" t="n"/>
      <c r="B585" s="13" t="n"/>
      <c r="C585" s="12" t="n"/>
      <c r="D585" s="13" t="n"/>
      <c r="E585" s="13" t="n"/>
      <c r="F585" s="13" t="n"/>
      <c r="G585" s="214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  <c r="AF585" s="13" t="n"/>
      <c r="AG585" s="13" t="n"/>
      <c r="AH585" s="13" t="n"/>
      <c r="AI585" s="13" t="n"/>
      <c r="AJ585" s="13" t="n"/>
      <c r="AK585" s="13" t="n"/>
      <c r="AL585" s="13" t="n"/>
      <c r="AM585" s="13" t="n"/>
      <c r="AN585" s="13" t="n"/>
      <c r="AO585" s="13" t="n"/>
      <c r="AP585" s="13" t="n"/>
      <c r="AQ585" s="13" t="n"/>
      <c r="AR585" s="13" t="n"/>
      <c r="AS585" s="13" t="n"/>
      <c r="AT585" s="13" t="n"/>
      <c r="AU585" s="13" t="n"/>
      <c r="AV585" s="13" t="n"/>
      <c r="AW585" s="13" t="n"/>
      <c r="AX585" s="13" t="n"/>
      <c r="AY585" s="13" t="n"/>
      <c r="AZ585" s="13" t="n"/>
      <c r="BA585" s="13" t="n"/>
      <c r="BB585" s="13" t="n"/>
      <c r="BC585" s="13" t="n"/>
      <c r="BD585" s="13" t="n"/>
      <c r="BE585" s="13" t="n"/>
      <c r="BF585" s="13" t="n"/>
      <c r="BG585" s="13" t="n"/>
      <c r="BH585" s="13" t="n"/>
      <c r="BI585" s="13" t="n"/>
    </row>
    <row r="586" hidden="1" outlineLevel="1" ht="15" customFormat="1" customHeight="1" s="498">
      <c r="A586" s="163" t="n"/>
      <c r="B586" s="23" t="n"/>
      <c r="C586" s="3" t="n"/>
      <c r="D586" s="4" t="n"/>
      <c r="E586" s="4" t="n"/>
      <c r="F586" s="23" t="n"/>
      <c r="G586" s="56" t="n"/>
      <c r="H586" s="117" t="n"/>
      <c r="I586" s="117" t="n"/>
      <c r="J586" s="117" t="n"/>
      <c r="K586" s="117" t="n"/>
      <c r="L586" s="117" t="n"/>
      <c r="M586" s="117" t="n"/>
      <c r="N586" s="117" t="n"/>
      <c r="O586" s="117" t="n"/>
      <c r="P586" s="117" t="n"/>
      <c r="Q586" s="117" t="n"/>
      <c r="R586" s="117" t="n"/>
      <c r="S586" s="117" t="n"/>
      <c r="T586" s="117" t="n"/>
      <c r="U586" s="117" t="n"/>
      <c r="V586" s="117" t="n"/>
      <c r="W586" s="117" t="n"/>
      <c r="X586" s="117" t="n"/>
      <c r="Y586" s="117" t="n"/>
      <c r="Z586" s="117" t="n"/>
      <c r="AA586" s="117" t="n"/>
      <c r="AB586" s="117" t="n"/>
      <c r="AC586" s="117" t="n"/>
      <c r="AD586" s="117" t="n"/>
      <c r="AE586" s="117" t="n"/>
      <c r="AF586" s="117" t="n"/>
      <c r="AG586" s="117" t="n"/>
      <c r="AH586" s="117" t="n"/>
      <c r="AI586" s="117" t="n"/>
      <c r="AJ586" s="117" t="n"/>
      <c r="AK586" s="117" t="n"/>
      <c r="AL586" s="117" t="n"/>
      <c r="AM586" s="117" t="n"/>
      <c r="AN586" s="117" t="n"/>
      <c r="AO586" s="117" t="n"/>
      <c r="AP586" s="117" t="n"/>
      <c r="AQ586" s="117" t="n"/>
      <c r="AR586" s="117" t="n"/>
      <c r="AS586" s="117" t="n"/>
      <c r="AT586" s="117" t="n"/>
      <c r="AU586" s="117" t="n"/>
      <c r="AV586" s="117" t="n"/>
      <c r="AW586" s="117" t="n"/>
      <c r="AX586" s="117" t="n"/>
      <c r="AY586" s="117" t="n"/>
      <c r="AZ586" s="117" t="n"/>
      <c r="BA586" s="117" t="n"/>
      <c r="BB586" s="117" t="n"/>
      <c r="BC586" s="117" t="n"/>
      <c r="BD586" s="117" t="n"/>
      <c r="BE586" s="117" t="n"/>
      <c r="BF586" s="117" t="n"/>
      <c r="BG586" s="117" t="n"/>
      <c r="BH586" s="117" t="n"/>
      <c r="BI586" s="117" t="n"/>
    </row>
    <row r="587" hidden="1" outlineLevel="1" ht="15" customFormat="1" customHeight="1" s="498">
      <c r="A587" s="163" t="n"/>
      <c r="B587" s="23" t="n"/>
      <c r="C587" s="3" t="n"/>
      <c r="D587" s="4" t="n"/>
      <c r="E587" s="4" t="n"/>
      <c r="F587" s="23" t="n"/>
      <c r="G587" s="23" t="n"/>
      <c r="H587" s="228" t="n"/>
      <c r="I587" s="228" t="n"/>
      <c r="J587" s="228" t="n"/>
      <c r="K587" s="228" t="n"/>
      <c r="L587" s="228" t="n"/>
      <c r="M587" s="228" t="n"/>
      <c r="N587" s="228" t="n"/>
      <c r="O587" s="228" t="n"/>
      <c r="P587" s="228" t="n"/>
      <c r="Q587" s="228" t="n"/>
      <c r="R587" s="228" t="n"/>
      <c r="S587" s="228" t="n"/>
      <c r="T587" s="228" t="n"/>
      <c r="U587" s="228" t="n"/>
      <c r="V587" s="228" t="n"/>
      <c r="W587" s="228" t="n"/>
      <c r="X587" s="228" t="n"/>
      <c r="Y587" s="228" t="n"/>
      <c r="Z587" s="228" t="n"/>
      <c r="AA587" s="228" t="n"/>
      <c r="AB587" s="228" t="n"/>
      <c r="AC587" s="228" t="n"/>
      <c r="AD587" s="228" t="n"/>
      <c r="AE587" s="228" t="n"/>
      <c r="AF587" s="228" t="n"/>
      <c r="AG587" s="228" t="n"/>
      <c r="AH587" s="228" t="n"/>
      <c r="AI587" s="228" t="n"/>
      <c r="AJ587" s="228" t="n"/>
      <c r="AK587" s="228" t="n"/>
      <c r="AL587" s="228" t="n"/>
      <c r="AM587" s="228" t="n"/>
      <c r="AN587" s="228" t="n"/>
      <c r="AO587" s="228" t="n"/>
      <c r="AP587" s="228" t="n"/>
      <c r="AQ587" s="228" t="n"/>
      <c r="AR587" s="228" t="n"/>
      <c r="AS587" s="228" t="n"/>
      <c r="AT587" s="228" t="n"/>
      <c r="AU587" s="228" t="n"/>
      <c r="AV587" s="228" t="n"/>
      <c r="AW587" s="228" t="n"/>
      <c r="AX587" s="228" t="n"/>
      <c r="AY587" s="228" t="n"/>
      <c r="AZ587" s="228" t="n"/>
      <c r="BA587" s="228" t="n"/>
      <c r="BB587" s="228" t="n"/>
      <c r="BC587" s="228" t="n"/>
      <c r="BD587" s="228" t="n"/>
      <c r="BE587" s="228" t="n"/>
      <c r="BF587" s="228" t="n"/>
      <c r="BG587" s="228" t="n"/>
      <c r="BH587" s="228" t="n"/>
      <c r="BI587" s="228" t="n"/>
    </row>
    <row r="588" hidden="1" outlineLevel="1" ht="15" customFormat="1" customHeight="1" s="498">
      <c r="A588" s="163" t="n"/>
      <c r="B588" s="23" t="n"/>
      <c r="C588" s="3" t="n"/>
      <c r="D588" s="4" t="n"/>
      <c r="E588" s="4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  <c r="AA588" s="23" t="n"/>
      <c r="AB588" s="23" t="n"/>
      <c r="AC588" s="23" t="n"/>
      <c r="AD588" s="23" t="n"/>
      <c r="AE588" s="23" t="n"/>
      <c r="AF588" s="23" t="n"/>
      <c r="AG588" s="23" t="n"/>
      <c r="AH588" s="23" t="n"/>
      <c r="AI588" s="23" t="n"/>
      <c r="AJ588" s="23" t="n"/>
      <c r="AK588" s="23" t="n"/>
      <c r="AL588" s="23" t="n"/>
      <c r="AM588" s="23" t="n"/>
      <c r="AN588" s="23" t="n"/>
      <c r="AO588" s="23" t="n"/>
      <c r="AP588" s="23" t="n"/>
      <c r="AQ588" s="23" t="n"/>
      <c r="AR588" s="23" t="n"/>
      <c r="AS588" s="23" t="n"/>
      <c r="AT588" s="23" t="n"/>
      <c r="AU588" s="23" t="n"/>
      <c r="AV588" s="23" t="n"/>
      <c r="AW588" s="23" t="n"/>
      <c r="AX588" s="23" t="n"/>
      <c r="AY588" s="23" t="n"/>
      <c r="AZ588" s="23" t="n"/>
      <c r="BA588" s="23" t="n"/>
      <c r="BB588" s="23" t="n"/>
      <c r="BC588" s="23" t="n"/>
      <c r="BD588" s="23" t="n"/>
      <c r="BE588" s="23" t="n"/>
      <c r="BF588" s="23" t="n"/>
      <c r="BG588" s="23" t="n"/>
      <c r="BH588" s="23" t="n"/>
      <c r="BI588" s="23" t="n"/>
    </row>
    <row r="589" collapsed="1" ht="15" customHeight="1"/>
    <row r="590" ht="15" customHeight="1"/>
  </sheetData>
  <mergeCells count="25">
    <mergeCell ref="C183:C198"/>
    <mergeCell ref="F34:G34"/>
    <mergeCell ref="Q4:S4"/>
    <mergeCell ref="AR4:AT4"/>
    <mergeCell ref="AC4:AE4"/>
    <mergeCell ref="AI4:AK4"/>
    <mergeCell ref="BD4:BF4"/>
    <mergeCell ref="C8:E8"/>
    <mergeCell ref="AO4:AQ4"/>
    <mergeCell ref="F36:G36"/>
    <mergeCell ref="Z4:AB4"/>
    <mergeCell ref="BA4:BC4"/>
    <mergeCell ref="F35:G35"/>
    <mergeCell ref="AL4:AN4"/>
    <mergeCell ref="AF4:AH4"/>
    <mergeCell ref="F38:G38"/>
    <mergeCell ref="K4:M4"/>
    <mergeCell ref="W4:Y4"/>
    <mergeCell ref="N4:P4"/>
    <mergeCell ref="AX4:AZ4"/>
    <mergeCell ref="F37:G37"/>
    <mergeCell ref="H4:J4"/>
    <mergeCell ref="T4:V4"/>
    <mergeCell ref="AU4:AW4"/>
    <mergeCell ref="BG4:BI4"/>
  </mergeCells>
  <pageMargins left="0.7" right="0.7" top="0.75" bottom="0.75" header="0.3" footer="0.3"/>
  <pageSetup orientation="portrait" paperSize="9" scale="1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tdr_ID</t>
        </is>
      </c>
      <c r="B1" t="inlineStr">
        <is>
          <t>Casa</t>
        </is>
      </c>
      <c r="C1" t="inlineStr">
        <is>
          <t>Fornecedor</t>
        </is>
      </c>
      <c r="D1" t="inlineStr">
        <is>
          <t>Doc_Serie</t>
        </is>
      </c>
      <c r="E1" t="inlineStr">
        <is>
          <t>Data_Emissao</t>
        </is>
      </c>
      <c r="F1" t="inlineStr">
        <is>
          <t>Data_Vencimento</t>
        </is>
      </c>
      <c r="G1" t="inlineStr">
        <is>
          <t>Class_Cont_Grupo_1</t>
        </is>
      </c>
      <c r="H1" t="inlineStr">
        <is>
          <t>Class_Cont_Grupo_2</t>
        </is>
      </c>
      <c r="I1" t="inlineStr">
        <is>
          <t>Observacao</t>
        </is>
      </c>
      <c r="J1" t="inlineStr">
        <is>
          <t>Valor_Original</t>
        </is>
      </c>
      <c r="K1" t="inlineStr">
        <is>
          <t>Valor_Liquido</t>
        </is>
      </c>
      <c r="L1" t="inlineStr">
        <is>
          <t>Plano_de_Contas</t>
        </is>
      </c>
      <c r="M1" t="inlineStr">
        <is>
          <t>Cargo</t>
        </is>
      </c>
      <c r="N1" t="inlineStr">
        <is>
          <t>Cargo_DRE</t>
        </is>
      </c>
      <c r="O1" t="inlineStr">
        <is>
          <t>Status_Provisao_Real</t>
        </is>
      </c>
      <c r="P1" t="inlineStr">
        <is>
          <t>Status_Pagamento</t>
        </is>
      </c>
      <c r="Q1" t="inlineStr">
        <is>
          <t>Mes_Texto</t>
        </is>
      </c>
      <c r="R1" t="inlineStr">
        <is>
          <t>BIT_CANCELADA</t>
        </is>
      </c>
    </row>
    <row r="2">
      <c r="A2" t="n">
        <v>258175</v>
      </c>
      <c r="B2" t="inlineStr">
        <is>
          <t>Nuv Gastrobar</t>
        </is>
      </c>
      <c r="C2" t="inlineStr">
        <is>
          <t>PJ IVAN MANFRINATO BILIA 3781626180</t>
        </is>
      </c>
      <c r="D2" t="inlineStr">
        <is>
          <t>PROVISAO</t>
        </is>
      </c>
      <c r="E2" s="525" t="n">
        <v>46600</v>
      </c>
      <c r="F2" s="525" t="n">
        <v>46640</v>
      </c>
      <c r="G2" t="inlineStr">
        <is>
          <t>Mão de Obra - PJ</t>
        </is>
      </c>
      <c r="H2" t="inlineStr">
        <is>
          <t>MDO PJ Fixo</t>
        </is>
      </c>
      <c r="I2" t="inlineStr">
        <is>
          <t>IVAN| NUV</t>
        </is>
      </c>
      <c r="J2" t="n">
        <v>-3250</v>
      </c>
      <c r="K2" t="n">
        <v>-3250</v>
      </c>
      <c r="M2" t="inlineStr">
        <is>
          <t>CHEFE DE COZINHA</t>
        </is>
      </c>
      <c r="N2" t="inlineStr">
        <is>
          <t xml:space="preserve">  - Chefe de Cozinha</t>
        </is>
      </c>
      <c r="O2" t="inlineStr">
        <is>
          <t>Provisionado</t>
        </is>
      </c>
      <c r="Q2" t="inlineStr">
        <is>
          <t>08/2027</t>
        </is>
      </c>
      <c r="R2" t="n">
        <v>0</v>
      </c>
    </row>
    <row r="3">
      <c r="A3" t="n">
        <v>258162</v>
      </c>
      <c r="B3" t="inlineStr">
        <is>
          <t>Nuv Gastrobar</t>
        </is>
      </c>
      <c r="C3" t="inlineStr">
        <is>
          <t>PJ PEDRO XAVIER ANTUNES CAVALHEIRO 45502040879</t>
        </is>
      </c>
      <c r="D3" t="inlineStr">
        <is>
          <t>PROVISAO</t>
        </is>
      </c>
      <c r="E3" s="525" t="n">
        <v>46600</v>
      </c>
      <c r="F3" s="525" t="n">
        <v>46640</v>
      </c>
      <c r="G3" t="inlineStr">
        <is>
          <t>Mão de Obra - PJ</t>
        </is>
      </c>
      <c r="H3" t="inlineStr">
        <is>
          <t>MDO PJ Fixo</t>
        </is>
      </c>
      <c r="I3" t="inlineStr">
        <is>
          <t>PEDRO| NUV</t>
        </is>
      </c>
      <c r="J3" t="n">
        <v>-3960</v>
      </c>
      <c r="K3" t="n">
        <v>-3960</v>
      </c>
      <c r="M3" t="inlineStr">
        <is>
          <t>GERENTE</t>
        </is>
      </c>
      <c r="N3" t="inlineStr">
        <is>
          <t xml:space="preserve">  - Gerente</t>
        </is>
      </c>
      <c r="O3" t="inlineStr">
        <is>
          <t>Provisionado</t>
        </is>
      </c>
      <c r="Q3" t="inlineStr">
        <is>
          <t>08/2027</t>
        </is>
      </c>
      <c r="R3" t="n">
        <v>0</v>
      </c>
    </row>
    <row r="4">
      <c r="A4" t="n">
        <v>259884</v>
      </c>
      <c r="B4" t="inlineStr">
        <is>
          <t>Nuv Gastrobar</t>
        </is>
      </c>
      <c r="C4" t="inlineStr">
        <is>
          <t>DOUGLAS LOBATO DE CHICO</t>
        </is>
      </c>
      <c r="D4" t="inlineStr">
        <is>
          <t>PROVISAO</t>
        </is>
      </c>
      <c r="E4" s="525" t="n">
        <v>46569</v>
      </c>
      <c r="F4" s="525" t="n">
        <v>46609</v>
      </c>
      <c r="G4" t="inlineStr">
        <is>
          <t>Mão de Obra - PJ</t>
        </is>
      </c>
      <c r="H4" t="inlineStr">
        <is>
          <t>MDO PJ Fixo</t>
        </is>
      </c>
      <c r="I4" t="inlineStr">
        <is>
          <t xml:space="preserve">DOUGLAS LOBATO DE CHICO | NUV
</t>
        </is>
      </c>
      <c r="J4" t="n">
        <v>-4200</v>
      </c>
      <c r="K4" t="n">
        <v>-4200</v>
      </c>
      <c r="O4" t="inlineStr">
        <is>
          <t>Provisionado</t>
        </is>
      </c>
      <c r="Q4" t="inlineStr">
        <is>
          <t>07/2027</t>
        </is>
      </c>
      <c r="R4" t="n">
        <v>0</v>
      </c>
    </row>
    <row r="5">
      <c r="A5" t="n">
        <v>259904</v>
      </c>
      <c r="B5" t="inlineStr">
        <is>
          <t>Nuv Gastrobar</t>
        </is>
      </c>
      <c r="C5" t="inlineStr">
        <is>
          <t>PJ IVAN MANFRINATO BILIA 3781626180</t>
        </is>
      </c>
      <c r="D5" t="inlineStr">
        <is>
          <t>PROVISAO</t>
        </is>
      </c>
      <c r="E5" s="525" t="n">
        <v>46569</v>
      </c>
      <c r="F5" s="525" t="n">
        <v>46609</v>
      </c>
      <c r="G5" t="inlineStr">
        <is>
          <t>Mão de Obra - PJ</t>
        </is>
      </c>
      <c r="H5" t="inlineStr">
        <is>
          <t>MDO PJ Fixo</t>
        </is>
      </c>
      <c r="I5" t="inlineStr">
        <is>
          <t>IVAN MANFRINATO BILIA | NUV</t>
        </is>
      </c>
      <c r="J5" t="n">
        <v>-3250</v>
      </c>
      <c r="K5" t="n">
        <v>-3250</v>
      </c>
      <c r="M5" t="inlineStr">
        <is>
          <t>CHEFE DE COZINHA</t>
        </is>
      </c>
      <c r="N5" t="inlineStr">
        <is>
          <t xml:space="preserve">  - Chefe de Cozinha</t>
        </is>
      </c>
      <c r="O5" t="inlineStr">
        <is>
          <t>Provisionado</t>
        </is>
      </c>
      <c r="Q5" t="inlineStr">
        <is>
          <t>07/2027</t>
        </is>
      </c>
      <c r="R5" t="n">
        <v>0</v>
      </c>
    </row>
    <row r="6">
      <c r="A6" t="n">
        <v>258174</v>
      </c>
      <c r="B6" t="inlineStr">
        <is>
          <t>Nuv Gastrobar</t>
        </is>
      </c>
      <c r="C6" t="inlineStr">
        <is>
          <t>PJ IVAN MANFRINATO BILIA 3781626180</t>
        </is>
      </c>
      <c r="D6" t="inlineStr">
        <is>
          <t>PROVISAO</t>
        </is>
      </c>
      <c r="E6" s="525" t="n">
        <v>46569</v>
      </c>
      <c r="F6" s="525" t="n">
        <v>46609</v>
      </c>
      <c r="G6" t="inlineStr">
        <is>
          <t>Mão de Obra - PJ</t>
        </is>
      </c>
      <c r="H6" t="inlineStr">
        <is>
          <t>MDO PJ Fixo</t>
        </is>
      </c>
      <c r="I6" t="inlineStr">
        <is>
          <t>IVAN| NUV</t>
        </is>
      </c>
      <c r="J6" t="n">
        <v>-3250</v>
      </c>
      <c r="K6" t="n">
        <v>-3250</v>
      </c>
      <c r="M6" t="inlineStr">
        <is>
          <t>CHEFE DE COZINHA</t>
        </is>
      </c>
      <c r="N6" t="inlineStr">
        <is>
          <t xml:space="preserve">  - Chefe de Cozinha</t>
        </is>
      </c>
      <c r="O6" t="inlineStr">
        <is>
          <t>Provisionado</t>
        </is>
      </c>
      <c r="Q6" t="inlineStr">
        <is>
          <t>07/2027</t>
        </is>
      </c>
      <c r="R6" t="n">
        <v>0</v>
      </c>
    </row>
    <row r="7">
      <c r="A7" t="n">
        <v>258161</v>
      </c>
      <c r="B7" t="inlineStr">
        <is>
          <t>Nuv Gastrobar</t>
        </is>
      </c>
      <c r="C7" t="inlineStr">
        <is>
          <t>PJ PEDRO XAVIER ANTUNES CAVALHEIRO 45502040879</t>
        </is>
      </c>
      <c r="D7" t="inlineStr">
        <is>
          <t>PROVISAO</t>
        </is>
      </c>
      <c r="E7" s="525" t="n">
        <v>46569</v>
      </c>
      <c r="F7" s="525" t="n">
        <v>46609</v>
      </c>
      <c r="G7" t="inlineStr">
        <is>
          <t>Mão de Obra - PJ</t>
        </is>
      </c>
      <c r="H7" t="inlineStr">
        <is>
          <t>MDO PJ Fixo</t>
        </is>
      </c>
      <c r="I7" t="inlineStr">
        <is>
          <t>PEDRO| NUV</t>
        </is>
      </c>
      <c r="J7" t="n">
        <v>-3960</v>
      </c>
      <c r="K7" t="n">
        <v>-3960</v>
      </c>
      <c r="M7" t="inlineStr">
        <is>
          <t>GERENTE</t>
        </is>
      </c>
      <c r="N7" t="inlineStr">
        <is>
          <t xml:space="preserve">  - Gerente</t>
        </is>
      </c>
      <c r="O7" t="inlineStr">
        <is>
          <t>Provisionado</t>
        </is>
      </c>
      <c r="Q7" t="inlineStr">
        <is>
          <t>07/2027</t>
        </is>
      </c>
      <c r="R7" t="n">
        <v>0</v>
      </c>
    </row>
    <row r="8">
      <c r="A8" t="n">
        <v>259878</v>
      </c>
      <c r="B8" t="inlineStr">
        <is>
          <t>Nuv Gastrobar</t>
        </is>
      </c>
      <c r="C8" t="inlineStr">
        <is>
          <t>BRUNA VALLONE SANTOS</t>
        </is>
      </c>
      <c r="D8" t="inlineStr">
        <is>
          <t>PROVISAO</t>
        </is>
      </c>
      <c r="E8" s="525" t="n">
        <v>46569</v>
      </c>
      <c r="F8" s="525" t="n">
        <v>46609</v>
      </c>
      <c r="G8" t="inlineStr">
        <is>
          <t>Mão de Obra - PJ</t>
        </is>
      </c>
      <c r="H8" t="inlineStr">
        <is>
          <t>MDO PJ Fixo</t>
        </is>
      </c>
      <c r="I8" t="inlineStr">
        <is>
          <t>BRUNA VALLONE SANTOS | NUV</t>
        </is>
      </c>
      <c r="J8" t="n">
        <v>-4200</v>
      </c>
      <c r="K8" t="n">
        <v>-4200</v>
      </c>
      <c r="O8" t="inlineStr">
        <is>
          <t>Provisionado</t>
        </is>
      </c>
      <c r="Q8" t="inlineStr">
        <is>
          <t>07/2027</t>
        </is>
      </c>
      <c r="R8" t="n">
        <v>0</v>
      </c>
    </row>
    <row r="9">
      <c r="A9" t="n">
        <v>258050</v>
      </c>
      <c r="B9" t="inlineStr">
        <is>
          <t>Nuv Gastrobar</t>
        </is>
      </c>
      <c r="C9" t="inlineStr">
        <is>
          <t>BEATRIZ PEREIRA GARCIA</t>
        </is>
      </c>
      <c r="D9" t="inlineStr">
        <is>
          <t>PROVISAO</t>
        </is>
      </c>
      <c r="E9" s="525" t="n">
        <v>46569</v>
      </c>
      <c r="F9" s="525" t="n">
        <v>46609</v>
      </c>
      <c r="G9" t="inlineStr">
        <is>
          <t>Mão de Obra - PJ</t>
        </is>
      </c>
      <c r="H9" t="inlineStr">
        <is>
          <t>MDO PJ Fixo</t>
        </is>
      </c>
      <c r="I9" t="inlineStr">
        <is>
          <t>BEATRIZ | ADM NUV</t>
        </is>
      </c>
      <c r="J9" t="n">
        <v>-3000</v>
      </c>
      <c r="K9" t="n">
        <v>-3000</v>
      </c>
      <c r="O9" t="inlineStr">
        <is>
          <t>Provisionado</t>
        </is>
      </c>
      <c r="Q9" t="inlineStr">
        <is>
          <t>07/2027</t>
        </is>
      </c>
      <c r="R9" t="n">
        <v>0</v>
      </c>
    </row>
    <row r="10">
      <c r="A10" t="n">
        <v>259938</v>
      </c>
      <c r="B10" t="inlineStr">
        <is>
          <t>Nuv Gastrobar</t>
        </is>
      </c>
      <c r="C10" t="inlineStr">
        <is>
          <t>PJ PEDRO XAVIER ANTUNES CAVALHEIRO 45502040879</t>
        </is>
      </c>
      <c r="D10" t="inlineStr">
        <is>
          <t>PROVISAO</t>
        </is>
      </c>
      <c r="E10" s="525" t="n">
        <v>46569</v>
      </c>
      <c r="F10" s="525" t="n">
        <v>46609</v>
      </c>
      <c r="G10" t="inlineStr">
        <is>
          <t>Mão de Obra - PJ</t>
        </is>
      </c>
      <c r="H10" t="inlineStr">
        <is>
          <t>MDO PJ Fixo</t>
        </is>
      </c>
      <c r="I10" t="inlineStr">
        <is>
          <t xml:space="preserve">PEDRO XAVIER ANTUNES CAVALHEIRO | NUV
</t>
        </is>
      </c>
      <c r="J10" t="n">
        <v>-3960</v>
      </c>
      <c r="K10" t="n">
        <v>-3960</v>
      </c>
      <c r="M10" t="inlineStr">
        <is>
          <t>GERENTE</t>
        </is>
      </c>
      <c r="N10" t="inlineStr">
        <is>
          <t xml:space="preserve">  - Gerente</t>
        </is>
      </c>
      <c r="O10" t="inlineStr">
        <is>
          <t>Provisionado</t>
        </is>
      </c>
      <c r="Q10" t="inlineStr">
        <is>
          <t>07/2027</t>
        </is>
      </c>
      <c r="R10" t="n">
        <v>0</v>
      </c>
    </row>
    <row r="11">
      <c r="A11" t="n">
        <v>262749</v>
      </c>
      <c r="B11" t="inlineStr">
        <is>
          <t>Nuv Gastrobar</t>
        </is>
      </c>
      <c r="C11" t="inlineStr">
        <is>
          <t>CAIO VINICIUS MARTINELLI JACINTO</t>
        </is>
      </c>
      <c r="D11" t="inlineStr">
        <is>
          <t>PROVISAO</t>
        </is>
      </c>
      <c r="E11" s="525" t="n">
        <v>46569</v>
      </c>
      <c r="F11" s="525" t="n">
        <v>46609</v>
      </c>
      <c r="G11" t="inlineStr">
        <is>
          <t>Mão de Obra - PJ</t>
        </is>
      </c>
      <c r="H11" t="inlineStr">
        <is>
          <t>MDO PJ Fixo</t>
        </is>
      </c>
      <c r="J11" t="n">
        <v>-2600</v>
      </c>
      <c r="K11" t="n">
        <v>-2600</v>
      </c>
      <c r="M11" t="inlineStr">
        <is>
          <t>SUB CHEFE DE BAR</t>
        </is>
      </c>
      <c r="N11" t="inlineStr">
        <is>
          <t xml:space="preserve">  - Sub Chefe De Bar</t>
        </is>
      </c>
      <c r="O11" t="inlineStr">
        <is>
          <t>Provisionado</t>
        </is>
      </c>
      <c r="Q11" t="inlineStr">
        <is>
          <t>07/2027</t>
        </is>
      </c>
      <c r="R11" t="n">
        <v>0</v>
      </c>
    </row>
    <row r="12">
      <c r="A12" t="n">
        <v>259555</v>
      </c>
      <c r="B12" t="inlineStr">
        <is>
          <t>Nuv Gastrobar</t>
        </is>
      </c>
      <c r="C12" t="inlineStr">
        <is>
          <t>SALARIOS CLT</t>
        </is>
      </c>
      <c r="D12" t="inlineStr">
        <is>
          <t>PROVISAO</t>
        </is>
      </c>
      <c r="E12" s="525" t="n">
        <v>46569</v>
      </c>
      <c r="F12" s="525" t="n">
        <v>46603</v>
      </c>
      <c r="G12" t="inlineStr">
        <is>
          <t>Mão de Obra - Salários</t>
        </is>
      </c>
      <c r="H12" t="inlineStr">
        <is>
          <t>MDO CLT - Salário</t>
        </is>
      </c>
      <c r="I12" t="inlineStr">
        <is>
          <t xml:space="preserve">SALÁRIOS </t>
        </is>
      </c>
      <c r="J12" t="n">
        <v>-40000</v>
      </c>
      <c r="K12" t="n">
        <v>-40000</v>
      </c>
      <c r="O12" t="inlineStr">
        <is>
          <t>Provisionado</t>
        </is>
      </c>
      <c r="Q12" t="inlineStr">
        <is>
          <t>07/2027</t>
        </is>
      </c>
      <c r="R12" t="n">
        <v>0</v>
      </c>
    </row>
    <row r="13">
      <c r="A13" t="n">
        <v>258074</v>
      </c>
      <c r="B13" t="inlineStr">
        <is>
          <t>Nuv Gastrobar</t>
        </is>
      </c>
      <c r="C13" t="inlineStr">
        <is>
          <t>CATARINA RAMOS NARCISO</t>
        </is>
      </c>
      <c r="D13" t="inlineStr">
        <is>
          <t>PROVISAO</t>
        </is>
      </c>
      <c r="E13" s="525" t="n">
        <v>46569</v>
      </c>
      <c r="F13" s="525" t="n">
        <v>46609</v>
      </c>
      <c r="G13" t="inlineStr">
        <is>
          <t>Mão de Obra - PJ</t>
        </is>
      </c>
      <c r="H13" t="inlineStr">
        <is>
          <t>MDO PJ Fixo</t>
        </is>
      </c>
      <c r="I13" t="inlineStr">
        <is>
          <t xml:space="preserve">CATARINA| EVENTOS NUV
</t>
        </is>
      </c>
      <c r="J13" t="n">
        <v>-4000</v>
      </c>
      <c r="K13" t="n">
        <v>-4000</v>
      </c>
      <c r="O13" t="inlineStr">
        <is>
          <t>Provisionado</t>
        </is>
      </c>
      <c r="Q13" t="inlineStr">
        <is>
          <t>07/2027</t>
        </is>
      </c>
      <c r="R13" t="n">
        <v>0</v>
      </c>
    </row>
    <row r="14">
      <c r="A14" t="n">
        <v>259867</v>
      </c>
      <c r="B14" t="inlineStr">
        <is>
          <t>Nuv Gastrobar</t>
        </is>
      </c>
      <c r="C14" t="inlineStr">
        <is>
          <t>ARANTXA JIMENEZ</t>
        </is>
      </c>
      <c r="D14" t="inlineStr">
        <is>
          <t>PROVISAO</t>
        </is>
      </c>
      <c r="E14" s="525" t="n">
        <v>46569</v>
      </c>
      <c r="F14" s="525" t="n">
        <v>46609</v>
      </c>
      <c r="G14" t="inlineStr">
        <is>
          <t>Mão de Obra - PJ</t>
        </is>
      </c>
      <c r="H14" t="inlineStr">
        <is>
          <t>MDO PJ Fixo</t>
        </is>
      </c>
      <c r="I14" t="inlineStr">
        <is>
          <t>ARANTXA JIMENEZ | NUV</t>
        </is>
      </c>
      <c r="J14" t="n">
        <v>-4000</v>
      </c>
      <c r="K14" t="n">
        <v>-4000</v>
      </c>
      <c r="O14" t="inlineStr">
        <is>
          <t>Provisionado</t>
        </is>
      </c>
      <c r="Q14" t="inlineStr">
        <is>
          <t>07/2027</t>
        </is>
      </c>
      <c r="R14" t="n">
        <v>0</v>
      </c>
    </row>
    <row r="15">
      <c r="A15" t="n">
        <v>259554</v>
      </c>
      <c r="B15" t="inlineStr">
        <is>
          <t>Nuv Gastrobar</t>
        </is>
      </c>
      <c r="C15" t="inlineStr">
        <is>
          <t>SALARIOS CLT</t>
        </is>
      </c>
      <c r="D15" t="inlineStr">
        <is>
          <t>PROVISAO</t>
        </is>
      </c>
      <c r="E15" s="525" t="n">
        <v>46539</v>
      </c>
      <c r="F15" s="525" t="n">
        <v>46572</v>
      </c>
      <c r="G15" t="inlineStr">
        <is>
          <t>Mão de Obra - Salários</t>
        </is>
      </c>
      <c r="H15" t="inlineStr">
        <is>
          <t>MDO CLT - Salário</t>
        </is>
      </c>
      <c r="I15" t="inlineStr">
        <is>
          <t xml:space="preserve">SALÁRIOS </t>
        </is>
      </c>
      <c r="J15" t="n">
        <v>-40000</v>
      </c>
      <c r="K15" t="n">
        <v>-40000</v>
      </c>
      <c r="O15" t="inlineStr">
        <is>
          <t>Provisionado</t>
        </is>
      </c>
      <c r="Q15" t="inlineStr">
        <is>
          <t>06/2027</t>
        </is>
      </c>
      <c r="R15" t="n">
        <v>0</v>
      </c>
    </row>
    <row r="16">
      <c r="A16" t="n">
        <v>258073</v>
      </c>
      <c r="B16" t="inlineStr">
        <is>
          <t>Nuv Gastrobar</t>
        </is>
      </c>
      <c r="C16" t="inlineStr">
        <is>
          <t>CATARINA RAMOS NARCISO</t>
        </is>
      </c>
      <c r="D16" t="inlineStr">
        <is>
          <t>PROVISAO</t>
        </is>
      </c>
      <c r="E16" s="525" t="n">
        <v>46539</v>
      </c>
      <c r="F16" s="525" t="n">
        <v>46578</v>
      </c>
      <c r="G16" t="inlineStr">
        <is>
          <t>Mão de Obra - PJ</t>
        </is>
      </c>
      <c r="H16" t="inlineStr">
        <is>
          <t>MDO PJ Fixo</t>
        </is>
      </c>
      <c r="I16" t="inlineStr">
        <is>
          <t xml:space="preserve">CATARINA| EVENTOS NUV
</t>
        </is>
      </c>
      <c r="J16" t="n">
        <v>-4000</v>
      </c>
      <c r="K16" t="n">
        <v>-4000</v>
      </c>
      <c r="O16" t="inlineStr">
        <is>
          <t>Provisionado</t>
        </is>
      </c>
      <c r="Q16" t="inlineStr">
        <is>
          <t>06/2027</t>
        </is>
      </c>
      <c r="R16" t="n">
        <v>0</v>
      </c>
    </row>
    <row r="17">
      <c r="A17" t="n">
        <v>259875</v>
      </c>
      <c r="B17" t="inlineStr">
        <is>
          <t>Nuv Gastrobar</t>
        </is>
      </c>
      <c r="C17" t="inlineStr">
        <is>
          <t>BRUNA VALLONE SANTOS</t>
        </is>
      </c>
      <c r="D17" t="inlineStr">
        <is>
          <t>PROVISAO</t>
        </is>
      </c>
      <c r="E17" s="525" t="n">
        <v>46539</v>
      </c>
      <c r="F17" s="525" t="n">
        <v>46578</v>
      </c>
      <c r="G17" t="inlineStr">
        <is>
          <t>Mão de Obra - PJ</t>
        </is>
      </c>
      <c r="H17" t="inlineStr">
        <is>
          <t>MDO PJ Fixo</t>
        </is>
      </c>
      <c r="I17" t="inlineStr">
        <is>
          <t>BRUNA VALLONE SANTOS | NUV</t>
        </is>
      </c>
      <c r="J17" t="n">
        <v>-4200</v>
      </c>
      <c r="K17" t="n">
        <v>-4200</v>
      </c>
      <c r="O17" t="inlineStr">
        <is>
          <t>Provisionado</t>
        </is>
      </c>
      <c r="Q17" t="inlineStr">
        <is>
          <t>06/2027</t>
        </is>
      </c>
      <c r="R17" t="n">
        <v>0</v>
      </c>
    </row>
    <row r="18">
      <c r="A18" t="n">
        <v>258173</v>
      </c>
      <c r="B18" t="inlineStr">
        <is>
          <t>Nuv Gastrobar</t>
        </is>
      </c>
      <c r="C18" t="inlineStr">
        <is>
          <t>PJ IVAN MANFRINATO BILIA 3781626180</t>
        </is>
      </c>
      <c r="D18" t="inlineStr">
        <is>
          <t>PROVISAO</t>
        </is>
      </c>
      <c r="E18" s="525" t="n">
        <v>46539</v>
      </c>
      <c r="F18" s="525" t="n">
        <v>46578</v>
      </c>
      <c r="G18" t="inlineStr">
        <is>
          <t>Mão de Obra - PJ</t>
        </is>
      </c>
      <c r="H18" t="inlineStr">
        <is>
          <t>MDO PJ Fixo</t>
        </is>
      </c>
      <c r="I18" t="inlineStr">
        <is>
          <t>IVAN| NUV</t>
        </is>
      </c>
      <c r="J18" t="n">
        <v>-3250</v>
      </c>
      <c r="K18" t="n">
        <v>-3250</v>
      </c>
      <c r="M18" t="inlineStr">
        <is>
          <t>CHEFE DE COZINHA</t>
        </is>
      </c>
      <c r="N18" t="inlineStr">
        <is>
          <t xml:space="preserve">  - Chefe de Cozinha</t>
        </is>
      </c>
      <c r="O18" t="inlineStr">
        <is>
          <t>Provisionado</t>
        </is>
      </c>
      <c r="Q18" t="inlineStr">
        <is>
          <t>06/2027</t>
        </is>
      </c>
      <c r="R18" t="n">
        <v>0</v>
      </c>
    </row>
    <row r="19">
      <c r="A19" t="n">
        <v>259935</v>
      </c>
      <c r="B19" t="inlineStr">
        <is>
          <t>Nuv Gastrobar</t>
        </is>
      </c>
      <c r="C19" t="inlineStr">
        <is>
          <t>PJ PEDRO XAVIER ANTUNES CAVALHEIRO 45502040879</t>
        </is>
      </c>
      <c r="D19" t="inlineStr">
        <is>
          <t>PROVISAO</t>
        </is>
      </c>
      <c r="E19" s="525" t="n">
        <v>46539</v>
      </c>
      <c r="F19" s="525" t="n">
        <v>46578</v>
      </c>
      <c r="G19" t="inlineStr">
        <is>
          <t>Mão de Obra - PJ</t>
        </is>
      </c>
      <c r="H19" t="inlineStr">
        <is>
          <t>MDO PJ Fixo</t>
        </is>
      </c>
      <c r="I19" t="inlineStr">
        <is>
          <t xml:space="preserve">PEDRO XAVIER ANTUNES CAVALHEIRO | NUV
</t>
        </is>
      </c>
      <c r="J19" t="n">
        <v>-3960</v>
      </c>
      <c r="K19" t="n">
        <v>-3960</v>
      </c>
      <c r="M19" t="inlineStr">
        <is>
          <t>GERENTE</t>
        </is>
      </c>
      <c r="N19" t="inlineStr">
        <is>
          <t xml:space="preserve">  - Gerente</t>
        </is>
      </c>
      <c r="O19" t="inlineStr">
        <is>
          <t>Provisionado</t>
        </is>
      </c>
      <c r="Q19" t="inlineStr">
        <is>
          <t>06/2027</t>
        </is>
      </c>
      <c r="R19" t="n">
        <v>0</v>
      </c>
    </row>
    <row r="20">
      <c r="A20" t="n">
        <v>259865</v>
      </c>
      <c r="B20" t="inlineStr">
        <is>
          <t>Nuv Gastrobar</t>
        </is>
      </c>
      <c r="C20" t="inlineStr">
        <is>
          <t>ARANTXA JIMENEZ</t>
        </is>
      </c>
      <c r="D20" t="inlineStr">
        <is>
          <t>PROVISAO</t>
        </is>
      </c>
      <c r="E20" s="525" t="n">
        <v>46539</v>
      </c>
      <c r="F20" s="525" t="n">
        <v>46578</v>
      </c>
      <c r="G20" t="inlineStr">
        <is>
          <t>Mão de Obra - PJ</t>
        </is>
      </c>
      <c r="H20" t="inlineStr">
        <is>
          <t>MDO PJ Fixo</t>
        </is>
      </c>
      <c r="I20" t="inlineStr">
        <is>
          <t>ARANTXA JIMENEZ | NUV</t>
        </is>
      </c>
      <c r="J20" t="n">
        <v>-4000</v>
      </c>
      <c r="K20" t="n">
        <v>-4000</v>
      </c>
      <c r="O20" t="inlineStr">
        <is>
          <t>Provisionado</t>
        </is>
      </c>
      <c r="Q20" t="inlineStr">
        <is>
          <t>06/2027</t>
        </is>
      </c>
      <c r="R20" t="n">
        <v>0</v>
      </c>
    </row>
    <row r="21">
      <c r="A21" t="n">
        <v>258160</v>
      </c>
      <c r="B21" t="inlineStr">
        <is>
          <t>Nuv Gastrobar</t>
        </is>
      </c>
      <c r="C21" t="inlineStr">
        <is>
          <t>PJ PEDRO XAVIER ANTUNES CAVALHEIRO 45502040879</t>
        </is>
      </c>
      <c r="D21" t="inlineStr">
        <is>
          <t>PROVISAO</t>
        </is>
      </c>
      <c r="E21" s="525" t="n">
        <v>46539</v>
      </c>
      <c r="F21" s="525" t="n">
        <v>46578</v>
      </c>
      <c r="G21" t="inlineStr">
        <is>
          <t>Mão de Obra - PJ</t>
        </is>
      </c>
      <c r="H21" t="inlineStr">
        <is>
          <t>MDO PJ Fixo</t>
        </is>
      </c>
      <c r="I21" t="inlineStr">
        <is>
          <t>PEDRO| NUV</t>
        </is>
      </c>
      <c r="J21" t="n">
        <v>-3960</v>
      </c>
      <c r="K21" t="n">
        <v>-3960</v>
      </c>
      <c r="M21" t="inlineStr">
        <is>
          <t>GERENTE</t>
        </is>
      </c>
      <c r="N21" t="inlineStr">
        <is>
          <t xml:space="preserve">  - Gerente</t>
        </is>
      </c>
      <c r="O21" t="inlineStr">
        <is>
          <t>Provisionado</t>
        </is>
      </c>
      <c r="Q21" t="inlineStr">
        <is>
          <t>06/2027</t>
        </is>
      </c>
      <c r="R21" t="n">
        <v>0</v>
      </c>
    </row>
    <row r="22">
      <c r="A22" t="n">
        <v>259901</v>
      </c>
      <c r="B22" t="inlineStr">
        <is>
          <t>Nuv Gastrobar</t>
        </is>
      </c>
      <c r="C22" t="inlineStr">
        <is>
          <t>PJ IVAN MANFRINATO BILIA 3781626180</t>
        </is>
      </c>
      <c r="D22" t="inlineStr">
        <is>
          <t>PROVISAO</t>
        </is>
      </c>
      <c r="E22" s="525" t="n">
        <v>46539</v>
      </c>
      <c r="F22" s="525" t="n">
        <v>46578</v>
      </c>
      <c r="G22" t="inlineStr">
        <is>
          <t>Mão de Obra - PJ</t>
        </is>
      </c>
      <c r="H22" t="inlineStr">
        <is>
          <t>MDO PJ Fixo</t>
        </is>
      </c>
      <c r="I22" t="inlineStr">
        <is>
          <t>IVAN MANFRINATO BILIA | NUV</t>
        </is>
      </c>
      <c r="J22" t="n">
        <v>-3250</v>
      </c>
      <c r="K22" t="n">
        <v>-3250</v>
      </c>
      <c r="M22" t="inlineStr">
        <is>
          <t>CHEFE DE COZINHA</t>
        </is>
      </c>
      <c r="N22" t="inlineStr">
        <is>
          <t xml:space="preserve">  - Chefe de Cozinha</t>
        </is>
      </c>
      <c r="O22" t="inlineStr">
        <is>
          <t>Provisionado</t>
        </is>
      </c>
      <c r="Q22" t="inlineStr">
        <is>
          <t>06/2027</t>
        </is>
      </c>
      <c r="R22" t="n">
        <v>0</v>
      </c>
    </row>
    <row r="23">
      <c r="A23" t="n">
        <v>259890</v>
      </c>
      <c r="B23" t="inlineStr">
        <is>
          <t>Nuv Gastrobar</t>
        </is>
      </c>
      <c r="C23" t="inlineStr">
        <is>
          <t>DOUGLAS LOBATO DE CHICO</t>
        </is>
      </c>
      <c r="D23" t="inlineStr">
        <is>
          <t>PROVISAO</t>
        </is>
      </c>
      <c r="E23" s="525" t="n">
        <v>46539</v>
      </c>
      <c r="F23" s="525" t="n">
        <v>46578</v>
      </c>
      <c r="G23" t="inlineStr">
        <is>
          <t>Mão de Obra - PJ</t>
        </is>
      </c>
      <c r="H23" t="inlineStr">
        <is>
          <t>MDO PJ Fixo</t>
        </is>
      </c>
      <c r="I23" t="inlineStr">
        <is>
          <t xml:space="preserve">DOUGLAS LOBATO DE CHICO | NUV
</t>
        </is>
      </c>
      <c r="J23" t="n">
        <v>-4200</v>
      </c>
      <c r="K23" t="n">
        <v>-4200</v>
      </c>
      <c r="O23" t="inlineStr">
        <is>
          <t>Provisionado</t>
        </is>
      </c>
      <c r="Q23" t="inlineStr">
        <is>
          <t>06/2027</t>
        </is>
      </c>
      <c r="R23" t="n">
        <v>0</v>
      </c>
    </row>
    <row r="24">
      <c r="A24" t="n">
        <v>258049</v>
      </c>
      <c r="B24" t="inlineStr">
        <is>
          <t>Nuv Gastrobar</t>
        </is>
      </c>
      <c r="C24" t="inlineStr">
        <is>
          <t>BEATRIZ PEREIRA GARCIA</t>
        </is>
      </c>
      <c r="D24" t="inlineStr">
        <is>
          <t>PROVISAO</t>
        </is>
      </c>
      <c r="E24" s="525" t="n">
        <v>46539</v>
      </c>
      <c r="F24" s="525" t="n">
        <v>46578</v>
      </c>
      <c r="G24" t="inlineStr">
        <is>
          <t>Mão de Obra - PJ</t>
        </is>
      </c>
      <c r="H24" t="inlineStr">
        <is>
          <t>MDO PJ Fixo</t>
        </is>
      </c>
      <c r="I24" t="inlineStr">
        <is>
          <t>BEATRIZ | ADM NUV</t>
        </is>
      </c>
      <c r="J24" t="n">
        <v>-3000</v>
      </c>
      <c r="K24" t="n">
        <v>-3000</v>
      </c>
      <c r="O24" t="inlineStr">
        <is>
          <t>Provisionado</t>
        </is>
      </c>
      <c r="Q24" t="inlineStr">
        <is>
          <t>06/2027</t>
        </is>
      </c>
      <c r="R24" t="n">
        <v>0</v>
      </c>
    </row>
    <row r="25">
      <c r="A25" t="n">
        <v>262747</v>
      </c>
      <c r="B25" t="inlineStr">
        <is>
          <t>Nuv Gastrobar</t>
        </is>
      </c>
      <c r="C25" t="inlineStr">
        <is>
          <t>CAIO VINICIUS MARTINELLI JACINTO</t>
        </is>
      </c>
      <c r="D25" t="inlineStr">
        <is>
          <t>PROVISAO</t>
        </is>
      </c>
      <c r="E25" s="525" t="n">
        <v>46539</v>
      </c>
      <c r="F25" s="525" t="n">
        <v>46578</v>
      </c>
      <c r="G25" t="inlineStr">
        <is>
          <t>Mão de Obra - PJ</t>
        </is>
      </c>
      <c r="H25" t="inlineStr">
        <is>
          <t>MDO PJ Fixo</t>
        </is>
      </c>
      <c r="J25" t="n">
        <v>-2600</v>
      </c>
      <c r="K25" t="n">
        <v>-2600</v>
      </c>
      <c r="M25" t="inlineStr">
        <is>
          <t>SUB CHEFE DE BAR</t>
        </is>
      </c>
      <c r="N25" t="inlineStr">
        <is>
          <t xml:space="preserve">  - Sub Chefe De Bar</t>
        </is>
      </c>
      <c r="O25" t="inlineStr">
        <is>
          <t>Provisionado</t>
        </is>
      </c>
      <c r="Q25" t="inlineStr">
        <is>
          <t>06/2027</t>
        </is>
      </c>
      <c r="R25" t="n">
        <v>0</v>
      </c>
    </row>
    <row r="26">
      <c r="A26" t="n">
        <v>259903</v>
      </c>
      <c r="B26" t="inlineStr">
        <is>
          <t>Nuv Gastrobar</t>
        </is>
      </c>
      <c r="C26" t="inlineStr">
        <is>
          <t>PJ IVAN MANFRINATO BILIA 3781626180</t>
        </is>
      </c>
      <c r="D26" t="inlineStr">
        <is>
          <t>PROVISAO</t>
        </is>
      </c>
      <c r="E26" s="525" t="n">
        <v>46508</v>
      </c>
      <c r="F26" s="525" t="n">
        <v>46548</v>
      </c>
      <c r="G26" t="inlineStr">
        <is>
          <t>Mão de Obra - PJ</t>
        </is>
      </c>
      <c r="H26" t="inlineStr">
        <is>
          <t>MDO PJ Fixo</t>
        </is>
      </c>
      <c r="I26" t="inlineStr">
        <is>
          <t>IVAN MANFRINATO BILIA | NUV</t>
        </is>
      </c>
      <c r="J26" t="n">
        <v>-3250</v>
      </c>
      <c r="K26" t="n">
        <v>-3250</v>
      </c>
      <c r="M26" t="inlineStr">
        <is>
          <t>CHEFE DE COZINHA</t>
        </is>
      </c>
      <c r="N26" t="inlineStr">
        <is>
          <t xml:space="preserve">  - Chefe de Cozinha</t>
        </is>
      </c>
      <c r="O26" t="inlineStr">
        <is>
          <t>Provisionado</t>
        </is>
      </c>
      <c r="Q26" t="inlineStr">
        <is>
          <t>05/2027</t>
        </is>
      </c>
      <c r="R26" t="n">
        <v>0</v>
      </c>
    </row>
    <row r="27">
      <c r="A27" t="n">
        <v>258158</v>
      </c>
      <c r="B27" t="inlineStr">
        <is>
          <t>Nuv Gastrobar</t>
        </is>
      </c>
      <c r="C27" t="inlineStr">
        <is>
          <t>PJ PEDRO XAVIER ANTUNES CAVALHEIRO 45502040879</t>
        </is>
      </c>
      <c r="D27" t="inlineStr">
        <is>
          <t>PROVISAO</t>
        </is>
      </c>
      <c r="E27" s="525" t="n">
        <v>46508</v>
      </c>
      <c r="F27" s="525" t="n">
        <v>46548</v>
      </c>
      <c r="G27" t="inlineStr">
        <is>
          <t>Mão de Obra - PJ</t>
        </is>
      </c>
      <c r="H27" t="inlineStr">
        <is>
          <t>MDO PJ Fixo</t>
        </is>
      </c>
      <c r="I27" t="inlineStr">
        <is>
          <t>PEDRO| NUV</t>
        </is>
      </c>
      <c r="J27" t="n">
        <v>-3960</v>
      </c>
      <c r="K27" t="n">
        <v>-3960</v>
      </c>
      <c r="M27" t="inlineStr">
        <is>
          <t>GERENTE</t>
        </is>
      </c>
      <c r="N27" t="inlineStr">
        <is>
          <t xml:space="preserve">  - Gerente</t>
        </is>
      </c>
      <c r="O27" t="inlineStr">
        <is>
          <t>Provisionado</t>
        </is>
      </c>
      <c r="Q27" t="inlineStr">
        <is>
          <t>05/2027</t>
        </is>
      </c>
      <c r="R27" t="n">
        <v>0</v>
      </c>
    </row>
    <row r="28">
      <c r="A28" t="n">
        <v>258172</v>
      </c>
      <c r="B28" t="inlineStr">
        <is>
          <t>Nuv Gastrobar</t>
        </is>
      </c>
      <c r="C28" t="inlineStr">
        <is>
          <t>PJ IVAN MANFRINATO BILIA 3781626180</t>
        </is>
      </c>
      <c r="D28" t="inlineStr">
        <is>
          <t>PROVISAO</t>
        </is>
      </c>
      <c r="E28" s="525" t="n">
        <v>46508</v>
      </c>
      <c r="F28" s="525" t="n">
        <v>46548</v>
      </c>
      <c r="G28" t="inlineStr">
        <is>
          <t>Mão de Obra - PJ</t>
        </is>
      </c>
      <c r="H28" t="inlineStr">
        <is>
          <t>MDO PJ Fixo</t>
        </is>
      </c>
      <c r="I28" t="inlineStr">
        <is>
          <t>IVAN| NUV</t>
        </is>
      </c>
      <c r="J28" t="n">
        <v>-3250</v>
      </c>
      <c r="K28" t="n">
        <v>-3250</v>
      </c>
      <c r="M28" t="inlineStr">
        <is>
          <t>CHEFE DE COZINHA</t>
        </is>
      </c>
      <c r="N28" t="inlineStr">
        <is>
          <t xml:space="preserve">  - Chefe de Cozinha</t>
        </is>
      </c>
      <c r="O28" t="inlineStr">
        <is>
          <t>Provisionado</t>
        </is>
      </c>
      <c r="Q28" t="inlineStr">
        <is>
          <t>05/2027</t>
        </is>
      </c>
      <c r="R28" t="n">
        <v>0</v>
      </c>
    </row>
    <row r="29">
      <c r="A29" t="n">
        <v>259863</v>
      </c>
      <c r="B29" t="inlineStr">
        <is>
          <t>Nuv Gastrobar</t>
        </is>
      </c>
      <c r="C29" t="inlineStr">
        <is>
          <t>ARANTXA JIMENEZ</t>
        </is>
      </c>
      <c r="D29" t="inlineStr">
        <is>
          <t>PROVISAO</t>
        </is>
      </c>
      <c r="E29" s="525" t="n">
        <v>46508</v>
      </c>
      <c r="F29" s="525" t="n">
        <v>46548</v>
      </c>
      <c r="G29" t="inlineStr">
        <is>
          <t>Mão de Obra - PJ</t>
        </is>
      </c>
      <c r="H29" t="inlineStr">
        <is>
          <t>MDO PJ Fixo</t>
        </is>
      </c>
      <c r="I29" t="inlineStr">
        <is>
          <t>ARANTXA JIMENEZ | NUV</t>
        </is>
      </c>
      <c r="J29" t="n">
        <v>-4000</v>
      </c>
      <c r="K29" t="n">
        <v>-4000</v>
      </c>
      <c r="O29" t="inlineStr">
        <is>
          <t>Provisionado</t>
        </is>
      </c>
      <c r="Q29" t="inlineStr">
        <is>
          <t>05/2027</t>
        </is>
      </c>
      <c r="R29" t="n">
        <v>0</v>
      </c>
    </row>
    <row r="30">
      <c r="A30" t="n">
        <v>258048</v>
      </c>
      <c r="B30" t="inlineStr">
        <is>
          <t>Nuv Gastrobar</t>
        </is>
      </c>
      <c r="C30" t="inlineStr">
        <is>
          <t>BEATRIZ PEREIRA GARCIA</t>
        </is>
      </c>
      <c r="D30" t="inlineStr">
        <is>
          <t>PROVISAO</t>
        </is>
      </c>
      <c r="E30" s="525" t="n">
        <v>46508</v>
      </c>
      <c r="F30" s="525" t="n">
        <v>46548</v>
      </c>
      <c r="G30" t="inlineStr">
        <is>
          <t>Mão de Obra - PJ</t>
        </is>
      </c>
      <c r="H30" t="inlineStr">
        <is>
          <t>MDO PJ Fixo</t>
        </is>
      </c>
      <c r="I30" t="inlineStr">
        <is>
          <t>BEATRIZ | ADM NUV</t>
        </is>
      </c>
      <c r="J30" t="n">
        <v>-3000</v>
      </c>
      <c r="K30" t="n">
        <v>-3000</v>
      </c>
      <c r="O30" t="inlineStr">
        <is>
          <t>Provisionado</t>
        </is>
      </c>
      <c r="Q30" t="inlineStr">
        <is>
          <t>05/2027</t>
        </is>
      </c>
      <c r="R30" t="n">
        <v>0</v>
      </c>
    </row>
    <row r="31">
      <c r="A31" t="n">
        <v>259937</v>
      </c>
      <c r="B31" t="inlineStr">
        <is>
          <t>Nuv Gastrobar</t>
        </is>
      </c>
      <c r="C31" t="inlineStr">
        <is>
          <t>PJ PEDRO XAVIER ANTUNES CAVALHEIRO 45502040879</t>
        </is>
      </c>
      <c r="D31" t="inlineStr">
        <is>
          <t>PROVISAO</t>
        </is>
      </c>
      <c r="E31" s="525" t="n">
        <v>46508</v>
      </c>
      <c r="F31" s="525" t="n">
        <v>46548</v>
      </c>
      <c r="G31" t="inlineStr">
        <is>
          <t>Mão de Obra - PJ</t>
        </is>
      </c>
      <c r="H31" t="inlineStr">
        <is>
          <t>MDO PJ Fixo</t>
        </is>
      </c>
      <c r="I31" t="inlineStr">
        <is>
          <t xml:space="preserve">PEDRO XAVIER ANTUNES CAVALHEIRO | NUV
</t>
        </is>
      </c>
      <c r="J31" t="n">
        <v>-3960</v>
      </c>
      <c r="K31" t="n">
        <v>-3960</v>
      </c>
      <c r="M31" t="inlineStr">
        <is>
          <t>GERENTE</t>
        </is>
      </c>
      <c r="N31" t="inlineStr">
        <is>
          <t xml:space="preserve">  - Gerente</t>
        </is>
      </c>
      <c r="O31" t="inlineStr">
        <is>
          <t>Provisionado</t>
        </is>
      </c>
      <c r="Q31" t="inlineStr">
        <is>
          <t>05/2027</t>
        </is>
      </c>
      <c r="R31" t="n">
        <v>0</v>
      </c>
    </row>
    <row r="32">
      <c r="A32" t="n">
        <v>258072</v>
      </c>
      <c r="B32" t="inlineStr">
        <is>
          <t>Nuv Gastrobar</t>
        </is>
      </c>
      <c r="C32" t="inlineStr">
        <is>
          <t>CATARINA RAMOS NARCISO</t>
        </is>
      </c>
      <c r="D32" t="inlineStr">
        <is>
          <t>PROVISAO</t>
        </is>
      </c>
      <c r="E32" s="525" t="n">
        <v>46508</v>
      </c>
      <c r="F32" s="525" t="n">
        <v>46548</v>
      </c>
      <c r="G32" t="inlineStr">
        <is>
          <t>Mão de Obra - PJ</t>
        </is>
      </c>
      <c r="H32" t="inlineStr">
        <is>
          <t>MDO PJ Fixo</t>
        </is>
      </c>
      <c r="I32" t="inlineStr">
        <is>
          <t xml:space="preserve">CATARINA| EVENTOS NUV
</t>
        </is>
      </c>
      <c r="J32" t="n">
        <v>-4000</v>
      </c>
      <c r="K32" t="n">
        <v>-4000</v>
      </c>
      <c r="O32" t="inlineStr">
        <is>
          <t>Provisionado</t>
        </is>
      </c>
      <c r="Q32" t="inlineStr">
        <is>
          <t>05/2027</t>
        </is>
      </c>
      <c r="R32" t="n">
        <v>0</v>
      </c>
    </row>
    <row r="33">
      <c r="A33" t="n">
        <v>259882</v>
      </c>
      <c r="B33" t="inlineStr">
        <is>
          <t>Nuv Gastrobar</t>
        </is>
      </c>
      <c r="C33" t="inlineStr">
        <is>
          <t>DOUGLAS LOBATO DE CHICO</t>
        </is>
      </c>
      <c r="D33" t="inlineStr">
        <is>
          <t>PROVISAO</t>
        </is>
      </c>
      <c r="E33" s="525" t="n">
        <v>46508</v>
      </c>
      <c r="F33" s="525" t="n">
        <v>46548</v>
      </c>
      <c r="G33" t="inlineStr">
        <is>
          <t>Mão de Obra - PJ</t>
        </is>
      </c>
      <c r="H33" t="inlineStr">
        <is>
          <t>MDO PJ Fixo</t>
        </is>
      </c>
      <c r="I33" t="inlineStr">
        <is>
          <t xml:space="preserve">DOUGLAS LOBATO DE CHICO | NUV
</t>
        </is>
      </c>
      <c r="J33" t="n">
        <v>-4200</v>
      </c>
      <c r="K33" t="n">
        <v>-4200</v>
      </c>
      <c r="O33" t="inlineStr">
        <is>
          <t>Provisionado</t>
        </is>
      </c>
      <c r="Q33" t="inlineStr">
        <is>
          <t>05/2027</t>
        </is>
      </c>
      <c r="R33" t="n">
        <v>0</v>
      </c>
    </row>
    <row r="34">
      <c r="A34" t="n">
        <v>262740</v>
      </c>
      <c r="B34" t="inlineStr">
        <is>
          <t>Nuv Gastrobar</t>
        </is>
      </c>
      <c r="C34" t="inlineStr">
        <is>
          <t>CAIO VINICIUS MARTINELLI JACINTO</t>
        </is>
      </c>
      <c r="D34" t="inlineStr">
        <is>
          <t>PROVISAO</t>
        </is>
      </c>
      <c r="E34" s="525" t="n">
        <v>46508</v>
      </c>
      <c r="F34" s="525" t="n">
        <v>46548</v>
      </c>
      <c r="G34" t="inlineStr">
        <is>
          <t>Mão de Obra - PJ</t>
        </is>
      </c>
      <c r="H34" t="inlineStr">
        <is>
          <t>MDO PJ Fixo</t>
        </is>
      </c>
      <c r="J34" t="n">
        <v>-2600</v>
      </c>
      <c r="K34" t="n">
        <v>-2600</v>
      </c>
      <c r="M34" t="inlineStr">
        <is>
          <t>SUB CHEFE DE BAR</t>
        </is>
      </c>
      <c r="N34" t="inlineStr">
        <is>
          <t xml:space="preserve">  - Sub Chefe De Bar</t>
        </is>
      </c>
      <c r="O34" t="inlineStr">
        <is>
          <t>Provisionado</t>
        </is>
      </c>
      <c r="Q34" t="inlineStr">
        <is>
          <t>05/2027</t>
        </is>
      </c>
      <c r="R34" t="n">
        <v>0</v>
      </c>
    </row>
    <row r="35">
      <c r="A35" t="n">
        <v>259552</v>
      </c>
      <c r="B35" t="inlineStr">
        <is>
          <t>Nuv Gastrobar</t>
        </is>
      </c>
      <c r="C35" t="inlineStr">
        <is>
          <t>SALARIOS CLT</t>
        </is>
      </c>
      <c r="D35" t="inlineStr">
        <is>
          <t>PROVISAO</t>
        </is>
      </c>
      <c r="E35" s="525" t="n">
        <v>46508</v>
      </c>
      <c r="F35" s="525" t="n">
        <v>46542</v>
      </c>
      <c r="G35" t="inlineStr">
        <is>
          <t>Mão de Obra - Salários</t>
        </is>
      </c>
      <c r="H35" t="inlineStr">
        <is>
          <t>MDO CLT - Salário</t>
        </is>
      </c>
      <c r="I35" t="inlineStr">
        <is>
          <t xml:space="preserve">SALÁRIOS </t>
        </is>
      </c>
      <c r="J35" t="n">
        <v>-40000</v>
      </c>
      <c r="K35" t="n">
        <v>-40000</v>
      </c>
      <c r="O35" t="inlineStr">
        <is>
          <t>Provisionado</t>
        </is>
      </c>
      <c r="Q35" t="inlineStr">
        <is>
          <t>05/2027</t>
        </is>
      </c>
      <c r="R35" t="n">
        <v>0</v>
      </c>
    </row>
    <row r="36">
      <c r="A36" t="n">
        <v>259877</v>
      </c>
      <c r="B36" t="inlineStr">
        <is>
          <t>Nuv Gastrobar</t>
        </is>
      </c>
      <c r="C36" t="inlineStr">
        <is>
          <t>BRUNA VALLONE SANTOS</t>
        </is>
      </c>
      <c r="D36" t="inlineStr">
        <is>
          <t>PROVISAO</t>
        </is>
      </c>
      <c r="E36" s="525" t="n">
        <v>46508</v>
      </c>
      <c r="F36" s="525" t="n">
        <v>46548</v>
      </c>
      <c r="G36" t="inlineStr">
        <is>
          <t>Mão de Obra - PJ</t>
        </is>
      </c>
      <c r="H36" t="inlineStr">
        <is>
          <t>MDO PJ Fixo</t>
        </is>
      </c>
      <c r="I36" t="inlineStr">
        <is>
          <t>BRUNA VALLONE SANTOS | NUV</t>
        </is>
      </c>
      <c r="J36" t="n">
        <v>-4200</v>
      </c>
      <c r="K36" t="n">
        <v>-4200</v>
      </c>
      <c r="O36" t="inlineStr">
        <is>
          <t>Provisionado</t>
        </is>
      </c>
      <c r="Q36" t="inlineStr">
        <is>
          <t>05/2027</t>
        </is>
      </c>
      <c r="R36" t="n">
        <v>0</v>
      </c>
    </row>
    <row r="37">
      <c r="A37" t="n">
        <v>258047</v>
      </c>
      <c r="B37" t="inlineStr">
        <is>
          <t>Nuv Gastrobar</t>
        </is>
      </c>
      <c r="C37" t="inlineStr">
        <is>
          <t>BEATRIZ PEREIRA GARCIA</t>
        </is>
      </c>
      <c r="D37" t="inlineStr">
        <is>
          <t>PROVISAO</t>
        </is>
      </c>
      <c r="E37" s="525" t="n">
        <v>46478</v>
      </c>
      <c r="F37" s="525" t="n">
        <v>46517</v>
      </c>
      <c r="G37" t="inlineStr">
        <is>
          <t>Mão de Obra - PJ</t>
        </is>
      </c>
      <c r="H37" t="inlineStr">
        <is>
          <t>MDO PJ Fixo</t>
        </is>
      </c>
      <c r="I37" t="inlineStr">
        <is>
          <t>BEATRIZ | ADM NUV</t>
        </is>
      </c>
      <c r="J37" t="n">
        <v>-3000</v>
      </c>
      <c r="K37" t="n">
        <v>-3000</v>
      </c>
      <c r="O37" t="inlineStr">
        <is>
          <t>Provisionado</t>
        </is>
      </c>
      <c r="Q37" t="inlineStr">
        <is>
          <t>04/2027</t>
        </is>
      </c>
      <c r="R37" t="n">
        <v>0</v>
      </c>
    </row>
    <row r="38">
      <c r="A38" t="n">
        <v>258171</v>
      </c>
      <c r="B38" t="inlineStr">
        <is>
          <t>Nuv Gastrobar</t>
        </is>
      </c>
      <c r="C38" t="inlineStr">
        <is>
          <t>PJ IVAN MANFRINATO BILIA 3781626180</t>
        </is>
      </c>
      <c r="D38" t="inlineStr">
        <is>
          <t>PROVISAO</t>
        </is>
      </c>
      <c r="E38" s="525" t="n">
        <v>46478</v>
      </c>
      <c r="F38" s="525" t="n">
        <v>46517</v>
      </c>
      <c r="G38" t="inlineStr">
        <is>
          <t>Mão de Obra - PJ</t>
        </is>
      </c>
      <c r="H38" t="inlineStr">
        <is>
          <t>MDO PJ Fixo</t>
        </is>
      </c>
      <c r="I38" t="inlineStr">
        <is>
          <t>IVAN| NUV</t>
        </is>
      </c>
      <c r="J38" t="n">
        <v>-3250</v>
      </c>
      <c r="K38" t="n">
        <v>-3250</v>
      </c>
      <c r="M38" t="inlineStr">
        <is>
          <t>CHEFE DE COZINHA</t>
        </is>
      </c>
      <c r="N38" t="inlineStr">
        <is>
          <t xml:space="preserve">  - Chefe de Cozinha</t>
        </is>
      </c>
      <c r="O38" t="inlineStr">
        <is>
          <t>Provisionado</t>
        </is>
      </c>
      <c r="Q38" t="inlineStr">
        <is>
          <t>04/2027</t>
        </is>
      </c>
      <c r="R38" t="n">
        <v>0</v>
      </c>
    </row>
    <row r="39">
      <c r="A39" t="n">
        <v>259551</v>
      </c>
      <c r="B39" t="inlineStr">
        <is>
          <t>Nuv Gastrobar</t>
        </is>
      </c>
      <c r="C39" t="inlineStr">
        <is>
          <t>SALARIOS CLT</t>
        </is>
      </c>
      <c r="D39" t="inlineStr">
        <is>
          <t>PROVISAO</t>
        </is>
      </c>
      <c r="E39" s="525" t="n">
        <v>46478</v>
      </c>
      <c r="F39" s="525" t="n">
        <v>46511</v>
      </c>
      <c r="G39" t="inlineStr">
        <is>
          <t>Mão de Obra - Salários</t>
        </is>
      </c>
      <c r="H39" t="inlineStr">
        <is>
          <t>MDO CLT - Salário</t>
        </is>
      </c>
      <c r="I39" t="inlineStr">
        <is>
          <t xml:space="preserve">SALÁRIOS </t>
        </is>
      </c>
      <c r="J39" t="n">
        <v>-40000</v>
      </c>
      <c r="K39" t="n">
        <v>-40000</v>
      </c>
      <c r="O39" t="inlineStr">
        <is>
          <t>Provisionado</t>
        </is>
      </c>
      <c r="Q39" t="inlineStr">
        <is>
          <t>04/2027</t>
        </is>
      </c>
      <c r="R39" t="n">
        <v>0</v>
      </c>
    </row>
    <row r="40">
      <c r="A40" t="n">
        <v>259934</v>
      </c>
      <c r="B40" t="inlineStr">
        <is>
          <t>Nuv Gastrobar</t>
        </is>
      </c>
      <c r="C40" t="inlineStr">
        <is>
          <t>PJ PEDRO XAVIER ANTUNES CAVALHEIRO 45502040879</t>
        </is>
      </c>
      <c r="D40" t="inlineStr">
        <is>
          <t>PROVISAO</t>
        </is>
      </c>
      <c r="E40" s="525" t="n">
        <v>46478</v>
      </c>
      <c r="F40" s="525" t="n">
        <v>46517</v>
      </c>
      <c r="G40" t="inlineStr">
        <is>
          <t>Mão de Obra - PJ</t>
        </is>
      </c>
      <c r="H40" t="inlineStr">
        <is>
          <t>MDO PJ Fixo</t>
        </is>
      </c>
      <c r="I40" t="inlineStr">
        <is>
          <t xml:space="preserve">PEDRO XAVIER ANTUNES CAVALHEIRO | NUV
</t>
        </is>
      </c>
      <c r="J40" t="n">
        <v>-3960</v>
      </c>
      <c r="K40" t="n">
        <v>-3960</v>
      </c>
      <c r="M40" t="inlineStr">
        <is>
          <t>GERENTE</t>
        </is>
      </c>
      <c r="N40" t="inlineStr">
        <is>
          <t xml:space="preserve">  - Gerente</t>
        </is>
      </c>
      <c r="O40" t="inlineStr">
        <is>
          <t>Provisionado</t>
        </is>
      </c>
      <c r="Q40" t="inlineStr">
        <is>
          <t>04/2027</t>
        </is>
      </c>
      <c r="R40" t="n">
        <v>0</v>
      </c>
    </row>
    <row r="41">
      <c r="A41" t="n">
        <v>258157</v>
      </c>
      <c r="B41" t="inlineStr">
        <is>
          <t>Nuv Gastrobar</t>
        </is>
      </c>
      <c r="C41" t="inlineStr">
        <is>
          <t>PJ PEDRO XAVIER ANTUNES CAVALHEIRO 45502040879</t>
        </is>
      </c>
      <c r="D41" t="inlineStr">
        <is>
          <t>PROVISAO</t>
        </is>
      </c>
      <c r="E41" s="525" t="n">
        <v>46478</v>
      </c>
      <c r="F41" s="525" t="n">
        <v>46517</v>
      </c>
      <c r="G41" t="inlineStr">
        <is>
          <t>Mão de Obra - PJ</t>
        </is>
      </c>
      <c r="H41" t="inlineStr">
        <is>
          <t>MDO PJ Fixo</t>
        </is>
      </c>
      <c r="I41" t="inlineStr">
        <is>
          <t>PEDRO| NUV</t>
        </is>
      </c>
      <c r="J41" t="n">
        <v>-3960</v>
      </c>
      <c r="K41" t="n">
        <v>-3960</v>
      </c>
      <c r="M41" t="inlineStr">
        <is>
          <t>GERENTE</t>
        </is>
      </c>
      <c r="N41" t="inlineStr">
        <is>
          <t xml:space="preserve">  - Gerente</t>
        </is>
      </c>
      <c r="O41" t="inlineStr">
        <is>
          <t>Provisionado</t>
        </is>
      </c>
      <c r="Q41" t="inlineStr">
        <is>
          <t>04/2027</t>
        </is>
      </c>
      <c r="R41" t="n">
        <v>0</v>
      </c>
    </row>
    <row r="42">
      <c r="A42" t="n">
        <v>258071</v>
      </c>
      <c r="B42" t="inlineStr">
        <is>
          <t>Nuv Gastrobar</t>
        </is>
      </c>
      <c r="C42" t="inlineStr">
        <is>
          <t>CATARINA RAMOS NARCISO</t>
        </is>
      </c>
      <c r="D42" t="inlineStr">
        <is>
          <t>PROVISAO</t>
        </is>
      </c>
      <c r="E42" s="525" t="n">
        <v>46478</v>
      </c>
      <c r="F42" s="525" t="n">
        <v>46517</v>
      </c>
      <c r="G42" t="inlineStr">
        <is>
          <t>Mão de Obra - PJ</t>
        </is>
      </c>
      <c r="H42" t="inlineStr">
        <is>
          <t>MDO PJ Fixo</t>
        </is>
      </c>
      <c r="I42" t="inlineStr">
        <is>
          <t xml:space="preserve">CATARINA| EVENTOS NUV
</t>
        </is>
      </c>
      <c r="J42" t="n">
        <v>-4000</v>
      </c>
      <c r="K42" t="n">
        <v>-4000</v>
      </c>
      <c r="O42" t="inlineStr">
        <is>
          <t>Provisionado</t>
        </is>
      </c>
      <c r="Q42" t="inlineStr">
        <is>
          <t>04/2027</t>
        </is>
      </c>
      <c r="R42" t="n">
        <v>0</v>
      </c>
    </row>
    <row r="43">
      <c r="A43" t="n">
        <v>262744</v>
      </c>
      <c r="B43" t="inlineStr">
        <is>
          <t>Nuv Gastrobar</t>
        </is>
      </c>
      <c r="C43" t="inlineStr">
        <is>
          <t>CAIO VINICIUS MARTINELLI JACINTO</t>
        </is>
      </c>
      <c r="D43" t="inlineStr">
        <is>
          <t>PROVISAO</t>
        </is>
      </c>
      <c r="E43" s="525" t="n">
        <v>46478</v>
      </c>
      <c r="F43" s="525" t="n">
        <v>46517</v>
      </c>
      <c r="G43" t="inlineStr">
        <is>
          <t>Mão de Obra - PJ</t>
        </is>
      </c>
      <c r="H43" t="inlineStr">
        <is>
          <t>MDO PJ Fixo</t>
        </is>
      </c>
      <c r="J43" t="n">
        <v>-2600</v>
      </c>
      <c r="K43" t="n">
        <v>-2600</v>
      </c>
      <c r="M43" t="inlineStr">
        <is>
          <t>SUB CHEFE DE BAR</t>
        </is>
      </c>
      <c r="N43" t="inlineStr">
        <is>
          <t xml:space="preserve">  - Sub Chefe De Bar</t>
        </is>
      </c>
      <c r="O43" t="inlineStr">
        <is>
          <t>Provisionado</t>
        </is>
      </c>
      <c r="Q43" t="inlineStr">
        <is>
          <t>04/2027</t>
        </is>
      </c>
      <c r="R43" t="n">
        <v>0</v>
      </c>
    </row>
    <row r="44">
      <c r="A44" t="n">
        <v>259864</v>
      </c>
      <c r="B44" t="inlineStr">
        <is>
          <t>Nuv Gastrobar</t>
        </is>
      </c>
      <c r="C44" t="inlineStr">
        <is>
          <t>ARANTXA JIMENEZ</t>
        </is>
      </c>
      <c r="D44" t="inlineStr">
        <is>
          <t>PROVISAO</t>
        </is>
      </c>
      <c r="E44" s="525" t="n">
        <v>46478</v>
      </c>
      <c r="F44" s="525" t="n">
        <v>46517</v>
      </c>
      <c r="G44" t="inlineStr">
        <is>
          <t>Mão de Obra - PJ</t>
        </is>
      </c>
      <c r="H44" t="inlineStr">
        <is>
          <t>MDO PJ Fixo</t>
        </is>
      </c>
      <c r="I44" t="inlineStr">
        <is>
          <t>ARANTXA JIMENEZ | NUV</t>
        </is>
      </c>
      <c r="J44" t="n">
        <v>-4000</v>
      </c>
      <c r="K44" t="n">
        <v>-4000</v>
      </c>
      <c r="O44" t="inlineStr">
        <is>
          <t>Provisionado</t>
        </is>
      </c>
      <c r="Q44" t="inlineStr">
        <is>
          <t>04/2027</t>
        </is>
      </c>
      <c r="R44" t="n">
        <v>0</v>
      </c>
    </row>
    <row r="45">
      <c r="A45" t="n">
        <v>259896</v>
      </c>
      <c r="B45" t="inlineStr">
        <is>
          <t>Nuv Gastrobar</t>
        </is>
      </c>
      <c r="C45" t="inlineStr">
        <is>
          <t>PJ IVAN MANFRINATO BILIA 3781626180</t>
        </is>
      </c>
      <c r="D45" t="inlineStr">
        <is>
          <t>PROVISAO</t>
        </is>
      </c>
      <c r="E45" s="525" t="n">
        <v>46478</v>
      </c>
      <c r="F45" s="525" t="n">
        <v>46517</v>
      </c>
      <c r="G45" t="inlineStr">
        <is>
          <t>Mão de Obra - PJ</t>
        </is>
      </c>
      <c r="H45" t="inlineStr">
        <is>
          <t>MDO PJ Fixo</t>
        </is>
      </c>
      <c r="I45" t="inlineStr">
        <is>
          <t>IVAN MANFRINATO BILIA | NUV</t>
        </is>
      </c>
      <c r="J45" t="n">
        <v>-3250</v>
      </c>
      <c r="K45" t="n">
        <v>-3250</v>
      </c>
      <c r="M45" t="inlineStr">
        <is>
          <t>CHEFE DE COZINHA</t>
        </is>
      </c>
      <c r="N45" t="inlineStr">
        <is>
          <t xml:space="preserve">  - Chefe de Cozinha</t>
        </is>
      </c>
      <c r="O45" t="inlineStr">
        <is>
          <t>Provisionado</t>
        </is>
      </c>
      <c r="Q45" t="inlineStr">
        <is>
          <t>04/2027</t>
        </is>
      </c>
      <c r="R45" t="n">
        <v>0</v>
      </c>
    </row>
    <row r="46">
      <c r="A46" t="n">
        <v>259892</v>
      </c>
      <c r="B46" t="inlineStr">
        <is>
          <t>Nuv Gastrobar</t>
        </is>
      </c>
      <c r="C46" t="inlineStr">
        <is>
          <t>DOUGLAS LOBATO DE CHICO</t>
        </is>
      </c>
      <c r="D46" t="inlineStr">
        <is>
          <t>PROVISAO</t>
        </is>
      </c>
      <c r="E46" s="525" t="n">
        <v>46478</v>
      </c>
      <c r="F46" s="525" t="n">
        <v>46517</v>
      </c>
      <c r="G46" t="inlineStr">
        <is>
          <t>Mão de Obra - PJ</t>
        </is>
      </c>
      <c r="H46" t="inlineStr">
        <is>
          <t>MDO PJ Fixo</t>
        </is>
      </c>
      <c r="I46" t="inlineStr">
        <is>
          <t xml:space="preserve">DOUGLAS LOBATO DE CHICO | NUV
</t>
        </is>
      </c>
      <c r="J46" t="n">
        <v>-4200</v>
      </c>
      <c r="K46" t="n">
        <v>-4200</v>
      </c>
      <c r="O46" t="inlineStr">
        <is>
          <t>Provisionado</t>
        </is>
      </c>
      <c r="Q46" t="inlineStr">
        <is>
          <t>04/2027</t>
        </is>
      </c>
      <c r="R46" t="n">
        <v>0</v>
      </c>
    </row>
    <row r="47">
      <c r="A47" t="n">
        <v>259879</v>
      </c>
      <c r="B47" t="inlineStr">
        <is>
          <t>Nuv Gastrobar</t>
        </is>
      </c>
      <c r="C47" t="inlineStr">
        <is>
          <t>BRUNA VALLONE SANTOS</t>
        </is>
      </c>
      <c r="D47" t="inlineStr">
        <is>
          <t>PROVISAO</t>
        </is>
      </c>
      <c r="E47" s="525" t="n">
        <v>46478</v>
      </c>
      <c r="F47" s="525" t="n">
        <v>46517</v>
      </c>
      <c r="G47" t="inlineStr">
        <is>
          <t>Mão de Obra - PJ</t>
        </is>
      </c>
      <c r="H47" t="inlineStr">
        <is>
          <t>MDO PJ Fixo</t>
        </is>
      </c>
      <c r="I47" t="inlineStr">
        <is>
          <t>BRUNA VALLONE SANTOS | NUV</t>
        </is>
      </c>
      <c r="J47" t="n">
        <v>-4200</v>
      </c>
      <c r="K47" t="n">
        <v>-4200</v>
      </c>
      <c r="O47" t="inlineStr">
        <is>
          <t>Provisionado</t>
        </is>
      </c>
      <c r="Q47" t="inlineStr">
        <is>
          <t>04/2027</t>
        </is>
      </c>
      <c r="R47" t="n">
        <v>0</v>
      </c>
    </row>
    <row r="48">
      <c r="A48" t="n">
        <v>262369</v>
      </c>
      <c r="B48" t="inlineStr">
        <is>
          <t>Nuv Gastrobar</t>
        </is>
      </c>
      <c r="C48" t="inlineStr">
        <is>
          <t xml:space="preserve">CSRF </t>
        </is>
      </c>
      <c r="D48" t="inlineStr">
        <is>
          <t>PROVISAO</t>
        </is>
      </c>
      <c r="E48" s="525" t="n">
        <v>46476</v>
      </c>
      <c r="F48" s="525" t="n">
        <v>46497</v>
      </c>
      <c r="G48" t="inlineStr">
        <is>
          <t>Imposto de Renda</t>
        </is>
      </c>
      <c r="H48" t="inlineStr">
        <is>
          <t>CSLL</t>
        </is>
      </c>
      <c r="J48" t="n">
        <v>-100</v>
      </c>
      <c r="K48" t="n">
        <v>-100</v>
      </c>
      <c r="O48" t="inlineStr">
        <is>
          <t>Provisionado</t>
        </is>
      </c>
      <c r="Q48" t="inlineStr">
        <is>
          <t>03/2027</t>
        </is>
      </c>
      <c r="R48" t="n">
        <v>0</v>
      </c>
    </row>
    <row r="49">
      <c r="A49" t="n">
        <v>262366</v>
      </c>
      <c r="B49" t="inlineStr">
        <is>
          <t>Nuv Gastrobar</t>
        </is>
      </c>
      <c r="C49" t="inlineStr">
        <is>
          <t>IRRF</t>
        </is>
      </c>
      <c r="D49" t="inlineStr">
        <is>
          <t>PROVISAO</t>
        </is>
      </c>
      <c r="E49" s="525" t="n">
        <v>46476</v>
      </c>
      <c r="F49" s="525" t="n">
        <v>46497</v>
      </c>
      <c r="G49" t="inlineStr">
        <is>
          <t>Imposto de Renda</t>
        </is>
      </c>
      <c r="H49" t="inlineStr">
        <is>
          <t>IRRF</t>
        </is>
      </c>
      <c r="J49" t="n">
        <v>-100</v>
      </c>
      <c r="K49" t="n">
        <v>-100</v>
      </c>
      <c r="O49" t="inlineStr">
        <is>
          <t>Provisionado</t>
        </is>
      </c>
      <c r="Q49" t="inlineStr">
        <is>
          <t>03/2027</t>
        </is>
      </c>
      <c r="R49" t="n">
        <v>0</v>
      </c>
    </row>
    <row r="50">
      <c r="A50" t="n">
        <v>261847</v>
      </c>
      <c r="B50" t="inlineStr">
        <is>
          <t>Nuv Gastrobar</t>
        </is>
      </c>
      <c r="C50" t="inlineStr">
        <is>
          <t>ISS</t>
        </is>
      </c>
      <c r="D50" t="inlineStr">
        <is>
          <t>PROVISAO</t>
        </is>
      </c>
      <c r="E50" s="525" t="n">
        <v>46476</v>
      </c>
      <c r="F50" s="525" t="n">
        <v>46487</v>
      </c>
      <c r="G50" t="inlineStr">
        <is>
          <t>Impostos sobre Venda</t>
        </is>
      </c>
      <c r="H50" t="inlineStr">
        <is>
          <t>ISS</t>
        </is>
      </c>
      <c r="J50" t="n">
        <v>-500</v>
      </c>
      <c r="K50" t="n">
        <v>-500</v>
      </c>
      <c r="O50" t="inlineStr">
        <is>
          <t>Provisionado</t>
        </is>
      </c>
      <c r="Q50" t="inlineStr">
        <is>
          <t>03/2027</t>
        </is>
      </c>
      <c r="R50" t="n">
        <v>0</v>
      </c>
    </row>
    <row r="51">
      <c r="A51" t="n">
        <v>261858</v>
      </c>
      <c r="B51" t="inlineStr">
        <is>
          <t>Nuv Gastrobar</t>
        </is>
      </c>
      <c r="C51" t="inlineStr">
        <is>
          <t>ICMS</t>
        </is>
      </c>
      <c r="D51" t="inlineStr">
        <is>
          <t>PROVISAO</t>
        </is>
      </c>
      <c r="E51" s="525" t="n">
        <v>46476</v>
      </c>
      <c r="F51" s="525" t="n">
        <v>46497</v>
      </c>
      <c r="G51" t="inlineStr">
        <is>
          <t>Impostos sobre Venda</t>
        </is>
      </c>
      <c r="H51" t="inlineStr">
        <is>
          <t>ICMS</t>
        </is>
      </c>
      <c r="J51" t="n">
        <v>-5000</v>
      </c>
      <c r="K51" t="n">
        <v>-5000</v>
      </c>
      <c r="O51" t="inlineStr">
        <is>
          <t>Provisionado</t>
        </is>
      </c>
      <c r="Q51" t="inlineStr">
        <is>
          <t>03/2027</t>
        </is>
      </c>
      <c r="R51" t="n">
        <v>0</v>
      </c>
    </row>
    <row r="52">
      <c r="A52" t="n">
        <v>258070</v>
      </c>
      <c r="B52" t="inlineStr">
        <is>
          <t>Nuv Gastrobar</t>
        </is>
      </c>
      <c r="C52" t="inlineStr">
        <is>
          <t>CATARINA RAMOS NARCISO</t>
        </is>
      </c>
      <c r="D52" t="inlineStr">
        <is>
          <t>PROVISAO</t>
        </is>
      </c>
      <c r="E52" s="525" t="n">
        <v>46447</v>
      </c>
      <c r="F52" s="525" t="n">
        <v>46487</v>
      </c>
      <c r="G52" t="inlineStr">
        <is>
          <t>Mão de Obra - PJ</t>
        </is>
      </c>
      <c r="H52" t="inlineStr">
        <is>
          <t>MDO PJ Fixo</t>
        </is>
      </c>
      <c r="I52" t="inlineStr">
        <is>
          <t xml:space="preserve">CATARINA| EVENTOS NUV
</t>
        </is>
      </c>
      <c r="J52" t="n">
        <v>-4000</v>
      </c>
      <c r="K52" t="n">
        <v>-4000</v>
      </c>
      <c r="O52" t="inlineStr">
        <is>
          <t>Provisionado</t>
        </is>
      </c>
      <c r="Q52" t="inlineStr">
        <is>
          <t>03/2027</t>
        </is>
      </c>
      <c r="R52" t="n">
        <v>0</v>
      </c>
    </row>
    <row r="53">
      <c r="A53" t="n">
        <v>258170</v>
      </c>
      <c r="B53" t="inlineStr">
        <is>
          <t>Nuv Gastrobar</t>
        </is>
      </c>
      <c r="C53" t="inlineStr">
        <is>
          <t>PJ IVAN MANFRINATO BILIA 3781626180</t>
        </is>
      </c>
      <c r="D53" t="inlineStr">
        <is>
          <t>PROVISAO</t>
        </is>
      </c>
      <c r="E53" s="525" t="n">
        <v>46447</v>
      </c>
      <c r="F53" s="525" t="n">
        <v>46487</v>
      </c>
      <c r="G53" t="inlineStr">
        <is>
          <t>Mão de Obra - PJ</t>
        </is>
      </c>
      <c r="H53" t="inlineStr">
        <is>
          <t>MDO PJ Fixo</t>
        </is>
      </c>
      <c r="I53" t="inlineStr">
        <is>
          <t>IVAN| NUV</t>
        </is>
      </c>
      <c r="J53" t="n">
        <v>-3250</v>
      </c>
      <c r="K53" t="n">
        <v>-3250</v>
      </c>
      <c r="M53" t="inlineStr">
        <is>
          <t>CHEFE DE COZINHA</t>
        </is>
      </c>
      <c r="N53" t="inlineStr">
        <is>
          <t xml:space="preserve">  - Chefe de Cozinha</t>
        </is>
      </c>
      <c r="O53" t="inlineStr">
        <is>
          <t>Provisionado</t>
        </is>
      </c>
      <c r="Q53" t="inlineStr">
        <is>
          <t>03/2027</t>
        </is>
      </c>
      <c r="R53" t="n">
        <v>0</v>
      </c>
    </row>
    <row r="54">
      <c r="A54" t="n">
        <v>259548</v>
      </c>
      <c r="B54" t="inlineStr">
        <is>
          <t>Nuv Gastrobar</t>
        </is>
      </c>
      <c r="C54" t="inlineStr">
        <is>
          <t>SALARIOS CLT</t>
        </is>
      </c>
      <c r="D54" t="inlineStr">
        <is>
          <t>PROVISAO</t>
        </is>
      </c>
      <c r="E54" s="525" t="n">
        <v>46447</v>
      </c>
      <c r="F54" s="525" t="n">
        <v>46481</v>
      </c>
      <c r="G54" t="inlineStr">
        <is>
          <t>Mão de Obra - Salários</t>
        </is>
      </c>
      <c r="H54" t="inlineStr">
        <is>
          <t>MDO CLT - Salário</t>
        </is>
      </c>
      <c r="I54" t="inlineStr">
        <is>
          <t xml:space="preserve">SALÁRIOS </t>
        </is>
      </c>
      <c r="J54" t="n">
        <v>-40000</v>
      </c>
      <c r="K54" t="n">
        <v>-40000</v>
      </c>
      <c r="O54" t="inlineStr">
        <is>
          <t>Provisionado</t>
        </is>
      </c>
      <c r="Q54" t="inlineStr">
        <is>
          <t>03/2027</t>
        </is>
      </c>
      <c r="R54" t="n">
        <v>0</v>
      </c>
    </row>
    <row r="55">
      <c r="A55" t="n">
        <v>259876</v>
      </c>
      <c r="B55" t="inlineStr">
        <is>
          <t>Nuv Gastrobar</t>
        </is>
      </c>
      <c r="C55" t="inlineStr">
        <is>
          <t>BRUNA VALLONE SANTOS</t>
        </is>
      </c>
      <c r="D55" t="inlineStr">
        <is>
          <t>PROVISAO</t>
        </is>
      </c>
      <c r="E55" s="525" t="n">
        <v>46447</v>
      </c>
      <c r="F55" s="525" t="n">
        <v>46487</v>
      </c>
      <c r="G55" t="inlineStr">
        <is>
          <t>Mão de Obra - PJ</t>
        </is>
      </c>
      <c r="H55" t="inlineStr">
        <is>
          <t>MDO PJ Fixo</t>
        </is>
      </c>
      <c r="I55" t="inlineStr">
        <is>
          <t>BRUNA VALLONE SANTOS | NUV</t>
        </is>
      </c>
      <c r="J55" t="n">
        <v>-4200</v>
      </c>
      <c r="K55" t="n">
        <v>-4200</v>
      </c>
      <c r="O55" t="inlineStr">
        <is>
          <t>Provisionado</t>
        </is>
      </c>
      <c r="Q55" t="inlineStr">
        <is>
          <t>03/2027</t>
        </is>
      </c>
      <c r="R55" t="n">
        <v>0</v>
      </c>
    </row>
    <row r="56">
      <c r="A56" t="n">
        <v>259941</v>
      </c>
      <c r="B56" t="inlineStr">
        <is>
          <t>Nuv Gastrobar</t>
        </is>
      </c>
      <c r="C56" t="inlineStr">
        <is>
          <t>PJ PEDRO XAVIER ANTUNES CAVALHEIRO 45502040879</t>
        </is>
      </c>
      <c r="D56" t="inlineStr">
        <is>
          <t>PROVISAO</t>
        </is>
      </c>
      <c r="E56" s="525" t="n">
        <v>46447</v>
      </c>
      <c r="F56" s="525" t="n">
        <v>46487</v>
      </c>
      <c r="G56" t="inlineStr">
        <is>
          <t>Mão de Obra - PJ</t>
        </is>
      </c>
      <c r="H56" t="inlineStr">
        <is>
          <t>MDO PJ Fixo</t>
        </is>
      </c>
      <c r="I56" t="inlineStr">
        <is>
          <t xml:space="preserve">PEDRO XAVIER ANTUNES CAVALHEIRO | NUV
</t>
        </is>
      </c>
      <c r="J56" t="n">
        <v>-3960</v>
      </c>
      <c r="K56" t="n">
        <v>-3960</v>
      </c>
      <c r="M56" t="inlineStr">
        <is>
          <t>GERENTE</t>
        </is>
      </c>
      <c r="N56" t="inlineStr">
        <is>
          <t xml:space="preserve">  - Gerente</t>
        </is>
      </c>
      <c r="O56" t="inlineStr">
        <is>
          <t>Provisionado</t>
        </is>
      </c>
      <c r="Q56" t="inlineStr">
        <is>
          <t>03/2027</t>
        </is>
      </c>
      <c r="R56" t="n">
        <v>0</v>
      </c>
    </row>
    <row r="57">
      <c r="A57" t="n">
        <v>259888</v>
      </c>
      <c r="B57" t="inlineStr">
        <is>
          <t>Nuv Gastrobar</t>
        </is>
      </c>
      <c r="C57" t="inlineStr">
        <is>
          <t>DOUGLAS LOBATO DE CHICO</t>
        </is>
      </c>
      <c r="D57" t="inlineStr">
        <is>
          <t>PROVISAO</t>
        </is>
      </c>
      <c r="E57" s="525" t="n">
        <v>46447</v>
      </c>
      <c r="F57" s="525" t="n">
        <v>46487</v>
      </c>
      <c r="G57" t="inlineStr">
        <is>
          <t>Mão de Obra - PJ</t>
        </is>
      </c>
      <c r="H57" t="inlineStr">
        <is>
          <t>MDO PJ Fixo</t>
        </is>
      </c>
      <c r="I57" t="inlineStr">
        <is>
          <t xml:space="preserve">DOUGLAS LOBATO DE CHICO | NUV
</t>
        </is>
      </c>
      <c r="J57" t="n">
        <v>-4200</v>
      </c>
      <c r="K57" t="n">
        <v>-4200</v>
      </c>
      <c r="O57" t="inlineStr">
        <is>
          <t>Provisionado</t>
        </is>
      </c>
      <c r="Q57" t="inlineStr">
        <is>
          <t>03/2027</t>
        </is>
      </c>
      <c r="R57" t="n">
        <v>0</v>
      </c>
    </row>
    <row r="58">
      <c r="A58" t="n">
        <v>258156</v>
      </c>
      <c r="B58" t="inlineStr">
        <is>
          <t>Nuv Gastrobar</t>
        </is>
      </c>
      <c r="C58" t="inlineStr">
        <is>
          <t>PJ PEDRO XAVIER ANTUNES CAVALHEIRO 45502040879</t>
        </is>
      </c>
      <c r="D58" t="inlineStr">
        <is>
          <t>PROVISAO</t>
        </is>
      </c>
      <c r="E58" s="525" t="n">
        <v>46447</v>
      </c>
      <c r="F58" s="525" t="n">
        <v>46487</v>
      </c>
      <c r="G58" t="inlineStr">
        <is>
          <t>Mão de Obra - PJ</t>
        </is>
      </c>
      <c r="H58" t="inlineStr">
        <is>
          <t>MDO PJ Fixo</t>
        </is>
      </c>
      <c r="I58" t="inlineStr">
        <is>
          <t>PEDRO| NUV</t>
        </is>
      </c>
      <c r="J58" t="n">
        <v>-3960</v>
      </c>
      <c r="K58" t="n">
        <v>-3960</v>
      </c>
      <c r="M58" t="inlineStr">
        <is>
          <t>GERENTE</t>
        </is>
      </c>
      <c r="N58" t="inlineStr">
        <is>
          <t xml:space="preserve">  - Gerente</t>
        </is>
      </c>
      <c r="O58" t="inlineStr">
        <is>
          <t>Provisionado</t>
        </is>
      </c>
      <c r="Q58" t="inlineStr">
        <is>
          <t>03/2027</t>
        </is>
      </c>
      <c r="R58" t="n">
        <v>0</v>
      </c>
    </row>
    <row r="59">
      <c r="A59" t="n">
        <v>258046</v>
      </c>
      <c r="B59" t="inlineStr">
        <is>
          <t>Nuv Gastrobar</t>
        </is>
      </c>
      <c r="C59" t="inlineStr">
        <is>
          <t>BEATRIZ PEREIRA GARCIA</t>
        </is>
      </c>
      <c r="D59" t="inlineStr">
        <is>
          <t>PROVISAO</t>
        </is>
      </c>
      <c r="E59" s="525" t="n">
        <v>46447</v>
      </c>
      <c r="F59" s="525" t="n">
        <v>46487</v>
      </c>
      <c r="G59" t="inlineStr">
        <is>
          <t>Mão de Obra - PJ</t>
        </is>
      </c>
      <c r="H59" t="inlineStr">
        <is>
          <t>MDO PJ Fixo</t>
        </is>
      </c>
      <c r="I59" t="inlineStr">
        <is>
          <t>BEATRIZ | ADM NUV</t>
        </is>
      </c>
      <c r="J59" t="n">
        <v>-3000</v>
      </c>
      <c r="K59" t="n">
        <v>-3000</v>
      </c>
      <c r="O59" t="inlineStr">
        <is>
          <t>Provisionado</t>
        </is>
      </c>
      <c r="Q59" t="inlineStr">
        <is>
          <t>03/2027</t>
        </is>
      </c>
      <c r="R59" t="n">
        <v>0</v>
      </c>
    </row>
    <row r="60">
      <c r="A60" t="n">
        <v>259860</v>
      </c>
      <c r="B60" t="inlineStr">
        <is>
          <t>Nuv Gastrobar</t>
        </is>
      </c>
      <c r="C60" t="inlineStr">
        <is>
          <t>ARANTXA JIMENEZ</t>
        </is>
      </c>
      <c r="D60" t="inlineStr">
        <is>
          <t>PROVISAO</t>
        </is>
      </c>
      <c r="E60" s="525" t="n">
        <v>46447</v>
      </c>
      <c r="F60" s="525" t="n">
        <v>46487</v>
      </c>
      <c r="G60" t="inlineStr">
        <is>
          <t>Mão de Obra - PJ</t>
        </is>
      </c>
      <c r="H60" t="inlineStr">
        <is>
          <t>MDO PJ Fixo</t>
        </is>
      </c>
      <c r="I60" t="inlineStr">
        <is>
          <t>ARANTXA JIMENEZ | NUV</t>
        </is>
      </c>
      <c r="J60" t="n">
        <v>-4000</v>
      </c>
      <c r="K60" t="n">
        <v>-4000</v>
      </c>
      <c r="O60" t="inlineStr">
        <is>
          <t>Provisionado</t>
        </is>
      </c>
      <c r="Q60" t="inlineStr">
        <is>
          <t>03/2027</t>
        </is>
      </c>
      <c r="R60" t="n">
        <v>0</v>
      </c>
    </row>
    <row r="61">
      <c r="A61" t="n">
        <v>259902</v>
      </c>
      <c r="B61" t="inlineStr">
        <is>
          <t>Nuv Gastrobar</t>
        </is>
      </c>
      <c r="C61" t="inlineStr">
        <is>
          <t>PJ IVAN MANFRINATO BILIA 3781626180</t>
        </is>
      </c>
      <c r="D61" t="inlineStr">
        <is>
          <t>PROVISAO</t>
        </is>
      </c>
      <c r="E61" s="525" t="n">
        <v>46447</v>
      </c>
      <c r="F61" s="525" t="n">
        <v>46487</v>
      </c>
      <c r="G61" t="inlineStr">
        <is>
          <t>Mão de Obra - PJ</t>
        </is>
      </c>
      <c r="H61" t="inlineStr">
        <is>
          <t>MDO PJ Fixo</t>
        </is>
      </c>
      <c r="I61" t="inlineStr">
        <is>
          <t>IVAN MANFRINATO BILIA | NUV</t>
        </is>
      </c>
      <c r="J61" t="n">
        <v>-3250</v>
      </c>
      <c r="K61" t="n">
        <v>-3250</v>
      </c>
      <c r="M61" t="inlineStr">
        <is>
          <t>CHEFE DE COZINHA</t>
        </is>
      </c>
      <c r="N61" t="inlineStr">
        <is>
          <t xml:space="preserve">  - Chefe de Cozinha</t>
        </is>
      </c>
      <c r="O61" t="inlineStr">
        <is>
          <t>Provisionado</t>
        </is>
      </c>
      <c r="Q61" t="inlineStr">
        <is>
          <t>03/2027</t>
        </is>
      </c>
      <c r="R61" t="n">
        <v>0</v>
      </c>
    </row>
    <row r="62">
      <c r="A62" t="n">
        <v>262746</v>
      </c>
      <c r="B62" t="inlineStr">
        <is>
          <t>Nuv Gastrobar</t>
        </is>
      </c>
      <c r="C62" t="inlineStr">
        <is>
          <t>CAIO VINICIUS MARTINELLI JACINTO</t>
        </is>
      </c>
      <c r="D62" t="inlineStr">
        <is>
          <t>PROVISAO</t>
        </is>
      </c>
      <c r="E62" s="525" t="n">
        <v>46447</v>
      </c>
      <c r="F62" s="525" t="n">
        <v>46487</v>
      </c>
      <c r="G62" t="inlineStr">
        <is>
          <t>Mão de Obra - PJ</t>
        </is>
      </c>
      <c r="H62" t="inlineStr">
        <is>
          <t>MDO PJ Fixo</t>
        </is>
      </c>
      <c r="J62" t="n">
        <v>-2600</v>
      </c>
      <c r="K62" t="n">
        <v>-2600</v>
      </c>
      <c r="M62" t="inlineStr">
        <is>
          <t>SUB CHEFE DE BAR</t>
        </is>
      </c>
      <c r="N62" t="inlineStr">
        <is>
          <t xml:space="preserve">  - Sub Chefe De Bar</t>
        </is>
      </c>
      <c r="O62" t="inlineStr">
        <is>
          <t>Provisionado</t>
        </is>
      </c>
      <c r="Q62" t="inlineStr">
        <is>
          <t>03/2027</t>
        </is>
      </c>
      <c r="R62" t="n">
        <v>0</v>
      </c>
    </row>
    <row r="63">
      <c r="A63" t="n">
        <v>262367</v>
      </c>
      <c r="B63" t="inlineStr">
        <is>
          <t>Nuv Gastrobar</t>
        </is>
      </c>
      <c r="C63" t="inlineStr">
        <is>
          <t>IRRF</t>
        </is>
      </c>
      <c r="D63" t="inlineStr">
        <is>
          <t>PROVISAO</t>
        </is>
      </c>
      <c r="E63" s="525" t="n">
        <v>46446</v>
      </c>
      <c r="F63" s="525" t="n">
        <v>46466</v>
      </c>
      <c r="G63" t="inlineStr">
        <is>
          <t>Imposto de Renda</t>
        </is>
      </c>
      <c r="H63" t="inlineStr">
        <is>
          <t>IRRF</t>
        </is>
      </c>
      <c r="J63" t="n">
        <v>-100</v>
      </c>
      <c r="K63" t="n">
        <v>-100</v>
      </c>
      <c r="O63" t="inlineStr">
        <is>
          <t>Provisionado</t>
        </is>
      </c>
      <c r="Q63" t="inlineStr">
        <is>
          <t>02/2027</t>
        </is>
      </c>
      <c r="R63" t="n">
        <v>0</v>
      </c>
    </row>
    <row r="64">
      <c r="A64" t="n">
        <v>262374</v>
      </c>
      <c r="B64" t="inlineStr">
        <is>
          <t>Nuv Gastrobar</t>
        </is>
      </c>
      <c r="C64" t="inlineStr">
        <is>
          <t xml:space="preserve">CSRF </t>
        </is>
      </c>
      <c r="D64" t="inlineStr">
        <is>
          <t>PROVISAO</t>
        </is>
      </c>
      <c r="E64" s="525" t="n">
        <v>46446</v>
      </c>
      <c r="F64" s="525" t="n">
        <v>46466</v>
      </c>
      <c r="G64" t="inlineStr">
        <is>
          <t>Imposto de Renda</t>
        </is>
      </c>
      <c r="H64" t="inlineStr">
        <is>
          <t>CSLL</t>
        </is>
      </c>
      <c r="J64" t="n">
        <v>-100</v>
      </c>
      <c r="K64" t="n">
        <v>-100</v>
      </c>
      <c r="O64" t="inlineStr">
        <is>
          <t>Provisionado</t>
        </is>
      </c>
      <c r="Q64" t="inlineStr">
        <is>
          <t>02/2027</t>
        </is>
      </c>
      <c r="R64" t="n">
        <v>0</v>
      </c>
    </row>
    <row r="65">
      <c r="A65" t="n">
        <v>261859</v>
      </c>
      <c r="B65" t="inlineStr">
        <is>
          <t>Nuv Gastrobar</t>
        </is>
      </c>
      <c r="C65" t="inlineStr">
        <is>
          <t>ICMS</t>
        </is>
      </c>
      <c r="D65" t="inlineStr">
        <is>
          <t>PROVISAO</t>
        </is>
      </c>
      <c r="E65" s="525" t="n">
        <v>46446</v>
      </c>
      <c r="F65" s="525" t="n">
        <v>46466</v>
      </c>
      <c r="G65" t="inlineStr">
        <is>
          <t>Impostos sobre Venda</t>
        </is>
      </c>
      <c r="H65" t="inlineStr">
        <is>
          <t>ICMS</t>
        </is>
      </c>
      <c r="J65" t="n">
        <v>-5000</v>
      </c>
      <c r="K65" t="n">
        <v>-5000</v>
      </c>
      <c r="O65" t="inlineStr">
        <is>
          <t>Provisionado</t>
        </is>
      </c>
      <c r="Q65" t="inlineStr">
        <is>
          <t>02/2027</t>
        </is>
      </c>
      <c r="R65" t="n">
        <v>0</v>
      </c>
    </row>
    <row r="66">
      <c r="A66" t="n">
        <v>261849</v>
      </c>
      <c r="B66" t="inlineStr">
        <is>
          <t>Nuv Gastrobar</t>
        </is>
      </c>
      <c r="C66" t="inlineStr">
        <is>
          <t>ISS</t>
        </is>
      </c>
      <c r="D66" t="inlineStr">
        <is>
          <t>PROVISAO</t>
        </is>
      </c>
      <c r="E66" s="525" t="n">
        <v>46446</v>
      </c>
      <c r="F66" s="525" t="n">
        <v>46456</v>
      </c>
      <c r="G66" t="inlineStr">
        <is>
          <t>Impostos sobre Venda</t>
        </is>
      </c>
      <c r="H66" t="inlineStr">
        <is>
          <t>ISS</t>
        </is>
      </c>
      <c r="J66" t="n">
        <v>-500</v>
      </c>
      <c r="K66" t="n">
        <v>-500</v>
      </c>
      <c r="O66" t="inlineStr">
        <is>
          <t>Provisionado</t>
        </is>
      </c>
      <c r="Q66" t="inlineStr">
        <is>
          <t>02/2027</t>
        </is>
      </c>
      <c r="R66" t="n">
        <v>0</v>
      </c>
    </row>
    <row r="67">
      <c r="A67" t="n">
        <v>258169</v>
      </c>
      <c r="B67" t="inlineStr">
        <is>
          <t>Nuv Gastrobar</t>
        </is>
      </c>
      <c r="C67" t="inlineStr">
        <is>
          <t>PJ IVAN MANFRINATO BILIA 3781626180</t>
        </is>
      </c>
      <c r="D67" t="inlineStr">
        <is>
          <t>PROVISAO</t>
        </is>
      </c>
      <c r="E67" s="525" t="n">
        <v>46419</v>
      </c>
      <c r="F67" s="525" t="n">
        <v>46456</v>
      </c>
      <c r="G67" t="inlineStr">
        <is>
          <t>Mão de Obra - PJ</t>
        </is>
      </c>
      <c r="H67" t="inlineStr">
        <is>
          <t>MDO PJ Fixo</t>
        </is>
      </c>
      <c r="I67" t="inlineStr">
        <is>
          <t>IVAN| NUV</t>
        </is>
      </c>
      <c r="J67" t="n">
        <v>-3250</v>
      </c>
      <c r="K67" t="n">
        <v>-3250</v>
      </c>
      <c r="M67" t="inlineStr">
        <is>
          <t>CHEFE DE COZINHA</t>
        </is>
      </c>
      <c r="N67" t="inlineStr">
        <is>
          <t xml:space="preserve">  - Chefe de Cozinha</t>
        </is>
      </c>
      <c r="O67" t="inlineStr">
        <is>
          <t>Provisionado</t>
        </is>
      </c>
      <c r="Q67" t="inlineStr">
        <is>
          <t>02/2027</t>
        </is>
      </c>
      <c r="R67" t="n">
        <v>0</v>
      </c>
    </row>
    <row r="68">
      <c r="A68" t="n">
        <v>258069</v>
      </c>
      <c r="B68" t="inlineStr">
        <is>
          <t>Nuv Gastrobar</t>
        </is>
      </c>
      <c r="C68" t="inlineStr">
        <is>
          <t>CATARINA RAMOS NARCISO</t>
        </is>
      </c>
      <c r="D68" t="inlineStr">
        <is>
          <t>PROVISAO</t>
        </is>
      </c>
      <c r="E68" s="525" t="n">
        <v>46419</v>
      </c>
      <c r="F68" s="525" t="n">
        <v>46456</v>
      </c>
      <c r="G68" t="inlineStr">
        <is>
          <t>Mão de Obra - PJ</t>
        </is>
      </c>
      <c r="H68" t="inlineStr">
        <is>
          <t>MDO PJ Fixo</t>
        </is>
      </c>
      <c r="I68" t="inlineStr">
        <is>
          <t xml:space="preserve">CATARINA| EVENTOS NUV
</t>
        </is>
      </c>
      <c r="J68" t="n">
        <v>-4000</v>
      </c>
      <c r="K68" t="n">
        <v>-4000</v>
      </c>
      <c r="O68" t="inlineStr">
        <is>
          <t>Provisionado</t>
        </is>
      </c>
      <c r="Q68" t="inlineStr">
        <is>
          <t>02/2027</t>
        </is>
      </c>
      <c r="R68" t="n">
        <v>0</v>
      </c>
    </row>
    <row r="69">
      <c r="A69" t="n">
        <v>259893</v>
      </c>
      <c r="B69" t="inlineStr">
        <is>
          <t>Nuv Gastrobar</t>
        </is>
      </c>
      <c r="C69" t="inlineStr">
        <is>
          <t>DOUGLAS LOBATO DE CHICO</t>
        </is>
      </c>
      <c r="D69" t="inlineStr">
        <is>
          <t>PROVISAO</t>
        </is>
      </c>
      <c r="E69" s="525" t="n">
        <v>46419</v>
      </c>
      <c r="F69" s="525" t="n">
        <v>46456</v>
      </c>
      <c r="G69" t="inlineStr">
        <is>
          <t>Mão de Obra - PJ</t>
        </is>
      </c>
      <c r="H69" t="inlineStr">
        <is>
          <t>MDO PJ Fixo</t>
        </is>
      </c>
      <c r="I69" t="inlineStr">
        <is>
          <t xml:space="preserve">DOUGLAS LOBATO DE CHICO | NUV
</t>
        </is>
      </c>
      <c r="J69" t="n">
        <v>-4200</v>
      </c>
      <c r="K69" t="n">
        <v>-4200</v>
      </c>
      <c r="O69" t="inlineStr">
        <is>
          <t>Provisionado</t>
        </is>
      </c>
      <c r="Q69" t="inlineStr">
        <is>
          <t>02/2027</t>
        </is>
      </c>
      <c r="R69" t="n">
        <v>0</v>
      </c>
    </row>
    <row r="70">
      <c r="A70" t="n">
        <v>259898</v>
      </c>
      <c r="B70" t="inlineStr">
        <is>
          <t>Nuv Gastrobar</t>
        </is>
      </c>
      <c r="C70" t="inlineStr">
        <is>
          <t>PJ IVAN MANFRINATO BILIA 3781626180</t>
        </is>
      </c>
      <c r="D70" t="inlineStr">
        <is>
          <t>PROVISAO</t>
        </is>
      </c>
      <c r="E70" s="525" t="n">
        <v>46419</v>
      </c>
      <c r="F70" s="525" t="n">
        <v>46456</v>
      </c>
      <c r="G70" t="inlineStr">
        <is>
          <t>Mão de Obra - PJ</t>
        </is>
      </c>
      <c r="H70" t="inlineStr">
        <is>
          <t>MDO PJ Fixo</t>
        </is>
      </c>
      <c r="I70" t="inlineStr">
        <is>
          <t>IVAN MANFRINATO BILIA | NUV</t>
        </is>
      </c>
      <c r="J70" t="n">
        <v>-3250</v>
      </c>
      <c r="K70" t="n">
        <v>-3250</v>
      </c>
      <c r="M70" t="inlineStr">
        <is>
          <t>CHEFE DE COZINHA</t>
        </is>
      </c>
      <c r="N70" t="inlineStr">
        <is>
          <t xml:space="preserve">  - Chefe de Cozinha</t>
        </is>
      </c>
      <c r="O70" t="inlineStr">
        <is>
          <t>Provisionado</t>
        </is>
      </c>
      <c r="Q70" t="inlineStr">
        <is>
          <t>02/2027</t>
        </is>
      </c>
      <c r="R70" t="n">
        <v>0</v>
      </c>
    </row>
    <row r="71">
      <c r="A71" t="n">
        <v>259868</v>
      </c>
      <c r="B71" t="inlineStr">
        <is>
          <t>Nuv Gastrobar</t>
        </is>
      </c>
      <c r="C71" t="inlineStr">
        <is>
          <t>ARANTXA JIMENEZ</t>
        </is>
      </c>
      <c r="D71" t="inlineStr">
        <is>
          <t>PROVISAO</t>
        </is>
      </c>
      <c r="E71" s="525" t="n">
        <v>46419</v>
      </c>
      <c r="F71" s="525" t="n">
        <v>46456</v>
      </c>
      <c r="G71" t="inlineStr">
        <is>
          <t>Mão de Obra - PJ</t>
        </is>
      </c>
      <c r="H71" t="inlineStr">
        <is>
          <t>MDO PJ Fixo</t>
        </is>
      </c>
      <c r="I71" t="inlineStr">
        <is>
          <t>ARANTXA JIMENEZ | NUV</t>
        </is>
      </c>
      <c r="J71" t="n">
        <v>-4000</v>
      </c>
      <c r="K71" t="n">
        <v>-4000</v>
      </c>
      <c r="O71" t="inlineStr">
        <is>
          <t>Provisionado</t>
        </is>
      </c>
      <c r="Q71" t="inlineStr">
        <is>
          <t>02/2027</t>
        </is>
      </c>
      <c r="R71" t="n">
        <v>0</v>
      </c>
    </row>
    <row r="72">
      <c r="A72" t="n">
        <v>259553</v>
      </c>
      <c r="B72" t="inlineStr">
        <is>
          <t>Nuv Gastrobar</t>
        </is>
      </c>
      <c r="C72" t="inlineStr">
        <is>
          <t>SALARIOS CLT</t>
        </is>
      </c>
      <c r="D72" t="inlineStr">
        <is>
          <t>PROVISAO</t>
        </is>
      </c>
      <c r="E72" s="525" t="n">
        <v>46419</v>
      </c>
      <c r="F72" s="525" t="n">
        <v>46450</v>
      </c>
      <c r="G72" t="inlineStr">
        <is>
          <t>Mão de Obra - Salários</t>
        </is>
      </c>
      <c r="H72" t="inlineStr">
        <is>
          <t>MDO CLT - Salário</t>
        </is>
      </c>
      <c r="I72" t="inlineStr">
        <is>
          <t xml:space="preserve">SALÁRIOS </t>
        </is>
      </c>
      <c r="J72" t="n">
        <v>-40000</v>
      </c>
      <c r="K72" t="n">
        <v>-40000</v>
      </c>
      <c r="O72" t="inlineStr">
        <is>
          <t>Provisionado</t>
        </is>
      </c>
      <c r="Q72" t="inlineStr">
        <is>
          <t>02/2027</t>
        </is>
      </c>
      <c r="R72" t="n">
        <v>0</v>
      </c>
    </row>
    <row r="73">
      <c r="A73" t="n">
        <v>258045</v>
      </c>
      <c r="B73" t="inlineStr">
        <is>
          <t>Nuv Gastrobar</t>
        </is>
      </c>
      <c r="C73" t="inlineStr">
        <is>
          <t>BEATRIZ PEREIRA GARCIA</t>
        </is>
      </c>
      <c r="D73" t="inlineStr">
        <is>
          <t>PROVISAO</t>
        </is>
      </c>
      <c r="E73" s="525" t="n">
        <v>46419</v>
      </c>
      <c r="F73" s="525" t="n">
        <v>46456</v>
      </c>
      <c r="G73" t="inlineStr">
        <is>
          <t>Mão de Obra - PJ</t>
        </is>
      </c>
      <c r="H73" t="inlineStr">
        <is>
          <t>MDO PJ Fixo</t>
        </is>
      </c>
      <c r="I73" t="inlineStr">
        <is>
          <t>BEATRIZ | ADM NUV</t>
        </is>
      </c>
      <c r="J73" t="n">
        <v>-3000</v>
      </c>
      <c r="K73" t="n">
        <v>-3000</v>
      </c>
      <c r="O73" t="inlineStr">
        <is>
          <t>Provisionado</t>
        </is>
      </c>
      <c r="Q73" t="inlineStr">
        <is>
          <t>02/2027</t>
        </is>
      </c>
      <c r="R73" t="n">
        <v>0</v>
      </c>
    </row>
    <row r="74">
      <c r="A74" t="n">
        <v>258155</v>
      </c>
      <c r="B74" t="inlineStr">
        <is>
          <t>Nuv Gastrobar</t>
        </is>
      </c>
      <c r="C74" t="inlineStr">
        <is>
          <t>PJ PEDRO XAVIER ANTUNES CAVALHEIRO 45502040879</t>
        </is>
      </c>
      <c r="D74" t="inlineStr">
        <is>
          <t>PROVISAO</t>
        </is>
      </c>
      <c r="E74" s="525" t="n">
        <v>46419</v>
      </c>
      <c r="F74" s="525" t="n">
        <v>46456</v>
      </c>
      <c r="G74" t="inlineStr">
        <is>
          <t>Mão de Obra - PJ</t>
        </is>
      </c>
      <c r="H74" t="inlineStr">
        <is>
          <t>MDO PJ Fixo</t>
        </is>
      </c>
      <c r="I74" t="inlineStr">
        <is>
          <t>PEDRO| NUV</t>
        </is>
      </c>
      <c r="J74" t="n">
        <v>-3960</v>
      </c>
      <c r="K74" t="n">
        <v>-3960</v>
      </c>
      <c r="M74" t="inlineStr">
        <is>
          <t>GERENTE</t>
        </is>
      </c>
      <c r="N74" t="inlineStr">
        <is>
          <t xml:space="preserve">  - Gerente</t>
        </is>
      </c>
      <c r="O74" t="inlineStr">
        <is>
          <t>Provisionado</t>
        </is>
      </c>
      <c r="Q74" t="inlineStr">
        <is>
          <t>02/2027</t>
        </is>
      </c>
      <c r="R74" t="n">
        <v>0</v>
      </c>
    </row>
    <row r="75">
      <c r="A75" t="n">
        <v>259933</v>
      </c>
      <c r="B75" t="inlineStr">
        <is>
          <t>Nuv Gastrobar</t>
        </is>
      </c>
      <c r="C75" t="inlineStr">
        <is>
          <t>PJ PEDRO XAVIER ANTUNES CAVALHEIRO 45502040879</t>
        </is>
      </c>
      <c r="D75" t="inlineStr">
        <is>
          <t>PROVISAO</t>
        </is>
      </c>
      <c r="E75" s="525" t="n">
        <v>46419</v>
      </c>
      <c r="F75" s="525" t="n">
        <v>46456</v>
      </c>
      <c r="G75" t="inlineStr">
        <is>
          <t>Mão de Obra - PJ</t>
        </is>
      </c>
      <c r="H75" t="inlineStr">
        <is>
          <t>MDO PJ Fixo</t>
        </is>
      </c>
      <c r="I75" t="inlineStr">
        <is>
          <t xml:space="preserve">PEDRO XAVIER ANTUNES CAVALHEIRO | NUV
</t>
        </is>
      </c>
      <c r="J75" t="n">
        <v>-3960</v>
      </c>
      <c r="K75" t="n">
        <v>-3960</v>
      </c>
      <c r="M75" t="inlineStr">
        <is>
          <t>GERENTE</t>
        </is>
      </c>
      <c r="N75" t="inlineStr">
        <is>
          <t xml:space="preserve">  - Gerente</t>
        </is>
      </c>
      <c r="O75" t="inlineStr">
        <is>
          <t>Provisionado</t>
        </is>
      </c>
      <c r="Q75" t="inlineStr">
        <is>
          <t>02/2027</t>
        </is>
      </c>
      <c r="R75" t="n">
        <v>0</v>
      </c>
    </row>
    <row r="76">
      <c r="A76" t="n">
        <v>254732</v>
      </c>
      <c r="B76" t="inlineStr">
        <is>
          <t>Nuv Gastrobar</t>
        </is>
      </c>
      <c r="C76" t="inlineStr">
        <is>
          <t xml:space="preserve">ABRASEL SAO PAULO </t>
        </is>
      </c>
      <c r="D76" t="inlineStr">
        <is>
          <t>PROVISAO</t>
        </is>
      </c>
      <c r="E76" s="525" t="n">
        <v>46419</v>
      </c>
      <c r="F76" s="525" t="n">
        <v>46438</v>
      </c>
      <c r="G76" t="inlineStr">
        <is>
          <t>Serviços de Terceiros</t>
        </is>
      </c>
      <c r="H76" t="inlineStr">
        <is>
          <t>Assessoria Financeira</t>
        </is>
      </c>
      <c r="I76" t="inlineStr">
        <is>
          <t xml:space="preserve">ABRASEL </t>
        </is>
      </c>
      <c r="J76" t="n">
        <v>-185</v>
      </c>
      <c r="K76" t="n">
        <v>-185</v>
      </c>
      <c r="O76" t="inlineStr">
        <is>
          <t>Provisionado</t>
        </is>
      </c>
      <c r="Q76" t="inlineStr">
        <is>
          <t>02/2027</t>
        </is>
      </c>
      <c r="R76" t="n">
        <v>0</v>
      </c>
    </row>
    <row r="77">
      <c r="A77" t="n">
        <v>262741</v>
      </c>
      <c r="B77" t="inlineStr">
        <is>
          <t>Nuv Gastrobar</t>
        </is>
      </c>
      <c r="C77" t="inlineStr">
        <is>
          <t>CAIO VINICIUS MARTINELLI JACINTO</t>
        </is>
      </c>
      <c r="D77" t="inlineStr">
        <is>
          <t>PROVISAO</t>
        </is>
      </c>
      <c r="E77" s="525" t="n">
        <v>46419</v>
      </c>
      <c r="F77" s="525" t="n">
        <v>46456</v>
      </c>
      <c r="G77" t="inlineStr">
        <is>
          <t>Mão de Obra - PJ</t>
        </is>
      </c>
      <c r="H77" t="inlineStr">
        <is>
          <t>MDO PJ Fixo</t>
        </is>
      </c>
      <c r="J77" t="n">
        <v>-2600</v>
      </c>
      <c r="K77" t="n">
        <v>-2600</v>
      </c>
      <c r="M77" t="inlineStr">
        <is>
          <t>SUB CHEFE DE BAR</t>
        </is>
      </c>
      <c r="N77" t="inlineStr">
        <is>
          <t xml:space="preserve">  - Sub Chefe De Bar</t>
        </is>
      </c>
      <c r="O77" t="inlineStr">
        <is>
          <t>Provisionado</t>
        </is>
      </c>
      <c r="Q77" t="inlineStr">
        <is>
          <t>02/2027</t>
        </is>
      </c>
      <c r="R77" t="n">
        <v>0</v>
      </c>
    </row>
    <row r="78">
      <c r="A78" t="n">
        <v>259871</v>
      </c>
      <c r="B78" t="inlineStr">
        <is>
          <t>Nuv Gastrobar</t>
        </is>
      </c>
      <c r="C78" t="inlineStr">
        <is>
          <t>BRUNA VALLONE SANTOS</t>
        </is>
      </c>
      <c r="D78" t="inlineStr">
        <is>
          <t>PROVISAO</t>
        </is>
      </c>
      <c r="E78" s="525" t="n">
        <v>46419</v>
      </c>
      <c r="F78" s="525" t="n">
        <v>46456</v>
      </c>
      <c r="G78" t="inlineStr">
        <is>
          <t>Mão de Obra - PJ</t>
        </is>
      </c>
      <c r="H78" t="inlineStr">
        <is>
          <t>MDO PJ Fixo</t>
        </is>
      </c>
      <c r="I78" t="inlineStr">
        <is>
          <t>BRUNA VALLONE SANTOS | NUV</t>
        </is>
      </c>
      <c r="J78" t="n">
        <v>-4200</v>
      </c>
      <c r="K78" t="n">
        <v>-4200</v>
      </c>
      <c r="O78" t="inlineStr">
        <is>
          <t>Provisionado</t>
        </is>
      </c>
      <c r="Q78" t="inlineStr">
        <is>
          <t>02/2027</t>
        </is>
      </c>
      <c r="R78" t="n">
        <v>0</v>
      </c>
    </row>
    <row r="79">
      <c r="A79" t="n">
        <v>261860</v>
      </c>
      <c r="B79" t="inlineStr">
        <is>
          <t>Nuv Gastrobar</t>
        </is>
      </c>
      <c r="C79" t="inlineStr">
        <is>
          <t>ICMS</t>
        </is>
      </c>
      <c r="D79" t="inlineStr">
        <is>
          <t>PROVISAO</t>
        </is>
      </c>
      <c r="E79" s="525" t="n">
        <v>46417</v>
      </c>
      <c r="F79" s="525" t="n">
        <v>46438</v>
      </c>
      <c r="G79" t="inlineStr">
        <is>
          <t>Impostos sobre Venda</t>
        </is>
      </c>
      <c r="H79" t="inlineStr">
        <is>
          <t>ICMS</t>
        </is>
      </c>
      <c r="J79" t="n">
        <v>-5000</v>
      </c>
      <c r="K79" t="n">
        <v>-5000</v>
      </c>
      <c r="O79" t="inlineStr">
        <is>
          <t>Provisionado</t>
        </is>
      </c>
      <c r="Q79" t="inlineStr">
        <is>
          <t>01/2027</t>
        </is>
      </c>
      <c r="R79" t="n">
        <v>0</v>
      </c>
    </row>
    <row r="80">
      <c r="A80" t="n">
        <v>262373</v>
      </c>
      <c r="B80" t="inlineStr">
        <is>
          <t>Nuv Gastrobar</t>
        </is>
      </c>
      <c r="C80" t="inlineStr">
        <is>
          <t xml:space="preserve">CSRF </t>
        </is>
      </c>
      <c r="D80" t="inlineStr">
        <is>
          <t>PROVISAO</t>
        </is>
      </c>
      <c r="E80" s="525" t="n">
        <v>46417</v>
      </c>
      <c r="F80" s="525" t="n">
        <v>46438</v>
      </c>
      <c r="G80" t="inlineStr">
        <is>
          <t>Imposto de Renda</t>
        </is>
      </c>
      <c r="H80" t="inlineStr">
        <is>
          <t>CSLL</t>
        </is>
      </c>
      <c r="J80" t="n">
        <v>-100</v>
      </c>
      <c r="K80" t="n">
        <v>-100</v>
      </c>
      <c r="O80" t="inlineStr">
        <is>
          <t>Provisionado</t>
        </is>
      </c>
      <c r="Q80" t="inlineStr">
        <is>
          <t>01/2027</t>
        </is>
      </c>
      <c r="R80" t="n">
        <v>0</v>
      </c>
    </row>
    <row r="81">
      <c r="A81" t="n">
        <v>261846</v>
      </c>
      <c r="B81" t="inlineStr">
        <is>
          <t>Nuv Gastrobar</t>
        </is>
      </c>
      <c r="C81" t="inlineStr">
        <is>
          <t>ISS</t>
        </is>
      </c>
      <c r="D81" t="inlineStr">
        <is>
          <t>PROVISAO</t>
        </is>
      </c>
      <c r="E81" s="525" t="n">
        <v>46417</v>
      </c>
      <c r="F81" s="525" t="n">
        <v>46428</v>
      </c>
      <c r="G81" t="inlineStr">
        <is>
          <t>Impostos sobre Venda</t>
        </is>
      </c>
      <c r="H81" t="inlineStr">
        <is>
          <t>ISS</t>
        </is>
      </c>
      <c r="J81" t="n">
        <v>-500</v>
      </c>
      <c r="K81" t="n">
        <v>-500</v>
      </c>
      <c r="O81" t="inlineStr">
        <is>
          <t>Provisionado</t>
        </is>
      </c>
      <c r="Q81" t="inlineStr">
        <is>
          <t>01/2027</t>
        </is>
      </c>
      <c r="R81" t="n">
        <v>0</v>
      </c>
    </row>
    <row r="82">
      <c r="A82" t="n">
        <v>262364</v>
      </c>
      <c r="B82" t="inlineStr">
        <is>
          <t>Nuv Gastrobar</t>
        </is>
      </c>
      <c r="C82" t="inlineStr">
        <is>
          <t>IRRF</t>
        </is>
      </c>
      <c r="D82" t="inlineStr">
        <is>
          <t>PROVISAO</t>
        </is>
      </c>
      <c r="E82" s="525" t="n">
        <v>46417</v>
      </c>
      <c r="F82" s="525" t="n">
        <v>46438</v>
      </c>
      <c r="G82" t="inlineStr">
        <is>
          <t>Imposto de Renda</t>
        </is>
      </c>
      <c r="H82" t="inlineStr">
        <is>
          <t>IRRF</t>
        </is>
      </c>
      <c r="J82" t="n">
        <v>-100</v>
      </c>
      <c r="K82" t="n">
        <v>-100</v>
      </c>
      <c r="O82" t="inlineStr">
        <is>
          <t>Provisionado</t>
        </is>
      </c>
      <c r="Q82" t="inlineStr">
        <is>
          <t>01/2027</t>
        </is>
      </c>
      <c r="R82" t="n">
        <v>0</v>
      </c>
    </row>
    <row r="83">
      <c r="A83" t="n">
        <v>258266</v>
      </c>
      <c r="B83" t="inlineStr">
        <is>
          <t>Nuv Gastrobar</t>
        </is>
      </c>
      <c r="C83" t="inlineStr">
        <is>
          <t>GILBERTO FERREIRA SILVA JUNIOR</t>
        </is>
      </c>
      <c r="D83" t="inlineStr">
        <is>
          <t>18354347955009146</t>
        </is>
      </c>
      <c r="E83" s="525" t="n">
        <v>46400</v>
      </c>
      <c r="F83" s="525" t="n">
        <v>46408</v>
      </c>
      <c r="G83" t="inlineStr">
        <is>
          <t>Locação de Equipamentos</t>
        </is>
      </c>
      <c r="H83" t="inlineStr">
        <is>
          <t>Locações de Equipamentos - Operacionais</t>
        </is>
      </c>
      <c r="I83" t="inlineStr">
        <is>
          <t>LOCAÇÃO DE MÁQUINAS DE LAVAR LOUÇA - 6/6 - 01/2027</t>
        </is>
      </c>
      <c r="J83" t="n">
        <v>-1600</v>
      </c>
      <c r="K83" t="n">
        <v>-1600</v>
      </c>
      <c r="O83" t="inlineStr">
        <is>
          <t>Provisionado</t>
        </is>
      </c>
      <c r="Q83" t="inlineStr">
        <is>
          <t>01/2027</t>
        </is>
      </c>
      <c r="R83" t="n">
        <v>0</v>
      </c>
    </row>
    <row r="84">
      <c r="A84" t="n">
        <v>259550</v>
      </c>
      <c r="B84" t="inlineStr">
        <is>
          <t>Nuv Gastrobar</t>
        </is>
      </c>
      <c r="C84" t="inlineStr">
        <is>
          <t>SALARIOS CLT</t>
        </is>
      </c>
      <c r="D84" t="inlineStr">
        <is>
          <t>PROVISAO</t>
        </is>
      </c>
      <c r="E84" s="525" t="n">
        <v>46388</v>
      </c>
      <c r="F84" s="525" t="n">
        <v>46422</v>
      </c>
      <c r="G84" t="inlineStr">
        <is>
          <t>Mão de Obra - Salários</t>
        </is>
      </c>
      <c r="H84" t="inlineStr">
        <is>
          <t>MDO CLT - Salário</t>
        </is>
      </c>
      <c r="I84" t="inlineStr">
        <is>
          <t xml:space="preserve">SALÁRIOS </t>
        </is>
      </c>
      <c r="J84" t="n">
        <v>-40000</v>
      </c>
      <c r="K84" t="n">
        <v>-40000</v>
      </c>
      <c r="O84" t="inlineStr">
        <is>
          <t>Provisionado</t>
        </is>
      </c>
      <c r="Q84" t="inlineStr">
        <is>
          <t>01/2027</t>
        </is>
      </c>
      <c r="R84" t="n">
        <v>0</v>
      </c>
    </row>
    <row r="85">
      <c r="A85" t="n">
        <v>259899</v>
      </c>
      <c r="B85" t="inlineStr">
        <is>
          <t>Nuv Gastrobar</t>
        </is>
      </c>
      <c r="C85" t="inlineStr">
        <is>
          <t>PJ IVAN MANFRINATO BILIA 3781626180</t>
        </is>
      </c>
      <c r="D85" t="inlineStr">
        <is>
          <t>PROVISAO</t>
        </is>
      </c>
      <c r="E85" s="525" t="n">
        <v>46388</v>
      </c>
      <c r="F85" s="525" t="n">
        <v>46428</v>
      </c>
      <c r="G85" t="inlineStr">
        <is>
          <t>Mão de Obra - PJ</t>
        </is>
      </c>
      <c r="H85" t="inlineStr">
        <is>
          <t>MDO PJ Fixo</t>
        </is>
      </c>
      <c r="I85" t="inlineStr">
        <is>
          <t>IVAN MANFRINATO BILIA | NUV</t>
        </is>
      </c>
      <c r="J85" t="n">
        <v>-3250</v>
      </c>
      <c r="K85" t="n">
        <v>-3250</v>
      </c>
      <c r="M85" t="inlineStr">
        <is>
          <t>CHEFE DE COZINHA</t>
        </is>
      </c>
      <c r="N85" t="inlineStr">
        <is>
          <t xml:space="preserve">  - Chefe de Cozinha</t>
        </is>
      </c>
      <c r="O85" t="inlineStr">
        <is>
          <t>Provisionado</t>
        </is>
      </c>
      <c r="Q85" t="inlineStr">
        <is>
          <t>01/2027</t>
        </is>
      </c>
      <c r="R85" t="n">
        <v>0</v>
      </c>
    </row>
    <row r="86">
      <c r="A86" t="n">
        <v>258154</v>
      </c>
      <c r="B86" t="inlineStr">
        <is>
          <t>Nuv Gastrobar</t>
        </is>
      </c>
      <c r="C86" t="inlineStr">
        <is>
          <t>PJ PEDRO XAVIER ANTUNES CAVALHEIRO 45502040879</t>
        </is>
      </c>
      <c r="D86" t="inlineStr">
        <is>
          <t>PROVISAO</t>
        </is>
      </c>
      <c r="E86" s="525" t="n">
        <v>46388</v>
      </c>
      <c r="F86" s="525" t="n">
        <v>46428</v>
      </c>
      <c r="G86" t="inlineStr">
        <is>
          <t>Mão de Obra - PJ</t>
        </is>
      </c>
      <c r="H86" t="inlineStr">
        <is>
          <t>MDO PJ Fixo</t>
        </is>
      </c>
      <c r="I86" t="inlineStr">
        <is>
          <t>PEDRO| NUV</t>
        </is>
      </c>
      <c r="J86" t="n">
        <v>-3960</v>
      </c>
      <c r="K86" t="n">
        <v>-3960</v>
      </c>
      <c r="M86" t="inlineStr">
        <is>
          <t>GERENTE</t>
        </is>
      </c>
      <c r="N86" t="inlineStr">
        <is>
          <t xml:space="preserve">  - Gerente</t>
        </is>
      </c>
      <c r="O86" t="inlineStr">
        <is>
          <t>Provisionado</t>
        </is>
      </c>
      <c r="Q86" t="inlineStr">
        <is>
          <t>01/2027</t>
        </is>
      </c>
      <c r="R86" t="n">
        <v>0</v>
      </c>
    </row>
    <row r="87">
      <c r="A87" t="n">
        <v>259869</v>
      </c>
      <c r="B87" t="inlineStr">
        <is>
          <t>Nuv Gastrobar</t>
        </is>
      </c>
      <c r="C87" t="inlineStr">
        <is>
          <t>BRUNA VALLONE SANTOS</t>
        </is>
      </c>
      <c r="D87" t="inlineStr">
        <is>
          <t>PROVISAO</t>
        </is>
      </c>
      <c r="E87" s="525" t="n">
        <v>46388</v>
      </c>
      <c r="F87" s="525" t="n">
        <v>46428</v>
      </c>
      <c r="G87" t="inlineStr">
        <is>
          <t>Mão de Obra - PJ</t>
        </is>
      </c>
      <c r="H87" t="inlineStr">
        <is>
          <t>MDO PJ Fixo</t>
        </is>
      </c>
      <c r="I87" t="inlineStr">
        <is>
          <t>BRUNA VALLONE SANTOS | NUV</t>
        </is>
      </c>
      <c r="J87" t="n">
        <v>-4200</v>
      </c>
      <c r="K87" t="n">
        <v>-4200</v>
      </c>
      <c r="O87" t="inlineStr">
        <is>
          <t>Provisionado</t>
        </is>
      </c>
      <c r="Q87" t="inlineStr">
        <is>
          <t>01/2027</t>
        </is>
      </c>
      <c r="R87" t="n">
        <v>0</v>
      </c>
    </row>
    <row r="88">
      <c r="A88" t="n">
        <v>258168</v>
      </c>
      <c r="B88" t="inlineStr">
        <is>
          <t>Nuv Gastrobar</t>
        </is>
      </c>
      <c r="C88" t="inlineStr">
        <is>
          <t>PJ IVAN MANFRINATO BILIA 3781626180</t>
        </is>
      </c>
      <c r="D88" t="inlineStr">
        <is>
          <t>PROVISAO</t>
        </is>
      </c>
      <c r="E88" s="525" t="n">
        <v>46388</v>
      </c>
      <c r="F88" s="525" t="n">
        <v>46428</v>
      </c>
      <c r="G88" t="inlineStr">
        <is>
          <t>Mão de Obra - PJ</t>
        </is>
      </c>
      <c r="H88" t="inlineStr">
        <is>
          <t>MDO PJ Fixo</t>
        </is>
      </c>
      <c r="I88" t="inlineStr">
        <is>
          <t>IVAN| NUV</t>
        </is>
      </c>
      <c r="J88" t="n">
        <v>-3250</v>
      </c>
      <c r="K88" t="n">
        <v>-3250</v>
      </c>
      <c r="M88" t="inlineStr">
        <is>
          <t>CHEFE DE COZINHA</t>
        </is>
      </c>
      <c r="N88" t="inlineStr">
        <is>
          <t xml:space="preserve">  - Chefe de Cozinha</t>
        </is>
      </c>
      <c r="O88" t="inlineStr">
        <is>
          <t>Provisionado</t>
        </is>
      </c>
      <c r="Q88" t="inlineStr">
        <is>
          <t>01/2027</t>
        </is>
      </c>
      <c r="R88" t="n">
        <v>0</v>
      </c>
    </row>
    <row r="89">
      <c r="A89" t="n">
        <v>259862</v>
      </c>
      <c r="B89" t="inlineStr">
        <is>
          <t>Nuv Gastrobar</t>
        </is>
      </c>
      <c r="C89" t="inlineStr">
        <is>
          <t>ARANTXA JIMENEZ</t>
        </is>
      </c>
      <c r="D89" t="inlineStr">
        <is>
          <t>PROVISAO</t>
        </is>
      </c>
      <c r="E89" s="525" t="n">
        <v>46388</v>
      </c>
      <c r="F89" s="525" t="n">
        <v>46428</v>
      </c>
      <c r="G89" t="inlineStr">
        <is>
          <t>Mão de Obra - PJ</t>
        </is>
      </c>
      <c r="H89" t="inlineStr">
        <is>
          <t>MDO PJ Fixo</t>
        </is>
      </c>
      <c r="I89" t="inlineStr">
        <is>
          <t>ARANTXA JIMENEZ | NUV</t>
        </is>
      </c>
      <c r="J89" t="n">
        <v>-4000</v>
      </c>
      <c r="K89" t="n">
        <v>-4000</v>
      </c>
      <c r="O89" t="inlineStr">
        <is>
          <t>Provisionado</t>
        </is>
      </c>
      <c r="Q89" t="inlineStr">
        <is>
          <t>01/2027</t>
        </is>
      </c>
      <c r="R89" t="n">
        <v>0</v>
      </c>
    </row>
    <row r="90">
      <c r="A90" t="n">
        <v>259885</v>
      </c>
      <c r="B90" t="inlineStr">
        <is>
          <t>Nuv Gastrobar</t>
        </is>
      </c>
      <c r="C90" t="inlineStr">
        <is>
          <t>DOUGLAS LOBATO DE CHICO</t>
        </is>
      </c>
      <c r="D90" t="inlineStr">
        <is>
          <t>PROVISAO</t>
        </is>
      </c>
      <c r="E90" s="525" t="n">
        <v>46388</v>
      </c>
      <c r="F90" s="525" t="n">
        <v>46428</v>
      </c>
      <c r="G90" t="inlineStr">
        <is>
          <t>Mão de Obra - PJ</t>
        </is>
      </c>
      <c r="H90" t="inlineStr">
        <is>
          <t>MDO PJ Fixo</t>
        </is>
      </c>
      <c r="I90" t="inlineStr">
        <is>
          <t xml:space="preserve">DOUGLAS LOBATO DE CHICO | NUV
</t>
        </is>
      </c>
      <c r="J90" t="n">
        <v>-4200</v>
      </c>
      <c r="K90" t="n">
        <v>-4200</v>
      </c>
      <c r="O90" t="inlineStr">
        <is>
          <t>Provisionado</t>
        </is>
      </c>
      <c r="Q90" t="inlineStr">
        <is>
          <t>01/2027</t>
        </is>
      </c>
      <c r="R90" t="n">
        <v>0</v>
      </c>
    </row>
    <row r="91">
      <c r="A91" t="n">
        <v>259939</v>
      </c>
      <c r="B91" t="inlineStr">
        <is>
          <t>Nuv Gastrobar</t>
        </is>
      </c>
      <c r="C91" t="inlineStr">
        <is>
          <t>PJ PEDRO XAVIER ANTUNES CAVALHEIRO 45502040879</t>
        </is>
      </c>
      <c r="D91" t="inlineStr">
        <is>
          <t>PROVISAO</t>
        </is>
      </c>
      <c r="E91" s="525" t="n">
        <v>46388</v>
      </c>
      <c r="F91" s="525" t="n">
        <v>46428</v>
      </c>
      <c r="G91" t="inlineStr">
        <is>
          <t>Mão de Obra - PJ</t>
        </is>
      </c>
      <c r="H91" t="inlineStr">
        <is>
          <t>MDO PJ Fixo</t>
        </is>
      </c>
      <c r="I91" t="inlineStr">
        <is>
          <t xml:space="preserve">PEDRO XAVIER ANTUNES CAVALHEIRO | NUV
</t>
        </is>
      </c>
      <c r="J91" t="n">
        <v>-3960</v>
      </c>
      <c r="K91" t="n">
        <v>-3960</v>
      </c>
      <c r="M91" t="inlineStr">
        <is>
          <t>GERENTE</t>
        </is>
      </c>
      <c r="N91" t="inlineStr">
        <is>
          <t xml:space="preserve">  - Gerente</t>
        </is>
      </c>
      <c r="O91" t="inlineStr">
        <is>
          <t>Provisionado</t>
        </is>
      </c>
      <c r="Q91" t="inlineStr">
        <is>
          <t>01/2027</t>
        </is>
      </c>
      <c r="R91" t="n">
        <v>0</v>
      </c>
    </row>
    <row r="92">
      <c r="A92" t="n">
        <v>254731</v>
      </c>
      <c r="B92" t="inlineStr">
        <is>
          <t>Nuv Gastrobar</t>
        </is>
      </c>
      <c r="C92" t="inlineStr">
        <is>
          <t xml:space="preserve">ABRASEL SAO PAULO </t>
        </is>
      </c>
      <c r="D92" t="inlineStr">
        <is>
          <t>PROVISAO</t>
        </is>
      </c>
      <c r="E92" s="525" t="n">
        <v>46388</v>
      </c>
      <c r="F92" s="525" t="n">
        <v>46407</v>
      </c>
      <c r="G92" t="inlineStr">
        <is>
          <t>Serviços de Terceiros</t>
        </is>
      </c>
      <c r="H92" t="inlineStr">
        <is>
          <t>Assessoria Financeira</t>
        </is>
      </c>
      <c r="I92" t="inlineStr">
        <is>
          <t xml:space="preserve">ABRASEL </t>
        </is>
      </c>
      <c r="J92" t="n">
        <v>-185</v>
      </c>
      <c r="K92" t="n">
        <v>-185</v>
      </c>
      <c r="O92" t="inlineStr">
        <is>
          <t>Provisionado</t>
        </is>
      </c>
      <c r="Q92" t="inlineStr">
        <is>
          <t>01/2027</t>
        </is>
      </c>
      <c r="R92" t="n">
        <v>0</v>
      </c>
    </row>
    <row r="93">
      <c r="A93" t="n">
        <v>258068</v>
      </c>
      <c r="B93" t="inlineStr">
        <is>
          <t>Nuv Gastrobar</t>
        </is>
      </c>
      <c r="C93" t="inlineStr">
        <is>
          <t>CATARINA RAMOS NARCISO</t>
        </is>
      </c>
      <c r="D93" t="inlineStr">
        <is>
          <t>PROVISAO</t>
        </is>
      </c>
      <c r="E93" s="525" t="n">
        <v>46388</v>
      </c>
      <c r="F93" s="525" t="n">
        <v>46428</v>
      </c>
      <c r="G93" t="inlineStr">
        <is>
          <t>Mão de Obra - PJ</t>
        </is>
      </c>
      <c r="H93" t="inlineStr">
        <is>
          <t>MDO PJ Fixo</t>
        </is>
      </c>
      <c r="I93" t="inlineStr">
        <is>
          <t xml:space="preserve">CATARINA| EVENTOS NUV
</t>
        </is>
      </c>
      <c r="J93" t="n">
        <v>-4000</v>
      </c>
      <c r="K93" t="n">
        <v>-4000</v>
      </c>
      <c r="O93" t="inlineStr">
        <is>
          <t>Provisionado</t>
        </is>
      </c>
      <c r="Q93" t="inlineStr">
        <is>
          <t>01/2027</t>
        </is>
      </c>
      <c r="R93" t="n">
        <v>0</v>
      </c>
    </row>
    <row r="94">
      <c r="A94" t="n">
        <v>258044</v>
      </c>
      <c r="B94" t="inlineStr">
        <is>
          <t>Nuv Gastrobar</t>
        </is>
      </c>
      <c r="C94" t="inlineStr">
        <is>
          <t>BEATRIZ PEREIRA GARCIA</t>
        </is>
      </c>
      <c r="D94" t="inlineStr">
        <is>
          <t>PROVISAO</t>
        </is>
      </c>
      <c r="E94" s="525" t="n">
        <v>46388</v>
      </c>
      <c r="F94" s="525" t="n">
        <v>46428</v>
      </c>
      <c r="G94" t="inlineStr">
        <is>
          <t>Mão de Obra - PJ</t>
        </is>
      </c>
      <c r="H94" t="inlineStr">
        <is>
          <t>MDO PJ Fixo</t>
        </is>
      </c>
      <c r="I94" t="inlineStr">
        <is>
          <t>BEATRIZ | ADM NUV</t>
        </is>
      </c>
      <c r="J94" t="n">
        <v>-3000</v>
      </c>
      <c r="K94" t="n">
        <v>-3000</v>
      </c>
      <c r="O94" t="inlineStr">
        <is>
          <t>Provisionado</t>
        </is>
      </c>
      <c r="Q94" t="inlineStr">
        <is>
          <t>01/2027</t>
        </is>
      </c>
      <c r="R94" t="n">
        <v>0</v>
      </c>
    </row>
    <row r="95">
      <c r="A95" t="n">
        <v>262743</v>
      </c>
      <c r="B95" t="inlineStr">
        <is>
          <t>Nuv Gastrobar</t>
        </is>
      </c>
      <c r="C95" t="inlineStr">
        <is>
          <t>CAIO VINICIUS MARTINELLI JACINTO</t>
        </is>
      </c>
      <c r="D95" t="inlineStr">
        <is>
          <t>PROVISAO</t>
        </is>
      </c>
      <c r="E95" s="525" t="n">
        <v>46388</v>
      </c>
      <c r="F95" s="525" t="n">
        <v>46428</v>
      </c>
      <c r="G95" t="inlineStr">
        <is>
          <t>Mão de Obra - PJ</t>
        </is>
      </c>
      <c r="H95" t="inlineStr">
        <is>
          <t>MDO PJ Fixo</t>
        </is>
      </c>
      <c r="J95" t="n">
        <v>-2600</v>
      </c>
      <c r="K95" t="n">
        <v>-2600</v>
      </c>
      <c r="M95" t="inlineStr">
        <is>
          <t>SUB CHEFE DE BAR</t>
        </is>
      </c>
      <c r="N95" t="inlineStr">
        <is>
          <t xml:space="preserve">  - Sub Chefe De Bar</t>
        </is>
      </c>
      <c r="O95" t="inlineStr">
        <is>
          <t>Provisionado</t>
        </is>
      </c>
      <c r="Q95" t="inlineStr">
        <is>
          <t>01/2027</t>
        </is>
      </c>
      <c r="R95" t="n">
        <v>0</v>
      </c>
    </row>
    <row r="96">
      <c r="A96" t="n">
        <v>261845</v>
      </c>
      <c r="B96" t="inlineStr">
        <is>
          <t>Nuv Gastrobar</t>
        </is>
      </c>
      <c r="C96" t="inlineStr">
        <is>
          <t>ISS</t>
        </is>
      </c>
      <c r="D96" t="inlineStr">
        <is>
          <t>PROVISAO</t>
        </is>
      </c>
      <c r="E96" s="525" t="n">
        <v>46386</v>
      </c>
      <c r="F96" s="525" t="n">
        <v>46397</v>
      </c>
      <c r="G96" t="inlineStr">
        <is>
          <t>Impostos sobre Venda</t>
        </is>
      </c>
      <c r="H96" t="inlineStr">
        <is>
          <t>ISS</t>
        </is>
      </c>
      <c r="J96" t="n">
        <v>-500</v>
      </c>
      <c r="K96" t="n">
        <v>-500</v>
      </c>
      <c r="O96" t="inlineStr">
        <is>
          <t>Provisionado</t>
        </is>
      </c>
      <c r="Q96" t="inlineStr">
        <is>
          <t>12/2026</t>
        </is>
      </c>
      <c r="R96" t="n">
        <v>0</v>
      </c>
    </row>
    <row r="97">
      <c r="A97" t="n">
        <v>262365</v>
      </c>
      <c r="B97" t="inlineStr">
        <is>
          <t>Nuv Gastrobar</t>
        </is>
      </c>
      <c r="C97" t="inlineStr">
        <is>
          <t>IRRF</t>
        </is>
      </c>
      <c r="D97" t="inlineStr">
        <is>
          <t>PROVISAO</t>
        </is>
      </c>
      <c r="E97" s="525" t="n">
        <v>46386</v>
      </c>
      <c r="F97" s="525" t="n">
        <v>46407</v>
      </c>
      <c r="G97" t="inlineStr">
        <is>
          <t>Imposto de Renda</t>
        </is>
      </c>
      <c r="H97" t="inlineStr">
        <is>
          <t>IRRF</t>
        </is>
      </c>
      <c r="J97" t="n">
        <v>-100</v>
      </c>
      <c r="K97" t="n">
        <v>-100</v>
      </c>
      <c r="O97" t="inlineStr">
        <is>
          <t>Provisionado</t>
        </is>
      </c>
      <c r="Q97" t="inlineStr">
        <is>
          <t>12/2026</t>
        </is>
      </c>
      <c r="R97" t="n">
        <v>0</v>
      </c>
    </row>
    <row r="98">
      <c r="A98" t="n">
        <v>262368</v>
      </c>
      <c r="B98" t="inlineStr">
        <is>
          <t>Nuv Gastrobar</t>
        </is>
      </c>
      <c r="C98" t="inlineStr">
        <is>
          <t xml:space="preserve">CSRF </t>
        </is>
      </c>
      <c r="D98" t="inlineStr">
        <is>
          <t>PROVISAO</t>
        </is>
      </c>
      <c r="E98" s="525" t="n">
        <v>46386</v>
      </c>
      <c r="F98" s="525" t="n">
        <v>46407</v>
      </c>
      <c r="G98" t="inlineStr">
        <is>
          <t>Imposto de Renda</t>
        </is>
      </c>
      <c r="H98" t="inlineStr">
        <is>
          <t>CSLL</t>
        </is>
      </c>
      <c r="J98" t="n">
        <v>-100</v>
      </c>
      <c r="K98" t="n">
        <v>-100</v>
      </c>
      <c r="O98" t="inlineStr">
        <is>
          <t>Provisionado</t>
        </is>
      </c>
      <c r="Q98" t="inlineStr">
        <is>
          <t>12/2026</t>
        </is>
      </c>
      <c r="R98" t="n">
        <v>0</v>
      </c>
    </row>
    <row r="99">
      <c r="A99" t="n">
        <v>261861</v>
      </c>
      <c r="B99" t="inlineStr">
        <is>
          <t>Nuv Gastrobar</t>
        </is>
      </c>
      <c r="C99" t="inlineStr">
        <is>
          <t>ICMS</t>
        </is>
      </c>
      <c r="D99" t="inlineStr">
        <is>
          <t>PROVISAO</t>
        </is>
      </c>
      <c r="E99" s="525" t="n">
        <v>46386</v>
      </c>
      <c r="F99" s="525" t="n">
        <v>46407</v>
      </c>
      <c r="G99" t="inlineStr">
        <is>
          <t>Impostos sobre Venda</t>
        </is>
      </c>
      <c r="H99" t="inlineStr">
        <is>
          <t>ICMS</t>
        </is>
      </c>
      <c r="J99" t="n">
        <v>-5000</v>
      </c>
      <c r="K99" t="n">
        <v>-5000</v>
      </c>
      <c r="O99" t="inlineStr">
        <is>
          <t>Provisionado</t>
        </is>
      </c>
      <c r="Q99" t="inlineStr">
        <is>
          <t>12/2026</t>
        </is>
      </c>
      <c r="R99" t="n">
        <v>0</v>
      </c>
    </row>
    <row r="100">
      <c r="A100" t="n">
        <v>258265</v>
      </c>
      <c r="B100" t="inlineStr">
        <is>
          <t>Nuv Gastrobar</t>
        </is>
      </c>
      <c r="C100" t="inlineStr">
        <is>
          <t>GILBERTO FERREIRA SILVA JUNIOR</t>
        </is>
      </c>
      <c r="D100" t="inlineStr">
        <is>
          <t>18763934430298012</t>
        </is>
      </c>
      <c r="E100" s="525" t="n">
        <v>46369</v>
      </c>
      <c r="F100" s="525" t="n">
        <v>46377</v>
      </c>
      <c r="G100" t="inlineStr">
        <is>
          <t>Locação de Equipamentos</t>
        </is>
      </c>
      <c r="H100" t="inlineStr">
        <is>
          <t>Locações de Equipamentos - Operacionais</t>
        </is>
      </c>
      <c r="I100" t="inlineStr">
        <is>
          <t>LOCAÇÃO DE MÁQUINAS DE LAVAR LOUÇA - 5/6 - 12/2026</t>
        </is>
      </c>
      <c r="J100" t="n">
        <v>-1600</v>
      </c>
      <c r="K100" t="n">
        <v>-1600</v>
      </c>
      <c r="O100" t="inlineStr">
        <is>
          <t>Provisionado</t>
        </is>
      </c>
      <c r="Q100" t="inlineStr">
        <is>
          <t>12/2026</t>
        </is>
      </c>
      <c r="R100" t="n">
        <v>0</v>
      </c>
    </row>
    <row r="101">
      <c r="A101" t="n">
        <v>259900</v>
      </c>
      <c r="B101" t="inlineStr">
        <is>
          <t>Nuv Gastrobar</t>
        </is>
      </c>
      <c r="C101" t="inlineStr">
        <is>
          <t>PJ IVAN MANFRINATO BILIA 3781626180</t>
        </is>
      </c>
      <c r="D101" t="inlineStr">
        <is>
          <t>PROVISAO</t>
        </is>
      </c>
      <c r="E101" s="525" t="n">
        <v>46357</v>
      </c>
      <c r="F101" s="525" t="n">
        <v>46397</v>
      </c>
      <c r="G101" t="inlineStr">
        <is>
          <t>Mão de Obra - PJ</t>
        </is>
      </c>
      <c r="H101" t="inlineStr">
        <is>
          <t>MDO PJ Fixo</t>
        </is>
      </c>
      <c r="I101" t="inlineStr">
        <is>
          <t>IVAN MANFRINATO BILIA | NUV</t>
        </is>
      </c>
      <c r="J101" t="n">
        <v>-3250</v>
      </c>
      <c r="K101" t="n">
        <v>-3250</v>
      </c>
      <c r="M101" t="inlineStr">
        <is>
          <t>CHEFE DE COZINHA</t>
        </is>
      </c>
      <c r="N101" t="inlineStr">
        <is>
          <t xml:space="preserve">  - Chefe de Cozinha</t>
        </is>
      </c>
      <c r="O101" t="inlineStr">
        <is>
          <t>Provisionado</t>
        </is>
      </c>
      <c r="Q101" t="inlineStr">
        <is>
          <t>12/2026</t>
        </is>
      </c>
      <c r="R101" t="n">
        <v>0</v>
      </c>
    </row>
    <row r="102">
      <c r="A102" t="n">
        <v>199693</v>
      </c>
      <c r="B102" t="inlineStr">
        <is>
          <t>Nuv Gastrobar</t>
        </is>
      </c>
      <c r="C102" t="inlineStr">
        <is>
          <t>IGOR MIRANDO CRUZ - PJ BNSP</t>
        </is>
      </c>
      <c r="D102" t="inlineStr">
        <is>
          <t>PROVISAO</t>
        </is>
      </c>
      <c r="E102" s="525" t="n">
        <v>46357</v>
      </c>
      <c r="F102" s="525" t="n">
        <v>46397</v>
      </c>
      <c r="G102" t="inlineStr">
        <is>
          <t>Mão de Obra - PJ</t>
        </is>
      </c>
      <c r="H102" t="inlineStr">
        <is>
          <t>MDO PJ Fixo</t>
        </is>
      </c>
      <c r="I102" t="inlineStr">
        <is>
          <t xml:space="preserve">IGOR MIRANDA CRUZ | NUV
</t>
        </is>
      </c>
      <c r="J102" t="n">
        <v>-5100</v>
      </c>
      <c r="K102" t="n">
        <v>-5100</v>
      </c>
      <c r="M102" t="inlineStr">
        <is>
          <t>COORDENADOR</t>
        </is>
      </c>
      <c r="N102" t="inlineStr">
        <is>
          <t xml:space="preserve">  - Coordenador</t>
        </is>
      </c>
      <c r="O102" t="inlineStr">
        <is>
          <t>Provisionado</t>
        </is>
      </c>
      <c r="Q102" t="inlineStr">
        <is>
          <t>12/2026</t>
        </is>
      </c>
      <c r="R102" t="n">
        <v>0</v>
      </c>
    </row>
    <row r="103">
      <c r="A103" t="n">
        <v>259866</v>
      </c>
      <c r="B103" t="inlineStr">
        <is>
          <t>Nuv Gastrobar</t>
        </is>
      </c>
      <c r="C103" t="inlineStr">
        <is>
          <t>ARANTXA JIMENEZ</t>
        </is>
      </c>
      <c r="D103" t="inlineStr">
        <is>
          <t>PROVISAO</t>
        </is>
      </c>
      <c r="E103" s="525" t="n">
        <v>46357</v>
      </c>
      <c r="F103" s="525" t="n">
        <v>46397</v>
      </c>
      <c r="G103" t="inlineStr">
        <is>
          <t>Mão de Obra - PJ</t>
        </is>
      </c>
      <c r="H103" t="inlineStr">
        <is>
          <t>MDO PJ Fixo</t>
        </is>
      </c>
      <c r="I103" t="inlineStr">
        <is>
          <t>ARANTXA JIMENEZ | NUV</t>
        </is>
      </c>
      <c r="J103" t="n">
        <v>-4000</v>
      </c>
      <c r="K103" t="n">
        <v>-4000</v>
      </c>
      <c r="O103" t="inlineStr">
        <is>
          <t>Provisionado</t>
        </is>
      </c>
      <c r="Q103" t="inlineStr">
        <is>
          <t>12/2026</t>
        </is>
      </c>
      <c r="R103" t="n">
        <v>0</v>
      </c>
    </row>
    <row r="104">
      <c r="A104" t="n">
        <v>259891</v>
      </c>
      <c r="B104" t="inlineStr">
        <is>
          <t>Nuv Gastrobar</t>
        </is>
      </c>
      <c r="C104" t="inlineStr">
        <is>
          <t>DOUGLAS LOBATO DE CHICO</t>
        </is>
      </c>
      <c r="D104" t="inlineStr">
        <is>
          <t>PROVISAO</t>
        </is>
      </c>
      <c r="E104" s="525" t="n">
        <v>46357</v>
      </c>
      <c r="F104" s="525" t="n">
        <v>46397</v>
      </c>
      <c r="G104" t="inlineStr">
        <is>
          <t>Mão de Obra - PJ</t>
        </is>
      </c>
      <c r="H104" t="inlineStr">
        <is>
          <t>MDO PJ Fixo</t>
        </is>
      </c>
      <c r="I104" t="inlineStr">
        <is>
          <t xml:space="preserve">DOUGLAS LOBATO DE CHICO | NUV
</t>
        </is>
      </c>
      <c r="J104" t="n">
        <v>-4200</v>
      </c>
      <c r="K104" t="n">
        <v>-4200</v>
      </c>
      <c r="O104" t="inlineStr">
        <is>
          <t>Provisionado</t>
        </is>
      </c>
      <c r="Q104" t="inlineStr">
        <is>
          <t>12/2026</t>
        </is>
      </c>
      <c r="R104" t="n">
        <v>0</v>
      </c>
    </row>
    <row r="105">
      <c r="A105" t="n">
        <v>258067</v>
      </c>
      <c r="B105" t="inlineStr">
        <is>
          <t>Nuv Gastrobar</t>
        </is>
      </c>
      <c r="C105" t="inlineStr">
        <is>
          <t>CATARINA RAMOS NARCISO</t>
        </is>
      </c>
      <c r="D105" t="inlineStr">
        <is>
          <t>PROVISAO</t>
        </is>
      </c>
      <c r="E105" s="525" t="n">
        <v>46357</v>
      </c>
      <c r="F105" s="525" t="n">
        <v>46397</v>
      </c>
      <c r="G105" t="inlineStr">
        <is>
          <t>Mão de Obra - PJ</t>
        </is>
      </c>
      <c r="H105" t="inlineStr">
        <is>
          <t>MDO PJ Fixo</t>
        </is>
      </c>
      <c r="I105" t="inlineStr">
        <is>
          <t xml:space="preserve">CATARINA| EVENTOS NUV
</t>
        </is>
      </c>
      <c r="J105" t="n">
        <v>-4000</v>
      </c>
      <c r="K105" t="n">
        <v>-4000</v>
      </c>
      <c r="O105" t="inlineStr">
        <is>
          <t>Provisionado</t>
        </is>
      </c>
      <c r="Q105" t="inlineStr">
        <is>
          <t>12/2026</t>
        </is>
      </c>
      <c r="R105" t="n">
        <v>0</v>
      </c>
    </row>
    <row r="106">
      <c r="A106" t="n">
        <v>257268</v>
      </c>
      <c r="B106" t="inlineStr">
        <is>
          <t>Nuv Gastrobar</t>
        </is>
      </c>
      <c r="C106" t="inlineStr">
        <is>
          <t xml:space="preserve">KAMINO INSTITUICAO DE PAGAMENTO LTDA </t>
        </is>
      </c>
      <c r="D106" t="inlineStr">
        <is>
          <t>PROVISAO</t>
        </is>
      </c>
      <c r="E106" s="525" t="n">
        <v>46357</v>
      </c>
      <c r="F106" s="525" t="n">
        <v>46374</v>
      </c>
      <c r="G106" t="inlineStr">
        <is>
          <t>Despesas Financeiras</t>
        </is>
      </c>
      <c r="H106" t="inlineStr">
        <is>
          <t>Tarifas Bancárias</t>
        </is>
      </c>
      <c r="I106" t="inlineStr">
        <is>
          <t xml:space="preserve">TARIFAS BANCÁRIAS </t>
        </is>
      </c>
      <c r="J106" t="n">
        <v>-400</v>
      </c>
      <c r="K106" t="n">
        <v>-400</v>
      </c>
      <c r="O106" t="inlineStr">
        <is>
          <t>Provisionado</t>
        </is>
      </c>
      <c r="Q106" t="inlineStr">
        <is>
          <t>12/2026</t>
        </is>
      </c>
      <c r="R106" t="n">
        <v>0</v>
      </c>
    </row>
    <row r="107">
      <c r="A107" t="n">
        <v>258167</v>
      </c>
      <c r="B107" t="inlineStr">
        <is>
          <t>Nuv Gastrobar</t>
        </is>
      </c>
      <c r="C107" t="inlineStr">
        <is>
          <t>PJ IVAN MANFRINATO BILIA 3781626180</t>
        </is>
      </c>
      <c r="D107" t="inlineStr">
        <is>
          <t>PROVISAO</t>
        </is>
      </c>
      <c r="E107" s="525" t="n">
        <v>46357</v>
      </c>
      <c r="F107" s="525" t="n">
        <v>46397</v>
      </c>
      <c r="G107" t="inlineStr">
        <is>
          <t>Mão de Obra - PJ</t>
        </is>
      </c>
      <c r="H107" t="inlineStr">
        <is>
          <t>MDO PJ Fixo</t>
        </is>
      </c>
      <c r="I107" t="inlineStr">
        <is>
          <t>IVAN| NUV</t>
        </is>
      </c>
      <c r="J107" t="n">
        <v>-3250</v>
      </c>
      <c r="K107" t="n">
        <v>-3250</v>
      </c>
      <c r="M107" t="inlineStr">
        <is>
          <t>CHEFE DE COZINHA</t>
        </is>
      </c>
      <c r="N107" t="inlineStr">
        <is>
          <t xml:space="preserve">  - Chefe de Cozinha</t>
        </is>
      </c>
      <c r="O107" t="inlineStr">
        <is>
          <t>Provisionado</t>
        </is>
      </c>
      <c r="Q107" t="inlineStr">
        <is>
          <t>12/2026</t>
        </is>
      </c>
      <c r="R107" t="n">
        <v>0</v>
      </c>
    </row>
    <row r="108">
      <c r="A108" t="n">
        <v>254730</v>
      </c>
      <c r="B108" t="inlineStr">
        <is>
          <t>Nuv Gastrobar</t>
        </is>
      </c>
      <c r="C108" t="inlineStr">
        <is>
          <t xml:space="preserve">ABRASEL SAO PAULO </t>
        </is>
      </c>
      <c r="D108" t="inlineStr">
        <is>
          <t>PROVISAO</t>
        </is>
      </c>
      <c r="E108" s="525" t="n">
        <v>46357</v>
      </c>
      <c r="F108" s="525" t="n">
        <v>46376</v>
      </c>
      <c r="G108" t="inlineStr">
        <is>
          <t>Serviços de Terceiros</t>
        </is>
      </c>
      <c r="H108" t="inlineStr">
        <is>
          <t>Assessoria Financeira</t>
        </is>
      </c>
      <c r="I108" t="inlineStr">
        <is>
          <t xml:space="preserve">ABRASEL </t>
        </is>
      </c>
      <c r="J108" t="n">
        <v>-185</v>
      </c>
      <c r="K108" t="n">
        <v>-185</v>
      </c>
      <c r="O108" t="inlineStr">
        <is>
          <t>Provisionado</t>
        </is>
      </c>
      <c r="Q108" t="inlineStr">
        <is>
          <t>12/2026</t>
        </is>
      </c>
      <c r="R108" t="n">
        <v>0</v>
      </c>
    </row>
    <row r="109">
      <c r="A109" t="n">
        <v>259943</v>
      </c>
      <c r="B109" t="inlineStr">
        <is>
          <t>Nuv Gastrobar</t>
        </is>
      </c>
      <c r="C109" t="inlineStr">
        <is>
          <t>PJ PEDRO XAVIER ANTUNES CAVALHEIRO 45502040879</t>
        </is>
      </c>
      <c r="D109" t="inlineStr">
        <is>
          <t>PROVISAO</t>
        </is>
      </c>
      <c r="E109" s="525" t="n">
        <v>46357</v>
      </c>
      <c r="F109" s="525" t="n">
        <v>46397</v>
      </c>
      <c r="G109" t="inlineStr">
        <is>
          <t>Mão de Obra - PJ</t>
        </is>
      </c>
      <c r="H109" t="inlineStr">
        <is>
          <t>MDO PJ Fixo</t>
        </is>
      </c>
      <c r="I109" t="inlineStr">
        <is>
          <t xml:space="preserve">PEDRO XAVIER ANTUNES CAVALHEIRO | NUV
</t>
        </is>
      </c>
      <c r="J109" t="n">
        <v>-3960</v>
      </c>
      <c r="K109" t="n">
        <v>-3960</v>
      </c>
      <c r="M109" t="inlineStr">
        <is>
          <t>GERENTE</t>
        </is>
      </c>
      <c r="N109" t="inlineStr">
        <is>
          <t xml:space="preserve">  - Gerente</t>
        </is>
      </c>
      <c r="O109" t="inlineStr">
        <is>
          <t>Provisionado</t>
        </is>
      </c>
      <c r="Q109" t="inlineStr">
        <is>
          <t>12/2026</t>
        </is>
      </c>
      <c r="R109" t="n">
        <v>0</v>
      </c>
    </row>
    <row r="110">
      <c r="A110" t="n">
        <v>259872</v>
      </c>
      <c r="B110" t="inlineStr">
        <is>
          <t>Nuv Gastrobar</t>
        </is>
      </c>
      <c r="C110" t="inlineStr">
        <is>
          <t>BRUNA VALLONE SANTOS</t>
        </is>
      </c>
      <c r="D110" t="inlineStr">
        <is>
          <t>PROVISAO</t>
        </is>
      </c>
      <c r="E110" s="525" t="n">
        <v>46357</v>
      </c>
      <c r="F110" s="525" t="n">
        <v>46397</v>
      </c>
      <c r="G110" t="inlineStr">
        <is>
          <t>Mão de Obra - PJ</t>
        </is>
      </c>
      <c r="H110" t="inlineStr">
        <is>
          <t>MDO PJ Fixo</t>
        </is>
      </c>
      <c r="I110" t="inlineStr">
        <is>
          <t>BRUNA VALLONE SANTOS | NUV</t>
        </is>
      </c>
      <c r="J110" t="n">
        <v>-4200</v>
      </c>
      <c r="K110" t="n">
        <v>-4200</v>
      </c>
      <c r="O110" t="inlineStr">
        <is>
          <t>Provisionado</t>
        </is>
      </c>
      <c r="Q110" t="inlineStr">
        <is>
          <t>12/2026</t>
        </is>
      </c>
      <c r="R110" t="n">
        <v>0</v>
      </c>
    </row>
    <row r="111">
      <c r="A111" t="n">
        <v>258043</v>
      </c>
      <c r="B111" t="inlineStr">
        <is>
          <t>Nuv Gastrobar</t>
        </is>
      </c>
      <c r="C111" t="inlineStr">
        <is>
          <t>BEATRIZ PEREIRA GARCIA</t>
        </is>
      </c>
      <c r="D111" t="inlineStr">
        <is>
          <t>PROVISAO</t>
        </is>
      </c>
      <c r="E111" s="525" t="n">
        <v>46357</v>
      </c>
      <c r="F111" s="525" t="n">
        <v>46397</v>
      </c>
      <c r="G111" t="inlineStr">
        <is>
          <t>Mão de Obra - PJ</t>
        </is>
      </c>
      <c r="H111" t="inlineStr">
        <is>
          <t>MDO PJ Fixo</t>
        </is>
      </c>
      <c r="I111" t="inlineStr">
        <is>
          <t>BEATRIZ | ADM NUV</t>
        </is>
      </c>
      <c r="J111" t="n">
        <v>-3000</v>
      </c>
      <c r="K111" t="n">
        <v>-3000</v>
      </c>
      <c r="O111" t="inlineStr">
        <is>
          <t>Provisionado</t>
        </is>
      </c>
      <c r="Q111" t="inlineStr">
        <is>
          <t>12/2026</t>
        </is>
      </c>
      <c r="R111" t="n">
        <v>0</v>
      </c>
    </row>
    <row r="112">
      <c r="A112" t="n">
        <v>258153</v>
      </c>
      <c r="B112" t="inlineStr">
        <is>
          <t>Nuv Gastrobar</t>
        </is>
      </c>
      <c r="C112" t="inlineStr">
        <is>
          <t>PJ PEDRO XAVIER ANTUNES CAVALHEIRO 45502040879</t>
        </is>
      </c>
      <c r="D112" t="inlineStr">
        <is>
          <t>PROVISAO</t>
        </is>
      </c>
      <c r="E112" s="525" t="n">
        <v>46357</v>
      </c>
      <c r="F112" s="525" t="n">
        <v>46397</v>
      </c>
      <c r="G112" t="inlineStr">
        <is>
          <t>Mão de Obra - PJ</t>
        </is>
      </c>
      <c r="H112" t="inlineStr">
        <is>
          <t>MDO PJ Fixo</t>
        </is>
      </c>
      <c r="I112" t="inlineStr">
        <is>
          <t>PEDRO| NUV</t>
        </is>
      </c>
      <c r="J112" t="n">
        <v>-3960</v>
      </c>
      <c r="K112" t="n">
        <v>-3960</v>
      </c>
      <c r="M112" t="inlineStr">
        <is>
          <t>GERENTE</t>
        </is>
      </c>
      <c r="N112" t="inlineStr">
        <is>
          <t xml:space="preserve">  - Gerente</t>
        </is>
      </c>
      <c r="O112" t="inlineStr">
        <is>
          <t>Provisionado</t>
        </is>
      </c>
      <c r="Q112" t="inlineStr">
        <is>
          <t>12/2026</t>
        </is>
      </c>
      <c r="R112" t="n">
        <v>0</v>
      </c>
    </row>
    <row r="113">
      <c r="A113" t="n">
        <v>262742</v>
      </c>
      <c r="B113" t="inlineStr">
        <is>
          <t>Nuv Gastrobar</t>
        </is>
      </c>
      <c r="C113" t="inlineStr">
        <is>
          <t>CAIO VINICIUS MARTINELLI JACINTO</t>
        </is>
      </c>
      <c r="D113" t="inlineStr">
        <is>
          <t>PROVISAO</t>
        </is>
      </c>
      <c r="E113" s="525" t="n">
        <v>46357</v>
      </c>
      <c r="F113" s="525" t="n">
        <v>46397</v>
      </c>
      <c r="G113" t="inlineStr">
        <is>
          <t>Mão de Obra - PJ</t>
        </is>
      </c>
      <c r="H113" t="inlineStr">
        <is>
          <t>MDO PJ Fixo</t>
        </is>
      </c>
      <c r="J113" t="n">
        <v>-2600</v>
      </c>
      <c r="K113" t="n">
        <v>-2600</v>
      </c>
      <c r="M113" t="inlineStr">
        <is>
          <t>SUB CHEFE DE BAR</t>
        </is>
      </c>
      <c r="N113" t="inlineStr">
        <is>
          <t xml:space="preserve">  - Sub Chefe De Bar</t>
        </is>
      </c>
      <c r="O113" t="inlineStr">
        <is>
          <t>Provisionado</t>
        </is>
      </c>
      <c r="Q113" t="inlineStr">
        <is>
          <t>12/2026</t>
        </is>
      </c>
      <c r="R113" t="n">
        <v>0</v>
      </c>
    </row>
    <row r="114">
      <c r="A114" t="n">
        <v>259549</v>
      </c>
      <c r="B114" t="inlineStr">
        <is>
          <t>Nuv Gastrobar</t>
        </is>
      </c>
      <c r="C114" t="inlineStr">
        <is>
          <t>SALARIOS CLT</t>
        </is>
      </c>
      <c r="D114" t="inlineStr">
        <is>
          <t>PROVISAO</t>
        </is>
      </c>
      <c r="E114" s="525" t="n">
        <v>46357</v>
      </c>
      <c r="F114" s="525" t="n">
        <v>46391</v>
      </c>
      <c r="G114" t="inlineStr">
        <is>
          <t>Mão de Obra - Salários</t>
        </is>
      </c>
      <c r="H114" t="inlineStr">
        <is>
          <t>MDO CLT - Salário</t>
        </is>
      </c>
      <c r="I114" t="inlineStr">
        <is>
          <t xml:space="preserve">SALÁRIOS </t>
        </is>
      </c>
      <c r="J114" t="n">
        <v>-40000</v>
      </c>
      <c r="K114" t="n">
        <v>-40000</v>
      </c>
      <c r="O114" t="inlineStr">
        <is>
          <t>Provisionado</t>
        </is>
      </c>
      <c r="Q114" t="inlineStr">
        <is>
          <t>12/2026</t>
        </is>
      </c>
      <c r="R114" t="n">
        <v>0</v>
      </c>
    </row>
    <row r="115">
      <c r="A115" t="n">
        <v>262372</v>
      </c>
      <c r="B115" t="inlineStr">
        <is>
          <t>Nuv Gastrobar</t>
        </is>
      </c>
      <c r="C115" t="inlineStr">
        <is>
          <t xml:space="preserve">CSRF </t>
        </is>
      </c>
      <c r="D115" t="inlineStr">
        <is>
          <t>PROVISAO</t>
        </is>
      </c>
      <c r="E115" s="525" t="n">
        <v>46356</v>
      </c>
      <c r="F115" s="525" t="n">
        <v>46376</v>
      </c>
      <c r="G115" t="inlineStr">
        <is>
          <t>Imposto de Renda</t>
        </is>
      </c>
      <c r="H115" t="inlineStr">
        <is>
          <t>CSLL</t>
        </is>
      </c>
      <c r="J115" t="n">
        <v>-100</v>
      </c>
      <c r="K115" t="n">
        <v>-100</v>
      </c>
      <c r="O115" t="inlineStr">
        <is>
          <t>Provisionado</t>
        </is>
      </c>
      <c r="Q115" t="inlineStr">
        <is>
          <t>11/2026</t>
        </is>
      </c>
      <c r="R115" t="n">
        <v>0</v>
      </c>
    </row>
    <row r="116">
      <c r="A116" t="n">
        <v>261844</v>
      </c>
      <c r="B116" t="inlineStr">
        <is>
          <t>Nuv Gastrobar</t>
        </is>
      </c>
      <c r="C116" t="inlineStr">
        <is>
          <t>ISS</t>
        </is>
      </c>
      <c r="D116" t="inlineStr">
        <is>
          <t>PROVISAO</t>
        </is>
      </c>
      <c r="E116" s="525" t="n">
        <v>46356</v>
      </c>
      <c r="F116" s="525" t="n">
        <v>46366</v>
      </c>
      <c r="G116" t="inlineStr">
        <is>
          <t>Impostos sobre Venda</t>
        </is>
      </c>
      <c r="H116" t="inlineStr">
        <is>
          <t>ISS</t>
        </is>
      </c>
      <c r="J116" t="n">
        <v>-500</v>
      </c>
      <c r="K116" t="n">
        <v>-500</v>
      </c>
      <c r="O116" t="inlineStr">
        <is>
          <t>Provisionado</t>
        </is>
      </c>
      <c r="Q116" t="inlineStr">
        <is>
          <t>11/2026</t>
        </is>
      </c>
      <c r="R116" t="n">
        <v>0</v>
      </c>
    </row>
    <row r="117">
      <c r="A117" t="n">
        <v>262363</v>
      </c>
      <c r="B117" t="inlineStr">
        <is>
          <t>Nuv Gastrobar</t>
        </is>
      </c>
      <c r="C117" t="inlineStr">
        <is>
          <t>IRRF</t>
        </is>
      </c>
      <c r="D117" t="inlineStr">
        <is>
          <t>PROVISAO</t>
        </is>
      </c>
      <c r="E117" s="525" t="n">
        <v>46356</v>
      </c>
      <c r="F117" s="525" t="n">
        <v>46376</v>
      </c>
      <c r="G117" t="inlineStr">
        <is>
          <t>Imposto de Renda</t>
        </is>
      </c>
      <c r="H117" t="inlineStr">
        <is>
          <t>IRRF</t>
        </is>
      </c>
      <c r="J117" t="n">
        <v>-100</v>
      </c>
      <c r="K117" t="n">
        <v>-100</v>
      </c>
      <c r="O117" t="inlineStr">
        <is>
          <t>Provisionado</t>
        </is>
      </c>
      <c r="Q117" t="inlineStr">
        <is>
          <t>11/2026</t>
        </is>
      </c>
      <c r="R117" t="n">
        <v>0</v>
      </c>
    </row>
    <row r="118">
      <c r="A118" t="n">
        <v>261857</v>
      </c>
      <c r="B118" t="inlineStr">
        <is>
          <t>Nuv Gastrobar</t>
        </is>
      </c>
      <c r="C118" t="inlineStr">
        <is>
          <t>ICMS</t>
        </is>
      </c>
      <c r="D118" t="inlineStr">
        <is>
          <t>PROVISAO</t>
        </is>
      </c>
      <c r="E118" s="525" t="n">
        <v>46356</v>
      </c>
      <c r="F118" s="525" t="n">
        <v>46376</v>
      </c>
      <c r="G118" t="inlineStr">
        <is>
          <t>Impostos sobre Venda</t>
        </is>
      </c>
      <c r="H118" t="inlineStr">
        <is>
          <t>ICMS</t>
        </is>
      </c>
      <c r="J118" t="n">
        <v>-5000</v>
      </c>
      <c r="K118" t="n">
        <v>-5000</v>
      </c>
      <c r="O118" t="inlineStr">
        <is>
          <t>Provisionado</t>
        </is>
      </c>
      <c r="Q118" t="inlineStr">
        <is>
          <t>11/2026</t>
        </is>
      </c>
      <c r="R118" t="n">
        <v>0</v>
      </c>
    </row>
    <row r="119">
      <c r="A119" t="n">
        <v>258263</v>
      </c>
      <c r="B119" t="inlineStr">
        <is>
          <t>Nuv Gastrobar</t>
        </is>
      </c>
      <c r="C119" t="inlineStr">
        <is>
          <t>GILBERTO FERREIRA SILVA JUNIOR</t>
        </is>
      </c>
      <c r="D119" t="inlineStr">
        <is>
          <t>18274904522161134</t>
        </is>
      </c>
      <c r="E119" s="525" t="n">
        <v>46339</v>
      </c>
      <c r="F119" s="525" t="n">
        <v>46347</v>
      </c>
      <c r="G119" t="inlineStr">
        <is>
          <t>Locação de Equipamentos</t>
        </is>
      </c>
      <c r="H119" t="inlineStr">
        <is>
          <t>Locações de Equipamentos - Operacionais</t>
        </is>
      </c>
      <c r="I119" t="inlineStr">
        <is>
          <t>LOCAÇÃO DE MÁQUINAS DE LAVAR LOUÇA - 4/6 - 11/2026</t>
        </is>
      </c>
      <c r="J119" t="n">
        <v>-1600</v>
      </c>
      <c r="K119" t="n">
        <v>-1600</v>
      </c>
      <c r="O119" t="inlineStr">
        <is>
          <t>Provisionado</t>
        </is>
      </c>
      <c r="Q119" t="inlineStr">
        <is>
          <t>11/2026</t>
        </is>
      </c>
      <c r="R119" t="n">
        <v>0</v>
      </c>
    </row>
    <row r="120">
      <c r="A120" t="n">
        <v>263876</v>
      </c>
      <c r="B120" t="inlineStr">
        <is>
          <t>Nuv Gastrobar</t>
        </is>
      </c>
      <c r="C120" t="inlineStr">
        <is>
          <t xml:space="preserve">MUNDIVOX COMUNICAÇOES LTDA </t>
        </is>
      </c>
      <c r="D120" t="inlineStr">
        <is>
          <t>PROVISAO</t>
        </is>
      </c>
      <c r="E120" s="525" t="n">
        <v>46336</v>
      </c>
      <c r="F120" s="525" t="n">
        <v>46376</v>
      </c>
      <c r="G120" t="inlineStr">
        <is>
          <t>Informática e TI</t>
        </is>
      </c>
      <c r="H120" t="inlineStr">
        <is>
          <t>Internet</t>
        </is>
      </c>
      <c r="I120" t="inlineStr">
        <is>
          <t>INTERNET - 09/2026</t>
        </is>
      </c>
      <c r="J120" t="n">
        <v>-800</v>
      </c>
      <c r="K120" t="n">
        <v>-800</v>
      </c>
      <c r="O120" t="inlineStr">
        <is>
          <t>Provisionado</t>
        </is>
      </c>
      <c r="Q120" t="inlineStr">
        <is>
          <t>11/2026</t>
        </is>
      </c>
      <c r="R120" t="n">
        <v>0</v>
      </c>
    </row>
    <row r="121">
      <c r="A121" t="n">
        <v>259857</v>
      </c>
      <c r="B121" t="inlineStr">
        <is>
          <t>Nuv Gastrobar</t>
        </is>
      </c>
      <c r="C121" t="inlineStr">
        <is>
          <t>ARANTXA JIMENEZ</t>
        </is>
      </c>
      <c r="D121" t="inlineStr">
        <is>
          <t>PROVISAO</t>
        </is>
      </c>
      <c r="E121" s="525" t="n">
        <v>46327</v>
      </c>
      <c r="F121" s="525" t="n">
        <v>46366</v>
      </c>
      <c r="G121" t="inlineStr">
        <is>
          <t>Mão de Obra - PJ</t>
        </is>
      </c>
      <c r="H121" t="inlineStr">
        <is>
          <t>MDO PJ Fixo</t>
        </is>
      </c>
      <c r="I121" t="inlineStr">
        <is>
          <t>ARANTXA JIMENEZ | NUV</t>
        </is>
      </c>
      <c r="J121" t="n">
        <v>-4000</v>
      </c>
      <c r="K121" t="n">
        <v>-4000</v>
      </c>
      <c r="O121" t="inlineStr">
        <is>
          <t>Provisionado</t>
        </is>
      </c>
      <c r="Q121" t="inlineStr">
        <is>
          <t>11/2026</t>
        </is>
      </c>
      <c r="R121" t="n">
        <v>0</v>
      </c>
    </row>
    <row r="122">
      <c r="A122" t="n">
        <v>199692</v>
      </c>
      <c r="B122" t="inlineStr">
        <is>
          <t>Nuv Gastrobar</t>
        </is>
      </c>
      <c r="C122" t="inlineStr">
        <is>
          <t>IGOR MIRANDO CRUZ - PJ BNSP</t>
        </is>
      </c>
      <c r="D122" t="inlineStr">
        <is>
          <t>PROVISAO</t>
        </is>
      </c>
      <c r="E122" s="525" t="n">
        <v>46327</v>
      </c>
      <c r="F122" s="525" t="n">
        <v>46366</v>
      </c>
      <c r="G122" t="inlineStr">
        <is>
          <t>Mão de Obra - PJ</t>
        </is>
      </c>
      <c r="H122" t="inlineStr">
        <is>
          <t>MDO PJ Fixo</t>
        </is>
      </c>
      <c r="I122" t="inlineStr">
        <is>
          <t xml:space="preserve">IGOR MIRANDA CRUZ | NUV
</t>
        </is>
      </c>
      <c r="J122" t="n">
        <v>-5100</v>
      </c>
      <c r="K122" t="n">
        <v>-5100</v>
      </c>
      <c r="M122" t="inlineStr">
        <is>
          <t>COORDENADOR</t>
        </is>
      </c>
      <c r="N122" t="inlineStr">
        <is>
          <t xml:space="preserve">  - Coordenador</t>
        </is>
      </c>
      <c r="O122" t="inlineStr">
        <is>
          <t>Provisionado</t>
        </is>
      </c>
      <c r="Q122" t="inlineStr">
        <is>
          <t>11/2026</t>
        </is>
      </c>
      <c r="R122" t="n">
        <v>0</v>
      </c>
    </row>
    <row r="123">
      <c r="A123" t="n">
        <v>262739</v>
      </c>
      <c r="B123" t="inlineStr">
        <is>
          <t>Nuv Gastrobar</t>
        </is>
      </c>
      <c r="C123" t="inlineStr">
        <is>
          <t>CAIO VINICIUS MARTINELLI JACINTO</t>
        </is>
      </c>
      <c r="D123" t="inlineStr">
        <is>
          <t>PROVISAO</t>
        </is>
      </c>
      <c r="E123" s="525" t="n">
        <v>46327</v>
      </c>
      <c r="F123" s="525" t="n">
        <v>46366</v>
      </c>
      <c r="G123" t="inlineStr">
        <is>
          <t>Mão de Obra - PJ</t>
        </is>
      </c>
      <c r="H123" t="inlineStr">
        <is>
          <t>MDO PJ Fixo</t>
        </is>
      </c>
      <c r="J123" t="n">
        <v>-2600</v>
      </c>
      <c r="K123" t="n">
        <v>-2600</v>
      </c>
      <c r="M123" t="inlineStr">
        <is>
          <t>SUB CHEFE DE BAR</t>
        </is>
      </c>
      <c r="N123" t="inlineStr">
        <is>
          <t xml:space="preserve">  - Sub Chefe De Bar</t>
        </is>
      </c>
      <c r="O123" t="inlineStr">
        <is>
          <t>Provisionado</t>
        </is>
      </c>
      <c r="Q123" t="inlineStr">
        <is>
          <t>11/2026</t>
        </is>
      </c>
      <c r="R123" t="n">
        <v>0</v>
      </c>
    </row>
    <row r="124">
      <c r="A124" t="n">
        <v>259545</v>
      </c>
      <c r="B124" t="inlineStr">
        <is>
          <t>Nuv Gastrobar</t>
        </is>
      </c>
      <c r="C124" t="inlineStr">
        <is>
          <t>SALARIOS CLT</t>
        </is>
      </c>
      <c r="D124" t="inlineStr">
        <is>
          <t>PROVISAO</t>
        </is>
      </c>
      <c r="E124" s="525" t="n">
        <v>46327</v>
      </c>
      <c r="F124" s="525" t="n">
        <v>46360</v>
      </c>
      <c r="G124" t="inlineStr">
        <is>
          <t>Mão de Obra - Salários</t>
        </is>
      </c>
      <c r="H124" t="inlineStr">
        <is>
          <t>MDO CLT - Salário</t>
        </is>
      </c>
      <c r="I124" t="inlineStr">
        <is>
          <t xml:space="preserve">SALÁRIOS </t>
        </is>
      </c>
      <c r="J124" t="n">
        <v>-40000</v>
      </c>
      <c r="K124" t="n">
        <v>-40000</v>
      </c>
      <c r="O124" t="inlineStr">
        <is>
          <t>Provisionado</t>
        </is>
      </c>
      <c r="Q124" t="inlineStr">
        <is>
          <t>11/2026</t>
        </is>
      </c>
      <c r="R124" t="n">
        <v>0</v>
      </c>
    </row>
    <row r="125">
      <c r="A125" t="n">
        <v>259897</v>
      </c>
      <c r="B125" t="inlineStr">
        <is>
          <t>Nuv Gastrobar</t>
        </is>
      </c>
      <c r="C125" t="inlineStr">
        <is>
          <t>PJ IVAN MANFRINATO BILIA 3781626180</t>
        </is>
      </c>
      <c r="D125" t="inlineStr">
        <is>
          <t>PROVISAO</t>
        </is>
      </c>
      <c r="E125" s="525" t="n">
        <v>46327</v>
      </c>
      <c r="F125" s="525" t="n">
        <v>46366</v>
      </c>
      <c r="G125" t="inlineStr">
        <is>
          <t>Mão de Obra - PJ</t>
        </is>
      </c>
      <c r="H125" t="inlineStr">
        <is>
          <t>MDO PJ Fixo</t>
        </is>
      </c>
      <c r="I125" t="inlineStr">
        <is>
          <t>IVAN MANFRINATO BILIA | NUV</t>
        </is>
      </c>
      <c r="J125" t="n">
        <v>-3250</v>
      </c>
      <c r="K125" t="n">
        <v>-3250</v>
      </c>
      <c r="M125" t="inlineStr">
        <is>
          <t>CHEFE DE COZINHA</t>
        </is>
      </c>
      <c r="N125" t="inlineStr">
        <is>
          <t xml:space="preserve">  - Chefe de Cozinha</t>
        </is>
      </c>
      <c r="O125" t="inlineStr">
        <is>
          <t>Provisionado</t>
        </is>
      </c>
      <c r="Q125" t="inlineStr">
        <is>
          <t>11/2026</t>
        </is>
      </c>
      <c r="R125" t="n">
        <v>0</v>
      </c>
    </row>
    <row r="126">
      <c r="A126" t="n">
        <v>259886</v>
      </c>
      <c r="B126" t="inlineStr">
        <is>
          <t>Nuv Gastrobar</t>
        </is>
      </c>
      <c r="C126" t="inlineStr">
        <is>
          <t>DOUGLAS LOBATO DE CHICO</t>
        </is>
      </c>
      <c r="D126" t="inlineStr">
        <is>
          <t>PROVISAO</t>
        </is>
      </c>
      <c r="E126" s="525" t="n">
        <v>46327</v>
      </c>
      <c r="F126" s="525" t="n">
        <v>46366</v>
      </c>
      <c r="G126" t="inlineStr">
        <is>
          <t>Mão de Obra - PJ</t>
        </is>
      </c>
      <c r="H126" t="inlineStr">
        <is>
          <t>MDO PJ Fixo</t>
        </is>
      </c>
      <c r="I126" t="inlineStr">
        <is>
          <t xml:space="preserve">DOUGLAS LOBATO DE CHICO | NUV
</t>
        </is>
      </c>
      <c r="J126" t="n">
        <v>-4200</v>
      </c>
      <c r="K126" t="n">
        <v>-4200</v>
      </c>
      <c r="O126" t="inlineStr">
        <is>
          <t>Provisionado</t>
        </is>
      </c>
      <c r="Q126" t="inlineStr">
        <is>
          <t>11/2026</t>
        </is>
      </c>
      <c r="R126" t="n">
        <v>0</v>
      </c>
    </row>
    <row r="127">
      <c r="A127" t="n">
        <v>254729</v>
      </c>
      <c r="B127" t="inlineStr">
        <is>
          <t>Nuv Gastrobar</t>
        </is>
      </c>
      <c r="C127" t="inlineStr">
        <is>
          <t xml:space="preserve">ABRASEL SAO PAULO </t>
        </is>
      </c>
      <c r="D127" t="inlineStr">
        <is>
          <t>PROVISAO</t>
        </is>
      </c>
      <c r="E127" s="525" t="n">
        <v>46327</v>
      </c>
      <c r="F127" s="525" t="n">
        <v>46346</v>
      </c>
      <c r="G127" t="inlineStr">
        <is>
          <t>Serviços de Terceiros</t>
        </is>
      </c>
      <c r="H127" t="inlineStr">
        <is>
          <t>Assessoria Financeira</t>
        </is>
      </c>
      <c r="I127" t="inlineStr">
        <is>
          <t xml:space="preserve">ABRASEL </t>
        </is>
      </c>
      <c r="J127" t="n">
        <v>-185</v>
      </c>
      <c r="K127" t="n">
        <v>-185</v>
      </c>
      <c r="O127" t="inlineStr">
        <is>
          <t>Provisionado</t>
        </is>
      </c>
      <c r="Q127" t="inlineStr">
        <is>
          <t>11/2026</t>
        </is>
      </c>
      <c r="R127" t="n">
        <v>0</v>
      </c>
    </row>
    <row r="128">
      <c r="A128" t="n">
        <v>259880</v>
      </c>
      <c r="B128" t="inlineStr">
        <is>
          <t>Nuv Gastrobar</t>
        </is>
      </c>
      <c r="C128" t="inlineStr">
        <is>
          <t>BRUNA VALLONE SANTOS</t>
        </is>
      </c>
      <c r="D128" t="inlineStr">
        <is>
          <t>PROVISAO</t>
        </is>
      </c>
      <c r="E128" s="525" t="n">
        <v>46327</v>
      </c>
      <c r="F128" s="525" t="n">
        <v>46366</v>
      </c>
      <c r="G128" t="inlineStr">
        <is>
          <t>Mão de Obra - PJ</t>
        </is>
      </c>
      <c r="H128" t="inlineStr">
        <is>
          <t>MDO PJ Fixo</t>
        </is>
      </c>
      <c r="I128" t="inlineStr">
        <is>
          <t>BRUNA VALLONE SANTOS | NUV</t>
        </is>
      </c>
      <c r="J128" t="n">
        <v>-4200</v>
      </c>
      <c r="K128" t="n">
        <v>-4200</v>
      </c>
      <c r="O128" t="inlineStr">
        <is>
          <t>Provisionado</t>
        </is>
      </c>
      <c r="Q128" t="inlineStr">
        <is>
          <t>11/2026</t>
        </is>
      </c>
      <c r="R128" t="n">
        <v>0</v>
      </c>
    </row>
    <row r="129">
      <c r="A129" t="n">
        <v>258166</v>
      </c>
      <c r="B129" t="inlineStr">
        <is>
          <t>Nuv Gastrobar</t>
        </is>
      </c>
      <c r="C129" t="inlineStr">
        <is>
          <t>PJ IVAN MANFRINATO BILIA 3781626180</t>
        </is>
      </c>
      <c r="D129" t="inlineStr">
        <is>
          <t>PROVISAO</t>
        </is>
      </c>
      <c r="E129" s="525" t="n">
        <v>46327</v>
      </c>
      <c r="F129" s="525" t="n">
        <v>46366</v>
      </c>
      <c r="G129" t="inlineStr">
        <is>
          <t>Mão de Obra - PJ</t>
        </is>
      </c>
      <c r="H129" t="inlineStr">
        <is>
          <t>MDO PJ Fixo</t>
        </is>
      </c>
      <c r="I129" t="inlineStr">
        <is>
          <t>IVAN| NUV</t>
        </is>
      </c>
      <c r="J129" t="n">
        <v>-3250</v>
      </c>
      <c r="K129" t="n">
        <v>-3250</v>
      </c>
      <c r="M129" t="inlineStr">
        <is>
          <t>CHEFE DE COZINHA</t>
        </is>
      </c>
      <c r="N129" t="inlineStr">
        <is>
          <t xml:space="preserve">  - Chefe de Cozinha</t>
        </is>
      </c>
      <c r="O129" t="inlineStr">
        <is>
          <t>Provisionado</t>
        </is>
      </c>
      <c r="Q129" t="inlineStr">
        <is>
          <t>11/2026</t>
        </is>
      </c>
      <c r="R129" t="n">
        <v>0</v>
      </c>
    </row>
    <row r="130">
      <c r="A130" t="n">
        <v>258066</v>
      </c>
      <c r="B130" t="inlineStr">
        <is>
          <t>Nuv Gastrobar</t>
        </is>
      </c>
      <c r="C130" t="inlineStr">
        <is>
          <t>CATARINA RAMOS NARCISO</t>
        </is>
      </c>
      <c r="D130" t="inlineStr">
        <is>
          <t>PROVISAO</t>
        </is>
      </c>
      <c r="E130" s="525" t="n">
        <v>46327</v>
      </c>
      <c r="F130" s="525" t="n">
        <v>46366</v>
      </c>
      <c r="G130" t="inlineStr">
        <is>
          <t>Mão de Obra - PJ</t>
        </is>
      </c>
      <c r="H130" t="inlineStr">
        <is>
          <t>MDO PJ Fixo</t>
        </is>
      </c>
      <c r="I130" t="inlineStr">
        <is>
          <t xml:space="preserve">CATARINA| EVENTOS NUV
</t>
        </is>
      </c>
      <c r="J130" t="n">
        <v>-4000</v>
      </c>
      <c r="K130" t="n">
        <v>-4000</v>
      </c>
      <c r="O130" t="inlineStr">
        <is>
          <t>Provisionado</t>
        </is>
      </c>
      <c r="Q130" t="inlineStr">
        <is>
          <t>11/2026</t>
        </is>
      </c>
      <c r="R130" t="n">
        <v>0</v>
      </c>
    </row>
    <row r="131">
      <c r="A131" t="n">
        <v>259932</v>
      </c>
      <c r="B131" t="inlineStr">
        <is>
          <t>Nuv Gastrobar</t>
        </is>
      </c>
      <c r="C131" t="inlineStr">
        <is>
          <t>PJ PEDRO XAVIER ANTUNES CAVALHEIRO 45502040879</t>
        </is>
      </c>
      <c r="D131" t="inlineStr">
        <is>
          <t>PROVISAO</t>
        </is>
      </c>
      <c r="E131" s="525" t="n">
        <v>46327</v>
      </c>
      <c r="F131" s="525" t="n">
        <v>46366</v>
      </c>
      <c r="G131" t="inlineStr">
        <is>
          <t>Mão de Obra - PJ</t>
        </is>
      </c>
      <c r="H131" t="inlineStr">
        <is>
          <t>MDO PJ Fixo</t>
        </is>
      </c>
      <c r="I131" t="inlineStr">
        <is>
          <t xml:space="preserve">PEDRO XAVIER ANTUNES CAVALHEIRO | NUV
</t>
        </is>
      </c>
      <c r="J131" t="n">
        <v>-3960</v>
      </c>
      <c r="K131" t="n">
        <v>-3960</v>
      </c>
      <c r="M131" t="inlineStr">
        <is>
          <t>GERENTE</t>
        </is>
      </c>
      <c r="N131" t="inlineStr">
        <is>
          <t xml:space="preserve">  - Gerente</t>
        </is>
      </c>
      <c r="O131" t="inlineStr">
        <is>
          <t>Provisionado</t>
        </is>
      </c>
      <c r="Q131" t="inlineStr">
        <is>
          <t>11/2026</t>
        </is>
      </c>
      <c r="R131" t="n">
        <v>0</v>
      </c>
    </row>
    <row r="132">
      <c r="A132" t="n">
        <v>257267</v>
      </c>
      <c r="B132" t="inlineStr">
        <is>
          <t>Nuv Gastrobar</t>
        </is>
      </c>
      <c r="C132" t="inlineStr">
        <is>
          <t xml:space="preserve">KAMINO INSTITUICAO DE PAGAMENTO LTDA </t>
        </is>
      </c>
      <c r="D132" t="inlineStr">
        <is>
          <t>PROVISAO</t>
        </is>
      </c>
      <c r="E132" s="525" t="n">
        <v>46327</v>
      </c>
      <c r="F132" s="525" t="n">
        <v>46344</v>
      </c>
      <c r="G132" t="inlineStr">
        <is>
          <t>Despesas Financeiras</t>
        </is>
      </c>
      <c r="H132" t="inlineStr">
        <is>
          <t>Tarifas Bancárias</t>
        </is>
      </c>
      <c r="I132" t="inlineStr">
        <is>
          <t xml:space="preserve">TARIFAS BANCÁRIAS </t>
        </is>
      </c>
      <c r="J132" t="n">
        <v>-400</v>
      </c>
      <c r="K132" t="n">
        <v>-400</v>
      </c>
      <c r="O132" t="inlineStr">
        <is>
          <t>Provisionado</t>
        </is>
      </c>
      <c r="Q132" t="inlineStr">
        <is>
          <t>11/2026</t>
        </is>
      </c>
      <c r="R132" t="n">
        <v>0</v>
      </c>
    </row>
    <row r="133">
      <c r="A133" t="n">
        <v>258042</v>
      </c>
      <c r="B133" t="inlineStr">
        <is>
          <t>Nuv Gastrobar</t>
        </is>
      </c>
      <c r="C133" t="inlineStr">
        <is>
          <t>BEATRIZ PEREIRA GARCIA</t>
        </is>
      </c>
      <c r="D133" t="inlineStr">
        <is>
          <t>PROVISAO</t>
        </is>
      </c>
      <c r="E133" s="525" t="n">
        <v>46327</v>
      </c>
      <c r="F133" s="525" t="n">
        <v>46366</v>
      </c>
      <c r="G133" t="inlineStr">
        <is>
          <t>Mão de Obra - PJ</t>
        </is>
      </c>
      <c r="H133" t="inlineStr">
        <is>
          <t>MDO PJ Fixo</t>
        </is>
      </c>
      <c r="I133" t="inlineStr">
        <is>
          <t>BEATRIZ | ADM NUV</t>
        </is>
      </c>
      <c r="J133" t="n">
        <v>-3000</v>
      </c>
      <c r="K133" t="n">
        <v>-3000</v>
      </c>
      <c r="O133" t="inlineStr">
        <is>
          <t>Provisionado</t>
        </is>
      </c>
      <c r="Q133" t="inlineStr">
        <is>
          <t>11/2026</t>
        </is>
      </c>
      <c r="R133" t="n">
        <v>0</v>
      </c>
    </row>
    <row r="134">
      <c r="A134" t="n">
        <v>258152</v>
      </c>
      <c r="B134" t="inlineStr">
        <is>
          <t>Nuv Gastrobar</t>
        </is>
      </c>
      <c r="C134" t="inlineStr">
        <is>
          <t>PJ PEDRO XAVIER ANTUNES CAVALHEIRO 45502040879</t>
        </is>
      </c>
      <c r="D134" t="inlineStr">
        <is>
          <t>PROVISAO</t>
        </is>
      </c>
      <c r="E134" s="525" t="n">
        <v>46327</v>
      </c>
      <c r="F134" s="525" t="n">
        <v>46366</v>
      </c>
      <c r="G134" t="inlineStr">
        <is>
          <t>Mão de Obra - PJ</t>
        </is>
      </c>
      <c r="H134" t="inlineStr">
        <is>
          <t>MDO PJ Fixo</t>
        </is>
      </c>
      <c r="I134" t="inlineStr">
        <is>
          <t>PEDRO| NUV</t>
        </is>
      </c>
      <c r="J134" t="n">
        <v>-3960</v>
      </c>
      <c r="K134" t="n">
        <v>-3960</v>
      </c>
      <c r="M134" t="inlineStr">
        <is>
          <t>GERENTE</t>
        </is>
      </c>
      <c r="N134" t="inlineStr">
        <is>
          <t xml:space="preserve">  - Gerente</t>
        </is>
      </c>
      <c r="O134" t="inlineStr">
        <is>
          <t>Provisionado</t>
        </is>
      </c>
      <c r="Q134" t="inlineStr">
        <is>
          <t>11/2026</t>
        </is>
      </c>
      <c r="R134" t="n">
        <v>0</v>
      </c>
    </row>
    <row r="135">
      <c r="A135" t="n">
        <v>262371</v>
      </c>
      <c r="B135" t="inlineStr">
        <is>
          <t>Nuv Gastrobar</t>
        </is>
      </c>
      <c r="C135" t="inlineStr">
        <is>
          <t xml:space="preserve">CSRF </t>
        </is>
      </c>
      <c r="D135" t="inlineStr">
        <is>
          <t>PROVISAO</t>
        </is>
      </c>
      <c r="E135" s="525" t="n">
        <v>46325</v>
      </c>
      <c r="F135" s="525" t="n">
        <v>46346</v>
      </c>
      <c r="G135" t="inlineStr">
        <is>
          <t>Imposto de Renda</t>
        </is>
      </c>
      <c r="H135" t="inlineStr">
        <is>
          <t>CSLL</t>
        </is>
      </c>
      <c r="J135" t="n">
        <v>-100</v>
      </c>
      <c r="K135" t="n">
        <v>-100</v>
      </c>
      <c r="O135" t="inlineStr">
        <is>
          <t>Provisionado</t>
        </is>
      </c>
      <c r="Q135" t="inlineStr">
        <is>
          <t>10/2026</t>
        </is>
      </c>
      <c r="R135" t="n">
        <v>0</v>
      </c>
    </row>
    <row r="136">
      <c r="A136" t="n">
        <v>261848</v>
      </c>
      <c r="B136" t="inlineStr">
        <is>
          <t>Nuv Gastrobar</t>
        </is>
      </c>
      <c r="C136" t="inlineStr">
        <is>
          <t>ISS</t>
        </is>
      </c>
      <c r="D136" t="inlineStr">
        <is>
          <t>PROVISAO</t>
        </is>
      </c>
      <c r="E136" s="525" t="n">
        <v>46325</v>
      </c>
      <c r="F136" s="525" t="n">
        <v>46336</v>
      </c>
      <c r="G136" t="inlineStr">
        <is>
          <t>Impostos sobre Venda</t>
        </is>
      </c>
      <c r="H136" t="inlineStr">
        <is>
          <t>ISS</t>
        </is>
      </c>
      <c r="J136" t="n">
        <v>-500</v>
      </c>
      <c r="K136" t="n">
        <v>-500</v>
      </c>
      <c r="O136" t="inlineStr">
        <is>
          <t>Provisionado</t>
        </is>
      </c>
      <c r="Q136" t="inlineStr">
        <is>
          <t>10/2026</t>
        </is>
      </c>
      <c r="R136" t="n">
        <v>0</v>
      </c>
    </row>
    <row r="137">
      <c r="A137" t="n">
        <v>262362</v>
      </c>
      <c r="B137" t="inlineStr">
        <is>
          <t>Nuv Gastrobar</t>
        </is>
      </c>
      <c r="C137" t="inlineStr">
        <is>
          <t>IRRF</t>
        </is>
      </c>
      <c r="D137" t="inlineStr">
        <is>
          <t>PROVISAO</t>
        </is>
      </c>
      <c r="E137" s="525" t="n">
        <v>46325</v>
      </c>
      <c r="F137" s="525" t="n">
        <v>46346</v>
      </c>
      <c r="G137" t="inlineStr">
        <is>
          <t>Imposto de Renda</t>
        </is>
      </c>
      <c r="H137" t="inlineStr">
        <is>
          <t>IRRF</t>
        </is>
      </c>
      <c r="J137" t="n">
        <v>-100</v>
      </c>
      <c r="K137" t="n">
        <v>-100</v>
      </c>
      <c r="O137" t="inlineStr">
        <is>
          <t>Provisionado</t>
        </is>
      </c>
      <c r="Q137" t="inlineStr">
        <is>
          <t>10/2026</t>
        </is>
      </c>
      <c r="R137" t="n">
        <v>0</v>
      </c>
    </row>
    <row r="138">
      <c r="A138" t="n">
        <v>261856</v>
      </c>
      <c r="B138" t="inlineStr">
        <is>
          <t>Nuv Gastrobar</t>
        </is>
      </c>
      <c r="C138" t="inlineStr">
        <is>
          <t>ICMS</t>
        </is>
      </c>
      <c r="D138" t="inlineStr">
        <is>
          <t>PROVISAO</t>
        </is>
      </c>
      <c r="E138" s="525" t="n">
        <v>46325</v>
      </c>
      <c r="F138" s="525" t="n">
        <v>46346</v>
      </c>
      <c r="G138" t="inlineStr">
        <is>
          <t>Impostos sobre Venda</t>
        </is>
      </c>
      <c r="H138" t="inlineStr">
        <is>
          <t>ICMS</t>
        </is>
      </c>
      <c r="J138" t="n">
        <v>-5000</v>
      </c>
      <c r="K138" t="n">
        <v>-5000</v>
      </c>
      <c r="O138" t="inlineStr">
        <is>
          <t>Provisionado</t>
        </is>
      </c>
      <c r="Q138" t="inlineStr">
        <is>
          <t>10/2026</t>
        </is>
      </c>
      <c r="R138" t="n">
        <v>0</v>
      </c>
    </row>
    <row r="139">
      <c r="A139" t="n">
        <v>258262</v>
      </c>
      <c r="B139" t="inlineStr">
        <is>
          <t>Nuv Gastrobar</t>
        </is>
      </c>
      <c r="C139" t="inlineStr">
        <is>
          <t>GILBERTO FERREIRA SILVA JUNIOR</t>
        </is>
      </c>
      <c r="D139" t="inlineStr">
        <is>
          <t>18211812004377676</t>
        </is>
      </c>
      <c r="E139" s="525" t="n">
        <v>46308</v>
      </c>
      <c r="F139" s="525" t="n">
        <v>46316</v>
      </c>
      <c r="G139" t="inlineStr">
        <is>
          <t>Locação de Equipamentos</t>
        </is>
      </c>
      <c r="H139" t="inlineStr">
        <is>
          <t>Locações de Equipamentos - Operacionais</t>
        </is>
      </c>
      <c r="I139" t="inlineStr">
        <is>
          <t>LOCAÇÃO DE MÁQUINAS DE LAVAR LOUÇA - 3/6 - 10/2026</t>
        </is>
      </c>
      <c r="J139" t="n">
        <v>-1600</v>
      </c>
      <c r="K139" t="n">
        <v>-1600</v>
      </c>
      <c r="O139" t="inlineStr">
        <is>
          <t>Provisionado</t>
        </is>
      </c>
      <c r="Q139" t="inlineStr">
        <is>
          <t>10/2026</t>
        </is>
      </c>
      <c r="R139" t="n">
        <v>0</v>
      </c>
    </row>
    <row r="140">
      <c r="A140" t="n">
        <v>263875</v>
      </c>
      <c r="B140" t="inlineStr">
        <is>
          <t>Nuv Gastrobar</t>
        </is>
      </c>
      <c r="C140" t="inlineStr">
        <is>
          <t xml:space="preserve">MUNDIVOX COMUNICAÇOES LTDA </t>
        </is>
      </c>
      <c r="D140" t="inlineStr">
        <is>
          <t>PROVISAO</t>
        </is>
      </c>
      <c r="E140" s="525" t="n">
        <v>46305</v>
      </c>
      <c r="F140" s="525" t="n">
        <v>46346</v>
      </c>
      <c r="G140" t="inlineStr">
        <is>
          <t>Informática e TI</t>
        </is>
      </c>
      <c r="H140" t="inlineStr">
        <is>
          <t>Internet</t>
        </is>
      </c>
      <c r="I140" t="inlineStr">
        <is>
          <t>INTERNET - 09/2026</t>
        </is>
      </c>
      <c r="J140" t="n">
        <v>-800</v>
      </c>
      <c r="K140" t="n">
        <v>-800</v>
      </c>
      <c r="O140" t="inlineStr">
        <is>
          <t>Provisionado</t>
        </is>
      </c>
      <c r="Q140" t="inlineStr">
        <is>
          <t>10/2026</t>
        </is>
      </c>
      <c r="R140" t="n">
        <v>0</v>
      </c>
    </row>
    <row r="141">
      <c r="A141" t="n">
        <v>259547</v>
      </c>
      <c r="B141" t="inlineStr">
        <is>
          <t>Nuv Gastrobar</t>
        </is>
      </c>
      <c r="C141" t="inlineStr">
        <is>
          <t>SALARIOS CLT</t>
        </is>
      </c>
      <c r="D141" t="inlineStr">
        <is>
          <t>PROVISAO</t>
        </is>
      </c>
      <c r="E141" s="525" t="n">
        <v>46296</v>
      </c>
      <c r="F141" s="525" t="n">
        <v>46330</v>
      </c>
      <c r="G141" t="inlineStr">
        <is>
          <t>Mão de Obra - Salários</t>
        </is>
      </c>
      <c r="H141" t="inlineStr">
        <is>
          <t>MDO CLT - Salário</t>
        </is>
      </c>
      <c r="I141" t="inlineStr">
        <is>
          <t xml:space="preserve">SALÁRIOS </t>
        </is>
      </c>
      <c r="J141" t="n">
        <v>-40000</v>
      </c>
      <c r="K141" t="n">
        <v>-40000</v>
      </c>
      <c r="O141" t="inlineStr">
        <is>
          <t>Provisionado</t>
        </is>
      </c>
      <c r="Q141" t="inlineStr">
        <is>
          <t>10/2026</t>
        </is>
      </c>
      <c r="R141" t="n">
        <v>0</v>
      </c>
    </row>
    <row r="142">
      <c r="A142" t="n">
        <v>254728</v>
      </c>
      <c r="B142" t="inlineStr">
        <is>
          <t>Nuv Gastrobar</t>
        </is>
      </c>
      <c r="C142" t="inlineStr">
        <is>
          <t xml:space="preserve">ABRASEL SAO PAULO </t>
        </is>
      </c>
      <c r="D142" t="inlineStr">
        <is>
          <t>PROVISAO</t>
        </is>
      </c>
      <c r="E142" s="525" t="n">
        <v>46296</v>
      </c>
      <c r="F142" s="525" t="n">
        <v>46315</v>
      </c>
      <c r="G142" t="inlineStr">
        <is>
          <t>Serviços de Terceiros</t>
        </is>
      </c>
      <c r="H142" t="inlineStr">
        <is>
          <t>Assessoria Financeira</t>
        </is>
      </c>
      <c r="I142" t="inlineStr">
        <is>
          <t xml:space="preserve">ABRASEL </t>
        </is>
      </c>
      <c r="J142" t="n">
        <v>-185</v>
      </c>
      <c r="K142" t="n">
        <v>-185</v>
      </c>
      <c r="O142" t="inlineStr">
        <is>
          <t>Provisionado</t>
        </is>
      </c>
      <c r="Q142" t="inlineStr">
        <is>
          <t>10/2026</t>
        </is>
      </c>
      <c r="R142" t="n">
        <v>0</v>
      </c>
    </row>
    <row r="143">
      <c r="A143" t="n">
        <v>258151</v>
      </c>
      <c r="B143" t="inlineStr">
        <is>
          <t>Nuv Gastrobar</t>
        </is>
      </c>
      <c r="C143" t="inlineStr">
        <is>
          <t>PJ PEDRO XAVIER ANTUNES CAVALHEIRO 45502040879</t>
        </is>
      </c>
      <c r="D143" t="inlineStr">
        <is>
          <t>PROVISAO</t>
        </is>
      </c>
      <c r="E143" s="525" t="n">
        <v>46296</v>
      </c>
      <c r="F143" s="525" t="n">
        <v>46336</v>
      </c>
      <c r="G143" t="inlineStr">
        <is>
          <t>Mão de Obra - PJ</t>
        </is>
      </c>
      <c r="H143" t="inlineStr">
        <is>
          <t>MDO PJ Fixo</t>
        </is>
      </c>
      <c r="I143" t="inlineStr">
        <is>
          <t>PEDRO| NUV</t>
        </is>
      </c>
      <c r="J143" t="n">
        <v>-3960</v>
      </c>
      <c r="K143" t="n">
        <v>-3960</v>
      </c>
      <c r="M143" t="inlineStr">
        <is>
          <t>GERENTE</t>
        </is>
      </c>
      <c r="N143" t="inlineStr">
        <is>
          <t xml:space="preserve">  - Gerente</t>
        </is>
      </c>
      <c r="O143" t="inlineStr">
        <is>
          <t>Provisionado</t>
        </is>
      </c>
      <c r="Q143" t="inlineStr">
        <is>
          <t>10/2026</t>
        </is>
      </c>
      <c r="R143" t="n">
        <v>0</v>
      </c>
    </row>
    <row r="144">
      <c r="A144" t="n">
        <v>259936</v>
      </c>
      <c r="B144" t="inlineStr">
        <is>
          <t>Nuv Gastrobar</t>
        </is>
      </c>
      <c r="C144" t="inlineStr">
        <is>
          <t>PJ PEDRO XAVIER ANTUNES CAVALHEIRO 45502040879</t>
        </is>
      </c>
      <c r="D144" t="inlineStr">
        <is>
          <t>PROVISAO</t>
        </is>
      </c>
      <c r="E144" s="525" t="n">
        <v>46296</v>
      </c>
      <c r="F144" s="525" t="n">
        <v>46336</v>
      </c>
      <c r="G144" t="inlineStr">
        <is>
          <t>Mão de Obra - PJ</t>
        </is>
      </c>
      <c r="H144" t="inlineStr">
        <is>
          <t>MDO PJ Fixo</t>
        </is>
      </c>
      <c r="I144" t="inlineStr">
        <is>
          <t xml:space="preserve">PEDRO XAVIER ANTUNES CAVALHEIRO | NUV
</t>
        </is>
      </c>
      <c r="J144" t="n">
        <v>-3960</v>
      </c>
      <c r="K144" t="n">
        <v>-3960</v>
      </c>
      <c r="M144" t="inlineStr">
        <is>
          <t>GERENTE</t>
        </is>
      </c>
      <c r="N144" t="inlineStr">
        <is>
          <t xml:space="preserve">  - Gerente</t>
        </is>
      </c>
      <c r="O144" t="inlineStr">
        <is>
          <t>Provisionado</t>
        </is>
      </c>
      <c r="Q144" t="inlineStr">
        <is>
          <t>10/2026</t>
        </is>
      </c>
      <c r="R144" t="n">
        <v>0</v>
      </c>
    </row>
    <row r="145">
      <c r="A145" t="n">
        <v>258065</v>
      </c>
      <c r="B145" t="inlineStr">
        <is>
          <t>Nuv Gastrobar</t>
        </is>
      </c>
      <c r="C145" t="inlineStr">
        <is>
          <t>CATARINA RAMOS NARCISO</t>
        </is>
      </c>
      <c r="D145" t="inlineStr">
        <is>
          <t>PROVISAO</t>
        </is>
      </c>
      <c r="E145" s="525" t="n">
        <v>46296</v>
      </c>
      <c r="F145" s="525" t="n">
        <v>46336</v>
      </c>
      <c r="G145" t="inlineStr">
        <is>
          <t>Mão de Obra - PJ</t>
        </is>
      </c>
      <c r="H145" t="inlineStr">
        <is>
          <t>MDO PJ Fixo</t>
        </is>
      </c>
      <c r="I145" t="inlineStr">
        <is>
          <t xml:space="preserve">CATARINA| EVENTOS NUV
</t>
        </is>
      </c>
      <c r="J145" t="n">
        <v>-4000</v>
      </c>
      <c r="K145" t="n">
        <v>-4000</v>
      </c>
      <c r="O145" t="inlineStr">
        <is>
          <t>Provisionado</t>
        </is>
      </c>
      <c r="Q145" t="inlineStr">
        <is>
          <t>10/2026</t>
        </is>
      </c>
      <c r="R145" t="n">
        <v>0</v>
      </c>
    </row>
    <row r="146">
      <c r="A146" t="n">
        <v>258041</v>
      </c>
      <c r="B146" t="inlineStr">
        <is>
          <t>Nuv Gastrobar</t>
        </is>
      </c>
      <c r="C146" t="inlineStr">
        <is>
          <t>BEATRIZ PEREIRA GARCIA</t>
        </is>
      </c>
      <c r="D146" t="inlineStr">
        <is>
          <t>PROVISAO</t>
        </is>
      </c>
      <c r="E146" s="525" t="n">
        <v>46296</v>
      </c>
      <c r="F146" s="525" t="n">
        <v>46336</v>
      </c>
      <c r="G146" t="inlineStr">
        <is>
          <t>Mão de Obra - PJ</t>
        </is>
      </c>
      <c r="H146" t="inlineStr">
        <is>
          <t>MDO PJ Fixo</t>
        </is>
      </c>
      <c r="I146" t="inlineStr">
        <is>
          <t>BEATRIZ | ADM NUV</t>
        </is>
      </c>
      <c r="J146" t="n">
        <v>-3000</v>
      </c>
      <c r="K146" t="n">
        <v>-3000</v>
      </c>
      <c r="O146" t="inlineStr">
        <is>
          <t>Provisionado</t>
        </is>
      </c>
      <c r="Q146" t="inlineStr">
        <is>
          <t>10/2026</t>
        </is>
      </c>
      <c r="R146" t="n">
        <v>0</v>
      </c>
    </row>
    <row r="147">
      <c r="A147" t="n">
        <v>259873</v>
      </c>
      <c r="B147" t="inlineStr">
        <is>
          <t>Nuv Gastrobar</t>
        </is>
      </c>
      <c r="C147" t="inlineStr">
        <is>
          <t>BRUNA VALLONE SANTOS</t>
        </is>
      </c>
      <c r="D147" t="inlineStr">
        <is>
          <t>PROVISAO</t>
        </is>
      </c>
      <c r="E147" s="525" t="n">
        <v>46296</v>
      </c>
      <c r="F147" s="525" t="n">
        <v>46336</v>
      </c>
      <c r="G147" t="inlineStr">
        <is>
          <t>Mão de Obra - PJ</t>
        </is>
      </c>
      <c r="H147" t="inlineStr">
        <is>
          <t>MDO PJ Fixo</t>
        </is>
      </c>
      <c r="I147" t="inlineStr">
        <is>
          <t>BRUNA VALLONE SANTOS | NUV</t>
        </is>
      </c>
      <c r="J147" t="n">
        <v>-4200</v>
      </c>
      <c r="K147" t="n">
        <v>-4200</v>
      </c>
      <c r="O147" t="inlineStr">
        <is>
          <t>Provisionado</t>
        </is>
      </c>
      <c r="Q147" t="inlineStr">
        <is>
          <t>10/2026</t>
        </is>
      </c>
      <c r="R147" t="n">
        <v>0</v>
      </c>
    </row>
    <row r="148">
      <c r="A148" t="n">
        <v>260916</v>
      </c>
      <c r="B148" t="inlineStr">
        <is>
          <t>Nuv Gastrobar</t>
        </is>
      </c>
      <c r="C148" t="inlineStr">
        <is>
          <t xml:space="preserve">EXTRATECH SERVICOS DE ENGENHARIA LTDA </t>
        </is>
      </c>
      <c r="D148" t="inlineStr">
        <is>
          <t>2298 - 1/2</t>
        </is>
      </c>
      <c r="E148" s="525" t="n">
        <v>46296</v>
      </c>
      <c r="F148" s="525" t="n">
        <v>46304</v>
      </c>
      <c r="G148" t="inlineStr">
        <is>
          <t>Investimento - CAPEX</t>
        </is>
      </c>
      <c r="H148" t="inlineStr">
        <is>
          <t>Investimento - Taxa de Licença</t>
        </is>
      </c>
      <c r="I148" t="inlineStr">
        <is>
          <t>AUTO LICENÇA DE FUNCIONAMENTO NUV 50% NO ACEITE, 50% 30 DIAS</t>
        </is>
      </c>
      <c r="J148" t="n">
        <v>-6000</v>
      </c>
      <c r="K148" t="n">
        <v>-6000</v>
      </c>
      <c r="O148" t="inlineStr">
        <is>
          <t>Real</t>
        </is>
      </c>
      <c r="Q148" t="inlineStr">
        <is>
          <t>10/2026</t>
        </is>
      </c>
      <c r="R148" t="n">
        <v>0</v>
      </c>
    </row>
    <row r="149">
      <c r="A149" t="n">
        <v>262748</v>
      </c>
      <c r="B149" t="inlineStr">
        <is>
          <t>Nuv Gastrobar</t>
        </is>
      </c>
      <c r="C149" t="inlineStr">
        <is>
          <t>CAIO VINICIUS MARTINELLI JACINTO</t>
        </is>
      </c>
      <c r="D149" t="inlineStr">
        <is>
          <t>PROVISAO</t>
        </is>
      </c>
      <c r="E149" s="525" t="n">
        <v>46296</v>
      </c>
      <c r="F149" s="525" t="n">
        <v>46336</v>
      </c>
      <c r="G149" t="inlineStr">
        <is>
          <t>Mão de Obra - PJ</t>
        </is>
      </c>
      <c r="H149" t="inlineStr">
        <is>
          <t>MDO PJ Fixo</t>
        </is>
      </c>
      <c r="J149" t="n">
        <v>-2600</v>
      </c>
      <c r="K149" t="n">
        <v>-2600</v>
      </c>
      <c r="M149" t="inlineStr">
        <is>
          <t>SUB CHEFE DE BAR</t>
        </is>
      </c>
      <c r="N149" t="inlineStr">
        <is>
          <t xml:space="preserve">  - Sub Chefe De Bar</t>
        </is>
      </c>
      <c r="O149" t="inlineStr">
        <is>
          <t>Provisionado</t>
        </is>
      </c>
      <c r="Q149" t="inlineStr">
        <is>
          <t>10/2026</t>
        </is>
      </c>
      <c r="R149" t="n">
        <v>0</v>
      </c>
    </row>
    <row r="150">
      <c r="A150" t="n">
        <v>258165</v>
      </c>
      <c r="B150" t="inlineStr">
        <is>
          <t>Nuv Gastrobar</t>
        </is>
      </c>
      <c r="C150" t="inlineStr">
        <is>
          <t>PJ IVAN MANFRINATO BILIA 3781626180</t>
        </is>
      </c>
      <c r="D150" t="inlineStr">
        <is>
          <t>PROVISAO</t>
        </is>
      </c>
      <c r="E150" s="525" t="n">
        <v>46296</v>
      </c>
      <c r="F150" s="525" t="n">
        <v>46336</v>
      </c>
      <c r="G150" t="inlineStr">
        <is>
          <t>Mão de Obra - PJ</t>
        </is>
      </c>
      <c r="H150" t="inlineStr">
        <is>
          <t>MDO PJ Fixo</t>
        </is>
      </c>
      <c r="I150" t="inlineStr">
        <is>
          <t>IVAN| NUV</t>
        </is>
      </c>
      <c r="J150" t="n">
        <v>-3250</v>
      </c>
      <c r="K150" t="n">
        <v>-3250</v>
      </c>
      <c r="M150" t="inlineStr">
        <is>
          <t>CHEFE DE COZINHA</t>
        </is>
      </c>
      <c r="N150" t="inlineStr">
        <is>
          <t xml:space="preserve">  - Chefe de Cozinha</t>
        </is>
      </c>
      <c r="O150" t="inlineStr">
        <is>
          <t>Provisionado</t>
        </is>
      </c>
      <c r="Q150" t="inlineStr">
        <is>
          <t>10/2026</t>
        </is>
      </c>
      <c r="R150" t="n">
        <v>0</v>
      </c>
    </row>
    <row r="151">
      <c r="A151" t="n">
        <v>199691</v>
      </c>
      <c r="B151" t="inlineStr">
        <is>
          <t>Nuv Gastrobar</t>
        </is>
      </c>
      <c r="C151" t="inlineStr">
        <is>
          <t>IGOR MIRANDO CRUZ - PJ BNSP</t>
        </is>
      </c>
      <c r="D151" t="inlineStr">
        <is>
          <t>PROVISAO</t>
        </is>
      </c>
      <c r="E151" s="525" t="n">
        <v>46296</v>
      </c>
      <c r="F151" s="525" t="n">
        <v>46336</v>
      </c>
      <c r="G151" t="inlineStr">
        <is>
          <t>Mão de Obra - PJ</t>
        </is>
      </c>
      <c r="H151" t="inlineStr">
        <is>
          <t>MDO PJ Fixo</t>
        </is>
      </c>
      <c r="I151" t="inlineStr">
        <is>
          <t xml:space="preserve">IGOR MIRANDA CRUZ | NUV
</t>
        </is>
      </c>
      <c r="J151" t="n">
        <v>-5100</v>
      </c>
      <c r="K151" t="n">
        <v>-5100</v>
      </c>
      <c r="M151" t="inlineStr">
        <is>
          <t>COORDENADOR</t>
        </is>
      </c>
      <c r="N151" t="inlineStr">
        <is>
          <t xml:space="preserve">  - Coordenador</t>
        </is>
      </c>
      <c r="O151" t="inlineStr">
        <is>
          <t>Provisionado</t>
        </is>
      </c>
      <c r="Q151" t="inlineStr">
        <is>
          <t>10/2026</t>
        </is>
      </c>
      <c r="R151" t="n">
        <v>0</v>
      </c>
    </row>
    <row r="152">
      <c r="A152" t="n">
        <v>259887</v>
      </c>
      <c r="B152" t="inlineStr">
        <is>
          <t>Nuv Gastrobar</t>
        </is>
      </c>
      <c r="C152" t="inlineStr">
        <is>
          <t>DOUGLAS LOBATO DE CHICO</t>
        </is>
      </c>
      <c r="D152" t="inlineStr">
        <is>
          <t>PROVISAO</t>
        </is>
      </c>
      <c r="E152" s="525" t="n">
        <v>46296</v>
      </c>
      <c r="F152" s="525" t="n">
        <v>46336</v>
      </c>
      <c r="G152" t="inlineStr">
        <is>
          <t>Mão de Obra - PJ</t>
        </is>
      </c>
      <c r="H152" t="inlineStr">
        <is>
          <t>MDO PJ Fixo</t>
        </is>
      </c>
      <c r="I152" t="inlineStr">
        <is>
          <t xml:space="preserve">DOUGLAS LOBATO DE CHICO | NUV
</t>
        </is>
      </c>
      <c r="J152" t="n">
        <v>-4200</v>
      </c>
      <c r="K152" t="n">
        <v>-4200</v>
      </c>
      <c r="O152" t="inlineStr">
        <is>
          <t>Provisionado</t>
        </is>
      </c>
      <c r="Q152" t="inlineStr">
        <is>
          <t>10/2026</t>
        </is>
      </c>
      <c r="R152" t="n">
        <v>0</v>
      </c>
    </row>
    <row r="153">
      <c r="A153" t="n">
        <v>257266</v>
      </c>
      <c r="B153" t="inlineStr">
        <is>
          <t>Nuv Gastrobar</t>
        </is>
      </c>
      <c r="C153" t="inlineStr">
        <is>
          <t xml:space="preserve">KAMINO INSTITUICAO DE PAGAMENTO LTDA </t>
        </is>
      </c>
      <c r="D153" t="inlineStr">
        <is>
          <t>PROVISAO</t>
        </is>
      </c>
      <c r="E153" s="525" t="n">
        <v>46296</v>
      </c>
      <c r="F153" s="525" t="n">
        <v>46313</v>
      </c>
      <c r="G153" t="inlineStr">
        <is>
          <t>Despesas Financeiras</t>
        </is>
      </c>
      <c r="H153" t="inlineStr">
        <is>
          <t>Tarifas Bancárias</t>
        </is>
      </c>
      <c r="I153" t="inlineStr">
        <is>
          <t xml:space="preserve">TARIFAS BANCÁRIAS </t>
        </is>
      </c>
      <c r="J153" t="n">
        <v>-400</v>
      </c>
      <c r="K153" t="n">
        <v>-400</v>
      </c>
      <c r="O153" t="inlineStr">
        <is>
          <t>Provisionado</t>
        </is>
      </c>
      <c r="Q153" t="inlineStr">
        <is>
          <t>10/2026</t>
        </is>
      </c>
      <c r="R153" t="n">
        <v>0</v>
      </c>
    </row>
    <row r="154">
      <c r="A154" t="n">
        <v>259894</v>
      </c>
      <c r="B154" t="inlineStr">
        <is>
          <t>Nuv Gastrobar</t>
        </is>
      </c>
      <c r="C154" t="inlineStr">
        <is>
          <t>PJ IVAN MANFRINATO BILIA 3781626180</t>
        </is>
      </c>
      <c r="D154" t="inlineStr">
        <is>
          <t>PROVISAO</t>
        </is>
      </c>
      <c r="E154" s="525" t="n">
        <v>46296</v>
      </c>
      <c r="F154" s="525" t="n">
        <v>46336</v>
      </c>
      <c r="G154" t="inlineStr">
        <is>
          <t>Mão de Obra - PJ</t>
        </is>
      </c>
      <c r="H154" t="inlineStr">
        <is>
          <t>MDO PJ Fixo</t>
        </is>
      </c>
      <c r="I154" t="inlineStr">
        <is>
          <t>IVAN MANFRINATO BILIA | NUV</t>
        </is>
      </c>
      <c r="J154" t="n">
        <v>-3250</v>
      </c>
      <c r="K154" t="n">
        <v>-3250</v>
      </c>
      <c r="M154" t="inlineStr">
        <is>
          <t>CHEFE DE COZINHA</t>
        </is>
      </c>
      <c r="N154" t="inlineStr">
        <is>
          <t xml:space="preserve">  - Chefe de Cozinha</t>
        </is>
      </c>
      <c r="O154" t="inlineStr">
        <is>
          <t>Provisionado</t>
        </is>
      </c>
      <c r="Q154" t="inlineStr">
        <is>
          <t>10/2026</t>
        </is>
      </c>
      <c r="R154" t="n">
        <v>0</v>
      </c>
    </row>
    <row r="155">
      <c r="A155" t="n">
        <v>259859</v>
      </c>
      <c r="B155" t="inlineStr">
        <is>
          <t>Nuv Gastrobar</t>
        </is>
      </c>
      <c r="C155" t="inlineStr">
        <is>
          <t>ARANTXA JIMENEZ</t>
        </is>
      </c>
      <c r="D155" t="inlineStr">
        <is>
          <t>PROVISAO</t>
        </is>
      </c>
      <c r="E155" s="525" t="n">
        <v>46296</v>
      </c>
      <c r="F155" s="525" t="n">
        <v>46336</v>
      </c>
      <c r="G155" t="inlineStr">
        <is>
          <t>Mão de Obra - PJ</t>
        </is>
      </c>
      <c r="H155" t="inlineStr">
        <is>
          <t>MDO PJ Fixo</t>
        </is>
      </c>
      <c r="I155" t="inlineStr">
        <is>
          <t>ARANTXA JIMENEZ | NUV</t>
        </is>
      </c>
      <c r="J155" t="n">
        <v>-4000</v>
      </c>
      <c r="K155" t="n">
        <v>-4000</v>
      </c>
      <c r="O155" t="inlineStr">
        <is>
          <t>Provisionado</t>
        </is>
      </c>
      <c r="Q155" t="inlineStr">
        <is>
          <t>10/2026</t>
        </is>
      </c>
      <c r="R155" t="n">
        <v>0</v>
      </c>
    </row>
    <row r="156">
      <c r="A156" t="n">
        <v>262370</v>
      </c>
      <c r="B156" t="inlineStr">
        <is>
          <t>Nuv Gastrobar</t>
        </is>
      </c>
      <c r="C156" t="inlineStr">
        <is>
          <t xml:space="preserve">CSRF </t>
        </is>
      </c>
      <c r="D156" t="inlineStr">
        <is>
          <t>PROVISAO</t>
        </is>
      </c>
      <c r="E156" s="525" t="n">
        <v>46295</v>
      </c>
      <c r="F156" s="525" t="n">
        <v>46315</v>
      </c>
      <c r="G156" t="inlineStr">
        <is>
          <t>Imposto de Renda</t>
        </is>
      </c>
      <c r="H156" t="inlineStr">
        <is>
          <t>CSLL</t>
        </is>
      </c>
      <c r="J156" t="n">
        <v>-100</v>
      </c>
      <c r="K156" t="n">
        <v>-100</v>
      </c>
      <c r="O156" t="inlineStr">
        <is>
          <t>Provisionado</t>
        </is>
      </c>
      <c r="Q156" t="inlineStr">
        <is>
          <t>09/2026</t>
        </is>
      </c>
      <c r="R156" t="n">
        <v>0</v>
      </c>
    </row>
    <row r="157">
      <c r="A157" t="n">
        <v>261843</v>
      </c>
      <c r="B157" t="inlineStr">
        <is>
          <t>Nuv Gastrobar</t>
        </is>
      </c>
      <c r="C157" t="inlineStr">
        <is>
          <t>ISS</t>
        </is>
      </c>
      <c r="D157" t="inlineStr">
        <is>
          <t>PROVISAO</t>
        </is>
      </c>
      <c r="E157" s="525" t="n">
        <v>46295</v>
      </c>
      <c r="F157" s="525" t="n">
        <v>46305</v>
      </c>
      <c r="G157" t="inlineStr">
        <is>
          <t>Impostos sobre Venda</t>
        </is>
      </c>
      <c r="H157" t="inlineStr">
        <is>
          <t>ISS</t>
        </is>
      </c>
      <c r="J157" t="n">
        <v>-500</v>
      </c>
      <c r="K157" t="n">
        <v>-500</v>
      </c>
      <c r="O157" t="inlineStr">
        <is>
          <t>Provisionado</t>
        </is>
      </c>
      <c r="Q157" t="inlineStr">
        <is>
          <t>09/2026</t>
        </is>
      </c>
      <c r="R157" t="n">
        <v>0</v>
      </c>
    </row>
    <row r="158">
      <c r="A158" t="n">
        <v>262361</v>
      </c>
      <c r="B158" t="inlineStr">
        <is>
          <t>Nuv Gastrobar</t>
        </is>
      </c>
      <c r="C158" t="inlineStr">
        <is>
          <t>IRRF</t>
        </is>
      </c>
      <c r="D158" t="inlineStr">
        <is>
          <t>PROVISAO</t>
        </is>
      </c>
      <c r="E158" s="525" t="n">
        <v>46295</v>
      </c>
      <c r="F158" s="525" t="n">
        <v>46315</v>
      </c>
      <c r="G158" t="inlineStr">
        <is>
          <t>Imposto de Renda</t>
        </is>
      </c>
      <c r="H158" t="inlineStr">
        <is>
          <t>IRRF</t>
        </is>
      </c>
      <c r="J158" t="n">
        <v>-100</v>
      </c>
      <c r="K158" t="n">
        <v>-100</v>
      </c>
      <c r="O158" t="inlineStr">
        <is>
          <t>Provisionado</t>
        </is>
      </c>
      <c r="Q158" t="inlineStr">
        <is>
          <t>09/2026</t>
        </is>
      </c>
      <c r="R158" t="n">
        <v>0</v>
      </c>
    </row>
    <row r="159">
      <c r="A159" t="n">
        <v>261855</v>
      </c>
      <c r="B159" t="inlineStr">
        <is>
          <t>Nuv Gastrobar</t>
        </is>
      </c>
      <c r="C159" t="inlineStr">
        <is>
          <t>ICMS</t>
        </is>
      </c>
      <c r="D159" t="inlineStr">
        <is>
          <t>PROVISAO</t>
        </is>
      </c>
      <c r="E159" s="525" t="n">
        <v>46295</v>
      </c>
      <c r="F159" s="525" t="n">
        <v>46315</v>
      </c>
      <c r="G159" t="inlineStr">
        <is>
          <t>Impostos sobre Venda</t>
        </is>
      </c>
      <c r="H159" t="inlineStr">
        <is>
          <t>ICMS</t>
        </is>
      </c>
      <c r="J159" t="n">
        <v>-5000</v>
      </c>
      <c r="K159" t="n">
        <v>-5000</v>
      </c>
      <c r="O159" t="inlineStr">
        <is>
          <t>Provisionado</t>
        </is>
      </c>
      <c r="Q159" t="inlineStr">
        <is>
          <t>09/2026</t>
        </is>
      </c>
      <c r="R159" t="n">
        <v>0</v>
      </c>
    </row>
    <row r="160">
      <c r="A160" t="n">
        <v>258261</v>
      </c>
      <c r="B160" t="inlineStr">
        <is>
          <t>Nuv Gastrobar</t>
        </is>
      </c>
      <c r="C160" t="inlineStr">
        <is>
          <t>GILBERTO FERREIRA SILVA JUNIOR</t>
        </is>
      </c>
      <c r="D160" t="inlineStr">
        <is>
          <t>18970633133984348</t>
        </is>
      </c>
      <c r="E160" s="525" t="n">
        <v>46278</v>
      </c>
      <c r="F160" s="525" t="n">
        <v>46286</v>
      </c>
      <c r="G160" t="inlineStr">
        <is>
          <t>Locação de Equipamentos</t>
        </is>
      </c>
      <c r="H160" t="inlineStr">
        <is>
          <t>Locações de Equipamentos - Operacionais</t>
        </is>
      </c>
      <c r="I160" t="inlineStr">
        <is>
          <t>LOCAÇÃO DE MÁQUINAS DE LAVAR LOUÇA - 2/6 - 09/2026</t>
        </is>
      </c>
      <c r="J160" t="n">
        <v>-1600</v>
      </c>
      <c r="K160" t="n">
        <v>-1600</v>
      </c>
      <c r="O160" t="inlineStr">
        <is>
          <t>Provisionado</t>
        </is>
      </c>
      <c r="Q160" t="inlineStr">
        <is>
          <t>09/2026</t>
        </is>
      </c>
      <c r="R160" t="n">
        <v>0</v>
      </c>
    </row>
    <row r="161">
      <c r="A161" t="n">
        <v>263877</v>
      </c>
      <c r="B161" t="inlineStr">
        <is>
          <t>Nuv Gastrobar</t>
        </is>
      </c>
      <c r="C161" t="inlineStr">
        <is>
          <t xml:space="preserve">MUNDIVOX COMUNICAÇOES LTDA </t>
        </is>
      </c>
      <c r="D161" t="inlineStr">
        <is>
          <t>PROVISAO</t>
        </is>
      </c>
      <c r="E161" s="525" t="n">
        <v>46275</v>
      </c>
      <c r="F161" s="525" t="n">
        <v>46407</v>
      </c>
      <c r="G161" t="inlineStr">
        <is>
          <t>Informática e TI</t>
        </is>
      </c>
      <c r="H161" t="inlineStr">
        <is>
          <t>Internet</t>
        </is>
      </c>
      <c r="I161" t="inlineStr">
        <is>
          <t>INTERNET - 09/2026</t>
        </is>
      </c>
      <c r="J161" t="n">
        <v>-800</v>
      </c>
      <c r="K161" t="n">
        <v>-800</v>
      </c>
      <c r="O161" t="inlineStr">
        <is>
          <t>Provisionado</t>
        </is>
      </c>
      <c r="Q161" t="inlineStr">
        <is>
          <t>09/2026</t>
        </is>
      </c>
      <c r="R161" t="n">
        <v>0</v>
      </c>
    </row>
    <row r="162">
      <c r="A162" t="n">
        <v>263256</v>
      </c>
      <c r="B162" t="inlineStr">
        <is>
          <t>Nuv Gastrobar</t>
        </is>
      </c>
      <c r="C162" t="inlineStr">
        <is>
          <t>ESTAFF SOLUCOES TECNOLOGICAS DE AGENCIAMENTO LTDA</t>
        </is>
      </c>
      <c r="D162" t="inlineStr">
        <is>
          <t>46562</t>
        </is>
      </c>
      <c r="E162" s="525" t="n">
        <v>46272</v>
      </c>
      <c r="F162" s="525" t="n">
        <v>46281</v>
      </c>
      <c r="G162" t="inlineStr">
        <is>
          <t>Mão de Obra - Extra</t>
        </is>
      </c>
      <c r="H162" t="inlineStr">
        <is>
          <t>Mão de Obra Extra</t>
        </is>
      </c>
      <c r="I162" t="inlineStr">
        <is>
          <t>ESTAFF NUV - PERÍODO DE 31/08 A 06/09</t>
        </is>
      </c>
      <c r="J162" t="n">
        <v>-8183.38</v>
      </c>
      <c r="K162" t="n">
        <v>-8183.38</v>
      </c>
      <c r="O162" t="inlineStr">
        <is>
          <t>Real</t>
        </is>
      </c>
      <c r="Q162" t="inlineStr">
        <is>
          <t>09/2026</t>
        </is>
      </c>
      <c r="R162" t="n">
        <v>0</v>
      </c>
    </row>
    <row r="163">
      <c r="A163" t="n">
        <v>263878</v>
      </c>
      <c r="B163" t="inlineStr">
        <is>
          <t>Nuv Gastrobar</t>
        </is>
      </c>
      <c r="C163" t="inlineStr">
        <is>
          <t xml:space="preserve">MUNDIVOX COMUNICAÇOES LTDA </t>
        </is>
      </c>
      <c r="D163" t="inlineStr">
        <is>
          <t>30863</t>
        </is>
      </c>
      <c r="E163" s="525" t="n">
        <v>46268</v>
      </c>
      <c r="F163" s="525" t="n">
        <v>46315</v>
      </c>
      <c r="G163" t="inlineStr">
        <is>
          <t>Informática e TI</t>
        </is>
      </c>
      <c r="H163" t="inlineStr">
        <is>
          <t>Internet</t>
        </is>
      </c>
      <c r="I163" t="inlineStr">
        <is>
          <t>INTERNET - 09/2026</t>
        </is>
      </c>
      <c r="J163" t="n">
        <v>-800</v>
      </c>
      <c r="K163" t="n">
        <v>-800</v>
      </c>
      <c r="O163" t="inlineStr">
        <is>
          <t>Real</t>
        </is>
      </c>
      <c r="Q163" t="inlineStr">
        <is>
          <t>09/2026</t>
        </is>
      </c>
      <c r="R163" t="n">
        <v>0</v>
      </c>
    </row>
    <row r="164">
      <c r="A164" t="n">
        <v>262229</v>
      </c>
      <c r="B164" t="inlineStr">
        <is>
          <t>Nuv Gastrobar</t>
        </is>
      </c>
      <c r="C164" t="inlineStr">
        <is>
          <t xml:space="preserve">MUNDIVOX COMUNICAÇOES LTDA </t>
        </is>
      </c>
      <c r="D164" t="inlineStr">
        <is>
          <t>30862</t>
        </is>
      </c>
      <c r="E164" s="525" t="n">
        <v>46268</v>
      </c>
      <c r="F164" s="525" t="n">
        <v>46279</v>
      </c>
      <c r="G164" t="inlineStr">
        <is>
          <t>Informática e TI</t>
        </is>
      </c>
      <c r="H164" t="inlineStr">
        <is>
          <t>Sistemas Gerais - Operacionais</t>
        </is>
      </c>
      <c r="I164" t="inlineStr">
        <is>
          <t>LINK DE INTERNET NUV - REFERENTE AO SERVIÇO PRESTADO EM 08/2026</t>
        </is>
      </c>
      <c r="J164" t="n">
        <v>-746.67</v>
      </c>
      <c r="K164" t="n">
        <v>-746.67</v>
      </c>
      <c r="O164" t="inlineStr">
        <is>
          <t>Real</t>
        </is>
      </c>
      <c r="Q164" t="inlineStr">
        <is>
          <t>09/2026</t>
        </is>
      </c>
      <c r="R164" t="n">
        <v>0</v>
      </c>
    </row>
    <row r="165">
      <c r="A165" t="n">
        <v>262278</v>
      </c>
      <c r="B165" t="inlineStr">
        <is>
          <t>Nuv Gastrobar</t>
        </is>
      </c>
      <c r="C165" t="inlineStr">
        <is>
          <t>RITZ MATERIAIS PARA FESTA LTDA</t>
        </is>
      </c>
      <c r="D165" t="inlineStr">
        <is>
          <t>115957</t>
        </is>
      </c>
      <c r="E165" s="525" t="n">
        <v>46267</v>
      </c>
      <c r="F165" s="525" t="n">
        <v>46293</v>
      </c>
      <c r="G165" t="inlineStr">
        <is>
          <t>Utilidades</t>
        </is>
      </c>
      <c r="H165" t="inlineStr">
        <is>
          <t>Utensilios</t>
        </is>
      </c>
      <c r="I165" t="inlineStr">
        <is>
          <t>LOCAÇÃO E REPOSIÇÃO DE UTENSÍLIOS - 08/2026</t>
        </is>
      </c>
      <c r="J165" t="n">
        <v>-1507.87</v>
      </c>
      <c r="K165" t="n">
        <v>-1507.87</v>
      </c>
      <c r="O165" t="inlineStr">
        <is>
          <t>Real</t>
        </is>
      </c>
      <c r="Q165" t="inlineStr">
        <is>
          <t>09/2026</t>
        </is>
      </c>
      <c r="R165" t="n">
        <v>0</v>
      </c>
    </row>
    <row r="166">
      <c r="A166" t="n">
        <v>199690</v>
      </c>
      <c r="B166" t="inlineStr">
        <is>
          <t>Nuv Gastrobar</t>
        </is>
      </c>
      <c r="C166" t="inlineStr">
        <is>
          <t>IGOR MIRANDO CRUZ - PJ BNSP</t>
        </is>
      </c>
      <c r="D166" t="inlineStr">
        <is>
          <t>PROVISAO</t>
        </is>
      </c>
      <c r="E166" s="525" t="n">
        <v>46266</v>
      </c>
      <c r="F166" s="525" t="n">
        <v>46305</v>
      </c>
      <c r="G166" t="inlineStr">
        <is>
          <t>Mão de Obra - PJ</t>
        </is>
      </c>
      <c r="H166" t="inlineStr">
        <is>
          <t>MDO PJ Fixo</t>
        </is>
      </c>
      <c r="I166" t="inlineStr">
        <is>
          <t xml:space="preserve">IGOR MIRANDA CRUZ | NUV
</t>
        </is>
      </c>
      <c r="J166" t="n">
        <v>-5100</v>
      </c>
      <c r="K166" t="n">
        <v>-5100</v>
      </c>
      <c r="M166" t="inlineStr">
        <is>
          <t>COORDENADOR</t>
        </is>
      </c>
      <c r="N166" t="inlineStr">
        <is>
          <t xml:space="preserve">  - Coordenador</t>
        </is>
      </c>
      <c r="O166" t="inlineStr">
        <is>
          <t>Provisionado</t>
        </is>
      </c>
      <c r="Q166" t="inlineStr">
        <is>
          <t>09/2026</t>
        </is>
      </c>
      <c r="R166" t="n">
        <v>0</v>
      </c>
    </row>
    <row r="167">
      <c r="A167" t="n">
        <v>262745</v>
      </c>
      <c r="B167" t="inlineStr">
        <is>
          <t>Nuv Gastrobar</t>
        </is>
      </c>
      <c r="C167" t="inlineStr">
        <is>
          <t>CAIO VINICIUS MARTINELLI JACINTO</t>
        </is>
      </c>
      <c r="D167" t="inlineStr">
        <is>
          <t>PROVISAO</t>
        </is>
      </c>
      <c r="E167" s="525" t="n">
        <v>46266</v>
      </c>
      <c r="F167" s="525" t="n">
        <v>46305</v>
      </c>
      <c r="G167" t="inlineStr">
        <is>
          <t>Mão de Obra - PJ</t>
        </is>
      </c>
      <c r="H167" t="inlineStr">
        <is>
          <t>MDO PJ Fixo</t>
        </is>
      </c>
      <c r="J167" t="n">
        <v>-2600</v>
      </c>
      <c r="K167" t="n">
        <v>-2600</v>
      </c>
      <c r="M167" t="inlineStr">
        <is>
          <t>SUB CHEFE DE BAR</t>
        </is>
      </c>
      <c r="N167" t="inlineStr">
        <is>
          <t xml:space="preserve">  - Sub Chefe De Bar</t>
        </is>
      </c>
      <c r="O167" t="inlineStr">
        <is>
          <t>Provisionado</t>
        </is>
      </c>
      <c r="Q167" t="inlineStr">
        <is>
          <t>09/2026</t>
        </is>
      </c>
      <c r="R167" t="n">
        <v>0</v>
      </c>
    </row>
    <row r="168">
      <c r="A168" t="n">
        <v>259874</v>
      </c>
      <c r="B168" t="inlineStr">
        <is>
          <t>Nuv Gastrobar</t>
        </is>
      </c>
      <c r="C168" t="inlineStr">
        <is>
          <t>BRUNA VALLONE SANTOS</t>
        </is>
      </c>
      <c r="D168" t="inlineStr">
        <is>
          <t>PROVISAO</t>
        </is>
      </c>
      <c r="E168" s="525" t="n">
        <v>46266</v>
      </c>
      <c r="F168" s="525" t="n">
        <v>46305</v>
      </c>
      <c r="G168" t="inlineStr">
        <is>
          <t>Mão de Obra - PJ</t>
        </is>
      </c>
      <c r="H168" t="inlineStr">
        <is>
          <t>MDO PJ Fixo</t>
        </is>
      </c>
      <c r="I168" t="inlineStr">
        <is>
          <t>BRUNA VALLONE SANTOS | NUV</t>
        </is>
      </c>
      <c r="J168" t="n">
        <v>-4200</v>
      </c>
      <c r="K168" t="n">
        <v>-4200</v>
      </c>
      <c r="O168" t="inlineStr">
        <is>
          <t>Provisionado</t>
        </is>
      </c>
      <c r="Q168" t="inlineStr">
        <is>
          <t>09/2026</t>
        </is>
      </c>
      <c r="R168" t="n">
        <v>0</v>
      </c>
    </row>
    <row r="169">
      <c r="A169" t="n">
        <v>259883</v>
      </c>
      <c r="B169" t="inlineStr">
        <is>
          <t>Nuv Gastrobar</t>
        </is>
      </c>
      <c r="C169" t="inlineStr">
        <is>
          <t>DOUGLAS LOBATO DE CHICO</t>
        </is>
      </c>
      <c r="D169" t="inlineStr">
        <is>
          <t>PROVISAO</t>
        </is>
      </c>
      <c r="E169" s="525" t="n">
        <v>46266</v>
      </c>
      <c r="F169" s="525" t="n">
        <v>46305</v>
      </c>
      <c r="G169" t="inlineStr">
        <is>
          <t>Mão de Obra - PJ</t>
        </is>
      </c>
      <c r="H169" t="inlineStr">
        <is>
          <t>MDO PJ Fixo</t>
        </is>
      </c>
      <c r="I169" t="inlineStr">
        <is>
          <t xml:space="preserve">DOUGLAS LOBATO DE CHICO | NUV
</t>
        </is>
      </c>
      <c r="J169" t="n">
        <v>-4200</v>
      </c>
      <c r="K169" t="n">
        <v>-4200</v>
      </c>
      <c r="O169" t="inlineStr">
        <is>
          <t>Provisionado</t>
        </is>
      </c>
      <c r="Q169" t="inlineStr">
        <is>
          <t>09/2026</t>
        </is>
      </c>
      <c r="R169" t="n">
        <v>0</v>
      </c>
    </row>
    <row r="170">
      <c r="A170" t="n">
        <v>259895</v>
      </c>
      <c r="B170" t="inlineStr">
        <is>
          <t>Nuv Gastrobar</t>
        </is>
      </c>
      <c r="C170" t="inlineStr">
        <is>
          <t>PJ IVAN MANFRINATO BILIA 3781626180</t>
        </is>
      </c>
      <c r="D170" t="inlineStr">
        <is>
          <t>PROVISAO</t>
        </is>
      </c>
      <c r="E170" s="525" t="n">
        <v>46266</v>
      </c>
      <c r="F170" s="525" t="n">
        <v>46305</v>
      </c>
      <c r="G170" t="inlineStr">
        <is>
          <t>Mão de Obra - PJ</t>
        </is>
      </c>
      <c r="H170" t="inlineStr">
        <is>
          <t>MDO PJ Fixo</t>
        </is>
      </c>
      <c r="I170" t="inlineStr">
        <is>
          <t>IVAN MANFRINATO BILIA | NUV</t>
        </is>
      </c>
      <c r="J170" t="n">
        <v>-3250</v>
      </c>
      <c r="K170" t="n">
        <v>-3250</v>
      </c>
      <c r="M170" t="inlineStr">
        <is>
          <t>CHEFE DE COZINHA</t>
        </is>
      </c>
      <c r="N170" t="inlineStr">
        <is>
          <t xml:space="preserve">  - Chefe de Cozinha</t>
        </is>
      </c>
      <c r="O170" t="inlineStr">
        <is>
          <t>Provisionado</t>
        </is>
      </c>
      <c r="Q170" t="inlineStr">
        <is>
          <t>09/2026</t>
        </is>
      </c>
      <c r="R170" t="n">
        <v>0</v>
      </c>
    </row>
    <row r="171">
      <c r="A171" t="n">
        <v>262065</v>
      </c>
      <c r="B171" t="inlineStr">
        <is>
          <t>Nuv Gastrobar</t>
        </is>
      </c>
      <c r="C171" t="inlineStr">
        <is>
          <t>PETTY CASH</t>
        </is>
      </c>
      <c r="D171" t="inlineStr">
        <is>
          <t>PETTY CASH NUV - 08/2026</t>
        </is>
      </c>
      <c r="E171" s="525" t="n">
        <v>46266</v>
      </c>
      <c r="F171" s="525" t="n">
        <v>46290</v>
      </c>
      <c r="G171" t="inlineStr">
        <is>
          <t>Utilidades</t>
        </is>
      </c>
      <c r="H171" t="inlineStr">
        <is>
          <t>Utensilios</t>
        </is>
      </c>
      <c r="I171" t="inlineStr">
        <is>
          <t>FINAL 1670 - COD 8 - CÓPIAS DE CHAVES - 08/2026</t>
        </is>
      </c>
      <c r="J171" t="n">
        <v>-120</v>
      </c>
      <c r="K171" t="n">
        <v>-120</v>
      </c>
      <c r="O171" t="inlineStr">
        <is>
          <t>Provisionado</t>
        </is>
      </c>
      <c r="Q171" t="inlineStr">
        <is>
          <t>09/2026</t>
        </is>
      </c>
      <c r="R171" t="n">
        <v>0</v>
      </c>
    </row>
    <row r="172">
      <c r="A172" t="n">
        <v>262061</v>
      </c>
      <c r="B172" t="inlineStr">
        <is>
          <t>Nuv Gastrobar</t>
        </is>
      </c>
      <c r="C172" t="inlineStr">
        <is>
          <t>PETTY CASH</t>
        </is>
      </c>
      <c r="D172" t="inlineStr">
        <is>
          <t>PETTY CASH NUV - 08/2026</t>
        </is>
      </c>
      <c r="E172" s="525" t="n">
        <v>46266</v>
      </c>
      <c r="F172" s="525" t="n">
        <v>46290</v>
      </c>
      <c r="G172" t="inlineStr">
        <is>
          <t>Utilidades</t>
        </is>
      </c>
      <c r="H172" t="inlineStr">
        <is>
          <t>Material de Escritorio</t>
        </is>
      </c>
      <c r="I172" t="inlineStr">
        <is>
          <t xml:space="preserve">FINAL 1670 - COD 10 - CÓPIA DE CHAVE - 08/2026
</t>
        </is>
      </c>
      <c r="J172" t="n">
        <v>-24</v>
      </c>
      <c r="K172" t="n">
        <v>-24</v>
      </c>
      <c r="O172" t="inlineStr">
        <is>
          <t>Real</t>
        </is>
      </c>
      <c r="Q172" t="inlineStr">
        <is>
          <t>09/2026</t>
        </is>
      </c>
      <c r="R172" t="n">
        <v>0</v>
      </c>
    </row>
    <row r="173">
      <c r="A173" t="n">
        <v>261921</v>
      </c>
      <c r="B173" t="inlineStr">
        <is>
          <t>Nuv Gastrobar</t>
        </is>
      </c>
      <c r="C173" t="inlineStr">
        <is>
          <t>PETTY CASH</t>
        </is>
      </c>
      <c r="D173" t="inlineStr">
        <is>
          <t>PETTY CASH NUV - 08/2026</t>
        </is>
      </c>
      <c r="E173" s="525" t="n">
        <v>46266</v>
      </c>
      <c r="F173" s="525" t="n">
        <v>46290</v>
      </c>
      <c r="G173" t="inlineStr">
        <is>
          <t>Utilidades</t>
        </is>
      </c>
      <c r="H173" t="inlineStr">
        <is>
          <t>Utensilios</t>
        </is>
      </c>
      <c r="I173" t="inlineStr">
        <is>
          <t>FINAL 1670 - COD 14 - TIRA GRUDES - 08/2026</t>
        </is>
      </c>
      <c r="J173" t="n">
        <v>-22.2</v>
      </c>
      <c r="K173" t="n">
        <v>-22.2</v>
      </c>
      <c r="O173" t="inlineStr">
        <is>
          <t>Real</t>
        </is>
      </c>
      <c r="Q173" t="inlineStr">
        <is>
          <t>09/2026</t>
        </is>
      </c>
      <c r="R173" t="n">
        <v>0</v>
      </c>
    </row>
    <row r="174">
      <c r="A174" t="n">
        <v>261918</v>
      </c>
      <c r="B174" t="inlineStr">
        <is>
          <t>Nuv Gastrobar</t>
        </is>
      </c>
      <c r="C174" t="inlineStr">
        <is>
          <t>PETTY CASH</t>
        </is>
      </c>
      <c r="D174" t="inlineStr">
        <is>
          <t>PETTY CASH NUV - 08/2026</t>
        </is>
      </c>
      <c r="E174" s="525" t="n">
        <v>46266</v>
      </c>
      <c r="F174" s="525" t="n">
        <v>46270</v>
      </c>
      <c r="G174" t="inlineStr">
        <is>
          <t>Utilidades</t>
        </is>
      </c>
      <c r="H174" t="inlineStr">
        <is>
          <t>Material de Escritorio</t>
        </is>
      </c>
      <c r="I174" t="inlineStr">
        <is>
          <t>FINAL 1670 - CARREGADOR E BOTINA - 08/2026</t>
        </is>
      </c>
      <c r="J174" t="n">
        <v>-153.22</v>
      </c>
      <c r="K174" t="n">
        <v>-153.22</v>
      </c>
      <c r="O174" t="inlineStr">
        <is>
          <t>Real</t>
        </is>
      </c>
      <c r="Q174" t="inlineStr">
        <is>
          <t>09/2026</t>
        </is>
      </c>
      <c r="R174" t="n">
        <v>0</v>
      </c>
    </row>
    <row r="175">
      <c r="A175" t="n">
        <v>261910</v>
      </c>
      <c r="B175" t="inlineStr">
        <is>
          <t>Nuv Gastrobar</t>
        </is>
      </c>
      <c r="C175" t="inlineStr">
        <is>
          <t>PETTY CASH</t>
        </is>
      </c>
      <c r="D175" t="inlineStr">
        <is>
          <t>PETTY CASH NUV - 08/2026</t>
        </is>
      </c>
      <c r="E175" s="525" t="n">
        <v>46266</v>
      </c>
      <c r="F175" s="525" t="n">
        <v>46270</v>
      </c>
      <c r="G175" t="inlineStr">
        <is>
          <t>Utilidades</t>
        </is>
      </c>
      <c r="H175" t="inlineStr">
        <is>
          <t>Material de Escritorio</t>
        </is>
      </c>
      <c r="I175" t="inlineStr">
        <is>
          <t>FINAL 1670 - KIT DE PRIMEIROS SOCORROS COD 12- 08/2026</t>
        </is>
      </c>
      <c r="J175" t="n">
        <v>-132.65</v>
      </c>
      <c r="K175" t="n">
        <v>-132.65</v>
      </c>
      <c r="O175" t="inlineStr">
        <is>
          <t>Real</t>
        </is>
      </c>
      <c r="Q175" t="inlineStr">
        <is>
          <t>09/2026</t>
        </is>
      </c>
      <c r="R175" t="n">
        <v>0</v>
      </c>
    </row>
    <row r="176">
      <c r="A176" t="n">
        <v>261906</v>
      </c>
      <c r="B176" t="inlineStr">
        <is>
          <t>Nuv Gastrobar</t>
        </is>
      </c>
      <c r="C176" t="inlineStr">
        <is>
          <t>PETTY CASH</t>
        </is>
      </c>
      <c r="D176" t="inlineStr">
        <is>
          <t>PETTY CASH - COD 12</t>
        </is>
      </c>
      <c r="E176" s="525" t="n">
        <v>46266</v>
      </c>
      <c r="F176" s="525" t="n">
        <v>46290</v>
      </c>
      <c r="G176" t="inlineStr">
        <is>
          <t>Utilidades</t>
        </is>
      </c>
      <c r="H176" t="inlineStr">
        <is>
          <t>Material de Escritorio</t>
        </is>
      </c>
      <c r="I176" t="inlineStr">
        <is>
          <t>FINAL 1670 - CAIXA PARA KIT DE PRIMEIROS SOCORROS - 08/2026</t>
        </is>
      </c>
      <c r="J176" t="n">
        <v>-19.99</v>
      </c>
      <c r="K176" t="n">
        <v>-19.99</v>
      </c>
      <c r="O176" t="inlineStr">
        <is>
          <t>Real</t>
        </is>
      </c>
      <c r="Q176" t="inlineStr">
        <is>
          <t>09/2026</t>
        </is>
      </c>
      <c r="R176" t="n">
        <v>0</v>
      </c>
    </row>
    <row r="177">
      <c r="A177" t="n">
        <v>260918</v>
      </c>
      <c r="B177" t="inlineStr">
        <is>
          <t>Nuv Gastrobar</t>
        </is>
      </c>
      <c r="C177" t="inlineStr">
        <is>
          <t>M&amp;D CLEAN LAVANDERIA LTDA</t>
        </is>
      </c>
      <c r="D177" t="inlineStr">
        <is>
          <t>35747</t>
        </is>
      </c>
      <c r="E177" s="525" t="n">
        <v>46266</v>
      </c>
      <c r="F177" s="525" t="n">
        <v>46275</v>
      </c>
      <c r="G177" t="inlineStr">
        <is>
          <t>Utilidades</t>
        </is>
      </c>
      <c r="H177" t="inlineStr">
        <is>
          <t>Serviço de Lavanderia</t>
        </is>
      </c>
      <c r="I177" t="inlineStr">
        <is>
          <t>LAVANDERIA - 08/2026</t>
        </is>
      </c>
      <c r="J177" t="n">
        <v>-262</v>
      </c>
      <c r="K177" t="n">
        <v>-262</v>
      </c>
      <c r="O177" t="inlineStr">
        <is>
          <t>Real</t>
        </is>
      </c>
      <c r="P177" t="inlineStr">
        <is>
          <t>Processamento</t>
        </is>
      </c>
      <c r="Q177" t="inlineStr">
        <is>
          <t>09/2026</t>
        </is>
      </c>
      <c r="R177" t="n">
        <v>0</v>
      </c>
    </row>
    <row r="178">
      <c r="A178" t="n">
        <v>260917</v>
      </c>
      <c r="B178" t="inlineStr">
        <is>
          <t>Nuv Gastrobar</t>
        </is>
      </c>
      <c r="C178" t="inlineStr">
        <is>
          <t xml:space="preserve">EXTRATECH SERVICOS DE ENGENHARIA LTDA </t>
        </is>
      </c>
      <c r="D178" t="inlineStr">
        <is>
          <t>2298 - 2/2</t>
        </is>
      </c>
      <c r="E178" s="525" t="n">
        <v>46266</v>
      </c>
      <c r="F178" s="525" t="n">
        <v>46274</v>
      </c>
      <c r="G178" t="inlineStr">
        <is>
          <t>Investimento - CAPEX</t>
        </is>
      </c>
      <c r="H178" t="inlineStr">
        <is>
          <t>Investimento - Taxa de Licença</t>
        </is>
      </c>
      <c r="I178" t="inlineStr">
        <is>
          <t>AUTO LICENÇA DE FUNCIONAMENTO NUV 50% NO ACEITE, 50% 30 DIAS</t>
        </is>
      </c>
      <c r="J178" t="n">
        <v>-6000</v>
      </c>
      <c r="K178" t="n">
        <v>-6000</v>
      </c>
      <c r="O178" t="inlineStr">
        <is>
          <t>Real</t>
        </is>
      </c>
      <c r="P178" t="inlineStr">
        <is>
          <t>Processamento</t>
        </is>
      </c>
      <c r="Q178" t="inlineStr">
        <is>
          <t>09/2026</t>
        </is>
      </c>
      <c r="R178" t="n">
        <v>0</v>
      </c>
    </row>
    <row r="179">
      <c r="A179" t="n">
        <v>259942</v>
      </c>
      <c r="B179" t="inlineStr">
        <is>
          <t>Nuv Gastrobar</t>
        </is>
      </c>
      <c r="C179" t="inlineStr">
        <is>
          <t>PJ PEDRO XAVIER ANTUNES CAVALHEIRO 45502040879</t>
        </is>
      </c>
      <c r="D179" t="inlineStr">
        <is>
          <t>PROVISAO</t>
        </is>
      </c>
      <c r="E179" s="525" t="n">
        <v>46266</v>
      </c>
      <c r="F179" s="525" t="n">
        <v>46305</v>
      </c>
      <c r="G179" t="inlineStr">
        <is>
          <t>Mão de Obra - PJ</t>
        </is>
      </c>
      <c r="H179" t="inlineStr">
        <is>
          <t>MDO PJ Fixo</t>
        </is>
      </c>
      <c r="I179" t="inlineStr">
        <is>
          <t xml:space="preserve">PEDRO XAVIER ANTUNES CAVALHEIRO | NUV
</t>
        </is>
      </c>
      <c r="J179" t="n">
        <v>-3960</v>
      </c>
      <c r="K179" t="n">
        <v>-3960</v>
      </c>
      <c r="M179" t="inlineStr">
        <is>
          <t>GERENTE</t>
        </is>
      </c>
      <c r="N179" t="inlineStr">
        <is>
          <t xml:space="preserve">  - Gerente</t>
        </is>
      </c>
      <c r="O179" t="inlineStr">
        <is>
          <t>Provisionado</t>
        </is>
      </c>
      <c r="Q179" t="inlineStr">
        <is>
          <t>09/2026</t>
        </is>
      </c>
      <c r="R179" t="n">
        <v>0</v>
      </c>
    </row>
    <row r="180">
      <c r="A180" t="n">
        <v>258064</v>
      </c>
      <c r="B180" t="inlineStr">
        <is>
          <t>Nuv Gastrobar</t>
        </is>
      </c>
      <c r="C180" t="inlineStr">
        <is>
          <t>CATARINA RAMOS NARCISO</t>
        </is>
      </c>
      <c r="D180" t="inlineStr">
        <is>
          <t>PROVISAO</t>
        </is>
      </c>
      <c r="E180" s="525" t="n">
        <v>46266</v>
      </c>
      <c r="F180" s="525" t="n">
        <v>46305</v>
      </c>
      <c r="G180" t="inlineStr">
        <is>
          <t>Mão de Obra - PJ</t>
        </is>
      </c>
      <c r="H180" t="inlineStr">
        <is>
          <t>MDO PJ Fixo</t>
        </is>
      </c>
      <c r="I180" t="inlineStr">
        <is>
          <t xml:space="preserve">CATARINA| EVENTOS NUV
</t>
        </is>
      </c>
      <c r="J180" t="n">
        <v>-4000</v>
      </c>
      <c r="K180" t="n">
        <v>-4000</v>
      </c>
      <c r="O180" t="inlineStr">
        <is>
          <t>Provisionado</t>
        </is>
      </c>
      <c r="Q180" t="inlineStr">
        <is>
          <t>09/2026</t>
        </is>
      </c>
      <c r="R180" t="n">
        <v>0</v>
      </c>
    </row>
    <row r="181">
      <c r="A181" t="n">
        <v>255151</v>
      </c>
      <c r="B181" t="inlineStr">
        <is>
          <t>Nuv Gastrobar</t>
        </is>
      </c>
      <c r="C181" t="inlineStr">
        <is>
          <t>IRRF</t>
        </is>
      </c>
      <c r="D181" t="inlineStr">
        <is>
          <t>10000 042025</t>
        </is>
      </c>
      <c r="E181" s="525" t="n">
        <v>46266</v>
      </c>
      <c r="F181" s="525" t="n">
        <v>46269</v>
      </c>
      <c r="G181" t="inlineStr">
        <is>
          <t>Mão de Obra - Encargos e Provisões</t>
        </is>
      </c>
      <c r="H181" t="inlineStr">
        <is>
          <t>IRRF - MDO CLT - Salário</t>
        </is>
      </c>
      <c r="I181" t="inlineStr">
        <is>
          <t>Multa por atraso na entrega da DCTFWEB sem movimento de 04/2025 - Salento</t>
        </is>
      </c>
      <c r="J181" t="n">
        <v>-100</v>
      </c>
      <c r="K181" t="n">
        <v>-100</v>
      </c>
      <c r="O181" t="inlineStr">
        <is>
          <t>Real</t>
        </is>
      </c>
      <c r="P181" t="inlineStr">
        <is>
          <t>Processamento</t>
        </is>
      </c>
      <c r="Q181" t="inlineStr">
        <is>
          <t>09/2026</t>
        </is>
      </c>
      <c r="R181" t="n">
        <v>0</v>
      </c>
    </row>
    <row r="182">
      <c r="A182" t="n">
        <v>254727</v>
      </c>
      <c r="B182" t="inlineStr">
        <is>
          <t>Nuv Gastrobar</t>
        </is>
      </c>
      <c r="C182" t="inlineStr">
        <is>
          <t xml:space="preserve">ABRASEL SAO PAULO </t>
        </is>
      </c>
      <c r="D182" t="inlineStr">
        <is>
          <t>PROVISAO</t>
        </is>
      </c>
      <c r="E182" s="525" t="n">
        <v>46266</v>
      </c>
      <c r="F182" s="525" t="n">
        <v>46285</v>
      </c>
      <c r="G182" t="inlineStr">
        <is>
          <t>Serviços de Terceiros</t>
        </is>
      </c>
      <c r="H182" t="inlineStr">
        <is>
          <t>Assessoria Financeira</t>
        </is>
      </c>
      <c r="I182" t="inlineStr">
        <is>
          <t xml:space="preserve">ABRASEL </t>
        </is>
      </c>
      <c r="J182" t="n">
        <v>-185</v>
      </c>
      <c r="K182" t="n">
        <v>-185</v>
      </c>
      <c r="O182" t="inlineStr">
        <is>
          <t>Provisionado</t>
        </is>
      </c>
      <c r="Q182" t="inlineStr">
        <is>
          <t>09/2026</t>
        </is>
      </c>
      <c r="R182" t="n">
        <v>0</v>
      </c>
    </row>
    <row r="183">
      <c r="A183" t="n">
        <v>257265</v>
      </c>
      <c r="B183" t="inlineStr">
        <is>
          <t>Nuv Gastrobar</t>
        </is>
      </c>
      <c r="C183" t="inlineStr">
        <is>
          <t xml:space="preserve">KAMINO INSTITUICAO DE PAGAMENTO LTDA </t>
        </is>
      </c>
      <c r="D183" t="inlineStr">
        <is>
          <t>PROVISAO</t>
        </is>
      </c>
      <c r="E183" s="525" t="n">
        <v>46266</v>
      </c>
      <c r="F183" s="525" t="n">
        <v>46283</v>
      </c>
      <c r="G183" t="inlineStr">
        <is>
          <t>Despesas Financeiras</t>
        </is>
      </c>
      <c r="H183" t="inlineStr">
        <is>
          <t>Tarifas Bancárias</t>
        </is>
      </c>
      <c r="I183" t="inlineStr">
        <is>
          <t xml:space="preserve">TARIFAS BANCÁRIAS </t>
        </is>
      </c>
      <c r="J183" t="n">
        <v>-400</v>
      </c>
      <c r="K183" t="n">
        <v>-400</v>
      </c>
      <c r="O183" t="inlineStr">
        <is>
          <t>Provisionado</t>
        </is>
      </c>
      <c r="Q183" t="inlineStr">
        <is>
          <t>09/2026</t>
        </is>
      </c>
      <c r="R183" t="n">
        <v>0</v>
      </c>
    </row>
    <row r="184">
      <c r="A184" t="n">
        <v>258040</v>
      </c>
      <c r="B184" t="inlineStr">
        <is>
          <t>Nuv Gastrobar</t>
        </is>
      </c>
      <c r="C184" t="inlineStr">
        <is>
          <t>BEATRIZ PEREIRA GARCIA</t>
        </is>
      </c>
      <c r="D184" t="inlineStr">
        <is>
          <t>PROVISAO</t>
        </is>
      </c>
      <c r="E184" s="525" t="n">
        <v>46266</v>
      </c>
      <c r="F184" s="525" t="n">
        <v>46305</v>
      </c>
      <c r="G184" t="inlineStr">
        <is>
          <t>Mão de Obra - PJ</t>
        </is>
      </c>
      <c r="H184" t="inlineStr">
        <is>
          <t>MDO PJ Fixo</t>
        </is>
      </c>
      <c r="I184" t="inlineStr">
        <is>
          <t>BEATRIZ | ADM NUV</t>
        </is>
      </c>
      <c r="J184" t="n">
        <v>-3000</v>
      </c>
      <c r="K184" t="n">
        <v>-3000</v>
      </c>
      <c r="O184" t="inlineStr">
        <is>
          <t>Provisionado</t>
        </is>
      </c>
      <c r="Q184" t="inlineStr">
        <is>
          <t>09/2026</t>
        </is>
      </c>
      <c r="R184" t="n">
        <v>0</v>
      </c>
    </row>
    <row r="185">
      <c r="A185" t="n">
        <v>258150</v>
      </c>
      <c r="B185" t="inlineStr">
        <is>
          <t>Nuv Gastrobar</t>
        </is>
      </c>
      <c r="C185" t="inlineStr">
        <is>
          <t>PJ PEDRO XAVIER ANTUNES CAVALHEIRO 45502040879</t>
        </is>
      </c>
      <c r="D185" t="inlineStr">
        <is>
          <t>PROVISAO</t>
        </is>
      </c>
      <c r="E185" s="525" t="n">
        <v>46266</v>
      </c>
      <c r="F185" s="525" t="n">
        <v>46305</v>
      </c>
      <c r="G185" t="inlineStr">
        <is>
          <t>Mão de Obra - PJ</t>
        </is>
      </c>
      <c r="H185" t="inlineStr">
        <is>
          <t>MDO PJ Fixo</t>
        </is>
      </c>
      <c r="I185" t="inlineStr">
        <is>
          <t>PEDRO| NUV</t>
        </is>
      </c>
      <c r="J185" t="n">
        <v>-3960</v>
      </c>
      <c r="K185" t="n">
        <v>-3960</v>
      </c>
      <c r="M185" t="inlineStr">
        <is>
          <t>GERENTE</t>
        </is>
      </c>
      <c r="N185" t="inlineStr">
        <is>
          <t xml:space="preserve">  - Gerente</t>
        </is>
      </c>
      <c r="O185" t="inlineStr">
        <is>
          <t>Provisionado</t>
        </is>
      </c>
      <c r="Q185" t="inlineStr">
        <is>
          <t>09/2026</t>
        </is>
      </c>
      <c r="R185" t="n">
        <v>0</v>
      </c>
    </row>
    <row r="186">
      <c r="A186" t="n">
        <v>258164</v>
      </c>
      <c r="B186" t="inlineStr">
        <is>
          <t>Nuv Gastrobar</t>
        </is>
      </c>
      <c r="C186" t="inlineStr">
        <is>
          <t>PJ IVAN MANFRINATO BILIA 3781626180</t>
        </is>
      </c>
      <c r="D186" t="inlineStr">
        <is>
          <t>PROVISAO</t>
        </is>
      </c>
      <c r="E186" s="525" t="n">
        <v>46266</v>
      </c>
      <c r="F186" s="525" t="n">
        <v>46305</v>
      </c>
      <c r="G186" t="inlineStr">
        <is>
          <t>Mão de Obra - PJ</t>
        </is>
      </c>
      <c r="H186" t="inlineStr">
        <is>
          <t>MDO PJ Fixo</t>
        </is>
      </c>
      <c r="I186" t="inlineStr">
        <is>
          <t>IVAN| NUV</t>
        </is>
      </c>
      <c r="J186" t="n">
        <v>-3250</v>
      </c>
      <c r="K186" t="n">
        <v>-3250</v>
      </c>
      <c r="M186" t="inlineStr">
        <is>
          <t>CHEFE DE COZINHA</t>
        </is>
      </c>
      <c r="N186" t="inlineStr">
        <is>
          <t xml:space="preserve">  - Chefe de Cozinha</t>
        </is>
      </c>
      <c r="O186" t="inlineStr">
        <is>
          <t>Provisionado</t>
        </is>
      </c>
      <c r="Q186" t="inlineStr">
        <is>
          <t>09/2026</t>
        </is>
      </c>
      <c r="R186" t="n">
        <v>0</v>
      </c>
    </row>
    <row r="187">
      <c r="A187" t="n">
        <v>259120</v>
      </c>
      <c r="B187" t="inlineStr">
        <is>
          <t>Nuv Gastrobar</t>
        </is>
      </c>
      <c r="C187" t="inlineStr">
        <is>
          <t>LENICE DA SILVA ALVES</t>
        </is>
      </c>
      <c r="D187" t="inlineStr">
        <is>
          <t>REC44512 082026</t>
        </is>
      </c>
      <c r="E187" s="525" t="n">
        <v>46266</v>
      </c>
      <c r="F187" s="525" t="n">
        <v>46265</v>
      </c>
      <c r="G187" t="inlineStr">
        <is>
          <t>Mão de Obra - Benefícios</t>
        </is>
      </c>
      <c r="H187" t="inlineStr">
        <is>
          <t xml:space="preserve">  -  Vale-transporte</t>
        </is>
      </c>
      <c r="I187" t="inlineStr">
        <is>
          <t xml:space="preserve"> VT NUV 09.2026</t>
        </is>
      </c>
      <c r="J187" t="n">
        <v>-445.12</v>
      </c>
      <c r="K187" t="n">
        <v>-445.12</v>
      </c>
      <c r="O187" t="inlineStr">
        <is>
          <t>Real</t>
        </is>
      </c>
      <c r="P187" t="inlineStr">
        <is>
          <t>Pago</t>
        </is>
      </c>
      <c r="Q187" t="inlineStr">
        <is>
          <t>09/2026</t>
        </is>
      </c>
      <c r="R187" t="n">
        <v>0</v>
      </c>
    </row>
    <row r="188">
      <c r="A188" t="n">
        <v>259121</v>
      </c>
      <c r="B188" t="inlineStr">
        <is>
          <t>Nuv Gastrobar</t>
        </is>
      </c>
      <c r="C188" t="inlineStr">
        <is>
          <t>ATTHOS OLIVEIRA PINTO</t>
        </is>
      </c>
      <c r="D188" t="inlineStr">
        <is>
          <t>REC50320 082026</t>
        </is>
      </c>
      <c r="E188" s="525" t="n">
        <v>46266</v>
      </c>
      <c r="F188" s="525" t="n">
        <v>46265</v>
      </c>
      <c r="G188" t="inlineStr">
        <is>
          <t>Mão de Obra - Benefícios</t>
        </is>
      </c>
      <c r="H188" t="inlineStr">
        <is>
          <t xml:space="preserve">  -  Vale-transporte</t>
        </is>
      </c>
      <c r="I188" t="inlineStr">
        <is>
          <t xml:space="preserve"> VT NUV 09.2026</t>
        </is>
      </c>
      <c r="J188" t="n">
        <v>-503.2</v>
      </c>
      <c r="K188" t="n">
        <v>-503.2</v>
      </c>
      <c r="O188" t="inlineStr">
        <is>
          <t>Real</t>
        </is>
      </c>
      <c r="P188" t="inlineStr">
        <is>
          <t>Pago</t>
        </is>
      </c>
      <c r="Q188" t="inlineStr">
        <is>
          <t>09/2026</t>
        </is>
      </c>
      <c r="R188" t="n">
        <v>0</v>
      </c>
    </row>
    <row r="189">
      <c r="A189" t="n">
        <v>259122</v>
      </c>
      <c r="B189" t="inlineStr">
        <is>
          <t>Nuv Gastrobar</t>
        </is>
      </c>
      <c r="C189" t="inlineStr">
        <is>
          <t>ANDREIA OLIVEIRA PLACIDO DA CONCEICAO</t>
        </is>
      </c>
      <c r="D189" t="inlineStr">
        <is>
          <t>REC25160 082026</t>
        </is>
      </c>
      <c r="E189" s="525" t="n">
        <v>46266</v>
      </c>
      <c r="F189" s="525" t="n">
        <v>46265</v>
      </c>
      <c r="G189" t="inlineStr">
        <is>
          <t>Mão de Obra - Benefícios</t>
        </is>
      </c>
      <c r="H189" t="inlineStr">
        <is>
          <t xml:space="preserve">  -  Vale-transporte</t>
        </is>
      </c>
      <c r="I189" t="inlineStr">
        <is>
          <t xml:space="preserve"> VT NUV 09.2026</t>
        </is>
      </c>
      <c r="J189" t="n">
        <v>-251.6</v>
      </c>
      <c r="K189" t="n">
        <v>-251.6</v>
      </c>
      <c r="O189" t="inlineStr">
        <is>
          <t>Real</t>
        </is>
      </c>
      <c r="P189" t="inlineStr">
        <is>
          <t>Pago</t>
        </is>
      </c>
      <c r="Q189" t="inlineStr">
        <is>
          <t>09/2026</t>
        </is>
      </c>
      <c r="R189" t="n">
        <v>0</v>
      </c>
    </row>
    <row r="190">
      <c r="A190" t="n">
        <v>259123</v>
      </c>
      <c r="B190" t="inlineStr">
        <is>
          <t>Nuv Gastrobar</t>
        </is>
      </c>
      <c r="C190" t="inlineStr">
        <is>
          <t>WESLEY MATEUS BATISTA RAMOS</t>
        </is>
      </c>
      <c r="D190" t="inlineStr">
        <is>
          <t>REC44512 082026</t>
        </is>
      </c>
      <c r="E190" s="525" t="n">
        <v>46266</v>
      </c>
      <c r="F190" s="525" t="n">
        <v>46265</v>
      </c>
      <c r="G190" t="inlineStr">
        <is>
          <t>Mão de Obra - Benefícios</t>
        </is>
      </c>
      <c r="H190" t="inlineStr">
        <is>
          <t xml:space="preserve">  -  Vale-transporte</t>
        </is>
      </c>
      <c r="I190" t="inlineStr">
        <is>
          <t xml:space="preserve"> VT NUV 09.2026</t>
        </is>
      </c>
      <c r="J190" t="n">
        <v>-445.12</v>
      </c>
      <c r="K190" t="n">
        <v>-445.12</v>
      </c>
      <c r="O190" t="inlineStr">
        <is>
          <t>Real</t>
        </is>
      </c>
      <c r="P190" t="inlineStr">
        <is>
          <t>Pago</t>
        </is>
      </c>
      <c r="Q190" t="inlineStr">
        <is>
          <t>09/2026</t>
        </is>
      </c>
      <c r="R190" t="n">
        <v>0</v>
      </c>
    </row>
    <row r="191">
      <c r="A191" t="n">
        <v>259124</v>
      </c>
      <c r="B191" t="inlineStr">
        <is>
          <t>Nuv Gastrobar</t>
        </is>
      </c>
      <c r="C191" t="inlineStr">
        <is>
          <t>THAYNARA SANTOS MENDES</t>
        </is>
      </c>
      <c r="D191" t="inlineStr">
        <is>
          <t>REC54000 082026</t>
        </is>
      </c>
      <c r="E191" s="525" t="n">
        <v>46266</v>
      </c>
      <c r="F191" s="525" t="n">
        <v>46265</v>
      </c>
      <c r="G191" t="inlineStr">
        <is>
          <t>Mão de Obra - Benefícios</t>
        </is>
      </c>
      <c r="H191" t="inlineStr">
        <is>
          <t xml:space="preserve">  -  Vale-transporte</t>
        </is>
      </c>
      <c r="I191" t="inlineStr">
        <is>
          <t xml:space="preserve"> VT NUV 09.2026</t>
        </is>
      </c>
      <c r="J191" t="n">
        <v>-540</v>
      </c>
      <c r="K191" t="n">
        <v>-540</v>
      </c>
      <c r="O191" t="inlineStr">
        <is>
          <t>Real</t>
        </is>
      </c>
      <c r="P191" t="inlineStr">
        <is>
          <t>Pago</t>
        </is>
      </c>
      <c r="Q191" t="inlineStr">
        <is>
          <t>09/2026</t>
        </is>
      </c>
      <c r="R191" t="n">
        <v>0</v>
      </c>
    </row>
    <row r="192">
      <c r="A192" t="n">
        <v>259125</v>
      </c>
      <c r="B192" t="inlineStr">
        <is>
          <t>Nuv Gastrobar</t>
        </is>
      </c>
      <c r="C192" t="inlineStr">
        <is>
          <t>CAROLINE ACARAPI ARUQUIPA</t>
        </is>
      </c>
      <c r="D192" t="inlineStr">
        <is>
          <t>REC44512 082026</t>
        </is>
      </c>
      <c r="E192" s="525" t="n">
        <v>46266</v>
      </c>
      <c r="F192" s="525" t="n">
        <v>46265</v>
      </c>
      <c r="G192" t="inlineStr">
        <is>
          <t>Mão de Obra - Benefícios</t>
        </is>
      </c>
      <c r="H192" t="inlineStr">
        <is>
          <t xml:space="preserve">  -  Vale-transporte</t>
        </is>
      </c>
      <c r="I192" t="inlineStr">
        <is>
          <t xml:space="preserve"> VT NUV 09.2026</t>
        </is>
      </c>
      <c r="J192" t="n">
        <v>-445.12</v>
      </c>
      <c r="K192" t="n">
        <v>-445.12</v>
      </c>
      <c r="O192" t="inlineStr">
        <is>
          <t>Real</t>
        </is>
      </c>
      <c r="P192" t="inlineStr">
        <is>
          <t>Pago</t>
        </is>
      </c>
      <c r="Q192" t="inlineStr">
        <is>
          <t>09/2026</t>
        </is>
      </c>
      <c r="R192" t="n">
        <v>0</v>
      </c>
    </row>
    <row r="193">
      <c r="A193" t="n">
        <v>259126</v>
      </c>
      <c r="B193" t="inlineStr">
        <is>
          <t>Nuv Gastrobar</t>
        </is>
      </c>
      <c r="C193" t="inlineStr">
        <is>
          <t>KESSYA JHENNYFER SILVA DO NASCIMENTO</t>
        </is>
      </c>
      <c r="D193" t="inlineStr">
        <is>
          <t>REC50320 082026</t>
        </is>
      </c>
      <c r="E193" s="525" t="n">
        <v>46266</v>
      </c>
      <c r="F193" s="525" t="n">
        <v>46265</v>
      </c>
      <c r="G193" t="inlineStr">
        <is>
          <t>Mão de Obra - Benefícios</t>
        </is>
      </c>
      <c r="H193" t="inlineStr">
        <is>
          <t xml:space="preserve">  -  Vale-transporte</t>
        </is>
      </c>
      <c r="I193" t="inlineStr">
        <is>
          <t xml:space="preserve"> VT NUV 09.2026</t>
        </is>
      </c>
      <c r="J193" t="n">
        <v>-503.2</v>
      </c>
      <c r="K193" t="n">
        <v>-503.2</v>
      </c>
      <c r="O193" t="inlineStr">
        <is>
          <t>Real</t>
        </is>
      </c>
      <c r="P193" t="inlineStr">
        <is>
          <t>Pago</t>
        </is>
      </c>
      <c r="Q193" t="inlineStr">
        <is>
          <t>09/2026</t>
        </is>
      </c>
      <c r="R193" t="n">
        <v>0</v>
      </c>
    </row>
    <row r="194">
      <c r="A194" t="n">
        <v>259127</v>
      </c>
      <c r="B194" t="inlineStr">
        <is>
          <t>Nuv Gastrobar</t>
        </is>
      </c>
      <c r="C194" t="inlineStr">
        <is>
          <t>SUELEN FAUSTINO BARRETO</t>
        </is>
      </c>
      <c r="D194" t="inlineStr">
        <is>
          <t>REC44512 082026</t>
        </is>
      </c>
      <c r="E194" s="525" t="n">
        <v>46266</v>
      </c>
      <c r="F194" s="525" t="n">
        <v>46265</v>
      </c>
      <c r="G194" t="inlineStr">
        <is>
          <t>Mão de Obra - Benefícios</t>
        </is>
      </c>
      <c r="H194" t="inlineStr">
        <is>
          <t xml:space="preserve">  -  Vale-transporte</t>
        </is>
      </c>
      <c r="I194" t="inlineStr">
        <is>
          <t xml:space="preserve"> VT NUV 09.2026</t>
        </is>
      </c>
      <c r="J194" t="n">
        <v>-445.12</v>
      </c>
      <c r="K194" t="n">
        <v>-445.12</v>
      </c>
      <c r="O194" t="inlineStr">
        <is>
          <t>Real</t>
        </is>
      </c>
      <c r="P194" t="inlineStr">
        <is>
          <t>Pago</t>
        </is>
      </c>
      <c r="Q194" t="inlineStr">
        <is>
          <t>09/2026</t>
        </is>
      </c>
      <c r="R194" t="n">
        <v>0</v>
      </c>
    </row>
    <row r="195">
      <c r="A195" t="n">
        <v>259128</v>
      </c>
      <c r="B195" t="inlineStr">
        <is>
          <t>Nuv Gastrobar</t>
        </is>
      </c>
      <c r="C195" t="inlineStr">
        <is>
          <t>JOSÉ ADRONICO ANDRADE SILVA JUNIOR</t>
        </is>
      </c>
      <c r="D195" t="inlineStr">
        <is>
          <t>REC44512 082026</t>
        </is>
      </c>
      <c r="E195" s="525" t="n">
        <v>46266</v>
      </c>
      <c r="F195" s="525" t="n">
        <v>46265</v>
      </c>
      <c r="G195" t="inlineStr">
        <is>
          <t>Mão de Obra - Benefícios</t>
        </is>
      </c>
      <c r="H195" t="inlineStr">
        <is>
          <t xml:space="preserve">  -  Vale-transporte</t>
        </is>
      </c>
      <c r="I195" t="inlineStr">
        <is>
          <t xml:space="preserve"> VT NUV 09.2026</t>
        </is>
      </c>
      <c r="J195" t="n">
        <v>-445.12</v>
      </c>
      <c r="K195" t="n">
        <v>-445.12</v>
      </c>
      <c r="O195" t="inlineStr">
        <is>
          <t>Real</t>
        </is>
      </c>
      <c r="P195" t="inlineStr">
        <is>
          <t>Pago</t>
        </is>
      </c>
      <c r="Q195" t="inlineStr">
        <is>
          <t>09/2026</t>
        </is>
      </c>
      <c r="R195" t="n">
        <v>0</v>
      </c>
    </row>
    <row r="196">
      <c r="A196" t="n">
        <v>259130</v>
      </c>
      <c r="B196" t="inlineStr">
        <is>
          <t>Nuv Gastrobar</t>
        </is>
      </c>
      <c r="C196" t="inlineStr">
        <is>
          <t>VINICIUS EUGENIO DA SILVA</t>
        </is>
      </c>
      <c r="D196" t="inlineStr">
        <is>
          <t>REC58750 082026</t>
        </is>
      </c>
      <c r="E196" s="525" t="n">
        <v>46266</v>
      </c>
      <c r="F196" s="525" t="n">
        <v>46265</v>
      </c>
      <c r="G196" t="inlineStr">
        <is>
          <t>Mão de Obra - Benefícios</t>
        </is>
      </c>
      <c r="H196" t="inlineStr">
        <is>
          <t xml:space="preserve">  -  Vale-transporte</t>
        </is>
      </c>
      <c r="I196" t="inlineStr">
        <is>
          <t xml:space="preserve"> VT NUV 09.2026</t>
        </is>
      </c>
      <c r="J196" t="n">
        <v>-587.5</v>
      </c>
      <c r="K196" t="n">
        <v>-587.5</v>
      </c>
      <c r="O196" t="inlineStr">
        <is>
          <t>Real</t>
        </is>
      </c>
      <c r="P196" t="inlineStr">
        <is>
          <t>Pago</t>
        </is>
      </c>
      <c r="Q196" t="inlineStr">
        <is>
          <t>09/2026</t>
        </is>
      </c>
      <c r="R196" t="n">
        <v>0</v>
      </c>
    </row>
    <row r="197">
      <c r="A197" t="n">
        <v>259858</v>
      </c>
      <c r="B197" t="inlineStr">
        <is>
          <t>Nuv Gastrobar</t>
        </is>
      </c>
      <c r="C197" t="inlineStr">
        <is>
          <t>ARANTXA JIMENEZ</t>
        </is>
      </c>
      <c r="D197" t="inlineStr">
        <is>
          <t>PROVISAO</t>
        </is>
      </c>
      <c r="E197" s="525" t="n">
        <v>46266</v>
      </c>
      <c r="F197" s="525" t="n">
        <v>46305</v>
      </c>
      <c r="G197" t="inlineStr">
        <is>
          <t>Mão de Obra - PJ</t>
        </is>
      </c>
      <c r="H197" t="inlineStr">
        <is>
          <t>MDO PJ Fixo</t>
        </is>
      </c>
      <c r="I197" t="inlineStr">
        <is>
          <t>ARANTXA JIMENEZ | NUV</t>
        </is>
      </c>
      <c r="J197" t="n">
        <v>-4000</v>
      </c>
      <c r="K197" t="n">
        <v>-4000</v>
      </c>
      <c r="O197" t="inlineStr">
        <is>
          <t>Provisionado</t>
        </is>
      </c>
      <c r="Q197" t="inlineStr">
        <is>
          <t>09/2026</t>
        </is>
      </c>
      <c r="R197" t="n">
        <v>0</v>
      </c>
    </row>
    <row r="198">
      <c r="A198" t="n">
        <v>259546</v>
      </c>
      <c r="B198" t="inlineStr">
        <is>
          <t>Nuv Gastrobar</t>
        </is>
      </c>
      <c r="C198" t="inlineStr">
        <is>
          <t>SALARIOS CLT</t>
        </is>
      </c>
      <c r="D198" t="inlineStr">
        <is>
          <t>PROVISAO</t>
        </is>
      </c>
      <c r="E198" s="525" t="n">
        <v>46266</v>
      </c>
      <c r="F198" s="525" t="n">
        <v>46299</v>
      </c>
      <c r="G198" t="inlineStr">
        <is>
          <t>Mão de Obra - Salários</t>
        </is>
      </c>
      <c r="H198" t="inlineStr">
        <is>
          <t>MDO CLT - Salário</t>
        </is>
      </c>
      <c r="I198" t="inlineStr">
        <is>
          <t xml:space="preserve">SALÁRIOS </t>
        </is>
      </c>
      <c r="J198" t="n">
        <v>-40000</v>
      </c>
      <c r="K198" t="n">
        <v>-40000</v>
      </c>
      <c r="O198" t="inlineStr">
        <is>
          <t>Provisionado</t>
        </is>
      </c>
      <c r="Q198" t="inlineStr">
        <is>
          <t>09/2026</t>
        </is>
      </c>
      <c r="R198" t="n">
        <v>0</v>
      </c>
    </row>
    <row r="199">
      <c r="A199" t="n">
        <v>259429</v>
      </c>
      <c r="B199" t="inlineStr">
        <is>
          <t>Nuv Gastrobar</t>
        </is>
      </c>
      <c r="C199" t="inlineStr">
        <is>
          <t>ALIFFER AUGUSTO DA SILVA SANTOS</t>
        </is>
      </c>
      <c r="D199" t="inlineStr">
        <is>
          <t>REC44512 082026</t>
        </is>
      </c>
      <c r="E199" s="525" t="n">
        <v>46266</v>
      </c>
      <c r="F199" s="525" t="n">
        <v>46265</v>
      </c>
      <c r="G199" t="inlineStr">
        <is>
          <t>Mão de Obra - Benefícios</t>
        </is>
      </c>
      <c r="H199" t="inlineStr">
        <is>
          <t xml:space="preserve">  -  Vale-transporte</t>
        </is>
      </c>
      <c r="I199" t="inlineStr">
        <is>
          <t xml:space="preserve"> VT NUV 09.2026</t>
        </is>
      </c>
      <c r="J199" t="n">
        <v>-445.12</v>
      </c>
      <c r="K199" t="n">
        <v>-445.12</v>
      </c>
      <c r="O199" t="inlineStr">
        <is>
          <t>Real</t>
        </is>
      </c>
      <c r="P199" t="inlineStr">
        <is>
          <t>Pago</t>
        </is>
      </c>
      <c r="Q199" t="inlineStr">
        <is>
          <t>09/2026</t>
        </is>
      </c>
      <c r="R199" t="n">
        <v>0</v>
      </c>
    </row>
    <row r="200">
      <c r="A200" t="n">
        <v>259129</v>
      </c>
      <c r="B200" t="inlineStr">
        <is>
          <t>Nuv Gastrobar</t>
        </is>
      </c>
      <c r="C200" t="inlineStr">
        <is>
          <t xml:space="preserve">SAMILA ALVES DE SOUZA </t>
        </is>
      </c>
      <c r="D200" t="inlineStr">
        <is>
          <t>REC50320 082026</t>
        </is>
      </c>
      <c r="E200" s="525" t="n">
        <v>46266</v>
      </c>
      <c r="F200" s="525" t="n">
        <v>46265</v>
      </c>
      <c r="G200" t="inlineStr">
        <is>
          <t>Mão de Obra - Benefícios</t>
        </is>
      </c>
      <c r="H200" t="inlineStr">
        <is>
          <t xml:space="preserve">  -  Vale-transporte</t>
        </is>
      </c>
      <c r="I200" t="inlineStr">
        <is>
          <t xml:space="preserve"> VT NUV 09.2026</t>
        </is>
      </c>
      <c r="J200" t="n">
        <v>-503.2</v>
      </c>
      <c r="K200" t="n">
        <v>-503.2</v>
      </c>
      <c r="O200" t="inlineStr">
        <is>
          <t>Real</t>
        </is>
      </c>
      <c r="P200" t="inlineStr">
        <is>
          <t>Pago</t>
        </is>
      </c>
      <c r="Q200" t="inlineStr">
        <is>
          <t>09/2026</t>
        </is>
      </c>
      <c r="R200" t="n">
        <v>0</v>
      </c>
    </row>
    <row r="201">
      <c r="A201" t="n">
        <v>259131</v>
      </c>
      <c r="B201" t="inlineStr">
        <is>
          <t>Nuv Gastrobar</t>
        </is>
      </c>
      <c r="C201" t="inlineStr">
        <is>
          <t>LUCA CARDOSO DE ALMEIDA</t>
        </is>
      </c>
      <c r="D201" t="inlineStr">
        <is>
          <t>REC44512 082026</t>
        </is>
      </c>
      <c r="E201" s="525" t="n">
        <v>46266</v>
      </c>
      <c r="F201" s="525" t="n">
        <v>46265</v>
      </c>
      <c r="G201" t="inlineStr">
        <is>
          <t>Mão de Obra - Benefícios</t>
        </is>
      </c>
      <c r="H201" t="inlineStr">
        <is>
          <t xml:space="preserve">  -  Vale-transporte</t>
        </is>
      </c>
      <c r="I201" t="inlineStr">
        <is>
          <t xml:space="preserve"> VT NUV 09.2026</t>
        </is>
      </c>
      <c r="J201" t="n">
        <v>-445.12</v>
      </c>
      <c r="K201" t="n">
        <v>-445.12</v>
      </c>
      <c r="O201" t="inlineStr">
        <is>
          <t>Real</t>
        </is>
      </c>
      <c r="P201" t="inlineStr">
        <is>
          <t>Pago</t>
        </is>
      </c>
      <c r="Q201" t="inlineStr">
        <is>
          <t>09/2026</t>
        </is>
      </c>
      <c r="R201" t="n">
        <v>0</v>
      </c>
    </row>
    <row r="202">
      <c r="A202" t="n">
        <v>263712</v>
      </c>
      <c r="B202" t="inlineStr">
        <is>
          <t>Nuv Gastrobar</t>
        </is>
      </c>
      <c r="C202" t="inlineStr">
        <is>
          <t>DOUGLAS LOBATO DE CHICO</t>
        </is>
      </c>
      <c r="D202" t="inlineStr">
        <is>
          <t>3</t>
        </is>
      </c>
      <c r="E202" s="525" t="n">
        <v>46265</v>
      </c>
      <c r="F202" s="525" t="n">
        <v>46275</v>
      </c>
      <c r="G202" t="inlineStr">
        <is>
          <t>Gorjeta</t>
        </is>
      </c>
      <c r="H202" t="inlineStr">
        <is>
          <t xml:space="preserve">  -  Comissões e Gorjeta</t>
        </is>
      </c>
      <c r="I202" t="inlineStr">
        <is>
          <t>GORJETA 082026</t>
        </is>
      </c>
      <c r="J202" t="n">
        <v>-610</v>
      </c>
      <c r="K202" t="n">
        <v>-610</v>
      </c>
      <c r="O202" t="inlineStr">
        <is>
          <t>Real</t>
        </is>
      </c>
      <c r="Q202" t="inlineStr">
        <is>
          <t>08/2026</t>
        </is>
      </c>
      <c r="R202" t="n">
        <v>0</v>
      </c>
    </row>
    <row r="203">
      <c r="A203" t="n">
        <v>260958</v>
      </c>
      <c r="B203" t="inlineStr">
        <is>
          <t>Nuv Gastrobar</t>
        </is>
      </c>
      <c r="C203" t="inlineStr">
        <is>
          <t xml:space="preserve">KAMINO INSTITUICAO DE PAGAMENTO LTDA </t>
        </is>
      </c>
      <c r="D203" t="inlineStr">
        <is>
          <t>31082026</t>
        </is>
      </c>
      <c r="E203" s="525" t="n">
        <v>46265</v>
      </c>
      <c r="F203" s="525" t="n">
        <v>46265</v>
      </c>
      <c r="G203" t="inlineStr">
        <is>
          <t>Despesas Financeiras</t>
        </is>
      </c>
      <c r="H203" t="inlineStr">
        <is>
          <t>Tarifas Bancárias</t>
        </is>
      </c>
      <c r="J203" t="n">
        <v>-8</v>
      </c>
      <c r="K203" t="n">
        <v>-8</v>
      </c>
      <c r="O203" t="inlineStr">
        <is>
          <t>Real</t>
        </is>
      </c>
      <c r="P203" t="inlineStr">
        <is>
          <t>Pago</t>
        </is>
      </c>
      <c r="Q203" t="inlineStr">
        <is>
          <t>08/2026</t>
        </is>
      </c>
      <c r="R203" t="n">
        <v>0</v>
      </c>
    </row>
    <row r="204">
      <c r="A204" t="n">
        <v>261179</v>
      </c>
      <c r="B204" t="inlineStr">
        <is>
          <t>Nuv Gastrobar</t>
        </is>
      </c>
      <c r="C204" t="inlineStr">
        <is>
          <t>FABLAB INOVACAO E SOLUCOES</t>
        </is>
      </c>
      <c r="D204" t="inlineStr">
        <is>
          <t>357</t>
        </is>
      </c>
      <c r="E204" s="525" t="n">
        <v>46265</v>
      </c>
      <c r="F204" s="525" t="n">
        <v>46280</v>
      </c>
      <c r="G204" t="inlineStr">
        <is>
          <t>Informática e TI</t>
        </is>
      </c>
      <c r="H204" t="inlineStr">
        <is>
          <t>Sistemas Gerais - Financeiros</t>
        </is>
      </c>
      <c r="I204" t="inlineStr">
        <is>
          <t>BLUE.ME - PERÍODO CONTEMPLADO: AGOSTO/2026</t>
        </is>
      </c>
      <c r="J204" t="n">
        <v>-371.38</v>
      </c>
      <c r="K204" t="n">
        <v>-371.38</v>
      </c>
      <c r="O204" t="inlineStr">
        <is>
          <t>Real</t>
        </is>
      </c>
      <c r="Q204" t="inlineStr">
        <is>
          <t>08/2026</t>
        </is>
      </c>
      <c r="R204" t="n">
        <v>0</v>
      </c>
    </row>
    <row r="205">
      <c r="A205" t="n">
        <v>260661</v>
      </c>
      <c r="B205" t="inlineStr">
        <is>
          <t>Nuv Gastrobar</t>
        </is>
      </c>
      <c r="C205" t="inlineStr">
        <is>
          <t>ESTAFF SOLUCOES TECNOLOGICAS DE AGENCIAMENTO LTDA</t>
        </is>
      </c>
      <c r="D205" t="inlineStr">
        <is>
          <t>45932</t>
        </is>
      </c>
      <c r="E205" s="525" t="n">
        <v>46265</v>
      </c>
      <c r="F205" s="525" t="n">
        <v>46275</v>
      </c>
      <c r="G205" t="inlineStr">
        <is>
          <t>Mão de Obra - Extra</t>
        </is>
      </c>
      <c r="H205" t="inlineStr">
        <is>
          <t>Mão de Obra Extra</t>
        </is>
      </c>
      <c r="I205" t="inlineStr">
        <is>
          <t>ESTAFF - PERIODO DE 17/08 A 23/08/2026</t>
        </is>
      </c>
      <c r="J205" t="n">
        <v>-5956.5</v>
      </c>
      <c r="K205" t="n">
        <v>-5956.5</v>
      </c>
      <c r="O205" t="inlineStr">
        <is>
          <t>Real</t>
        </is>
      </c>
      <c r="Q205" t="inlineStr">
        <is>
          <t>08/2026</t>
        </is>
      </c>
      <c r="R205" t="n">
        <v>0</v>
      </c>
    </row>
    <row r="206">
      <c r="A206" t="n">
        <v>260653</v>
      </c>
      <c r="B206" t="inlineStr">
        <is>
          <t>Nuv Gastrobar</t>
        </is>
      </c>
      <c r="C206" t="inlineStr">
        <is>
          <t>ESTAFF SOLUCOES TECNOLOGICAS DE AGENCIAMENTO LTDA</t>
        </is>
      </c>
      <c r="D206" t="inlineStr">
        <is>
          <t>45936</t>
        </is>
      </c>
      <c r="E206" s="525" t="n">
        <v>46265</v>
      </c>
      <c r="F206" s="525" t="n">
        <v>46275</v>
      </c>
      <c r="G206" t="inlineStr">
        <is>
          <t>Custos de Eventos</t>
        </is>
      </c>
      <c r="H206" t="inlineStr">
        <is>
          <t>Serviços Terceirizados - Eventos</t>
        </is>
      </c>
      <c r="I206" t="inlineStr">
        <is>
          <t>ESTAFF (EVENTOS) - PERÍODO DE 17/08 A 23/08/2026</t>
        </is>
      </c>
      <c r="J206" t="n">
        <v>-2013</v>
      </c>
      <c r="K206" t="n">
        <v>-2013</v>
      </c>
      <c r="O206" t="inlineStr">
        <is>
          <t>Real</t>
        </is>
      </c>
      <c r="Q206" t="inlineStr">
        <is>
          <t>08/2026</t>
        </is>
      </c>
      <c r="R206" t="n">
        <v>0</v>
      </c>
    </row>
    <row r="207">
      <c r="A207" t="n">
        <v>261762</v>
      </c>
      <c r="B207" t="inlineStr">
        <is>
          <t>Nuv Gastrobar</t>
        </is>
      </c>
      <c r="C207" t="inlineStr">
        <is>
          <t>ZIGPAY LTDAS -ME</t>
        </is>
      </c>
      <c r="D207" t="inlineStr">
        <is>
          <t>AGOSTO2026</t>
        </is>
      </c>
      <c r="E207" s="525" t="n">
        <v>46265</v>
      </c>
      <c r="F207" s="525" t="n">
        <v>46265</v>
      </c>
      <c r="G207" t="inlineStr">
        <is>
          <t>Deduções sobre Venda</t>
        </is>
      </c>
      <c r="H207" t="inlineStr">
        <is>
          <t>Meios de pagamento</t>
        </is>
      </c>
      <c r="I207" t="inlineStr">
        <is>
          <t>Taxa Sobre Adquirência Integrada</t>
        </is>
      </c>
      <c r="J207" t="n">
        <v>-1710.5</v>
      </c>
      <c r="K207" t="n">
        <v>-1710.5</v>
      </c>
      <c r="O207" t="inlineStr">
        <is>
          <t>Real</t>
        </is>
      </c>
      <c r="P207" t="inlineStr">
        <is>
          <t>Pago</t>
        </is>
      </c>
      <c r="Q207" t="inlineStr">
        <is>
          <t>08/2026</t>
        </is>
      </c>
      <c r="R207" t="n">
        <v>0</v>
      </c>
    </row>
    <row r="208">
      <c r="A208" t="n">
        <v>257870</v>
      </c>
      <c r="B208" t="inlineStr">
        <is>
          <t>Nuv Gastrobar</t>
        </is>
      </c>
      <c r="C208" t="inlineStr">
        <is>
          <t>PETTY CASH</t>
        </is>
      </c>
      <c r="D208" t="inlineStr">
        <is>
          <t>PETTY CASH - 08/2026</t>
        </is>
      </c>
      <c r="E208" s="525" t="n">
        <v>46265</v>
      </c>
      <c r="F208" s="525" t="n">
        <v>46270</v>
      </c>
      <c r="G208" t="inlineStr">
        <is>
          <t>Manutenção</t>
        </is>
      </c>
      <c r="H208" t="inlineStr">
        <is>
          <t>Material de Manutenção</t>
        </is>
      </c>
      <c r="I208" t="inlineStr">
        <is>
          <t xml:space="preserve"> FINAL 0897 - SERRA COPOS</t>
        </is>
      </c>
      <c r="J208" t="n">
        <v>-159.7</v>
      </c>
      <c r="K208" t="n">
        <v>0</v>
      </c>
      <c r="O208" t="inlineStr">
        <is>
          <t>Real</t>
        </is>
      </c>
      <c r="P208" t="inlineStr">
        <is>
          <t>Pago</t>
        </is>
      </c>
      <c r="Q208" t="inlineStr">
        <is>
          <t>08/2026</t>
        </is>
      </c>
      <c r="R208" t="n">
        <v>0</v>
      </c>
    </row>
    <row r="209">
      <c r="A209" t="n">
        <v>257849</v>
      </c>
      <c r="B209" t="inlineStr">
        <is>
          <t>Nuv Gastrobar</t>
        </is>
      </c>
      <c r="C209" t="inlineStr">
        <is>
          <t>PETTY CASH</t>
        </is>
      </c>
      <c r="D209" t="inlineStr">
        <is>
          <t>PETTY CASH - 08/2026</t>
        </is>
      </c>
      <c r="E209" s="525" t="n">
        <v>46265</v>
      </c>
      <c r="F209" s="525" t="n">
        <v>46270</v>
      </c>
      <c r="G209" t="inlineStr">
        <is>
          <t>Investimento - CAPEX</t>
        </is>
      </c>
      <c r="H209" t="inlineStr">
        <is>
          <t>Investimento - Mobiliário e Decoração</t>
        </is>
      </c>
      <c r="I209" t="inlineStr">
        <is>
          <t xml:space="preserve"> FINAL 0897 - LUMINÁRIAS NUV - RATEIO</t>
        </is>
      </c>
      <c r="J209" t="n">
        <v>-1793.34</v>
      </c>
      <c r="K209" t="n">
        <v>0</v>
      </c>
      <c r="O209" t="inlineStr">
        <is>
          <t>Real</t>
        </is>
      </c>
      <c r="P209" t="inlineStr">
        <is>
          <t>Pago</t>
        </is>
      </c>
      <c r="Q209" t="inlineStr">
        <is>
          <t>08/2026</t>
        </is>
      </c>
      <c r="R209" t="n">
        <v>0</v>
      </c>
    </row>
    <row r="210">
      <c r="A210" t="n">
        <v>257806</v>
      </c>
      <c r="B210" t="inlineStr">
        <is>
          <t>Nuv Gastrobar</t>
        </is>
      </c>
      <c r="C210" t="inlineStr">
        <is>
          <t>PETTY CASH</t>
        </is>
      </c>
      <c r="D210" t="inlineStr">
        <is>
          <t>PETTY CASH - 08/2026</t>
        </is>
      </c>
      <c r="E210" s="525" t="n">
        <v>46265</v>
      </c>
      <c r="F210" s="525" t="n">
        <v>46270</v>
      </c>
      <c r="G210" t="inlineStr">
        <is>
          <t>Manutenção</t>
        </is>
      </c>
      <c r="H210" t="inlineStr">
        <is>
          <t>Material de Manutenção</t>
        </is>
      </c>
      <c r="I210" t="inlineStr">
        <is>
          <t xml:space="preserve"> FINAL 0897 - SERRA COPO, OLEO MULTIUSO - RATEIO</t>
        </is>
      </c>
      <c r="J210" t="n">
        <v>-154.7</v>
      </c>
      <c r="K210" t="n">
        <v>0</v>
      </c>
      <c r="O210" t="inlineStr">
        <is>
          <t>Real</t>
        </is>
      </c>
      <c r="P210" t="inlineStr">
        <is>
          <t>Pago</t>
        </is>
      </c>
      <c r="Q210" t="inlineStr">
        <is>
          <t>08/2026</t>
        </is>
      </c>
      <c r="R210" t="n">
        <v>0</v>
      </c>
    </row>
    <row r="211">
      <c r="A211" t="n">
        <v>257804</v>
      </c>
      <c r="B211" t="inlineStr">
        <is>
          <t>Nuv Gastrobar</t>
        </is>
      </c>
      <c r="C211" t="inlineStr">
        <is>
          <t>PETTY CASH</t>
        </is>
      </c>
      <c r="D211" t="inlineStr">
        <is>
          <t>PETTY CASH - 08/2026</t>
        </is>
      </c>
      <c r="E211" s="525" t="n">
        <v>46265</v>
      </c>
      <c r="F211" s="525" t="n">
        <v>46270</v>
      </c>
      <c r="G211" t="inlineStr">
        <is>
          <t>Manutenção</t>
        </is>
      </c>
      <c r="H211" t="inlineStr">
        <is>
          <t>Material de Manutenção</t>
        </is>
      </c>
      <c r="I211" t="inlineStr">
        <is>
          <t xml:space="preserve"> FINAL 0897 - BICA MOVEL COZINHA - RATEIO</t>
        </is>
      </c>
      <c r="J211" t="n">
        <v>-524.5</v>
      </c>
      <c r="K211" t="n">
        <v>0</v>
      </c>
      <c r="O211" t="inlineStr">
        <is>
          <t>Real</t>
        </is>
      </c>
      <c r="P211" t="inlineStr">
        <is>
          <t>Pago</t>
        </is>
      </c>
      <c r="Q211" t="inlineStr">
        <is>
          <t>08/2026</t>
        </is>
      </c>
      <c r="R211" t="n">
        <v>0</v>
      </c>
    </row>
    <row r="212">
      <c r="A212" t="n">
        <v>257799</v>
      </c>
      <c r="B212" t="inlineStr">
        <is>
          <t>Nuv Gastrobar</t>
        </is>
      </c>
      <c r="C212" t="inlineStr">
        <is>
          <t>PETTY CASH</t>
        </is>
      </c>
      <c r="D212" t="inlineStr">
        <is>
          <t>PETTY CASH - 08/2026</t>
        </is>
      </c>
      <c r="E212" s="525" t="n">
        <v>46265</v>
      </c>
      <c r="F212" s="525" t="n">
        <v>46270</v>
      </c>
      <c r="G212" t="inlineStr">
        <is>
          <t>Manutenção</t>
        </is>
      </c>
      <c r="H212" t="inlineStr">
        <is>
          <t>Material de Manutenção</t>
        </is>
      </c>
      <c r="I212" t="inlineStr">
        <is>
          <t xml:space="preserve"> FINAL 0897 - BROCA ESCALONADA - RATEIO</t>
        </is>
      </c>
      <c r="J212" t="n">
        <v>-99</v>
      </c>
      <c r="K212" t="n">
        <v>0</v>
      </c>
      <c r="O212" t="inlineStr">
        <is>
          <t>Real</t>
        </is>
      </c>
      <c r="P212" t="inlineStr">
        <is>
          <t>Pago</t>
        </is>
      </c>
      <c r="Q212" t="inlineStr">
        <is>
          <t>08/2026</t>
        </is>
      </c>
      <c r="R212" t="n">
        <v>0</v>
      </c>
    </row>
    <row r="213">
      <c r="A213" t="n">
        <v>263178</v>
      </c>
      <c r="B213" t="inlineStr">
        <is>
          <t>Nuv Gastrobar</t>
        </is>
      </c>
      <c r="C213" t="inlineStr">
        <is>
          <t>ZIGPAY LTDAS -ME</t>
        </is>
      </c>
      <c r="E213" s="525" t="n">
        <v>46265</v>
      </c>
      <c r="F213" s="525" t="n">
        <v>46265</v>
      </c>
      <c r="G213" t="inlineStr">
        <is>
          <t>Informática e TI</t>
        </is>
      </c>
      <c r="H213" t="inlineStr">
        <is>
          <t>Sistemas Gerais - Operacionais</t>
        </is>
      </c>
      <c r="I213" t="inlineStr">
        <is>
          <t>Taxa de Sistema</t>
        </is>
      </c>
      <c r="J213" t="n">
        <v>-30.53</v>
      </c>
      <c r="K213" t="n">
        <v>-30.53</v>
      </c>
      <c r="O213" t="inlineStr">
        <is>
          <t>Real</t>
        </is>
      </c>
      <c r="P213" t="inlineStr">
        <is>
          <t>Pago</t>
        </is>
      </c>
      <c r="Q213" t="inlineStr">
        <is>
          <t>08/2026</t>
        </is>
      </c>
      <c r="R213" t="n">
        <v>0</v>
      </c>
    </row>
    <row r="214">
      <c r="A214" t="n">
        <v>257794</v>
      </c>
      <c r="B214" t="inlineStr">
        <is>
          <t>Nuv Gastrobar</t>
        </is>
      </c>
      <c r="C214" t="inlineStr">
        <is>
          <t>PETTY CASH</t>
        </is>
      </c>
      <c r="D214" t="inlineStr">
        <is>
          <t>PETTY CASH - 08/2026</t>
        </is>
      </c>
      <c r="E214" s="525" t="n">
        <v>46265</v>
      </c>
      <c r="F214" s="525" t="n">
        <v>46270</v>
      </c>
      <c r="G214" t="inlineStr">
        <is>
          <t>Manutenção</t>
        </is>
      </c>
      <c r="H214" t="inlineStr">
        <is>
          <t>Material de Manutenção</t>
        </is>
      </c>
      <c r="I214" t="inlineStr">
        <is>
          <t xml:space="preserve"> FINAL 0897 - SERRA COPOS </t>
        </is>
      </c>
      <c r="J214" t="n">
        <v>-231.6</v>
      </c>
      <c r="K214" t="n">
        <v>0</v>
      </c>
      <c r="O214" t="inlineStr">
        <is>
          <t>Real</t>
        </is>
      </c>
      <c r="P214" t="inlineStr">
        <is>
          <t>Pago</t>
        </is>
      </c>
      <c r="Q214" t="inlineStr">
        <is>
          <t>08/2026</t>
        </is>
      </c>
      <c r="R214" t="n">
        <v>0</v>
      </c>
    </row>
    <row r="215">
      <c r="A215" t="n">
        <v>258420</v>
      </c>
      <c r="B215" t="inlineStr">
        <is>
          <t>Nuv Gastrobar</t>
        </is>
      </c>
      <c r="C215" t="inlineStr">
        <is>
          <t>PETTY CASH</t>
        </is>
      </c>
      <c r="D215" t="inlineStr">
        <is>
          <t>PETTY CASH - 08/2026</t>
        </is>
      </c>
      <c r="E215" s="525" t="n">
        <v>46265</v>
      </c>
      <c r="F215" s="525" t="n">
        <v>46270</v>
      </c>
      <c r="G215" t="inlineStr">
        <is>
          <t>Custo Mercadoria Vendida</t>
        </is>
      </c>
      <c r="H215" t="inlineStr">
        <is>
          <t>Insumos - Embalagens</t>
        </is>
      </c>
      <c r="I215" t="inlineStr">
        <is>
          <t xml:space="preserve"> Rateamento de 110 - Nuv Gastrobar (100%)</t>
        </is>
      </c>
      <c r="J215" t="n">
        <v>-405.9</v>
      </c>
      <c r="K215" t="n">
        <v>0</v>
      </c>
      <c r="O215" t="inlineStr">
        <is>
          <t>Real</t>
        </is>
      </c>
      <c r="P215" t="inlineStr">
        <is>
          <t>Pago</t>
        </is>
      </c>
      <c r="Q215" t="inlineStr">
        <is>
          <t>08/2026</t>
        </is>
      </c>
      <c r="R215" t="n">
        <v>0</v>
      </c>
    </row>
    <row r="216">
      <c r="A216" t="n">
        <v>258427</v>
      </c>
      <c r="B216" t="inlineStr">
        <is>
          <t>Nuv Gastrobar</t>
        </is>
      </c>
      <c r="C216" t="inlineStr">
        <is>
          <t>PETTY CASH</t>
        </is>
      </c>
      <c r="D216" t="inlineStr">
        <is>
          <t>PETTY CASH - 08/2026</t>
        </is>
      </c>
      <c r="E216" s="525" t="n">
        <v>46265</v>
      </c>
      <c r="F216" s="525" t="n">
        <v>46270</v>
      </c>
      <c r="G216" t="inlineStr">
        <is>
          <t>Despesas com Transporte / Hospedagem</t>
        </is>
      </c>
      <c r="H216" t="inlineStr">
        <is>
          <t>Conduções/Taxi/Uber</t>
        </is>
      </c>
      <c r="I216" t="inlineStr">
        <is>
          <t>Rateamento de 110 - Nuv Gastrobar (100%)</t>
        </is>
      </c>
      <c r="J216" t="n">
        <v>-24.95</v>
      </c>
      <c r="K216" t="n">
        <v>0</v>
      </c>
      <c r="O216" t="inlineStr">
        <is>
          <t>Real</t>
        </is>
      </c>
      <c r="P216" t="inlineStr">
        <is>
          <t>Pago</t>
        </is>
      </c>
      <c r="Q216" t="inlineStr">
        <is>
          <t>08/2026</t>
        </is>
      </c>
      <c r="R216" t="n">
        <v>0</v>
      </c>
    </row>
    <row r="217">
      <c r="A217" t="n">
        <v>263714</v>
      </c>
      <c r="B217" t="inlineStr">
        <is>
          <t>Nuv Gastrobar</t>
        </is>
      </c>
      <c r="C217" t="inlineStr">
        <is>
          <t>IGOR MIRANDO CRUZ - PJ BNSP</t>
        </is>
      </c>
      <c r="D217" t="inlineStr">
        <is>
          <t>45</t>
        </is>
      </c>
      <c r="E217" s="525" t="n">
        <v>46265</v>
      </c>
      <c r="F217" s="525" t="n">
        <v>46275</v>
      </c>
      <c r="G217" t="inlineStr">
        <is>
          <t>Gorjeta</t>
        </is>
      </c>
      <c r="H217" t="inlineStr">
        <is>
          <t xml:space="preserve">  -  Comissões e Gorjeta</t>
        </is>
      </c>
      <c r="I217" t="inlineStr">
        <is>
          <t>GORJETA 082026</t>
        </is>
      </c>
      <c r="J217" t="n">
        <v>-770</v>
      </c>
      <c r="K217" t="n">
        <v>-770</v>
      </c>
      <c r="M217" t="inlineStr">
        <is>
          <t>COORDENADOR</t>
        </is>
      </c>
      <c r="N217" t="inlineStr">
        <is>
          <t xml:space="preserve">  - Coordenador</t>
        </is>
      </c>
      <c r="O217" t="inlineStr">
        <is>
          <t>Real</t>
        </is>
      </c>
      <c r="Q217" t="inlineStr">
        <is>
          <t>08/2026</t>
        </is>
      </c>
      <c r="R217" t="n">
        <v>0</v>
      </c>
    </row>
    <row r="218">
      <c r="A218" t="n">
        <v>258429</v>
      </c>
      <c r="B218" t="inlineStr">
        <is>
          <t>Nuv Gastrobar</t>
        </is>
      </c>
      <c r="C218" t="inlineStr">
        <is>
          <t>PETTY CASH</t>
        </is>
      </c>
      <c r="D218" t="inlineStr">
        <is>
          <t>PETTY CASH - 08/2026</t>
        </is>
      </c>
      <c r="E218" s="525" t="n">
        <v>46265</v>
      </c>
      <c r="F218" s="525" t="n">
        <v>46270</v>
      </c>
      <c r="G218" t="inlineStr">
        <is>
          <t>Despesas com Transporte / Hospedagem</t>
        </is>
      </c>
      <c r="H218" t="inlineStr">
        <is>
          <t>Conduções/Taxi/Uber</t>
        </is>
      </c>
      <c r="I218" t="inlineStr">
        <is>
          <t>Rateamento de 110 - Nuv Gastrobar (100%)</t>
        </is>
      </c>
      <c r="J218" t="n">
        <v>-21.94</v>
      </c>
      <c r="K218" t="n">
        <v>0</v>
      </c>
      <c r="O218" t="inlineStr">
        <is>
          <t>Real</t>
        </is>
      </c>
      <c r="P218" t="inlineStr">
        <is>
          <t>Pago</t>
        </is>
      </c>
      <c r="Q218" t="inlineStr">
        <is>
          <t>08/2026</t>
        </is>
      </c>
      <c r="R218" t="n">
        <v>0</v>
      </c>
    </row>
    <row r="219">
      <c r="A219" t="n">
        <v>258432</v>
      </c>
      <c r="B219" t="inlineStr">
        <is>
          <t>Nuv Gastrobar</t>
        </is>
      </c>
      <c r="C219" t="inlineStr">
        <is>
          <t>PETTY CASH</t>
        </is>
      </c>
      <c r="D219" t="inlineStr">
        <is>
          <t>PETTY CASH - 08/2026</t>
        </is>
      </c>
      <c r="E219" s="525" t="n">
        <v>46265</v>
      </c>
      <c r="F219" s="525" t="n">
        <v>46270</v>
      </c>
      <c r="G219" t="inlineStr">
        <is>
          <t>Despesas com Transporte / Hospedagem</t>
        </is>
      </c>
      <c r="H219" t="inlineStr">
        <is>
          <t>Conduções/Taxi/Uber</t>
        </is>
      </c>
      <c r="I219" t="inlineStr">
        <is>
          <t>Rateamento de 110 - Nuv Gastrobar (100%)</t>
        </is>
      </c>
      <c r="J219" t="n">
        <v>-9.93</v>
      </c>
      <c r="K219" t="n">
        <v>0</v>
      </c>
      <c r="O219" t="inlineStr">
        <is>
          <t>Real</t>
        </is>
      </c>
      <c r="P219" t="inlineStr">
        <is>
          <t>Pago</t>
        </is>
      </c>
      <c r="Q219" t="inlineStr">
        <is>
          <t>08/2026</t>
        </is>
      </c>
      <c r="R219" t="n">
        <v>0</v>
      </c>
    </row>
    <row r="220">
      <c r="A220" t="n">
        <v>258435</v>
      </c>
      <c r="B220" t="inlineStr">
        <is>
          <t>Nuv Gastrobar</t>
        </is>
      </c>
      <c r="C220" t="inlineStr">
        <is>
          <t>PETTY CASH</t>
        </is>
      </c>
      <c r="D220" t="inlineStr">
        <is>
          <t>PETTY CASH - 08/2026</t>
        </is>
      </c>
      <c r="E220" s="525" t="n">
        <v>46265</v>
      </c>
      <c r="F220" s="525" t="n">
        <v>46270</v>
      </c>
      <c r="G220" t="inlineStr">
        <is>
          <t>Despesas com Transporte / Hospedagem</t>
        </is>
      </c>
      <c r="H220" t="inlineStr">
        <is>
          <t>Conduções/Taxi/Uber</t>
        </is>
      </c>
      <c r="I220" t="inlineStr">
        <is>
          <t>Rateamento de 110 - Nuv Gastrobar (100%)</t>
        </is>
      </c>
      <c r="J220" t="n">
        <v>-19.98</v>
      </c>
      <c r="K220" t="n">
        <v>0</v>
      </c>
      <c r="O220" t="inlineStr">
        <is>
          <t>Real</t>
        </is>
      </c>
      <c r="P220" t="inlineStr">
        <is>
          <t>Pago</t>
        </is>
      </c>
      <c r="Q220" t="inlineStr">
        <is>
          <t>08/2026</t>
        </is>
      </c>
      <c r="R220" t="n">
        <v>0</v>
      </c>
    </row>
    <row r="221">
      <c r="A221" t="n">
        <v>258438</v>
      </c>
      <c r="B221" t="inlineStr">
        <is>
          <t>Nuv Gastrobar</t>
        </is>
      </c>
      <c r="C221" t="inlineStr">
        <is>
          <t>PETTY CASH</t>
        </is>
      </c>
      <c r="D221" t="inlineStr">
        <is>
          <t>PETTY CASH - 08/2026</t>
        </is>
      </c>
      <c r="E221" s="525" t="n">
        <v>46265</v>
      </c>
      <c r="F221" s="525" t="n">
        <v>46270</v>
      </c>
      <c r="G221" t="inlineStr">
        <is>
          <t>Despesas com Transporte / Hospedagem</t>
        </is>
      </c>
      <c r="H221" t="inlineStr">
        <is>
          <t>Conduções/Taxi/Uber</t>
        </is>
      </c>
      <c r="I221" t="inlineStr">
        <is>
          <t>Rateamento de 110 - Nuv Gastrobar (100%)</t>
        </is>
      </c>
      <c r="J221" t="n">
        <v>-40.95</v>
      </c>
      <c r="K221" t="n">
        <v>0</v>
      </c>
      <c r="O221" t="inlineStr">
        <is>
          <t>Real</t>
        </is>
      </c>
      <c r="P221" t="inlineStr">
        <is>
          <t>Pago</t>
        </is>
      </c>
      <c r="Q221" t="inlineStr">
        <is>
          <t>08/2026</t>
        </is>
      </c>
      <c r="R221" t="n">
        <v>0</v>
      </c>
    </row>
    <row r="222">
      <c r="A222" t="n">
        <v>262002</v>
      </c>
      <c r="B222" t="inlineStr">
        <is>
          <t>Nuv Gastrobar</t>
        </is>
      </c>
      <c r="C222" t="inlineStr">
        <is>
          <t>PETTY CASH</t>
        </is>
      </c>
      <c r="D222" t="inlineStr">
        <is>
          <t>PETTY CASH - COD 9</t>
        </is>
      </c>
      <c r="E222" s="525" t="n">
        <v>46265</v>
      </c>
      <c r="F222" s="525" t="n">
        <v>46270</v>
      </c>
      <c r="G222" t="inlineStr">
        <is>
          <t>Utilidades</t>
        </is>
      </c>
      <c r="H222" t="inlineStr">
        <is>
          <t>Material de Escritorio</t>
        </is>
      </c>
      <c r="I222" t="inlineStr">
        <is>
          <t>FINAL 1670 - ARQUIVO MORTO, SACO PLASTICO P/ FOLHA A4 E FITA ADESIVA - 08/2026</t>
        </is>
      </c>
      <c r="J222" t="n">
        <v>-42.3</v>
      </c>
      <c r="K222" t="n">
        <v>-42.3</v>
      </c>
      <c r="O222" t="inlineStr">
        <is>
          <t>Real</t>
        </is>
      </c>
      <c r="Q222" t="inlineStr">
        <is>
          <t>08/2026</t>
        </is>
      </c>
      <c r="R222" t="n">
        <v>0</v>
      </c>
    </row>
    <row r="223">
      <c r="A223" t="n">
        <v>263711</v>
      </c>
      <c r="B223" t="inlineStr">
        <is>
          <t>Nuv Gastrobar</t>
        </is>
      </c>
      <c r="C223" t="inlineStr">
        <is>
          <t>BRUNA VALLONE SANTOS</t>
        </is>
      </c>
      <c r="D223" t="inlineStr">
        <is>
          <t>2</t>
        </is>
      </c>
      <c r="E223" s="525" t="n">
        <v>46265</v>
      </c>
      <c r="F223" s="525" t="n">
        <v>46275</v>
      </c>
      <c r="G223" t="inlineStr">
        <is>
          <t>Gorjeta</t>
        </is>
      </c>
      <c r="H223" t="inlineStr">
        <is>
          <t xml:space="preserve">  -  Comissões e Gorjeta</t>
        </is>
      </c>
      <c r="I223" t="inlineStr">
        <is>
          <t>GORJETA 082026</t>
        </is>
      </c>
      <c r="J223" t="n">
        <v>-610</v>
      </c>
      <c r="K223" t="n">
        <v>-610</v>
      </c>
      <c r="O223" t="inlineStr">
        <is>
          <t>Real</t>
        </is>
      </c>
      <c r="Q223" t="inlineStr">
        <is>
          <t>08/2026</t>
        </is>
      </c>
      <c r="R223" t="n">
        <v>0</v>
      </c>
    </row>
    <row r="224">
      <c r="A224" t="n">
        <v>262738</v>
      </c>
      <c r="B224" t="inlineStr">
        <is>
          <t>Nuv Gastrobar</t>
        </is>
      </c>
      <c r="C224" t="inlineStr">
        <is>
          <t>CAIO VINICIUS MARTINELLI JACINTO</t>
        </is>
      </c>
      <c r="D224" t="inlineStr">
        <is>
          <t>35</t>
        </is>
      </c>
      <c r="E224" s="525" t="n">
        <v>46265</v>
      </c>
      <c r="F224" s="525" t="n">
        <v>46275</v>
      </c>
      <c r="G224" t="inlineStr">
        <is>
          <t>Mão de Obra - PJ</t>
        </is>
      </c>
      <c r="H224" t="inlineStr">
        <is>
          <t>MDO PJ Fixo</t>
        </is>
      </c>
      <c r="J224" t="n">
        <v>-2600</v>
      </c>
      <c r="K224" t="n">
        <v>-2600</v>
      </c>
      <c r="M224" t="inlineStr">
        <is>
          <t>SUB CHEFE DE BAR</t>
        </is>
      </c>
      <c r="N224" t="inlineStr">
        <is>
          <t xml:space="preserve">  - Sub Chefe De Bar</t>
        </is>
      </c>
      <c r="O224" t="inlineStr">
        <is>
          <t>Real</t>
        </is>
      </c>
      <c r="P224" t="inlineStr">
        <is>
          <t>Processamento</t>
        </is>
      </c>
      <c r="Q224" t="inlineStr">
        <is>
          <t>08/2026</t>
        </is>
      </c>
      <c r="R224" t="n">
        <v>0</v>
      </c>
    </row>
    <row r="225">
      <c r="A225" t="n">
        <v>263709</v>
      </c>
      <c r="B225" t="inlineStr">
        <is>
          <t>Nuv Gastrobar</t>
        </is>
      </c>
      <c r="C225" t="inlineStr">
        <is>
          <t>ARANTXA JIMENEZ</t>
        </is>
      </c>
      <c r="D225" t="inlineStr">
        <is>
          <t>2</t>
        </is>
      </c>
      <c r="E225" s="525" t="n">
        <v>46265</v>
      </c>
      <c r="F225" s="525" t="n">
        <v>46275</v>
      </c>
      <c r="G225" t="inlineStr">
        <is>
          <t>Gorjeta</t>
        </is>
      </c>
      <c r="H225" t="inlineStr">
        <is>
          <t xml:space="preserve">  -  Comissões e Gorjeta</t>
        </is>
      </c>
      <c r="I225" t="inlineStr">
        <is>
          <t>GORJETA 082026</t>
        </is>
      </c>
      <c r="J225" t="n">
        <v>-710</v>
      </c>
      <c r="K225" t="n">
        <v>-710</v>
      </c>
      <c r="O225" t="inlineStr">
        <is>
          <t>Real</t>
        </is>
      </c>
      <c r="Q225" t="inlineStr">
        <is>
          <t>08/2026</t>
        </is>
      </c>
      <c r="R225" t="n">
        <v>0</v>
      </c>
    </row>
    <row r="226">
      <c r="A226" t="n">
        <v>258425</v>
      </c>
      <c r="B226" t="inlineStr">
        <is>
          <t>Nuv Gastrobar</t>
        </is>
      </c>
      <c r="C226" t="inlineStr">
        <is>
          <t>PETTY CASH</t>
        </is>
      </c>
      <c r="D226" t="inlineStr">
        <is>
          <t>PETTY CASH - 08/2026</t>
        </is>
      </c>
      <c r="E226" s="525" t="n">
        <v>46265</v>
      </c>
      <c r="F226" s="525" t="n">
        <v>46270</v>
      </c>
      <c r="G226" t="inlineStr">
        <is>
          <t>Despesas com Transporte / Hospedagem</t>
        </is>
      </c>
      <c r="H226" t="inlineStr">
        <is>
          <t>Conduções/Taxi/Uber</t>
        </is>
      </c>
      <c r="I226" t="inlineStr">
        <is>
          <t>Rateamento de 110 - Nuv Gastrobar (100%)</t>
        </is>
      </c>
      <c r="J226" t="n">
        <v>-35.97</v>
      </c>
      <c r="K226" t="n">
        <v>0</v>
      </c>
      <c r="O226" t="inlineStr">
        <is>
          <t>Real</t>
        </is>
      </c>
      <c r="P226" t="inlineStr">
        <is>
          <t>Pago</t>
        </is>
      </c>
      <c r="Q226" t="inlineStr">
        <is>
          <t>08/2026</t>
        </is>
      </c>
      <c r="R226" t="n">
        <v>0</v>
      </c>
    </row>
    <row r="227">
      <c r="A227" t="n">
        <v>262377</v>
      </c>
      <c r="B227" t="inlineStr">
        <is>
          <t>Nuv Gastrobar</t>
        </is>
      </c>
      <c r="C227" t="inlineStr">
        <is>
          <t>COFINS</t>
        </is>
      </c>
      <c r="D227" t="inlineStr">
        <is>
          <t>AGOS2026</t>
        </is>
      </c>
      <c r="E227" s="525" t="n">
        <v>46264</v>
      </c>
      <c r="F227" s="525" t="n">
        <v>46290</v>
      </c>
      <c r="G227" t="inlineStr">
        <is>
          <t>Impostos sobre Venda</t>
        </is>
      </c>
      <c r="H227" t="inlineStr">
        <is>
          <t>PIS / COFINS</t>
        </is>
      </c>
      <c r="J227" t="n">
        <v>-1000</v>
      </c>
      <c r="K227" t="n">
        <v>-1000</v>
      </c>
      <c r="O227" t="inlineStr">
        <is>
          <t>Provisionado</t>
        </is>
      </c>
      <c r="Q227" t="inlineStr">
        <is>
          <t>08/2026</t>
        </is>
      </c>
      <c r="R227" t="n">
        <v>0</v>
      </c>
    </row>
    <row r="228">
      <c r="A228" t="n">
        <v>262376</v>
      </c>
      <c r="B228" t="inlineStr">
        <is>
          <t>Nuv Gastrobar</t>
        </is>
      </c>
      <c r="C228" t="inlineStr">
        <is>
          <t>PIS</t>
        </is>
      </c>
      <c r="D228" t="inlineStr">
        <is>
          <t>AGOS2026</t>
        </is>
      </c>
      <c r="E228" s="525" t="n">
        <v>46264</v>
      </c>
      <c r="F228" s="525" t="n">
        <v>46290</v>
      </c>
      <c r="G228" t="inlineStr">
        <is>
          <t>Impostos sobre Venda</t>
        </is>
      </c>
      <c r="H228" t="inlineStr">
        <is>
          <t>PIS / COFINS</t>
        </is>
      </c>
      <c r="J228" t="n">
        <v>-1000</v>
      </c>
      <c r="K228" t="n">
        <v>-1000</v>
      </c>
      <c r="O228" t="inlineStr">
        <is>
          <t>Provisionado</t>
        </is>
      </c>
      <c r="Q228" t="inlineStr">
        <is>
          <t>08/2026</t>
        </is>
      </c>
      <c r="R228" t="n">
        <v>0</v>
      </c>
    </row>
    <row r="229">
      <c r="A229" t="n">
        <v>263177</v>
      </c>
      <c r="B229" t="inlineStr">
        <is>
          <t>Nuv Gastrobar</t>
        </is>
      </c>
      <c r="C229" t="inlineStr">
        <is>
          <t>ZIGPAY LTDAS -ME</t>
        </is>
      </c>
      <c r="E229" s="525" t="n">
        <v>46264</v>
      </c>
      <c r="F229" s="525" t="n">
        <v>46264</v>
      </c>
      <c r="G229" t="inlineStr">
        <is>
          <t>Informática e TI</t>
        </is>
      </c>
      <c r="H229" t="inlineStr">
        <is>
          <t>Sistemas Gerais - Operacionais</t>
        </is>
      </c>
      <c r="I229" t="inlineStr">
        <is>
          <t>Taxa de Sistema</t>
        </is>
      </c>
      <c r="J229" t="n">
        <v>-61.14</v>
      </c>
      <c r="K229" t="n">
        <v>-61.14</v>
      </c>
      <c r="O229" t="inlineStr">
        <is>
          <t>Real</t>
        </is>
      </c>
      <c r="P229" t="inlineStr">
        <is>
          <t>Pago</t>
        </is>
      </c>
      <c r="Q229" t="inlineStr">
        <is>
          <t>08/2026</t>
        </is>
      </c>
      <c r="R229" t="n">
        <v>0</v>
      </c>
    </row>
    <row r="230">
      <c r="A230" t="n">
        <v>261851</v>
      </c>
      <c r="B230" t="inlineStr">
        <is>
          <t>Nuv Gastrobar</t>
        </is>
      </c>
      <c r="C230" t="inlineStr">
        <is>
          <t>ISS</t>
        </is>
      </c>
      <c r="D230" t="inlineStr">
        <is>
          <t>AGOS2026</t>
        </is>
      </c>
      <c r="E230" s="525" t="n">
        <v>46264</v>
      </c>
      <c r="F230" s="525" t="n">
        <v>46275</v>
      </c>
      <c r="G230" t="inlineStr">
        <is>
          <t>Impostos sobre Venda</t>
        </is>
      </c>
      <c r="H230" t="inlineStr">
        <is>
          <t>ISS</t>
        </is>
      </c>
      <c r="J230" t="n">
        <v>-500</v>
      </c>
      <c r="K230" t="n">
        <v>-500</v>
      </c>
      <c r="O230" t="inlineStr">
        <is>
          <t>Provisionado</t>
        </is>
      </c>
      <c r="Q230" t="inlineStr">
        <is>
          <t>08/2026</t>
        </is>
      </c>
      <c r="R230" t="n">
        <v>0</v>
      </c>
    </row>
    <row r="231">
      <c r="A231" t="n">
        <v>261854</v>
      </c>
      <c r="B231" t="inlineStr">
        <is>
          <t>Nuv Gastrobar</t>
        </is>
      </c>
      <c r="C231" t="inlineStr">
        <is>
          <t>ICMS</t>
        </is>
      </c>
      <c r="D231" t="inlineStr">
        <is>
          <t>AGOS2026</t>
        </is>
      </c>
      <c r="E231" s="525" t="n">
        <v>46264</v>
      </c>
      <c r="F231" s="525" t="n">
        <v>46285</v>
      </c>
      <c r="G231" t="inlineStr">
        <is>
          <t>Impostos sobre Venda</t>
        </is>
      </c>
      <c r="H231" t="inlineStr">
        <is>
          <t>ICMS</t>
        </is>
      </c>
      <c r="J231" t="n">
        <v>-5000</v>
      </c>
      <c r="K231" t="n">
        <v>-5000</v>
      </c>
      <c r="O231" t="inlineStr">
        <is>
          <t>Provisionado</t>
        </is>
      </c>
      <c r="Q231" t="inlineStr">
        <is>
          <t>08/2026</t>
        </is>
      </c>
      <c r="R231" t="n">
        <v>0</v>
      </c>
    </row>
    <row r="232">
      <c r="A232" t="n">
        <v>263176</v>
      </c>
      <c r="B232" t="inlineStr">
        <is>
          <t>Nuv Gastrobar</t>
        </is>
      </c>
      <c r="C232" t="inlineStr">
        <is>
          <t>ZIGPAY LTDAS -ME</t>
        </is>
      </c>
      <c r="E232" s="525" t="n">
        <v>46263</v>
      </c>
      <c r="F232" s="525" t="n">
        <v>46263</v>
      </c>
      <c r="G232" t="inlineStr">
        <is>
          <t>Informática e TI</t>
        </is>
      </c>
      <c r="H232" t="inlineStr">
        <is>
          <t>Sistemas Gerais - Operacionais</t>
        </is>
      </c>
      <c r="I232" t="inlineStr">
        <is>
          <t>Taxa de Sistema</t>
        </is>
      </c>
      <c r="J232" t="n">
        <v>-70.55</v>
      </c>
      <c r="K232" t="n">
        <v>-70.55</v>
      </c>
      <c r="O232" t="inlineStr">
        <is>
          <t>Real</t>
        </is>
      </c>
      <c r="P232" t="inlineStr">
        <is>
          <t>Pago</t>
        </is>
      </c>
      <c r="Q232" t="inlineStr">
        <is>
          <t>08/2026</t>
        </is>
      </c>
      <c r="R232" t="n">
        <v>0</v>
      </c>
    </row>
    <row r="233">
      <c r="A233" t="n">
        <v>263175</v>
      </c>
      <c r="B233" t="inlineStr">
        <is>
          <t>Nuv Gastrobar</t>
        </is>
      </c>
      <c r="C233" t="inlineStr">
        <is>
          <t>ZIGPAY LTDAS -ME</t>
        </is>
      </c>
      <c r="E233" s="525" t="n">
        <v>46262</v>
      </c>
      <c r="F233" s="525" t="n">
        <v>46262</v>
      </c>
      <c r="G233" t="inlineStr">
        <is>
          <t>Informática e TI</t>
        </is>
      </c>
      <c r="H233" t="inlineStr">
        <is>
          <t>Sistemas Gerais - Operacionais</t>
        </is>
      </c>
      <c r="I233" t="inlineStr">
        <is>
          <t>Taxa de Sistema</t>
        </is>
      </c>
      <c r="J233" t="n">
        <v>-24.86</v>
      </c>
      <c r="K233" t="n">
        <v>-24.86</v>
      </c>
      <c r="O233" t="inlineStr">
        <is>
          <t>Real</t>
        </is>
      </c>
      <c r="P233" t="inlineStr">
        <is>
          <t>Pago</t>
        </is>
      </c>
      <c r="Q233" t="inlineStr">
        <is>
          <t>08/2026</t>
        </is>
      </c>
      <c r="R233" t="n">
        <v>0</v>
      </c>
    </row>
    <row r="234">
      <c r="A234" t="n">
        <v>260452</v>
      </c>
      <c r="B234" t="inlineStr">
        <is>
          <t>Nuv Gastrobar</t>
        </is>
      </c>
      <c r="C234" t="inlineStr">
        <is>
          <t>MACRO CONTABILIDADE E CONSULTORIA LTDA</t>
        </is>
      </c>
      <c r="D234" t="inlineStr">
        <is>
          <t>2914</t>
        </is>
      </c>
      <c r="E234" s="525" t="n">
        <v>46262</v>
      </c>
      <c r="F234" s="525" t="n">
        <v>46269</v>
      </c>
      <c r="G234" t="inlineStr">
        <is>
          <t>Serviços de Terceiros</t>
        </is>
      </c>
      <c r="H234" t="inlineStr">
        <is>
          <t>Assessoria Contabil</t>
        </is>
      </c>
      <c r="I234" t="inlineStr">
        <is>
          <t>SLE348-26 - SALENTO ALTERAÇÃO DE CNAE PRINCIPAL</t>
        </is>
      </c>
      <c r="J234" t="n">
        <v>-1500</v>
      </c>
      <c r="K234" t="n">
        <v>-1500</v>
      </c>
      <c r="O234" t="inlineStr">
        <is>
          <t>Real</t>
        </is>
      </c>
      <c r="Q234" t="inlineStr">
        <is>
          <t>08/2026</t>
        </is>
      </c>
      <c r="R234" t="n">
        <v>0</v>
      </c>
    </row>
    <row r="235">
      <c r="A235" t="n">
        <v>263174</v>
      </c>
      <c r="B235" t="inlineStr">
        <is>
          <t>Nuv Gastrobar</t>
        </is>
      </c>
      <c r="C235" t="inlineStr">
        <is>
          <t>ZIGPAY LTDAS -ME</t>
        </is>
      </c>
      <c r="E235" s="525" t="n">
        <v>46261</v>
      </c>
      <c r="F235" s="525" t="n">
        <v>46261</v>
      </c>
      <c r="G235" t="inlineStr">
        <is>
          <t>Informática e TI</t>
        </is>
      </c>
      <c r="H235" t="inlineStr">
        <is>
          <t>Sistemas Gerais - Operacionais</t>
        </is>
      </c>
      <c r="I235" t="inlineStr">
        <is>
          <t>Taxa de Sistema</t>
        </is>
      </c>
      <c r="J235" t="n">
        <v>-0.09</v>
      </c>
      <c r="K235" t="n">
        <v>-0.09</v>
      </c>
      <c r="O235" t="inlineStr">
        <is>
          <t>Real</t>
        </is>
      </c>
      <c r="P235" t="inlineStr">
        <is>
          <t>Pago</t>
        </is>
      </c>
      <c r="Q235" t="inlineStr">
        <is>
          <t>08/2026</t>
        </is>
      </c>
      <c r="R235" t="n">
        <v>0</v>
      </c>
    </row>
    <row r="236">
      <c r="A236" t="n">
        <v>263173</v>
      </c>
      <c r="B236" t="inlineStr">
        <is>
          <t>Nuv Gastrobar</t>
        </is>
      </c>
      <c r="C236" t="inlineStr">
        <is>
          <t>ZIGPAY LTDAS -ME</t>
        </is>
      </c>
      <c r="E236" s="525" t="n">
        <v>46261</v>
      </c>
      <c r="F236" s="525" t="n">
        <v>46261</v>
      </c>
      <c r="G236" t="inlineStr">
        <is>
          <t>Informática e TI</t>
        </is>
      </c>
      <c r="H236" t="inlineStr">
        <is>
          <t>Sistemas Gerais - Operacionais</t>
        </is>
      </c>
      <c r="I236" t="inlineStr">
        <is>
          <t>Taxa de Sistema</t>
        </is>
      </c>
      <c r="J236" t="n">
        <v>-29.91</v>
      </c>
      <c r="K236" t="n">
        <v>-29.91</v>
      </c>
      <c r="O236" t="inlineStr">
        <is>
          <t>Real</t>
        </is>
      </c>
      <c r="P236" t="inlineStr">
        <is>
          <t>Pago</t>
        </is>
      </c>
      <c r="Q236" t="inlineStr">
        <is>
          <t>08/2026</t>
        </is>
      </c>
      <c r="R236" t="n">
        <v>0</v>
      </c>
    </row>
    <row r="237">
      <c r="A237" t="n">
        <v>263172</v>
      </c>
      <c r="B237" t="inlineStr">
        <is>
          <t>Nuv Gastrobar</t>
        </is>
      </c>
      <c r="C237" t="inlineStr">
        <is>
          <t>ZIGPAY LTDAS -ME</t>
        </is>
      </c>
      <c r="E237" s="525" t="n">
        <v>46260</v>
      </c>
      <c r="F237" s="525" t="n">
        <v>46260</v>
      </c>
      <c r="G237" t="inlineStr">
        <is>
          <t>Informática e TI</t>
        </is>
      </c>
      <c r="H237" t="inlineStr">
        <is>
          <t>Sistemas Gerais - Operacionais</t>
        </is>
      </c>
      <c r="I237" t="inlineStr">
        <is>
          <t>Taxa de Sistema</t>
        </is>
      </c>
      <c r="J237" t="n">
        <v>-25.58</v>
      </c>
      <c r="K237" t="n">
        <v>-25.58</v>
      </c>
      <c r="O237" t="inlineStr">
        <is>
          <t>Real</t>
        </is>
      </c>
      <c r="P237" t="inlineStr">
        <is>
          <t>Pago</t>
        </is>
      </c>
      <c r="Q237" t="inlineStr">
        <is>
          <t>08/2026</t>
        </is>
      </c>
      <c r="R237" t="n">
        <v>0</v>
      </c>
    </row>
    <row r="238">
      <c r="A238" t="n">
        <v>260957</v>
      </c>
      <c r="B238" t="inlineStr">
        <is>
          <t>Nuv Gastrobar</t>
        </is>
      </c>
      <c r="C238" t="inlineStr">
        <is>
          <t xml:space="preserve">KAMINO INSTITUICAO DE PAGAMENTO LTDA </t>
        </is>
      </c>
      <c r="D238" t="inlineStr">
        <is>
          <t>26082026</t>
        </is>
      </c>
      <c r="E238" s="525" t="n">
        <v>46260</v>
      </c>
      <c r="F238" s="525" t="n">
        <v>46260</v>
      </c>
      <c r="G238" t="inlineStr">
        <is>
          <t>Despesas Financeiras</t>
        </is>
      </c>
      <c r="H238" t="inlineStr">
        <is>
          <t>Tarifas Bancárias</t>
        </is>
      </c>
      <c r="J238" t="n">
        <v>-1</v>
      </c>
      <c r="K238" t="n">
        <v>-1</v>
      </c>
      <c r="O238" t="inlineStr">
        <is>
          <t>Real</t>
        </is>
      </c>
      <c r="P238" t="inlineStr">
        <is>
          <t>Pago</t>
        </is>
      </c>
      <c r="Q238" t="inlineStr">
        <is>
          <t>08/2026</t>
        </is>
      </c>
      <c r="R238" t="n">
        <v>0</v>
      </c>
    </row>
    <row r="239">
      <c r="A239" t="n">
        <v>259592</v>
      </c>
      <c r="B239" t="inlineStr">
        <is>
          <t>Nuv Gastrobar</t>
        </is>
      </c>
      <c r="C239" t="inlineStr">
        <is>
          <t xml:space="preserve">KAMINO INSTITUICAO DE PAGAMENTO LTDA </t>
        </is>
      </c>
      <c r="D239" t="inlineStr">
        <is>
          <t>2582026</t>
        </is>
      </c>
      <c r="E239" s="525" t="n">
        <v>46259</v>
      </c>
      <c r="F239" s="525" t="n">
        <v>46259</v>
      </c>
      <c r="G239" t="inlineStr">
        <is>
          <t>Despesas Financeiras</t>
        </is>
      </c>
      <c r="H239" t="inlineStr">
        <is>
          <t>Tarifas Bancárias</t>
        </is>
      </c>
      <c r="J239" t="n">
        <v>-1</v>
      </c>
      <c r="K239" t="n">
        <v>-1</v>
      </c>
      <c r="O239" t="inlineStr">
        <is>
          <t>Real</t>
        </is>
      </c>
      <c r="P239" t="inlineStr">
        <is>
          <t>Pago</t>
        </is>
      </c>
      <c r="Q239" t="inlineStr">
        <is>
          <t>08/2026</t>
        </is>
      </c>
      <c r="R239" t="n">
        <v>0</v>
      </c>
    </row>
    <row r="240">
      <c r="A240" t="n">
        <v>259409</v>
      </c>
      <c r="B240" t="inlineStr">
        <is>
          <t>Nuv Gastrobar</t>
        </is>
      </c>
      <c r="C240" t="inlineStr">
        <is>
          <t>EASY ICE SOLUTION LTDA-ME LOCAÇÃO</t>
        </is>
      </c>
      <c r="D240" t="inlineStr">
        <is>
          <t>11547</t>
        </is>
      </c>
      <c r="E240" s="525" t="n">
        <v>46259</v>
      </c>
      <c r="F240" s="525" t="n">
        <v>46268</v>
      </c>
      <c r="G240" t="inlineStr">
        <is>
          <t>Utilidades</t>
        </is>
      </c>
      <c r="H240" t="inlineStr">
        <is>
          <t>Material de Consumo - Gelo/ Gas CO2/ Carvao /Velas</t>
        </is>
      </c>
      <c r="I240" t="inlineStr">
        <is>
          <t>LOCAÇÃO DE MÁQUINA DE GELO - PERÍODO DE 11/08 A 31/08/2026</t>
        </is>
      </c>
      <c r="J240" t="n">
        <v>-745.16</v>
      </c>
      <c r="K240" t="n">
        <v>-745.16</v>
      </c>
      <c r="O240" t="inlineStr">
        <is>
          <t>Real</t>
        </is>
      </c>
      <c r="P240" t="inlineStr">
        <is>
          <t>Processamento</t>
        </is>
      </c>
      <c r="Q240" t="inlineStr">
        <is>
          <t>08/2026</t>
        </is>
      </c>
      <c r="R240" t="n">
        <v>0</v>
      </c>
    </row>
    <row r="241">
      <c r="A241" t="n">
        <v>259442</v>
      </c>
      <c r="B241" t="inlineStr">
        <is>
          <t>Nuv Gastrobar</t>
        </is>
      </c>
      <c r="C241" t="inlineStr">
        <is>
          <t>ESTAFF SOLUCOES TECNOLOGICAS DE AGENCIAMENTO LTDA</t>
        </is>
      </c>
      <c r="D241" t="inlineStr">
        <is>
          <t>45212</t>
        </is>
      </c>
      <c r="E241" s="525" t="n">
        <v>46259</v>
      </c>
      <c r="F241" s="525" t="n">
        <v>46268</v>
      </c>
      <c r="G241" t="inlineStr">
        <is>
          <t>Mão de Obra - Extra</t>
        </is>
      </c>
      <c r="H241" t="inlineStr">
        <is>
          <t>Mão de Obra Extra</t>
        </is>
      </c>
      <c r="I241" t="inlineStr">
        <is>
          <t xml:space="preserve">ESTAFF NUV - PERÍODO DE 17/08 A 23/08/2026 </t>
        </is>
      </c>
      <c r="J241" t="n">
        <v>-9042</v>
      </c>
      <c r="K241" t="n">
        <v>-9042</v>
      </c>
      <c r="O241" t="inlineStr">
        <is>
          <t>Real</t>
        </is>
      </c>
      <c r="Q241" t="inlineStr">
        <is>
          <t>08/2026</t>
        </is>
      </c>
      <c r="R241" t="n">
        <v>0</v>
      </c>
    </row>
    <row r="242">
      <c r="A242" t="n">
        <v>263171</v>
      </c>
      <c r="B242" t="inlineStr">
        <is>
          <t>Nuv Gastrobar</t>
        </is>
      </c>
      <c r="C242" t="inlineStr">
        <is>
          <t>ZIGPAY LTDAS -ME</t>
        </is>
      </c>
      <c r="E242" s="525" t="n">
        <v>46258</v>
      </c>
      <c r="F242" s="525" t="n">
        <v>46258</v>
      </c>
      <c r="G242" t="inlineStr">
        <is>
          <t>Informática e TI</t>
        </is>
      </c>
      <c r="H242" t="inlineStr">
        <is>
          <t>Sistemas Gerais - Operacionais</t>
        </is>
      </c>
      <c r="I242" t="inlineStr">
        <is>
          <t>Taxa de Sistema</t>
        </is>
      </c>
      <c r="J242" t="n">
        <v>-25.19</v>
      </c>
      <c r="K242" t="n">
        <v>-25.19</v>
      </c>
      <c r="O242" t="inlineStr">
        <is>
          <t>Real</t>
        </is>
      </c>
      <c r="P242" t="inlineStr">
        <is>
          <t>Pago</t>
        </is>
      </c>
      <c r="Q242" t="inlineStr">
        <is>
          <t>08/2026</t>
        </is>
      </c>
      <c r="R242" t="n">
        <v>0</v>
      </c>
    </row>
    <row r="243">
      <c r="A243" t="n">
        <v>259591</v>
      </c>
      <c r="B243" t="inlineStr">
        <is>
          <t>Nuv Gastrobar</t>
        </is>
      </c>
      <c r="C243" t="inlineStr">
        <is>
          <t xml:space="preserve">KAMINO INSTITUICAO DE PAGAMENTO LTDA </t>
        </is>
      </c>
      <c r="D243" t="inlineStr">
        <is>
          <t>24082026</t>
        </is>
      </c>
      <c r="E243" s="525" t="n">
        <v>46258</v>
      </c>
      <c r="F243" s="525" t="n">
        <v>46258</v>
      </c>
      <c r="G243" t="inlineStr">
        <is>
          <t>Despesas Financeiras</t>
        </is>
      </c>
      <c r="H243" t="inlineStr">
        <is>
          <t>Tarifas Bancárias</t>
        </is>
      </c>
      <c r="J243" t="n">
        <v>-2</v>
      </c>
      <c r="K243" t="n">
        <v>-2</v>
      </c>
      <c r="O243" t="inlineStr">
        <is>
          <t>Real</t>
        </is>
      </c>
      <c r="P243" t="inlineStr">
        <is>
          <t>Pago</t>
        </is>
      </c>
      <c r="Q243" t="inlineStr">
        <is>
          <t>08/2026</t>
        </is>
      </c>
      <c r="R243" t="n">
        <v>0</v>
      </c>
    </row>
    <row r="244">
      <c r="A244" t="n">
        <v>263170</v>
      </c>
      <c r="B244" t="inlineStr">
        <is>
          <t>Nuv Gastrobar</t>
        </is>
      </c>
      <c r="C244" t="inlineStr">
        <is>
          <t>ZIGPAY LTDAS -ME</t>
        </is>
      </c>
      <c r="E244" s="525" t="n">
        <v>46257</v>
      </c>
      <c r="F244" s="525" t="n">
        <v>46257</v>
      </c>
      <c r="G244" t="inlineStr">
        <is>
          <t>Informática e TI</t>
        </is>
      </c>
      <c r="H244" t="inlineStr">
        <is>
          <t>Sistemas Gerais - Operacionais</t>
        </is>
      </c>
      <c r="I244" t="inlineStr">
        <is>
          <t>Taxa de Sistema</t>
        </is>
      </c>
      <c r="J244" t="n">
        <v>-0.28</v>
      </c>
      <c r="K244" t="n">
        <v>-0.28</v>
      </c>
      <c r="O244" t="inlineStr">
        <is>
          <t>Real</t>
        </is>
      </c>
      <c r="P244" t="inlineStr">
        <is>
          <t>Pago</t>
        </is>
      </c>
      <c r="Q244" t="inlineStr">
        <is>
          <t>08/2026</t>
        </is>
      </c>
      <c r="R244" t="n">
        <v>0</v>
      </c>
    </row>
    <row r="245">
      <c r="A245" t="n">
        <v>263169</v>
      </c>
      <c r="B245" t="inlineStr">
        <is>
          <t>Nuv Gastrobar</t>
        </is>
      </c>
      <c r="C245" t="inlineStr">
        <is>
          <t>ZIGPAY LTDAS -ME</t>
        </is>
      </c>
      <c r="E245" s="525" t="n">
        <v>46257</v>
      </c>
      <c r="F245" s="525" t="n">
        <v>46257</v>
      </c>
      <c r="G245" t="inlineStr">
        <is>
          <t>Informática e TI</t>
        </is>
      </c>
      <c r="H245" t="inlineStr">
        <is>
          <t>Sistemas Gerais - Operacionais</t>
        </is>
      </c>
      <c r="I245" t="inlineStr">
        <is>
          <t>Taxa de Sistema</t>
        </is>
      </c>
      <c r="J245" t="n">
        <v>-65.84</v>
      </c>
      <c r="K245" t="n">
        <v>-65.84</v>
      </c>
      <c r="O245" t="inlineStr">
        <is>
          <t>Real</t>
        </is>
      </c>
      <c r="P245" t="inlineStr">
        <is>
          <t>Pago</t>
        </is>
      </c>
      <c r="Q245" t="inlineStr">
        <is>
          <t>08/2026</t>
        </is>
      </c>
      <c r="R245" t="n">
        <v>0</v>
      </c>
    </row>
    <row r="246">
      <c r="A246" t="n">
        <v>263168</v>
      </c>
      <c r="B246" t="inlineStr">
        <is>
          <t>Nuv Gastrobar</t>
        </is>
      </c>
      <c r="C246" t="inlineStr">
        <is>
          <t>ZIGPAY LTDAS -ME</t>
        </is>
      </c>
      <c r="E246" s="525" t="n">
        <v>46257</v>
      </c>
      <c r="F246" s="525" t="n">
        <v>46257</v>
      </c>
      <c r="G246" t="inlineStr">
        <is>
          <t>Informática e TI</t>
        </is>
      </c>
      <c r="H246" t="inlineStr">
        <is>
          <t>Sistemas Gerais - Operacionais</t>
        </is>
      </c>
      <c r="I246" t="inlineStr">
        <is>
          <t>Taxa de Sistema</t>
        </is>
      </c>
      <c r="J246" t="n">
        <v>0.28</v>
      </c>
      <c r="K246" t="n">
        <v>0.28</v>
      </c>
      <c r="O246" t="inlineStr">
        <is>
          <t>Real</t>
        </is>
      </c>
      <c r="P246" t="inlineStr">
        <is>
          <t>Pago</t>
        </is>
      </c>
      <c r="Q246" t="inlineStr">
        <is>
          <t>08/2026</t>
        </is>
      </c>
      <c r="R246" t="n">
        <v>0</v>
      </c>
    </row>
    <row r="247">
      <c r="A247" t="n">
        <v>263166</v>
      </c>
      <c r="B247" t="inlineStr">
        <is>
          <t>Nuv Gastrobar</t>
        </is>
      </c>
      <c r="C247" t="inlineStr">
        <is>
          <t>ZIGPAY LTDAS -ME</t>
        </is>
      </c>
      <c r="E247" s="525" t="n">
        <v>46256</v>
      </c>
      <c r="F247" s="525" t="n">
        <v>46256</v>
      </c>
      <c r="G247" t="inlineStr">
        <is>
          <t>Informática e TI</t>
        </is>
      </c>
      <c r="H247" t="inlineStr">
        <is>
          <t>Sistemas Gerais - Operacionais</t>
        </is>
      </c>
      <c r="I247" t="inlineStr">
        <is>
          <t>Taxa de Sistema</t>
        </is>
      </c>
      <c r="J247" t="n">
        <v>-82.05</v>
      </c>
      <c r="K247" t="n">
        <v>-82.05</v>
      </c>
      <c r="O247" t="inlineStr">
        <is>
          <t>Real</t>
        </is>
      </c>
      <c r="P247" t="inlineStr">
        <is>
          <t>Pago</t>
        </is>
      </c>
      <c r="Q247" t="inlineStr">
        <is>
          <t>08/2026</t>
        </is>
      </c>
      <c r="R247" t="n">
        <v>0</v>
      </c>
    </row>
    <row r="248">
      <c r="A248" t="n">
        <v>263167</v>
      </c>
      <c r="B248" t="inlineStr">
        <is>
          <t>Nuv Gastrobar</t>
        </is>
      </c>
      <c r="C248" t="inlineStr">
        <is>
          <t>ZIGPAY LTDAS -ME</t>
        </is>
      </c>
      <c r="E248" s="525" t="n">
        <v>46256</v>
      </c>
      <c r="F248" s="525" t="n">
        <v>46256</v>
      </c>
      <c r="G248" t="inlineStr">
        <is>
          <t>Informática e TI</t>
        </is>
      </c>
      <c r="H248" t="inlineStr">
        <is>
          <t>Sistemas Gerais - Operacionais</t>
        </is>
      </c>
      <c r="I248" t="inlineStr">
        <is>
          <t>Taxa de Sistema</t>
        </is>
      </c>
      <c r="J248" t="n">
        <v>-0.14</v>
      </c>
      <c r="K248" t="n">
        <v>-0.14</v>
      </c>
      <c r="O248" t="inlineStr">
        <is>
          <t>Real</t>
        </is>
      </c>
      <c r="P248" t="inlineStr">
        <is>
          <t>Pago</t>
        </is>
      </c>
      <c r="Q248" t="inlineStr">
        <is>
          <t>08/2026</t>
        </is>
      </c>
      <c r="R248" t="n">
        <v>0</v>
      </c>
    </row>
    <row r="249">
      <c r="A249" t="n">
        <v>258721</v>
      </c>
      <c r="B249" t="inlineStr">
        <is>
          <t>Nuv Gastrobar</t>
        </is>
      </c>
      <c r="C249" t="inlineStr">
        <is>
          <t>RITZ MATERIAIS PARA FESTA LTDA</t>
        </is>
      </c>
      <c r="D249" t="inlineStr">
        <is>
          <t>115679</t>
        </is>
      </c>
      <c r="E249" s="525" t="n">
        <v>46255</v>
      </c>
      <c r="F249" s="525" t="n">
        <v>46262</v>
      </c>
      <c r="G249" t="inlineStr">
        <is>
          <t>Locação de Equipamentos</t>
        </is>
      </c>
      <c r="H249" t="inlineStr">
        <is>
          <t>Locação de Utensílios</t>
        </is>
      </c>
      <c r="I249" t="inlineStr">
        <is>
          <t>LOCAÇÃO DE MATERIAIS - 08/2026</t>
        </is>
      </c>
      <c r="J249" t="n">
        <v>-306.31</v>
      </c>
      <c r="K249" t="n">
        <v>-306.31</v>
      </c>
      <c r="O249" t="inlineStr">
        <is>
          <t>Real</t>
        </is>
      </c>
      <c r="P249" t="inlineStr">
        <is>
          <t>Pago</t>
        </is>
      </c>
      <c r="Q249" t="inlineStr">
        <is>
          <t>08/2026</t>
        </is>
      </c>
      <c r="R249" t="n">
        <v>0</v>
      </c>
    </row>
    <row r="250">
      <c r="A250" t="n">
        <v>258720</v>
      </c>
      <c r="B250" t="inlineStr">
        <is>
          <t>Nuv Gastrobar</t>
        </is>
      </c>
      <c r="C250" t="inlineStr">
        <is>
          <t>RITZ MATERIAIS PARA FESTA LTDA</t>
        </is>
      </c>
      <c r="D250" t="inlineStr">
        <is>
          <t>115678</t>
        </is>
      </c>
      <c r="E250" s="525" t="n">
        <v>46255</v>
      </c>
      <c r="F250" s="525" t="n">
        <v>46262</v>
      </c>
      <c r="G250" t="inlineStr">
        <is>
          <t>Locação de Equipamentos</t>
        </is>
      </c>
      <c r="H250" t="inlineStr">
        <is>
          <t>Locação de Utensílios</t>
        </is>
      </c>
      <c r="I250" t="inlineStr">
        <is>
          <t>LOCAÇÃO E REPOSIÇÃO DE MATERIAIS - 08/2026</t>
        </is>
      </c>
      <c r="J250" t="n">
        <v>-1462.87</v>
      </c>
      <c r="K250" t="n">
        <v>-1462.87</v>
      </c>
      <c r="O250" t="inlineStr">
        <is>
          <t>Real</t>
        </is>
      </c>
      <c r="P250" t="inlineStr">
        <is>
          <t>Processamento</t>
        </is>
      </c>
      <c r="Q250" t="inlineStr">
        <is>
          <t>08/2026</t>
        </is>
      </c>
      <c r="R250" t="n">
        <v>0</v>
      </c>
    </row>
    <row r="251">
      <c r="A251" t="n">
        <v>258719</v>
      </c>
      <c r="B251" t="inlineStr">
        <is>
          <t>Nuv Gastrobar</t>
        </is>
      </c>
      <c r="C251" t="inlineStr">
        <is>
          <t>RITZ MATERIAIS PARA FESTA LTDA</t>
        </is>
      </c>
      <c r="D251" t="inlineStr">
        <is>
          <t>115677</t>
        </is>
      </c>
      <c r="E251" s="525" t="n">
        <v>46255</v>
      </c>
      <c r="F251" s="525" t="n">
        <v>46262</v>
      </c>
      <c r="G251" t="inlineStr">
        <is>
          <t>Locação de Equipamentos</t>
        </is>
      </c>
      <c r="H251" t="inlineStr">
        <is>
          <t>Locação de Utensílios</t>
        </is>
      </c>
      <c r="I251" t="inlineStr">
        <is>
          <t>LOCAÇÃO E REPOSIÇÃO DE MATERIAIS - 08/2026</t>
        </is>
      </c>
      <c r="J251" t="n">
        <v>-5468.84</v>
      </c>
      <c r="K251" t="n">
        <v>-5468.84</v>
      </c>
      <c r="O251" t="inlineStr">
        <is>
          <t>Real</t>
        </is>
      </c>
      <c r="P251" t="inlineStr">
        <is>
          <t>Pago</t>
        </is>
      </c>
      <c r="Q251" t="inlineStr">
        <is>
          <t>08/2026</t>
        </is>
      </c>
      <c r="R251" t="n">
        <v>0</v>
      </c>
    </row>
    <row r="252">
      <c r="A252" t="n">
        <v>259590</v>
      </c>
      <c r="B252" t="inlineStr">
        <is>
          <t>Nuv Gastrobar</t>
        </is>
      </c>
      <c r="C252" t="inlineStr">
        <is>
          <t xml:space="preserve">KAMINO INSTITUICAO DE PAGAMENTO LTDA </t>
        </is>
      </c>
      <c r="D252" t="inlineStr">
        <is>
          <t>21082026</t>
        </is>
      </c>
      <c r="E252" s="525" t="n">
        <v>46255</v>
      </c>
      <c r="F252" s="525" t="n">
        <v>46255</v>
      </c>
      <c r="G252" t="inlineStr">
        <is>
          <t>Despesas Financeiras</t>
        </is>
      </c>
      <c r="H252" t="inlineStr">
        <is>
          <t>Tarifas Bancárias</t>
        </is>
      </c>
      <c r="J252" t="n">
        <v>-2</v>
      </c>
      <c r="K252" t="n">
        <v>-2</v>
      </c>
      <c r="O252" t="inlineStr">
        <is>
          <t>Real</t>
        </is>
      </c>
      <c r="P252" t="inlineStr">
        <is>
          <t>Pago</t>
        </is>
      </c>
      <c r="Q252" t="inlineStr">
        <is>
          <t>08/2026</t>
        </is>
      </c>
      <c r="R252" t="n">
        <v>0</v>
      </c>
    </row>
    <row r="253">
      <c r="A253" t="n">
        <v>258582</v>
      </c>
      <c r="B253" t="inlineStr">
        <is>
          <t>Nuv Gastrobar</t>
        </is>
      </c>
      <c r="C253" t="inlineStr">
        <is>
          <t>TOPEMA INNOVATIONS</t>
        </is>
      </c>
      <c r="D253" t="inlineStr">
        <is>
          <t>21000082026</t>
        </is>
      </c>
      <c r="E253" s="525" t="n">
        <v>46255</v>
      </c>
      <c r="F253" s="525" t="n">
        <v>46255</v>
      </c>
      <c r="G253" t="inlineStr">
        <is>
          <t>Investimento - CAPEX</t>
        </is>
      </c>
      <c r="H253" t="inlineStr">
        <is>
          <t xml:space="preserve">Investimento - Construção - Obra </t>
        </is>
      </c>
      <c r="I253" t="inlineStr">
        <is>
          <t>INSTALAÇÃO DE EQUIPAMENTO DE BAR NUV</t>
        </is>
      </c>
      <c r="J253" t="n">
        <v>-2100</v>
      </c>
      <c r="K253" t="n">
        <v>-2438.99</v>
      </c>
      <c r="O253" t="inlineStr">
        <is>
          <t>Real</t>
        </is>
      </c>
      <c r="P253" t="inlineStr">
        <is>
          <t>Pago</t>
        </is>
      </c>
      <c r="Q253" t="inlineStr">
        <is>
          <t>08/2026</t>
        </is>
      </c>
      <c r="R253" t="n">
        <v>0</v>
      </c>
    </row>
    <row r="254">
      <c r="A254" t="n">
        <v>263165</v>
      </c>
      <c r="B254" t="inlineStr">
        <is>
          <t>Nuv Gastrobar</t>
        </is>
      </c>
      <c r="C254" t="inlineStr">
        <is>
          <t>ZIGPAY LTDAS -ME</t>
        </is>
      </c>
      <c r="E254" s="525" t="n">
        <v>46255</v>
      </c>
      <c r="F254" s="525" t="n">
        <v>46255</v>
      </c>
      <c r="G254" t="inlineStr">
        <is>
          <t>Informática e TI</t>
        </is>
      </c>
      <c r="H254" t="inlineStr">
        <is>
          <t>Sistemas Gerais - Operacionais</t>
        </is>
      </c>
      <c r="I254" t="inlineStr">
        <is>
          <t>Taxa de Sistema</t>
        </is>
      </c>
      <c r="J254" t="n">
        <v>-35.89</v>
      </c>
      <c r="K254" t="n">
        <v>-35.89</v>
      </c>
      <c r="O254" t="inlineStr">
        <is>
          <t>Real</t>
        </is>
      </c>
      <c r="P254" t="inlineStr">
        <is>
          <t>Pago</t>
        </is>
      </c>
      <c r="Q254" t="inlineStr">
        <is>
          <t>08/2026</t>
        </is>
      </c>
      <c r="R254" t="n">
        <v>0</v>
      </c>
    </row>
    <row r="255">
      <c r="A255" t="n">
        <v>259587</v>
      </c>
      <c r="B255" t="inlineStr">
        <is>
          <t>Nuv Gastrobar</t>
        </is>
      </c>
      <c r="C255" t="inlineStr">
        <is>
          <t xml:space="preserve">KAMINO INSTITUICAO DE PAGAMENTO LTDA </t>
        </is>
      </c>
      <c r="D255" t="inlineStr">
        <is>
          <t>20082026</t>
        </is>
      </c>
      <c r="E255" s="525" t="n">
        <v>46254</v>
      </c>
      <c r="F255" s="525" t="n">
        <v>46254</v>
      </c>
      <c r="G255" t="inlineStr">
        <is>
          <t>Despesas Financeiras</t>
        </is>
      </c>
      <c r="H255" t="inlineStr">
        <is>
          <t>Tarifas Bancárias</t>
        </is>
      </c>
      <c r="J255" t="n">
        <v>-3.5</v>
      </c>
      <c r="K255" t="n">
        <v>-3.5</v>
      </c>
      <c r="O255" t="inlineStr">
        <is>
          <t>Real</t>
        </is>
      </c>
      <c r="P255" t="inlineStr">
        <is>
          <t>Pago</t>
        </is>
      </c>
      <c r="Q255" t="inlineStr">
        <is>
          <t>08/2026</t>
        </is>
      </c>
      <c r="R255" t="n">
        <v>0</v>
      </c>
    </row>
    <row r="256">
      <c r="A256" t="n">
        <v>263164</v>
      </c>
      <c r="B256" t="inlineStr">
        <is>
          <t>Nuv Gastrobar</t>
        </is>
      </c>
      <c r="C256" t="inlineStr">
        <is>
          <t>ZIGPAY LTDAS -ME</t>
        </is>
      </c>
      <c r="E256" s="525" t="n">
        <v>46254</v>
      </c>
      <c r="F256" s="525" t="n">
        <v>46254</v>
      </c>
      <c r="G256" t="inlineStr">
        <is>
          <t>Informática e TI</t>
        </is>
      </c>
      <c r="H256" t="inlineStr">
        <is>
          <t>Sistemas Gerais - Operacionais</t>
        </is>
      </c>
      <c r="I256" t="inlineStr">
        <is>
          <t>Taxa de Sistema</t>
        </is>
      </c>
      <c r="J256" t="n">
        <v>-26.06</v>
      </c>
      <c r="K256" t="n">
        <v>-26.06</v>
      </c>
      <c r="O256" t="inlineStr">
        <is>
          <t>Real</t>
        </is>
      </c>
      <c r="P256" t="inlineStr">
        <is>
          <t>Pago</t>
        </is>
      </c>
      <c r="Q256" t="inlineStr">
        <is>
          <t>08/2026</t>
        </is>
      </c>
      <c r="R256" t="n">
        <v>0</v>
      </c>
    </row>
    <row r="257">
      <c r="A257" t="n">
        <v>258219</v>
      </c>
      <c r="B257" t="inlineStr">
        <is>
          <t>Nuv Gastrobar</t>
        </is>
      </c>
      <c r="C257" t="inlineStr">
        <is>
          <t>PRINT MAXX ARTES GRAFICAS LTDA</t>
        </is>
      </c>
      <c r="D257" t="inlineStr">
        <is>
          <t>526</t>
        </is>
      </c>
      <c r="E257" s="525" t="n">
        <v>46253</v>
      </c>
      <c r="F257" s="525" t="n">
        <v>46267</v>
      </c>
      <c r="G257" t="inlineStr">
        <is>
          <t>Utilidades</t>
        </is>
      </c>
      <c r="H257" t="inlineStr">
        <is>
          <t>Serviços Graficos</t>
        </is>
      </c>
      <c r="I257" t="inlineStr">
        <is>
          <t>ENVELOPAMENTO MÁQUINAS GETNET - 08/2026</t>
        </is>
      </c>
      <c r="J257" t="n">
        <v>-430</v>
      </c>
      <c r="K257" t="n">
        <v>-430</v>
      </c>
      <c r="O257" t="inlineStr">
        <is>
          <t>Real</t>
        </is>
      </c>
      <c r="P257" t="inlineStr">
        <is>
          <t>Processamento</t>
        </is>
      </c>
      <c r="Q257" t="inlineStr">
        <is>
          <t>08/2026</t>
        </is>
      </c>
      <c r="R257" t="n">
        <v>0</v>
      </c>
    </row>
    <row r="258">
      <c r="A258" t="n">
        <v>258224</v>
      </c>
      <c r="B258" t="inlineStr">
        <is>
          <t>Nuv Gastrobar</t>
        </is>
      </c>
      <c r="C258" t="inlineStr">
        <is>
          <t>TF TRANSPORTES E LOGISTICA</t>
        </is>
      </c>
      <c r="D258" t="inlineStr">
        <is>
          <t>11</t>
        </is>
      </c>
      <c r="E258" s="525" t="n">
        <v>46253</v>
      </c>
      <c r="F258" s="525" t="n">
        <v>46255</v>
      </c>
      <c r="G258" t="inlineStr">
        <is>
          <t>Despesas com Transporte / Hospedagem</t>
        </is>
      </c>
      <c r="H258" t="inlineStr">
        <is>
          <t>Fretes e Carretos</t>
        </is>
      </c>
      <c r="I258" t="inlineStr">
        <is>
          <t>FRETE COM AJUDANTES 21/08/2026 - 08/2026</t>
        </is>
      </c>
      <c r="J258" t="n">
        <v>-3800</v>
      </c>
      <c r="K258" t="n">
        <v>-3800</v>
      </c>
      <c r="O258" t="inlineStr">
        <is>
          <t>Real</t>
        </is>
      </c>
      <c r="P258" t="inlineStr">
        <is>
          <t>Pago</t>
        </is>
      </c>
      <c r="Q258" t="inlineStr">
        <is>
          <t>08/2026</t>
        </is>
      </c>
      <c r="R258" t="n">
        <v>0</v>
      </c>
    </row>
    <row r="259">
      <c r="A259" t="n">
        <v>257217</v>
      </c>
      <c r="B259" t="inlineStr">
        <is>
          <t>Nuv Gastrobar</t>
        </is>
      </c>
      <c r="C259" t="inlineStr">
        <is>
          <t xml:space="preserve">IL SETTANTUNO UNIFORMES </t>
        </is>
      </c>
      <c r="D259" t="inlineStr">
        <is>
          <t>1873</t>
        </is>
      </c>
      <c r="E259" s="525" t="n">
        <v>46252</v>
      </c>
      <c r="F259" s="525" t="n">
        <v>46266</v>
      </c>
      <c r="G259" t="inlineStr">
        <is>
          <t>Investimento - CAPEX</t>
        </is>
      </c>
      <c r="H259" t="inlineStr">
        <is>
          <t>Investimento - Uniformes</t>
        </is>
      </c>
      <c r="I259" t="inlineStr">
        <is>
          <t>ADICIONAL UNIFORMES</t>
        </is>
      </c>
      <c r="J259" t="n">
        <v>-1123.2</v>
      </c>
      <c r="K259" t="n">
        <v>-1123.2</v>
      </c>
      <c r="O259" t="inlineStr">
        <is>
          <t>Real</t>
        </is>
      </c>
      <c r="Q259" t="inlineStr">
        <is>
          <t>08/2026</t>
        </is>
      </c>
      <c r="R259" t="n">
        <v>0</v>
      </c>
    </row>
    <row r="260">
      <c r="A260" t="n">
        <v>256848</v>
      </c>
      <c r="B260" t="inlineStr">
        <is>
          <t>Nuv Gastrobar</t>
        </is>
      </c>
      <c r="C260" t="inlineStr">
        <is>
          <t>ESTAFF SOLUCOES TECNOLOGICAS DE AGENCIAMENTO LTDA</t>
        </is>
      </c>
      <c r="D260" t="inlineStr">
        <is>
          <t>44376</t>
        </is>
      </c>
      <c r="E260" s="525" t="n">
        <v>46251</v>
      </c>
      <c r="F260" s="525" t="n">
        <v>46261</v>
      </c>
      <c r="G260" t="inlineStr">
        <is>
          <t>Mão de Obra - Extra</t>
        </is>
      </c>
      <c r="H260" t="inlineStr">
        <is>
          <t>Mão de Obra Extra</t>
        </is>
      </c>
      <c r="I260" t="inlineStr">
        <is>
          <t>ESTAFF DE 10/08/2026 A 16/08/2026 - NUV GASTROBAR - Valores de eventos 7.953,00 no ID 257263</t>
        </is>
      </c>
      <c r="J260" t="n">
        <v>-10664.5</v>
      </c>
      <c r="K260" t="n">
        <v>-10664.5</v>
      </c>
      <c r="O260" t="inlineStr">
        <is>
          <t>Real</t>
        </is>
      </c>
      <c r="Q260" t="inlineStr">
        <is>
          <t>08/2026</t>
        </is>
      </c>
      <c r="R260" t="n">
        <v>0</v>
      </c>
    </row>
    <row r="261">
      <c r="A261" t="n">
        <v>263163</v>
      </c>
      <c r="B261" t="inlineStr">
        <is>
          <t>Nuv Gastrobar</t>
        </is>
      </c>
      <c r="C261" t="inlineStr">
        <is>
          <t>ZIGPAY LTDAS -ME</t>
        </is>
      </c>
      <c r="E261" s="525" t="n">
        <v>46251</v>
      </c>
      <c r="F261" s="525" t="n">
        <v>46251</v>
      </c>
      <c r="G261" t="inlineStr">
        <is>
          <t>Informática e TI</t>
        </is>
      </c>
      <c r="H261" t="inlineStr">
        <is>
          <t>Sistemas Gerais - Operacionais</t>
        </is>
      </c>
      <c r="I261" t="inlineStr">
        <is>
          <t>Taxa de Sistema</t>
        </is>
      </c>
      <c r="J261" t="n">
        <v>-22.16</v>
      </c>
      <c r="K261" t="n">
        <v>-22.16</v>
      </c>
      <c r="O261" t="inlineStr">
        <is>
          <t>Real</t>
        </is>
      </c>
      <c r="P261" t="inlineStr">
        <is>
          <t>Pago</t>
        </is>
      </c>
      <c r="Q261" t="inlineStr">
        <is>
          <t>08/2026</t>
        </is>
      </c>
      <c r="R261" t="n">
        <v>0</v>
      </c>
    </row>
    <row r="262">
      <c r="A262" t="n">
        <v>258273</v>
      </c>
      <c r="B262" t="inlineStr">
        <is>
          <t>Nuv Gastrobar</t>
        </is>
      </c>
      <c r="C262" t="inlineStr">
        <is>
          <t xml:space="preserve">KAMINO INSTITUICAO DE PAGAMENTO LTDA </t>
        </is>
      </c>
      <c r="D262" t="inlineStr">
        <is>
          <t>17082026</t>
        </is>
      </c>
      <c r="E262" s="525" t="n">
        <v>46251</v>
      </c>
      <c r="F262" s="525" t="n">
        <v>46251</v>
      </c>
      <c r="G262" t="inlineStr">
        <is>
          <t>Despesas Financeiras</t>
        </is>
      </c>
      <c r="H262" t="inlineStr">
        <is>
          <t>Tarifas Bancárias</t>
        </is>
      </c>
      <c r="J262" t="n">
        <v>-0.5</v>
      </c>
      <c r="K262" t="n">
        <v>-0.5</v>
      </c>
      <c r="O262" t="inlineStr">
        <is>
          <t>Real</t>
        </is>
      </c>
      <c r="P262" t="inlineStr">
        <is>
          <t>Pago</t>
        </is>
      </c>
      <c r="Q262" t="inlineStr">
        <is>
          <t>08/2026</t>
        </is>
      </c>
      <c r="R262" t="n">
        <v>0</v>
      </c>
    </row>
    <row r="263">
      <c r="A263" t="n">
        <v>257263</v>
      </c>
      <c r="B263" t="inlineStr">
        <is>
          <t>Nuv Gastrobar</t>
        </is>
      </c>
      <c r="C263" t="inlineStr">
        <is>
          <t>ESTAFF SOLUCOES TECNOLOGICAS DE AGENCIAMENTO LTDA</t>
        </is>
      </c>
      <c r="D263" t="inlineStr">
        <is>
          <t>44376</t>
        </is>
      </c>
      <c r="E263" s="525" t="n">
        <v>46251</v>
      </c>
      <c r="F263" s="525" t="n">
        <v>46261</v>
      </c>
      <c r="G263" t="inlineStr">
        <is>
          <t>Custos de Eventos</t>
        </is>
      </c>
      <c r="H263" t="inlineStr">
        <is>
          <t>Serviços Terceirizados - Eventos</t>
        </is>
      </c>
      <c r="I263" t="inlineStr">
        <is>
          <t>ESTAFF EVENTOS 10/08/2026 A 16/08/2026 - Valores restantes da estaff no ID 256848</t>
        </is>
      </c>
      <c r="J263" t="n">
        <v>-7953</v>
      </c>
      <c r="K263" t="n">
        <v>-7953</v>
      </c>
      <c r="O263" t="inlineStr">
        <is>
          <t>Real</t>
        </is>
      </c>
      <c r="Q263" t="inlineStr">
        <is>
          <t>08/2026</t>
        </is>
      </c>
      <c r="R263" t="n">
        <v>0</v>
      </c>
    </row>
    <row r="264">
      <c r="A264" t="n">
        <v>263162</v>
      </c>
      <c r="B264" t="inlineStr">
        <is>
          <t>Nuv Gastrobar</t>
        </is>
      </c>
      <c r="C264" t="inlineStr">
        <is>
          <t>ZIGPAY LTDAS -ME</t>
        </is>
      </c>
      <c r="E264" s="525" t="n">
        <v>46250</v>
      </c>
      <c r="F264" s="525" t="n">
        <v>46250</v>
      </c>
      <c r="G264" t="inlineStr">
        <is>
          <t>Informática e TI</t>
        </is>
      </c>
      <c r="H264" t="inlineStr">
        <is>
          <t>Sistemas Gerais - Operacionais</t>
        </is>
      </c>
      <c r="I264" t="inlineStr">
        <is>
          <t>Taxa de Sistema</t>
        </is>
      </c>
      <c r="J264" t="n">
        <v>-76.12</v>
      </c>
      <c r="K264" t="n">
        <v>-76.12</v>
      </c>
      <c r="O264" t="inlineStr">
        <is>
          <t>Real</t>
        </is>
      </c>
      <c r="P264" t="inlineStr">
        <is>
          <t>Pago</t>
        </is>
      </c>
      <c r="Q264" t="inlineStr">
        <is>
          <t>08/2026</t>
        </is>
      </c>
      <c r="R264" t="n">
        <v>0</v>
      </c>
    </row>
    <row r="265">
      <c r="A265" t="n">
        <v>263161</v>
      </c>
      <c r="B265" t="inlineStr">
        <is>
          <t>Nuv Gastrobar</t>
        </is>
      </c>
      <c r="C265" t="inlineStr">
        <is>
          <t>ZIGPAY LTDAS -ME</t>
        </is>
      </c>
      <c r="E265" s="525" t="n">
        <v>46249</v>
      </c>
      <c r="F265" s="525" t="n">
        <v>46249</v>
      </c>
      <c r="G265" t="inlineStr">
        <is>
          <t>Informática e TI</t>
        </is>
      </c>
      <c r="H265" t="inlineStr">
        <is>
          <t>Sistemas Gerais - Operacionais</t>
        </is>
      </c>
      <c r="I265" t="inlineStr">
        <is>
          <t>Taxa de Sistema</t>
        </is>
      </c>
      <c r="J265" t="n">
        <v>-71.01000000000001</v>
      </c>
      <c r="K265" t="n">
        <v>-71.01000000000001</v>
      </c>
      <c r="O265" t="inlineStr">
        <is>
          <t>Real</t>
        </is>
      </c>
      <c r="P265" t="inlineStr">
        <is>
          <t>Pago</t>
        </is>
      </c>
      <c r="Q265" t="inlineStr">
        <is>
          <t>08/2026</t>
        </is>
      </c>
      <c r="R265" t="n">
        <v>0</v>
      </c>
    </row>
    <row r="266">
      <c r="A266" t="n">
        <v>258270</v>
      </c>
      <c r="B266" t="inlineStr">
        <is>
          <t>Nuv Gastrobar</t>
        </is>
      </c>
      <c r="C266" t="inlineStr">
        <is>
          <t xml:space="preserve">KAMINO INSTITUICAO DE PAGAMENTO LTDA </t>
        </is>
      </c>
      <c r="D266" t="inlineStr">
        <is>
          <t>14082026</t>
        </is>
      </c>
      <c r="E266" s="525" t="n">
        <v>46248</v>
      </c>
      <c r="F266" s="525" t="n">
        <v>46248</v>
      </c>
      <c r="G266" t="inlineStr">
        <is>
          <t>Despesas Financeiras</t>
        </is>
      </c>
      <c r="H266" t="inlineStr">
        <is>
          <t>Tarifas Bancárias</t>
        </is>
      </c>
      <c r="J266" t="n">
        <v>-0.5</v>
      </c>
      <c r="K266" t="n">
        <v>-0.5</v>
      </c>
      <c r="O266" t="inlineStr">
        <is>
          <t>Real</t>
        </is>
      </c>
      <c r="P266" t="inlineStr">
        <is>
          <t>Pago</t>
        </is>
      </c>
      <c r="Q266" t="inlineStr">
        <is>
          <t>08/2026</t>
        </is>
      </c>
      <c r="R266" t="n">
        <v>0</v>
      </c>
    </row>
    <row r="267">
      <c r="A267" t="n">
        <v>257151</v>
      </c>
      <c r="B267" t="inlineStr">
        <is>
          <t>Nuv Gastrobar</t>
        </is>
      </c>
      <c r="C267" t="inlineStr">
        <is>
          <t>IGOR MIRANDO CRUZ - PJ BNSP</t>
        </is>
      </c>
      <c r="D267" t="inlineStr">
        <is>
          <t>RP 001/2026</t>
        </is>
      </c>
      <c r="E267" s="525" t="n">
        <v>46248</v>
      </c>
      <c r="F267" s="525" t="n">
        <v>46262</v>
      </c>
      <c r="G267" t="inlineStr">
        <is>
          <t>Custo Mercadoria Vendida</t>
        </is>
      </c>
      <c r="H267" t="inlineStr">
        <is>
          <t>Insumos - Bebidas</t>
        </is>
      </c>
      <c r="I267" t="inlineStr">
        <is>
          <t>REEMBOLSO IGOR CRUZ - COMPRA DE GELO EM 14/08</t>
        </is>
      </c>
      <c r="J267" t="n">
        <v>-278.85</v>
      </c>
      <c r="K267" t="n">
        <v>-278.85</v>
      </c>
      <c r="M267" t="inlineStr">
        <is>
          <t>COORDENADOR</t>
        </is>
      </c>
      <c r="N267" t="inlineStr">
        <is>
          <t xml:space="preserve">  - Coordenador</t>
        </is>
      </c>
      <c r="O267" t="inlineStr">
        <is>
          <t>Real</t>
        </is>
      </c>
      <c r="P267" t="inlineStr">
        <is>
          <t>Pago</t>
        </is>
      </c>
      <c r="Q267" t="inlineStr">
        <is>
          <t>08/2026</t>
        </is>
      </c>
      <c r="R267" t="n">
        <v>0</v>
      </c>
    </row>
    <row r="268">
      <c r="A268" t="n">
        <v>259543</v>
      </c>
      <c r="B268" t="inlineStr">
        <is>
          <t>Nuv Gastrobar</t>
        </is>
      </c>
      <c r="C268" t="inlineStr">
        <is>
          <t>CEM ENGENHARIA DA MANUTENCAO LTDA</t>
        </is>
      </c>
      <c r="D268" t="inlineStr">
        <is>
          <t>RP CEM ENGENHARIA - 08/2026</t>
        </is>
      </c>
      <c r="E268" s="525" t="n">
        <v>46248</v>
      </c>
      <c r="F268" s="525" t="n">
        <v>46263</v>
      </c>
      <c r="G268" t="inlineStr">
        <is>
          <t>Investimento - CAPEX</t>
        </is>
      </c>
      <c r="H268" t="inlineStr">
        <is>
          <t>Investimento - Equipamentos</t>
        </is>
      </c>
      <c r="I268" t="inlineStr">
        <is>
          <t>RP CEM ENGENHARIA - INSTALAÇÃO DO FORNO - 08/2026</t>
        </is>
      </c>
      <c r="J268" t="n">
        <v>-950</v>
      </c>
      <c r="K268" t="n">
        <v>-950</v>
      </c>
      <c r="O268" t="inlineStr">
        <is>
          <t>Real</t>
        </is>
      </c>
      <c r="P268" t="inlineStr">
        <is>
          <t>Pago</t>
        </is>
      </c>
      <c r="Q268" t="inlineStr">
        <is>
          <t>08/2026</t>
        </is>
      </c>
      <c r="R268" t="n">
        <v>0</v>
      </c>
    </row>
    <row r="269">
      <c r="A269" t="n">
        <v>258268</v>
      </c>
      <c r="B269" t="inlineStr">
        <is>
          <t>Nuv Gastrobar</t>
        </is>
      </c>
      <c r="C269" t="inlineStr">
        <is>
          <t xml:space="preserve">KAMINO INSTITUICAO DE PAGAMENTO LTDA </t>
        </is>
      </c>
      <c r="D269" t="inlineStr">
        <is>
          <t>13082026</t>
        </is>
      </c>
      <c r="E269" s="525" t="n">
        <v>46247</v>
      </c>
      <c r="F269" s="525" t="n">
        <v>46247</v>
      </c>
      <c r="G269" t="inlineStr">
        <is>
          <t>Despesas Financeiras</t>
        </is>
      </c>
      <c r="H269" t="inlineStr">
        <is>
          <t>Tarifas Bancárias</t>
        </is>
      </c>
      <c r="J269" t="n">
        <v>-2.5</v>
      </c>
      <c r="K269" t="n">
        <v>-2.5</v>
      </c>
      <c r="O269" t="inlineStr">
        <is>
          <t>Real</t>
        </is>
      </c>
      <c r="P269" t="inlineStr">
        <is>
          <t>Pago</t>
        </is>
      </c>
      <c r="Q269" t="inlineStr">
        <is>
          <t>08/2026</t>
        </is>
      </c>
      <c r="R269" t="n">
        <v>0</v>
      </c>
    </row>
    <row r="270">
      <c r="A270" t="n">
        <v>258260</v>
      </c>
      <c r="B270" t="inlineStr">
        <is>
          <t>Nuv Gastrobar</t>
        </is>
      </c>
      <c r="C270" t="inlineStr">
        <is>
          <t>GILBERTO FERREIRA SILVA JUNIOR</t>
        </is>
      </c>
      <c r="D270" t="inlineStr">
        <is>
          <t>18699431010267898</t>
        </is>
      </c>
      <c r="E270" s="525" t="n">
        <v>46247</v>
      </c>
      <c r="F270" s="525" t="n">
        <v>46262</v>
      </c>
      <c r="G270" t="inlineStr">
        <is>
          <t>Locação de Equipamentos</t>
        </is>
      </c>
      <c r="H270" t="inlineStr">
        <is>
          <t>Locações de Equipamentos - Operacionais</t>
        </is>
      </c>
      <c r="I270" t="inlineStr">
        <is>
          <t>LOCAÇÃO DE MÁQUINAS DE LAVAR LOUÇA - 1/6 - 08/2026</t>
        </is>
      </c>
      <c r="J270" t="n">
        <v>-1600</v>
      </c>
      <c r="K270" t="n">
        <v>-1600</v>
      </c>
      <c r="O270" t="inlineStr">
        <is>
          <t>Real</t>
        </is>
      </c>
      <c r="P270" t="inlineStr">
        <is>
          <t>Pago</t>
        </is>
      </c>
      <c r="Q270" t="inlineStr">
        <is>
          <t>08/2026</t>
        </is>
      </c>
      <c r="R270" t="n">
        <v>0</v>
      </c>
    </row>
    <row r="271">
      <c r="A271" t="n">
        <v>256100</v>
      </c>
      <c r="B271" t="inlineStr">
        <is>
          <t>Nuv Gastrobar</t>
        </is>
      </c>
      <c r="C271" t="inlineStr">
        <is>
          <t>GORILLAZ CARDAPIO E EMBALAGENS PERSONALIZADOS LTDA</t>
        </is>
      </c>
      <c r="D271" t="inlineStr">
        <is>
          <t>6763</t>
        </is>
      </c>
      <c r="E271" s="525" t="n">
        <v>46246</v>
      </c>
      <c r="F271" s="525" t="n">
        <v>46260</v>
      </c>
      <c r="G271" t="inlineStr">
        <is>
          <t>Marketing</t>
        </is>
      </c>
      <c r="H271" t="inlineStr">
        <is>
          <t>Produção Gráfica e Material Institucional</t>
        </is>
      </c>
      <c r="I271" t="inlineStr">
        <is>
          <t>CARDAPIOS NUV</t>
        </is>
      </c>
      <c r="J271" t="n">
        <v>-1733.92</v>
      </c>
      <c r="K271" t="n">
        <v>-1733.92</v>
      </c>
      <c r="O271" t="inlineStr">
        <is>
          <t>Real</t>
        </is>
      </c>
      <c r="P271" t="inlineStr">
        <is>
          <t>Pago</t>
        </is>
      </c>
      <c r="Q271" t="inlineStr">
        <is>
          <t>08/2026</t>
        </is>
      </c>
      <c r="R271" t="n">
        <v>0</v>
      </c>
    </row>
    <row r="272">
      <c r="A272" t="n">
        <v>256377</v>
      </c>
      <c r="B272" t="inlineStr">
        <is>
          <t>Nuv Gastrobar</t>
        </is>
      </c>
      <c r="C272" t="inlineStr">
        <is>
          <t xml:space="preserve">KAMINO INSTITUICAO DE PAGAMENTO LTDA </t>
        </is>
      </c>
      <c r="D272" t="inlineStr">
        <is>
          <t>12082026</t>
        </is>
      </c>
      <c r="E272" s="525" t="n">
        <v>46246</v>
      </c>
      <c r="F272" s="525" t="n">
        <v>46246</v>
      </c>
      <c r="G272" t="inlineStr">
        <is>
          <t>Despesas Financeiras</t>
        </is>
      </c>
      <c r="H272" t="inlineStr">
        <is>
          <t>Tarifas Bancárias</t>
        </is>
      </c>
      <c r="J272" t="n">
        <v>-0.5</v>
      </c>
      <c r="K272" t="n">
        <v>-0.5</v>
      </c>
      <c r="O272" t="inlineStr">
        <is>
          <t>Real</t>
        </is>
      </c>
      <c r="P272" t="inlineStr">
        <is>
          <t>Pago</t>
        </is>
      </c>
      <c r="Q272" t="inlineStr">
        <is>
          <t>08/2026</t>
        </is>
      </c>
      <c r="R272" t="n">
        <v>0</v>
      </c>
    </row>
    <row r="273">
      <c r="A273" t="n">
        <v>255965</v>
      </c>
      <c r="B273" t="inlineStr">
        <is>
          <t>Nuv Gastrobar</t>
        </is>
      </c>
      <c r="C273" t="inlineStr">
        <is>
          <t>GORILLAZ CARDAPIO E EMBALAGENS PERSONALIZADOS LTDA</t>
        </is>
      </c>
      <c r="D273" t="inlineStr">
        <is>
          <t>6763</t>
        </is>
      </c>
      <c r="E273" s="525" t="n">
        <v>46246</v>
      </c>
      <c r="F273" s="525" t="n">
        <v>46260</v>
      </c>
      <c r="G273" t="inlineStr">
        <is>
          <t>Marketing</t>
        </is>
      </c>
      <c r="H273" t="inlineStr">
        <is>
          <t>Produção Gráfica e Material Institucional</t>
        </is>
      </c>
      <c r="I273" t="inlineStr">
        <is>
          <t>CARDÁPIOS NUV</t>
        </is>
      </c>
      <c r="J273" t="n">
        <v>-1733.92</v>
      </c>
      <c r="K273" t="n">
        <v>-1733.92</v>
      </c>
      <c r="O273" t="inlineStr">
        <is>
          <t>Real</t>
        </is>
      </c>
      <c r="P273" t="inlineStr">
        <is>
          <t>Pago</t>
        </is>
      </c>
      <c r="Q273" t="inlineStr">
        <is>
          <t>08/2026</t>
        </is>
      </c>
      <c r="R273" t="n">
        <v>0</v>
      </c>
    </row>
    <row r="274">
      <c r="A274" t="n">
        <v>256375</v>
      </c>
      <c r="B274" t="inlineStr">
        <is>
          <t>Nuv Gastrobar</t>
        </is>
      </c>
      <c r="C274" t="inlineStr">
        <is>
          <t xml:space="preserve">KAMINO INSTITUICAO DE PAGAMENTO LTDA </t>
        </is>
      </c>
      <c r="D274" t="inlineStr">
        <is>
          <t>11082026</t>
        </is>
      </c>
      <c r="E274" s="525" t="n">
        <v>46245</v>
      </c>
      <c r="F274" s="525" t="n">
        <v>46245</v>
      </c>
      <c r="G274" t="inlineStr">
        <is>
          <t>Despesas Financeiras</t>
        </is>
      </c>
      <c r="H274" t="inlineStr">
        <is>
          <t>Tarifas Bancárias</t>
        </is>
      </c>
      <c r="J274" t="n">
        <v>-0.5</v>
      </c>
      <c r="K274" t="n">
        <v>-0.5</v>
      </c>
      <c r="O274" t="inlineStr">
        <is>
          <t>Real</t>
        </is>
      </c>
      <c r="P274" t="inlineStr">
        <is>
          <t>Pago</t>
        </is>
      </c>
      <c r="Q274" t="inlineStr">
        <is>
          <t>08/2026</t>
        </is>
      </c>
      <c r="R274" t="n">
        <v>0</v>
      </c>
    </row>
    <row r="275">
      <c r="A275" t="n">
        <v>255582</v>
      </c>
      <c r="B275" t="inlineStr">
        <is>
          <t>Nuv Gastrobar</t>
        </is>
      </c>
      <c r="C275" t="inlineStr">
        <is>
          <t>UNICO GROUP</t>
        </is>
      </c>
      <c r="D275" t="inlineStr">
        <is>
          <t>314</t>
        </is>
      </c>
      <c r="E275" s="525" t="n">
        <v>46245</v>
      </c>
      <c r="F275" s="525" t="n">
        <v>46251</v>
      </c>
      <c r="G275" t="inlineStr">
        <is>
          <t>Investimento - CAPEX</t>
        </is>
      </c>
      <c r="H275" t="inlineStr">
        <is>
          <t>Investimento - Equipamentos</t>
        </is>
      </c>
      <c r="I275" t="inlineStr">
        <is>
          <t>FRETE FORNO NUV</t>
        </is>
      </c>
      <c r="J275" t="n">
        <v>-3036.95</v>
      </c>
      <c r="K275" t="n">
        <v>-3036.95</v>
      </c>
      <c r="O275" t="inlineStr">
        <is>
          <t>Real</t>
        </is>
      </c>
      <c r="P275" t="inlineStr">
        <is>
          <t>Pago</t>
        </is>
      </c>
      <c r="Q275" t="inlineStr">
        <is>
          <t>08/2026</t>
        </is>
      </c>
      <c r="R275" t="n">
        <v>0</v>
      </c>
    </row>
    <row r="276">
      <c r="A276" t="n">
        <v>256487</v>
      </c>
      <c r="B276" t="inlineStr">
        <is>
          <t>Nuv Gastrobar</t>
        </is>
      </c>
      <c r="C276" t="inlineStr">
        <is>
          <t>WORLD SERVICE COMERCIO DE CARTUCHOS LTDA. ME</t>
        </is>
      </c>
      <c r="D276" t="inlineStr">
        <is>
          <t>13917</t>
        </is>
      </c>
      <c r="E276" s="525" t="n">
        <v>46244</v>
      </c>
      <c r="F276" s="525" t="n">
        <v>46259</v>
      </c>
      <c r="G276" t="inlineStr">
        <is>
          <t>Marketing</t>
        </is>
      </c>
      <c r="H276" t="inlineStr">
        <is>
          <t>Produção Gráfica e Material Institucional</t>
        </is>
      </c>
      <c r="I276" t="inlineStr">
        <is>
          <t>PLACAS DE VITRINE, ADESIVOS PARA PAGER E QR CODES PARA CARDÁPIO - 08/2026</t>
        </is>
      </c>
      <c r="J276" t="n">
        <v>-539.5</v>
      </c>
      <c r="K276" t="n">
        <v>-539.5</v>
      </c>
      <c r="O276" t="inlineStr">
        <is>
          <t>Real</t>
        </is>
      </c>
      <c r="P276" t="inlineStr">
        <is>
          <t>Pago</t>
        </is>
      </c>
      <c r="Q276" t="inlineStr">
        <is>
          <t>08/2026</t>
        </is>
      </c>
      <c r="R276" t="n">
        <v>0</v>
      </c>
    </row>
    <row r="277">
      <c r="A277" t="n">
        <v>256374</v>
      </c>
      <c r="B277" t="inlineStr">
        <is>
          <t>Nuv Gastrobar</t>
        </is>
      </c>
      <c r="C277" t="inlineStr">
        <is>
          <t xml:space="preserve">KAMINO INSTITUICAO DE PAGAMENTO LTDA </t>
        </is>
      </c>
      <c r="D277" t="inlineStr">
        <is>
          <t>10082026</t>
        </is>
      </c>
      <c r="E277" s="525" t="n">
        <v>46244</v>
      </c>
      <c r="F277" s="525" t="n">
        <v>46244</v>
      </c>
      <c r="G277" t="inlineStr">
        <is>
          <t>Despesas Financeiras</t>
        </is>
      </c>
      <c r="H277" t="inlineStr">
        <is>
          <t>Tarifas Bancárias</t>
        </is>
      </c>
      <c r="J277" t="n">
        <v>-0.5</v>
      </c>
      <c r="K277" t="n">
        <v>-0.5</v>
      </c>
      <c r="O277" t="inlineStr">
        <is>
          <t>Real</t>
        </is>
      </c>
      <c r="P277" t="inlineStr">
        <is>
          <t>Pago</t>
        </is>
      </c>
      <c r="Q277" t="inlineStr">
        <is>
          <t>08/2026</t>
        </is>
      </c>
      <c r="R277" t="n">
        <v>0</v>
      </c>
    </row>
    <row r="278">
      <c r="A278" t="n">
        <v>256246</v>
      </c>
      <c r="B278" t="inlineStr">
        <is>
          <t>Nuv Gastrobar</t>
        </is>
      </c>
      <c r="C278" t="inlineStr">
        <is>
          <t>TF TRANSPORTES E LOGISTICA</t>
        </is>
      </c>
      <c r="D278" t="inlineStr">
        <is>
          <t>8</t>
        </is>
      </c>
      <c r="E278" s="525" t="n">
        <v>46244</v>
      </c>
      <c r="F278" s="525" t="n">
        <v>46247</v>
      </c>
      <c r="G278" t="inlineStr">
        <is>
          <t>Investimento - CAPEX</t>
        </is>
      </c>
      <c r="H278" t="inlineStr">
        <is>
          <t xml:space="preserve">Investimento - Construção - Obra </t>
        </is>
      </c>
      <c r="J278" t="n">
        <v>-3800</v>
      </c>
      <c r="K278" t="n">
        <v>-3879.79</v>
      </c>
      <c r="O278" t="inlineStr">
        <is>
          <t>Real</t>
        </is>
      </c>
      <c r="P278" t="inlineStr">
        <is>
          <t>Pago</t>
        </is>
      </c>
      <c r="Q278" t="inlineStr">
        <is>
          <t>08/2026</t>
        </is>
      </c>
      <c r="R278" t="n">
        <v>0</v>
      </c>
    </row>
    <row r="279">
      <c r="A279" t="n">
        <v>255467</v>
      </c>
      <c r="B279" t="inlineStr">
        <is>
          <t>Nuv Gastrobar</t>
        </is>
      </c>
      <c r="C279" t="inlineStr">
        <is>
          <t xml:space="preserve">KAMINO INSTITUICAO DE PAGAMENTO LTDA </t>
        </is>
      </c>
      <c r="D279" t="inlineStr">
        <is>
          <t>07082026</t>
        </is>
      </c>
      <c r="E279" s="525" t="n">
        <v>46241</v>
      </c>
      <c r="F279" s="525" t="n">
        <v>46241</v>
      </c>
      <c r="G279" t="inlineStr">
        <is>
          <t>Despesas Financeiras</t>
        </is>
      </c>
      <c r="H279" t="inlineStr">
        <is>
          <t>Tarifas Bancárias</t>
        </is>
      </c>
      <c r="J279" t="n">
        <v>-3.5</v>
      </c>
      <c r="K279" t="n">
        <v>-3.5</v>
      </c>
      <c r="O279" t="inlineStr">
        <is>
          <t>Real</t>
        </is>
      </c>
      <c r="P279" t="inlineStr">
        <is>
          <t>Pago</t>
        </is>
      </c>
      <c r="Q279" t="inlineStr">
        <is>
          <t>08/2026</t>
        </is>
      </c>
      <c r="R279" t="n">
        <v>0</v>
      </c>
    </row>
    <row r="280">
      <c r="A280" t="n">
        <v>255181</v>
      </c>
      <c r="B280" t="inlineStr">
        <is>
          <t>Nuv Gastrobar</t>
        </is>
      </c>
      <c r="C280" t="inlineStr">
        <is>
          <t>TF TRANSPORTES E LOGISTICA</t>
        </is>
      </c>
      <c r="D280" t="inlineStr">
        <is>
          <t>38000082026</t>
        </is>
      </c>
      <c r="E280" s="525" t="n">
        <v>46241</v>
      </c>
      <c r="F280" s="525" t="n">
        <v>46241</v>
      </c>
      <c r="G280" t="inlineStr">
        <is>
          <t>Investimento - CAPEX</t>
        </is>
      </c>
      <c r="H280" t="inlineStr">
        <is>
          <t xml:space="preserve">Investimento - Construção - Obra </t>
        </is>
      </c>
      <c r="I280" t="inlineStr">
        <is>
          <t>ENTREGA TOPEMA</t>
        </is>
      </c>
      <c r="J280" t="n">
        <v>-3800</v>
      </c>
      <c r="K280" t="n">
        <v>-3800</v>
      </c>
      <c r="O280" t="inlineStr">
        <is>
          <t>Real</t>
        </is>
      </c>
      <c r="P280" t="inlineStr">
        <is>
          <t>Pago</t>
        </is>
      </c>
      <c r="Q280" t="inlineStr">
        <is>
          <t>08/2026</t>
        </is>
      </c>
      <c r="R280" t="n">
        <v>0</v>
      </c>
    </row>
    <row r="281">
      <c r="A281" t="n">
        <v>255057</v>
      </c>
      <c r="B281" t="inlineStr">
        <is>
          <t>Nuv Gastrobar</t>
        </is>
      </c>
      <c r="C281" t="inlineStr">
        <is>
          <t xml:space="preserve">KAMINO INSTITUICAO DE PAGAMENTO LTDA </t>
        </is>
      </c>
      <c r="D281" t="inlineStr">
        <is>
          <t>06082026</t>
        </is>
      </c>
      <c r="E281" s="525" t="n">
        <v>46240</v>
      </c>
      <c r="F281" s="525" t="n">
        <v>46240</v>
      </c>
      <c r="G281" t="inlineStr">
        <is>
          <t>Despesas Financeiras</t>
        </is>
      </c>
      <c r="H281" t="inlineStr">
        <is>
          <t>Tarifas Bancárias</t>
        </is>
      </c>
      <c r="J281" t="n">
        <v>-7.5</v>
      </c>
      <c r="K281" t="n">
        <v>-7.5</v>
      </c>
      <c r="O281" t="inlineStr">
        <is>
          <t>Real</t>
        </is>
      </c>
      <c r="P281" t="inlineStr">
        <is>
          <t>Pago</t>
        </is>
      </c>
      <c r="Q281" t="inlineStr">
        <is>
          <t>08/2026</t>
        </is>
      </c>
      <c r="R281" t="n">
        <v>0</v>
      </c>
    </row>
    <row r="282">
      <c r="A282" t="n">
        <v>255052</v>
      </c>
      <c r="B282" t="inlineStr">
        <is>
          <t>Nuv Gastrobar</t>
        </is>
      </c>
      <c r="C282" t="inlineStr">
        <is>
          <t xml:space="preserve">KAMINO INSTITUICAO DE PAGAMENTO LTDA </t>
        </is>
      </c>
      <c r="D282" t="inlineStr">
        <is>
          <t>05082026</t>
        </is>
      </c>
      <c r="E282" s="525" t="n">
        <v>46239</v>
      </c>
      <c r="F282" s="525" t="n">
        <v>46239</v>
      </c>
      <c r="G282" t="inlineStr">
        <is>
          <t>Despesas Financeiras</t>
        </is>
      </c>
      <c r="H282" t="inlineStr">
        <is>
          <t>Tarifas Bancárias</t>
        </is>
      </c>
      <c r="J282" t="n">
        <v>-0.5</v>
      </c>
      <c r="K282" t="n">
        <v>-0.5</v>
      </c>
      <c r="O282" t="inlineStr">
        <is>
          <t>Real</t>
        </is>
      </c>
      <c r="P282" t="inlineStr">
        <is>
          <t>Pago</t>
        </is>
      </c>
      <c r="Q282" t="inlineStr">
        <is>
          <t>08/2026</t>
        </is>
      </c>
      <c r="R282" t="n">
        <v>0</v>
      </c>
    </row>
    <row r="283">
      <c r="A283" t="n">
        <v>255049</v>
      </c>
      <c r="B283" t="inlineStr">
        <is>
          <t>Nuv Gastrobar</t>
        </is>
      </c>
      <c r="C283" t="inlineStr">
        <is>
          <t xml:space="preserve">KAMINO INSTITUICAO DE PAGAMENTO LTDA </t>
        </is>
      </c>
      <c r="D283" t="inlineStr">
        <is>
          <t>04082026</t>
        </is>
      </c>
      <c r="E283" s="525" t="n">
        <v>46238</v>
      </c>
      <c r="F283" s="525" t="n">
        <v>46238</v>
      </c>
      <c r="G283" t="inlineStr">
        <is>
          <t>Despesas Financeiras</t>
        </is>
      </c>
      <c r="H283" t="inlineStr">
        <is>
          <t>Tarifas Bancárias</t>
        </is>
      </c>
      <c r="J283" t="n">
        <v>-0.5</v>
      </c>
      <c r="K283" t="n">
        <v>-0.5</v>
      </c>
      <c r="O283" t="inlineStr">
        <is>
          <t>Real</t>
        </is>
      </c>
      <c r="P283" t="inlineStr">
        <is>
          <t>Pago</t>
        </is>
      </c>
      <c r="Q283" t="inlineStr">
        <is>
          <t>08/2026</t>
        </is>
      </c>
      <c r="R283" t="n">
        <v>0</v>
      </c>
    </row>
    <row r="284">
      <c r="A284" t="n">
        <v>253934</v>
      </c>
      <c r="B284" t="inlineStr">
        <is>
          <t>Nuv Gastrobar</t>
        </is>
      </c>
      <c r="C284" t="inlineStr">
        <is>
          <t>LENOVO TECNOLOGIA BRASIL LTDA</t>
        </is>
      </c>
      <c r="D284" t="inlineStr">
        <is>
          <t>1</t>
        </is>
      </c>
      <c r="E284" s="525" t="n">
        <v>46238</v>
      </c>
      <c r="F284" s="525" t="n">
        <v>46241</v>
      </c>
      <c r="G284" t="inlineStr">
        <is>
          <t>Investimento - CAPEX</t>
        </is>
      </c>
      <c r="H284" t="inlineStr">
        <is>
          <t>Investimento - Projetos</t>
        </is>
      </c>
      <c r="I284" t="inlineStr">
        <is>
          <t xml:space="preserve"> Compra de 5 Notebooks para o NuvGastrobar</t>
        </is>
      </c>
      <c r="J284" t="n">
        <v>-16437.3</v>
      </c>
      <c r="K284" t="n">
        <v>-16437.3</v>
      </c>
      <c r="O284" t="inlineStr">
        <is>
          <t>Real</t>
        </is>
      </c>
      <c r="P284" t="inlineStr">
        <is>
          <t>Pago</t>
        </is>
      </c>
      <c r="Q284" t="inlineStr">
        <is>
          <t>08/2026</t>
        </is>
      </c>
      <c r="R284" t="n">
        <v>0</v>
      </c>
    </row>
    <row r="285">
      <c r="A285" t="n">
        <v>253936</v>
      </c>
      <c r="B285" t="inlineStr">
        <is>
          <t>Nuv Gastrobar</t>
        </is>
      </c>
      <c r="C285" t="inlineStr">
        <is>
          <t xml:space="preserve">IL SETTANTUNO UNIFORMES </t>
        </is>
      </c>
      <c r="D285" t="inlineStr">
        <is>
          <t>1187476082026 - 1/2</t>
        </is>
      </c>
      <c r="E285" s="525" t="n">
        <v>46238</v>
      </c>
      <c r="F285" s="525" t="n">
        <v>46239</v>
      </c>
      <c r="G285" t="inlineStr">
        <is>
          <t>Investimento - CAPEX</t>
        </is>
      </c>
      <c r="H285" t="inlineStr">
        <is>
          <t>Investimento - Uniformes</t>
        </is>
      </c>
      <c r="I285" t="inlineStr">
        <is>
          <t>UNIFORMES NUV</t>
        </is>
      </c>
      <c r="J285" t="n">
        <v>-11847.6</v>
      </c>
      <c r="K285" t="n">
        <v>-11847.6</v>
      </c>
      <c r="O285" t="inlineStr">
        <is>
          <t>Real</t>
        </is>
      </c>
      <c r="P285" t="inlineStr">
        <is>
          <t>Pago</t>
        </is>
      </c>
      <c r="Q285" t="inlineStr">
        <is>
          <t>08/2026</t>
        </is>
      </c>
      <c r="R285" t="n">
        <v>0</v>
      </c>
    </row>
    <row r="286">
      <c r="A286" t="n">
        <v>253938</v>
      </c>
      <c r="B286" t="inlineStr">
        <is>
          <t>Nuv Gastrobar</t>
        </is>
      </c>
      <c r="C286" t="inlineStr">
        <is>
          <t xml:space="preserve">IL SETTANTUNO UNIFORMES </t>
        </is>
      </c>
      <c r="D286" t="inlineStr">
        <is>
          <t>1187476082026 - 2/2</t>
        </is>
      </c>
      <c r="E286" s="525" t="n">
        <v>46238</v>
      </c>
      <c r="F286" s="525" t="n">
        <v>46252</v>
      </c>
      <c r="G286" t="inlineStr">
        <is>
          <t>Investimento - CAPEX</t>
        </is>
      </c>
      <c r="H286" t="inlineStr">
        <is>
          <t>Investimento - Uniformes</t>
        </is>
      </c>
      <c r="I286" t="inlineStr">
        <is>
          <t>UNIFORMES NUV</t>
        </is>
      </c>
      <c r="J286" t="n">
        <v>-11847.6</v>
      </c>
      <c r="K286" t="n">
        <v>-11847.6</v>
      </c>
      <c r="O286" t="inlineStr">
        <is>
          <t>Real</t>
        </is>
      </c>
      <c r="P286" t="inlineStr">
        <is>
          <t>Pago</t>
        </is>
      </c>
      <c r="Q286" t="inlineStr">
        <is>
          <t>08/2026</t>
        </is>
      </c>
      <c r="R286" t="n">
        <v>0</v>
      </c>
    </row>
    <row r="287">
      <c r="A287" t="n">
        <v>255046</v>
      </c>
      <c r="B287" t="inlineStr">
        <is>
          <t>Nuv Gastrobar</t>
        </is>
      </c>
      <c r="C287" t="inlineStr">
        <is>
          <t xml:space="preserve">KAMINO INSTITUICAO DE PAGAMENTO LTDA </t>
        </is>
      </c>
      <c r="D287" t="inlineStr">
        <is>
          <t>03082026</t>
        </is>
      </c>
      <c r="E287" s="525" t="n">
        <v>46237</v>
      </c>
      <c r="F287" s="525" t="n">
        <v>46237</v>
      </c>
      <c r="G287" t="inlineStr">
        <is>
          <t>Despesas Financeiras</t>
        </is>
      </c>
      <c r="H287" t="inlineStr">
        <is>
          <t>Tarifas Bancárias</t>
        </is>
      </c>
      <c r="J287" t="n">
        <v>-0.5</v>
      </c>
      <c r="K287" t="n">
        <v>-0.5</v>
      </c>
      <c r="O287" t="inlineStr">
        <is>
          <t>Real</t>
        </is>
      </c>
      <c r="P287" t="inlineStr">
        <is>
          <t>Pago</t>
        </is>
      </c>
      <c r="Q287" t="inlineStr">
        <is>
          <t>08/2026</t>
        </is>
      </c>
      <c r="R287" t="n">
        <v>0</v>
      </c>
    </row>
    <row r="288">
      <c r="A288" t="n">
        <v>257264</v>
      </c>
      <c r="B288" t="inlineStr">
        <is>
          <t>Nuv Gastrobar</t>
        </is>
      </c>
      <c r="C288" t="inlineStr">
        <is>
          <t xml:space="preserve">KAMINO INSTITUICAO DE PAGAMENTO LTDA </t>
        </is>
      </c>
      <c r="D288" t="inlineStr">
        <is>
          <t>13686</t>
        </is>
      </c>
      <c r="E288" s="525" t="n">
        <v>46235</v>
      </c>
      <c r="F288" s="525" t="n">
        <v>46252</v>
      </c>
      <c r="G288" t="inlineStr">
        <is>
          <t>Despesas Financeiras</t>
        </is>
      </c>
      <c r="H288" t="inlineStr">
        <is>
          <t>Tarifas Bancárias</t>
        </is>
      </c>
      <c r="I288" t="inlineStr">
        <is>
          <t>TARIFAS BANCÁRIAS - 08/2026</t>
        </is>
      </c>
      <c r="J288" t="n">
        <v>-400</v>
      </c>
      <c r="K288" t="n">
        <v>-408.12</v>
      </c>
      <c r="O288" t="inlineStr">
        <is>
          <t>Real</t>
        </is>
      </c>
      <c r="P288" t="inlineStr">
        <is>
          <t>Pago</t>
        </is>
      </c>
      <c r="Q288" t="inlineStr">
        <is>
          <t>08/2026</t>
        </is>
      </c>
      <c r="R288" t="n">
        <v>0</v>
      </c>
    </row>
    <row r="289">
      <c r="A289" t="n">
        <v>256054</v>
      </c>
      <c r="B289" t="inlineStr">
        <is>
          <t>Nuv Gastrobar</t>
        </is>
      </c>
      <c r="C289" t="inlineStr">
        <is>
          <t>THAYNARA SANTOS MENDES</t>
        </is>
      </c>
      <c r="D289" t="inlineStr">
        <is>
          <t>REC18360 082026</t>
        </is>
      </c>
      <c r="E289" s="525" t="n">
        <v>46235</v>
      </c>
      <c r="F289" s="525" t="n">
        <v>46254</v>
      </c>
      <c r="G289" t="inlineStr">
        <is>
          <t>Mão de Obra - Benefícios</t>
        </is>
      </c>
      <c r="H289" t="inlineStr">
        <is>
          <t xml:space="preserve">  -  Vale-transporte</t>
        </is>
      </c>
      <c r="I289" t="inlineStr">
        <is>
          <t>VT NOVO ADMITIDO - DIA 12/08/2026</t>
        </is>
      </c>
      <c r="J289" t="n">
        <v>-183.6</v>
      </c>
      <c r="K289" t="n">
        <v>-183.6</v>
      </c>
      <c r="O289" t="inlineStr">
        <is>
          <t>Real</t>
        </is>
      </c>
      <c r="P289" t="inlineStr">
        <is>
          <t>Pago</t>
        </is>
      </c>
      <c r="Q289" t="inlineStr">
        <is>
          <t>08/2026</t>
        </is>
      </c>
      <c r="R289" t="n">
        <v>0</v>
      </c>
    </row>
    <row r="290">
      <c r="A290" t="n">
        <v>257169</v>
      </c>
      <c r="B290" t="inlineStr">
        <is>
          <t>Nuv Gastrobar</t>
        </is>
      </c>
      <c r="C290" t="inlineStr">
        <is>
          <t>PJ IVAN MANFRINATO BILIA 3781626180</t>
        </is>
      </c>
      <c r="D290" t="inlineStr">
        <is>
          <t>17</t>
        </is>
      </c>
      <c r="E290" s="525" t="n">
        <v>46235</v>
      </c>
      <c r="F290" s="525" t="n">
        <v>46258</v>
      </c>
      <c r="G290" t="inlineStr">
        <is>
          <t>Mão de Obra - PJ</t>
        </is>
      </c>
      <c r="H290" t="inlineStr">
        <is>
          <t>MDO PJ Fixo</t>
        </is>
      </c>
      <c r="I290" t="inlineStr">
        <is>
          <t>IVAN | NUV</t>
        </is>
      </c>
      <c r="J290" t="n">
        <v>-3250</v>
      </c>
      <c r="K290" t="n">
        <v>-3184.67</v>
      </c>
      <c r="M290" t="inlineStr">
        <is>
          <t>CHEFE DE COZINHA</t>
        </is>
      </c>
      <c r="N290" t="inlineStr">
        <is>
          <t xml:space="preserve">  - Chefe de Cozinha</t>
        </is>
      </c>
      <c r="O290" t="inlineStr">
        <is>
          <t>Real</t>
        </is>
      </c>
      <c r="P290" t="inlineStr">
        <is>
          <t>Pago</t>
        </is>
      </c>
      <c r="Q290" t="inlineStr">
        <is>
          <t>08/2026</t>
        </is>
      </c>
      <c r="R290" t="n">
        <v>0</v>
      </c>
    </row>
    <row r="291">
      <c r="A291" t="n">
        <v>259861</v>
      </c>
      <c r="B291" t="inlineStr">
        <is>
          <t>Nuv Gastrobar</t>
        </is>
      </c>
      <c r="C291" t="inlineStr">
        <is>
          <t>ARANTXA JIMENEZ</t>
        </is>
      </c>
      <c r="D291" t="inlineStr">
        <is>
          <t>1</t>
        </is>
      </c>
      <c r="E291" s="525" t="n">
        <v>46235</v>
      </c>
      <c r="F291" s="525" t="n">
        <v>46275</v>
      </c>
      <c r="G291" t="inlineStr">
        <is>
          <t>Mão de Obra - PJ</t>
        </is>
      </c>
      <c r="H291" t="inlineStr">
        <is>
          <t>MDO PJ Fixo</t>
        </is>
      </c>
      <c r="I291" t="inlineStr">
        <is>
          <t>ARANTXA JIMENEZ | NUV</t>
        </is>
      </c>
      <c r="J291" t="n">
        <v>-1333</v>
      </c>
      <c r="K291" t="n">
        <v>-1333</v>
      </c>
      <c r="O291" t="inlineStr">
        <is>
          <t>Real</t>
        </is>
      </c>
      <c r="P291" t="inlineStr">
        <is>
          <t>Processamento</t>
        </is>
      </c>
      <c r="Q291" t="inlineStr">
        <is>
          <t>08/2026</t>
        </is>
      </c>
      <c r="R291" t="n">
        <v>0</v>
      </c>
    </row>
    <row r="292">
      <c r="A292" t="n">
        <v>256057</v>
      </c>
      <c r="B292" t="inlineStr">
        <is>
          <t>Nuv Gastrobar</t>
        </is>
      </c>
      <c r="C292" t="inlineStr">
        <is>
          <t>SUELEN FAUSTINO BARRETO</t>
        </is>
      </c>
      <c r="D292" t="inlineStr">
        <is>
          <t>REC30016 082026</t>
        </is>
      </c>
      <c r="E292" s="525" t="n">
        <v>46235</v>
      </c>
      <c r="F292" s="525" t="n">
        <v>46254</v>
      </c>
      <c r="G292" t="inlineStr">
        <is>
          <t>Mão de Obra - Benefícios</t>
        </is>
      </c>
      <c r="H292" t="inlineStr">
        <is>
          <t xml:space="preserve">  -  Vale-transporte</t>
        </is>
      </c>
      <c r="I292" t="inlineStr">
        <is>
          <t>VT NOVO ADMITIDO - DIA 13/08/2026</t>
        </is>
      </c>
      <c r="J292" t="n">
        <v>-300.16</v>
      </c>
      <c r="K292" t="n">
        <v>-300.16</v>
      </c>
      <c r="O292" t="inlineStr">
        <is>
          <t>Real</t>
        </is>
      </c>
      <c r="P292" t="inlineStr">
        <is>
          <t>Pago</t>
        </is>
      </c>
      <c r="Q292" t="inlineStr">
        <is>
          <t>08/2026</t>
        </is>
      </c>
      <c r="R292" t="n">
        <v>0</v>
      </c>
    </row>
    <row r="293">
      <c r="A293" t="n">
        <v>256056</v>
      </c>
      <c r="B293" t="inlineStr">
        <is>
          <t>Nuv Gastrobar</t>
        </is>
      </c>
      <c r="C293" t="inlineStr">
        <is>
          <t>KESSYA JHENNYFER SILVA DO NASCIMENTO</t>
        </is>
      </c>
      <c r="D293" t="inlineStr">
        <is>
          <t>REC34240 082026</t>
        </is>
      </c>
      <c r="E293" s="525" t="n">
        <v>46235</v>
      </c>
      <c r="F293" s="525" t="n">
        <v>46254</v>
      </c>
      <c r="G293" t="inlineStr">
        <is>
          <t>Mão de Obra - Benefícios</t>
        </is>
      </c>
      <c r="H293" t="inlineStr">
        <is>
          <t xml:space="preserve">  -  Vale-transporte</t>
        </is>
      </c>
      <c r="I293" t="inlineStr">
        <is>
          <t>VT NOVO ADMITIDO - DIA 13/08/2026</t>
        </is>
      </c>
      <c r="J293" t="n">
        <v>-342.4</v>
      </c>
      <c r="K293" t="n">
        <v>-342.4</v>
      </c>
      <c r="O293" t="inlineStr">
        <is>
          <t>Real</t>
        </is>
      </c>
      <c r="P293" t="inlineStr">
        <is>
          <t>Pago</t>
        </is>
      </c>
      <c r="Q293" t="inlineStr">
        <is>
          <t>08/2026</t>
        </is>
      </c>
      <c r="R293" t="n">
        <v>0</v>
      </c>
    </row>
    <row r="294">
      <c r="A294" t="n">
        <v>256055</v>
      </c>
      <c r="B294" t="inlineStr">
        <is>
          <t>Nuv Gastrobar</t>
        </is>
      </c>
      <c r="C294" t="inlineStr">
        <is>
          <t>CAROLINE ACARAPI ARUQUIPA</t>
        </is>
      </c>
      <c r="D294" t="inlineStr">
        <is>
          <t>REC31892 082026</t>
        </is>
      </c>
      <c r="E294" s="525" t="n">
        <v>46235</v>
      </c>
      <c r="F294" s="525" t="n">
        <v>46254</v>
      </c>
      <c r="G294" t="inlineStr">
        <is>
          <t>Mão de Obra - Benefícios</t>
        </is>
      </c>
      <c r="H294" t="inlineStr">
        <is>
          <t xml:space="preserve">  -  Vale-transporte</t>
        </is>
      </c>
      <c r="I294" t="inlineStr">
        <is>
          <t>VT NOVO ADMITIDO - DIA 12/08/2026</t>
        </is>
      </c>
      <c r="J294" t="n">
        <v>-318.92</v>
      </c>
      <c r="K294" t="n">
        <v>-318.92</v>
      </c>
      <c r="O294" t="inlineStr">
        <is>
          <t>Real</t>
        </is>
      </c>
      <c r="P294" t="inlineStr">
        <is>
          <t>Pago</t>
        </is>
      </c>
      <c r="Q294" t="inlineStr">
        <is>
          <t>08/2026</t>
        </is>
      </c>
      <c r="R294" t="n">
        <v>0</v>
      </c>
    </row>
    <row r="295">
      <c r="A295" t="n">
        <v>199689</v>
      </c>
      <c r="B295" t="inlineStr">
        <is>
          <t>Nuv Gastrobar</t>
        </is>
      </c>
      <c r="C295" t="inlineStr">
        <is>
          <t>IGOR MIRANDO CRUZ - PJ BNSP</t>
        </is>
      </c>
      <c r="D295" t="inlineStr">
        <is>
          <t>42</t>
        </is>
      </c>
      <c r="E295" s="525" t="n">
        <v>46235</v>
      </c>
      <c r="F295" s="525" t="n">
        <v>46275</v>
      </c>
      <c r="G295" t="inlineStr">
        <is>
          <t>Mão de Obra - PJ</t>
        </is>
      </c>
      <c r="H295" t="inlineStr">
        <is>
          <t>MDO PJ Fixo</t>
        </is>
      </c>
      <c r="I295" t="inlineStr">
        <is>
          <t xml:space="preserve">IGOR MIRANDA CRUZ | NUV
</t>
        </is>
      </c>
      <c r="J295" t="n">
        <v>-5100</v>
      </c>
      <c r="K295" t="n">
        <v>-5100</v>
      </c>
      <c r="M295" t="inlineStr">
        <is>
          <t>COORDENADOR</t>
        </is>
      </c>
      <c r="N295" t="inlineStr">
        <is>
          <t xml:space="preserve">  - Coordenador</t>
        </is>
      </c>
      <c r="O295" t="inlineStr">
        <is>
          <t>Real</t>
        </is>
      </c>
      <c r="P295" t="inlineStr">
        <is>
          <t>Processamento</t>
        </is>
      </c>
      <c r="Q295" t="inlineStr">
        <is>
          <t>08/2026</t>
        </is>
      </c>
      <c r="R295" t="n">
        <v>0</v>
      </c>
    </row>
    <row r="296">
      <c r="A296" t="n">
        <v>257878</v>
      </c>
      <c r="B296" t="inlineStr">
        <is>
          <t>Nuv Gastrobar</t>
        </is>
      </c>
      <c r="C296" t="inlineStr">
        <is>
          <t>JOSÉ ADRONICO ANDRADE SILVA JUNIOR</t>
        </is>
      </c>
      <c r="D296" t="inlineStr">
        <is>
          <t>REC26264 082026</t>
        </is>
      </c>
      <c r="E296" s="525" t="n">
        <v>46235</v>
      </c>
      <c r="F296" s="525" t="n">
        <v>46255</v>
      </c>
      <c r="G296" t="inlineStr">
        <is>
          <t>Mão de Obra - Benefícios</t>
        </is>
      </c>
      <c r="H296" t="inlineStr">
        <is>
          <t xml:space="preserve">  -  Vale-transporte</t>
        </is>
      </c>
      <c r="I296" t="inlineStr">
        <is>
          <t>VT NOVO ADMITIDO - DIA 15/08/2026</t>
        </is>
      </c>
      <c r="J296" t="n">
        <v>-262.64</v>
      </c>
      <c r="K296" t="n">
        <v>-262.64</v>
      </c>
      <c r="O296" t="inlineStr">
        <is>
          <t>Real</t>
        </is>
      </c>
      <c r="P296" t="inlineStr">
        <is>
          <t>Pago</t>
        </is>
      </c>
      <c r="Q296" t="inlineStr">
        <is>
          <t>08/2026</t>
        </is>
      </c>
      <c r="R296" t="n">
        <v>0</v>
      </c>
    </row>
    <row r="297">
      <c r="A297" t="n">
        <v>257880</v>
      </c>
      <c r="B297" t="inlineStr">
        <is>
          <t>Nuv Gastrobar</t>
        </is>
      </c>
      <c r="C297" t="inlineStr">
        <is>
          <t xml:space="preserve">SAMILA ALVES DE SOUZA </t>
        </is>
      </c>
      <c r="D297" t="inlineStr">
        <is>
          <t>REC23540 082026</t>
        </is>
      </c>
      <c r="E297" s="525" t="n">
        <v>46235</v>
      </c>
      <c r="F297" s="525" t="n">
        <v>46259</v>
      </c>
      <c r="G297" t="inlineStr">
        <is>
          <t>Mão de Obra - Benefícios</t>
        </is>
      </c>
      <c r="H297" t="inlineStr">
        <is>
          <t xml:space="preserve">  -  Vale-transporte</t>
        </is>
      </c>
      <c r="I297" t="inlineStr">
        <is>
          <t>VT NOVO ADMITIDO - DIA 19/08/2026</t>
        </is>
      </c>
      <c r="J297" t="n">
        <v>-235.4</v>
      </c>
      <c r="K297" t="n">
        <v>-235.4</v>
      </c>
      <c r="O297" t="inlineStr">
        <is>
          <t>Real</t>
        </is>
      </c>
      <c r="P297" t="inlineStr">
        <is>
          <t>Pago</t>
        </is>
      </c>
      <c r="Q297" t="inlineStr">
        <is>
          <t>08/2026</t>
        </is>
      </c>
      <c r="R297" t="n">
        <v>0</v>
      </c>
    </row>
    <row r="298">
      <c r="A298" t="n">
        <v>257881</v>
      </c>
      <c r="B298" t="inlineStr">
        <is>
          <t>Nuv Gastrobar</t>
        </is>
      </c>
      <c r="C298" t="inlineStr">
        <is>
          <t>VINICIUS EUGENIO DA SILVA</t>
        </is>
      </c>
      <c r="D298" t="inlineStr">
        <is>
          <t>REC25850 082026</t>
        </is>
      </c>
      <c r="E298" s="525" t="n">
        <v>46235</v>
      </c>
      <c r="F298" s="525" t="n">
        <v>46259</v>
      </c>
      <c r="G298" t="inlineStr">
        <is>
          <t>Mão de Obra - Benefícios</t>
        </is>
      </c>
      <c r="H298" t="inlineStr">
        <is>
          <t xml:space="preserve">  -  Vale-transporte</t>
        </is>
      </c>
      <c r="I298" t="inlineStr">
        <is>
          <t>VT NOVO ADMITIDO - DIA 19/08/2026</t>
        </is>
      </c>
      <c r="J298" t="n">
        <v>-258.5</v>
      </c>
      <c r="K298" t="n">
        <v>-258.5</v>
      </c>
      <c r="O298" t="inlineStr">
        <is>
          <t>Real</t>
        </is>
      </c>
      <c r="P298" t="inlineStr">
        <is>
          <t>Pago</t>
        </is>
      </c>
      <c r="Q298" t="inlineStr">
        <is>
          <t>08/2026</t>
        </is>
      </c>
      <c r="R298" t="n">
        <v>0</v>
      </c>
    </row>
    <row r="299">
      <c r="A299" t="n">
        <v>257886</v>
      </c>
      <c r="B299" t="inlineStr">
        <is>
          <t>Nuv Gastrobar</t>
        </is>
      </c>
      <c r="C299" t="inlineStr">
        <is>
          <t>LUCA CARDOSO DE ALMEIDA</t>
        </is>
      </c>
      <c r="D299" t="inlineStr">
        <is>
          <t>REC20340 082026</t>
        </is>
      </c>
      <c r="E299" s="525" t="n">
        <v>46235</v>
      </c>
      <c r="F299" s="525" t="n">
        <v>46260</v>
      </c>
      <c r="G299" t="inlineStr">
        <is>
          <t>Mão de Obra - Benefícios</t>
        </is>
      </c>
      <c r="H299" t="inlineStr">
        <is>
          <t xml:space="preserve">  -  Vale-transporte</t>
        </is>
      </c>
      <c r="I299" t="inlineStr">
        <is>
          <t>VT NOVO ADMITIDO - DIA 20/08/2026</t>
        </is>
      </c>
      <c r="J299" t="n">
        <v>-203.4</v>
      </c>
      <c r="K299" t="n">
        <v>-203.4</v>
      </c>
      <c r="O299" t="inlineStr">
        <is>
          <t>Real</t>
        </is>
      </c>
      <c r="P299" t="inlineStr">
        <is>
          <t>Pago</t>
        </is>
      </c>
      <c r="Q299" t="inlineStr">
        <is>
          <t>08/2026</t>
        </is>
      </c>
      <c r="R299" t="n">
        <v>0</v>
      </c>
    </row>
    <row r="300">
      <c r="A300" t="n">
        <v>258039</v>
      </c>
      <c r="B300" t="inlineStr">
        <is>
          <t>Nuv Gastrobar</t>
        </is>
      </c>
      <c r="C300" t="inlineStr">
        <is>
          <t>BEATRIZ PEREIRA GARCIA</t>
        </is>
      </c>
      <c r="D300" t="inlineStr">
        <is>
          <t>13</t>
        </is>
      </c>
      <c r="E300" s="525" t="n">
        <v>46235</v>
      </c>
      <c r="F300" s="525" t="n">
        <v>46275</v>
      </c>
      <c r="G300" t="inlineStr">
        <is>
          <t>Mão de Obra - PJ</t>
        </is>
      </c>
      <c r="H300" t="inlineStr">
        <is>
          <t>MDO PJ Fixo</t>
        </is>
      </c>
      <c r="I300" t="inlineStr">
        <is>
          <t>BEATRIZ | ADM NUV</t>
        </is>
      </c>
      <c r="J300" t="n">
        <v>-2100</v>
      </c>
      <c r="K300" t="n">
        <v>-2100</v>
      </c>
      <c r="O300" t="inlineStr">
        <is>
          <t>Real</t>
        </is>
      </c>
      <c r="P300" t="inlineStr">
        <is>
          <t>Processamento</t>
        </is>
      </c>
      <c r="Q300" t="inlineStr">
        <is>
          <t>08/2026</t>
        </is>
      </c>
      <c r="R300" t="n">
        <v>0</v>
      </c>
    </row>
    <row r="301">
      <c r="A301" t="n">
        <v>259940</v>
      </c>
      <c r="B301" t="inlineStr">
        <is>
          <t>Nuv Gastrobar</t>
        </is>
      </c>
      <c r="C301" t="inlineStr">
        <is>
          <t>PJ PEDRO XAVIER ANTUNES CAVALHEIRO 45502040879</t>
        </is>
      </c>
      <c r="D301" t="inlineStr">
        <is>
          <t>90</t>
        </is>
      </c>
      <c r="E301" s="525" t="n">
        <v>46235</v>
      </c>
      <c r="F301" s="525" t="n">
        <v>46275</v>
      </c>
      <c r="G301" t="inlineStr">
        <is>
          <t>Mão de Obra - PJ</t>
        </is>
      </c>
      <c r="H301" t="inlineStr">
        <is>
          <t>MDO PJ Fixo</t>
        </is>
      </c>
      <c r="I301" t="inlineStr">
        <is>
          <t xml:space="preserve">PEDRO XAVIER ANTUNES CAVALHEIRO | NUV
</t>
        </is>
      </c>
      <c r="J301" t="n">
        <v>-3960</v>
      </c>
      <c r="K301" t="n">
        <v>-3960</v>
      </c>
      <c r="M301" t="inlineStr">
        <is>
          <t>GERENTE</t>
        </is>
      </c>
      <c r="N301" t="inlineStr">
        <is>
          <t xml:space="preserve">  - Gerente</t>
        </is>
      </c>
      <c r="O301" t="inlineStr">
        <is>
          <t>Real</t>
        </is>
      </c>
      <c r="P301" t="inlineStr">
        <is>
          <t>Processamento</t>
        </is>
      </c>
      <c r="Q301" t="inlineStr">
        <is>
          <t>08/2026</t>
        </is>
      </c>
      <c r="R301" t="n">
        <v>0</v>
      </c>
    </row>
    <row r="302">
      <c r="A302" t="n">
        <v>258063</v>
      </c>
      <c r="B302" t="inlineStr">
        <is>
          <t>Nuv Gastrobar</t>
        </is>
      </c>
      <c r="C302" t="inlineStr">
        <is>
          <t>CATARINA RAMOS NARCISO</t>
        </is>
      </c>
      <c r="D302" t="inlineStr">
        <is>
          <t>12</t>
        </is>
      </c>
      <c r="E302" s="525" t="n">
        <v>46235</v>
      </c>
      <c r="F302" s="525" t="n">
        <v>46275</v>
      </c>
      <c r="G302" t="inlineStr">
        <is>
          <t>Mão de Obra - PJ</t>
        </is>
      </c>
      <c r="H302" t="inlineStr">
        <is>
          <t>MDO PJ Fixo</t>
        </is>
      </c>
      <c r="I302" t="inlineStr">
        <is>
          <t xml:space="preserve">CATARINA| EVENTOS NUV
</t>
        </is>
      </c>
      <c r="J302" t="n">
        <v>-3866.57</v>
      </c>
      <c r="K302" t="n">
        <v>-3866.57</v>
      </c>
      <c r="O302" t="inlineStr">
        <is>
          <t>Real</t>
        </is>
      </c>
      <c r="Q302" t="inlineStr">
        <is>
          <t>08/2026</t>
        </is>
      </c>
      <c r="R302" t="n">
        <v>0</v>
      </c>
    </row>
    <row r="303">
      <c r="A303" t="n">
        <v>258149</v>
      </c>
      <c r="B303" t="inlineStr">
        <is>
          <t>Nuv Gastrobar</t>
        </is>
      </c>
      <c r="C303" t="inlineStr">
        <is>
          <t>PEDRO XAVIER ANTUNES - PJ BNSP</t>
        </is>
      </c>
      <c r="D303" t="inlineStr">
        <is>
          <t>87</t>
        </is>
      </c>
      <c r="E303" s="525" t="n">
        <v>46235</v>
      </c>
      <c r="F303" s="525" t="n">
        <v>46258</v>
      </c>
      <c r="G303" t="inlineStr">
        <is>
          <t>Mão de Obra - PJ</t>
        </is>
      </c>
      <c r="H303" t="inlineStr">
        <is>
          <t>MDO PJ Fixo</t>
        </is>
      </c>
      <c r="I303" t="inlineStr">
        <is>
          <t xml:space="preserve">PEDRO| NUV </t>
        </is>
      </c>
      <c r="J303" t="n">
        <v>-3960</v>
      </c>
      <c r="K303" t="n">
        <v>-3960</v>
      </c>
      <c r="M303" t="inlineStr">
        <is>
          <t>GERENTE</t>
        </is>
      </c>
      <c r="N303" t="inlineStr">
        <is>
          <t xml:space="preserve">  - Gerente</t>
        </is>
      </c>
      <c r="O303" t="inlineStr">
        <is>
          <t>Real</t>
        </is>
      </c>
      <c r="P303" t="inlineStr">
        <is>
          <t>Pago</t>
        </is>
      </c>
      <c r="Q303" t="inlineStr">
        <is>
          <t>08/2026</t>
        </is>
      </c>
      <c r="R303" t="n">
        <v>0</v>
      </c>
    </row>
    <row r="304">
      <c r="A304" t="n">
        <v>259905</v>
      </c>
      <c r="B304" t="inlineStr">
        <is>
          <t>Nuv Gastrobar</t>
        </is>
      </c>
      <c r="C304" t="inlineStr">
        <is>
          <t>PJ IVAN MANFRINATO BILIA 3781626180</t>
        </is>
      </c>
      <c r="D304" t="inlineStr">
        <is>
          <t>19</t>
        </is>
      </c>
      <c r="E304" s="525" t="n">
        <v>46235</v>
      </c>
      <c r="F304" s="525" t="n">
        <v>46275</v>
      </c>
      <c r="G304" t="inlineStr">
        <is>
          <t>Mão de Obra - PJ</t>
        </is>
      </c>
      <c r="H304" t="inlineStr">
        <is>
          <t>MDO PJ Fixo</t>
        </is>
      </c>
      <c r="I304" t="inlineStr">
        <is>
          <t>IVAN MANFRINATO BILIA | NUV</t>
        </is>
      </c>
      <c r="J304" t="n">
        <v>-3250</v>
      </c>
      <c r="K304" t="n">
        <v>-3250</v>
      </c>
      <c r="M304" t="inlineStr">
        <is>
          <t>CHEFE DE COZINHA</t>
        </is>
      </c>
      <c r="N304" t="inlineStr">
        <is>
          <t xml:space="preserve">  - Chefe de Cozinha</t>
        </is>
      </c>
      <c r="O304" t="inlineStr">
        <is>
          <t>Real</t>
        </is>
      </c>
      <c r="P304" t="inlineStr">
        <is>
          <t>Processamento</t>
        </is>
      </c>
      <c r="Q304" t="inlineStr">
        <is>
          <t>08/2026</t>
        </is>
      </c>
      <c r="R304" t="n">
        <v>0</v>
      </c>
    </row>
    <row r="305">
      <c r="A305" t="n">
        <v>259062</v>
      </c>
      <c r="B305" t="inlineStr">
        <is>
          <t>Nuv Gastrobar</t>
        </is>
      </c>
      <c r="C305" t="inlineStr">
        <is>
          <t>THAYNARA SANTOS MENDES</t>
        </is>
      </c>
      <c r="D305" t="inlineStr">
        <is>
          <t>REC18360 082026</t>
        </is>
      </c>
      <c r="E305" s="525" t="n">
        <v>46235</v>
      </c>
      <c r="F305" s="525" t="n">
        <v>46259</v>
      </c>
      <c r="G305" t="inlineStr">
        <is>
          <t>Mão de Obra - Benefícios</t>
        </is>
      </c>
      <c r="H305" t="inlineStr">
        <is>
          <t xml:space="preserve">  -  Vale-transporte</t>
        </is>
      </c>
      <c r="I305" t="inlineStr">
        <is>
          <t>PAGAMENTO DIFERENÇA VT NOVA ADMITIDA 12/08</t>
        </is>
      </c>
      <c r="J305" t="n">
        <v>-183.6</v>
      </c>
      <c r="K305" t="n">
        <v>-183.6</v>
      </c>
      <c r="O305" t="inlineStr">
        <is>
          <t>Real</t>
        </is>
      </c>
      <c r="P305" t="inlineStr">
        <is>
          <t>Pago</t>
        </is>
      </c>
      <c r="Q305" t="inlineStr">
        <is>
          <t>08/2026</t>
        </is>
      </c>
      <c r="R305" t="n">
        <v>0</v>
      </c>
    </row>
    <row r="306">
      <c r="A306" t="n">
        <v>259889</v>
      </c>
      <c r="B306" t="inlineStr">
        <is>
          <t>Nuv Gastrobar</t>
        </is>
      </c>
      <c r="C306" t="inlineStr">
        <is>
          <t>DOUGLAS LOBATO DE CHICO</t>
        </is>
      </c>
      <c r="D306" t="inlineStr">
        <is>
          <t>2</t>
        </is>
      </c>
      <c r="E306" s="525" t="n">
        <v>46235</v>
      </c>
      <c r="F306" s="525" t="n">
        <v>46275</v>
      </c>
      <c r="G306" t="inlineStr">
        <is>
          <t>Mão de Obra - PJ</t>
        </is>
      </c>
      <c r="H306" t="inlineStr">
        <is>
          <t>MDO PJ Fixo</t>
        </is>
      </c>
      <c r="I306" t="inlineStr">
        <is>
          <t xml:space="preserve">DOUGLAS LOBATO DE CHICO | NUV
</t>
        </is>
      </c>
      <c r="J306" t="n">
        <v>-1400</v>
      </c>
      <c r="K306" t="n">
        <v>-1400</v>
      </c>
      <c r="O306" t="inlineStr">
        <is>
          <t>Real</t>
        </is>
      </c>
      <c r="P306" t="inlineStr">
        <is>
          <t>Processamento</t>
        </is>
      </c>
      <c r="Q306" t="inlineStr">
        <is>
          <t>08/2026</t>
        </is>
      </c>
      <c r="R306" t="n">
        <v>0</v>
      </c>
    </row>
    <row r="307">
      <c r="A307" t="n">
        <v>259428</v>
      </c>
      <c r="B307" t="inlineStr">
        <is>
          <t>Nuv Gastrobar</t>
        </is>
      </c>
      <c r="C307" t="inlineStr">
        <is>
          <t>ALIFFER AUGUSTO DA SILVA SANTOS</t>
        </is>
      </c>
      <c r="D307" t="inlineStr">
        <is>
          <t>REC13132 082026</t>
        </is>
      </c>
      <c r="E307" s="525" t="n">
        <v>46235</v>
      </c>
      <c r="F307" s="525" t="n">
        <v>46265</v>
      </c>
      <c r="G307" t="inlineStr">
        <is>
          <t>Mão de Obra - Benefícios</t>
        </is>
      </c>
      <c r="H307" t="inlineStr">
        <is>
          <t xml:space="preserve">  -  Vale-transporte</t>
        </is>
      </c>
      <c r="I307" t="inlineStr">
        <is>
          <t>VT NOVO ADMITIDO - DIA 24/08/2026</t>
        </is>
      </c>
      <c r="J307" t="n">
        <v>-131.32</v>
      </c>
      <c r="K307" t="n">
        <v>-131.32</v>
      </c>
      <c r="O307" t="inlineStr">
        <is>
          <t>Real</t>
        </is>
      </c>
      <c r="P307" t="inlineStr">
        <is>
          <t>Pago</t>
        </is>
      </c>
      <c r="Q307" t="inlineStr">
        <is>
          <t>08/2026</t>
        </is>
      </c>
      <c r="R307" t="n">
        <v>0</v>
      </c>
    </row>
    <row r="308">
      <c r="A308" t="n">
        <v>259870</v>
      </c>
      <c r="B308" t="inlineStr">
        <is>
          <t>Nuv Gastrobar</t>
        </is>
      </c>
      <c r="C308" t="inlineStr">
        <is>
          <t>BRUNA VALLONE SANTOS</t>
        </is>
      </c>
      <c r="D308" t="inlineStr">
        <is>
          <t>1</t>
        </is>
      </c>
      <c r="E308" s="525" t="n">
        <v>46235</v>
      </c>
      <c r="F308" s="525" t="n">
        <v>46275</v>
      </c>
      <c r="G308" t="inlineStr">
        <is>
          <t>Mão de Obra - PJ</t>
        </is>
      </c>
      <c r="H308" t="inlineStr">
        <is>
          <t>MDO PJ Fixo</t>
        </is>
      </c>
      <c r="I308" t="inlineStr">
        <is>
          <t>BRUNA VALLONE SANTOS | NUV</t>
        </is>
      </c>
      <c r="J308" t="n">
        <v>-1400</v>
      </c>
      <c r="K308" t="n">
        <v>-1400</v>
      </c>
      <c r="O308" t="inlineStr">
        <is>
          <t>Real</t>
        </is>
      </c>
      <c r="P308" t="inlineStr">
        <is>
          <t>Processamento</t>
        </is>
      </c>
      <c r="Q308" t="inlineStr">
        <is>
          <t>08/2026</t>
        </is>
      </c>
      <c r="R308" t="n">
        <v>0</v>
      </c>
    </row>
    <row r="309">
      <c r="A309" t="n">
        <v>262562</v>
      </c>
      <c r="B309" t="inlineStr">
        <is>
          <t>Nuv Gastrobar</t>
        </is>
      </c>
      <c r="C309" t="inlineStr">
        <is>
          <t>SAMILA ALVES DE SOUZA</t>
        </is>
      </c>
      <c r="E309" s="525" t="n">
        <v>46235</v>
      </c>
      <c r="F309" s="525" t="n">
        <v>46269</v>
      </c>
      <c r="G309" t="inlineStr">
        <is>
          <t>Mão de Obra - Salários</t>
        </is>
      </c>
      <c r="H309" t="inlineStr">
        <is>
          <t>MDO CLT - Salário</t>
        </is>
      </c>
      <c r="J309" t="n">
        <v>-886.45</v>
      </c>
      <c r="K309" t="n">
        <v>-886.45</v>
      </c>
      <c r="O309" t="inlineStr">
        <is>
          <t>Real</t>
        </is>
      </c>
      <c r="P309" t="inlineStr">
        <is>
          <t>Processamento</t>
        </is>
      </c>
      <c r="Q309" t="inlineStr">
        <is>
          <t>08/2026</t>
        </is>
      </c>
      <c r="R309" t="n">
        <v>0</v>
      </c>
    </row>
    <row r="310">
      <c r="A310" t="n">
        <v>256050</v>
      </c>
      <c r="B310" t="inlineStr">
        <is>
          <t>Nuv Gastrobar</t>
        </is>
      </c>
      <c r="C310" t="inlineStr">
        <is>
          <t>LENICE DA SILVA ALVES</t>
        </is>
      </c>
      <c r="D310" t="inlineStr">
        <is>
          <t>REC35644 082026</t>
        </is>
      </c>
      <c r="E310" s="525" t="n">
        <v>46235</v>
      </c>
      <c r="F310" s="525" t="n">
        <v>46254</v>
      </c>
      <c r="G310" t="inlineStr">
        <is>
          <t>Mão de Obra - Benefícios</t>
        </is>
      </c>
      <c r="H310" t="inlineStr">
        <is>
          <t xml:space="preserve">  -  Vale-transporte</t>
        </is>
      </c>
      <c r="I310" t="inlineStr">
        <is>
          <t>VT NOVO ADMITIDO - DIA 10/08/2026</t>
        </is>
      </c>
      <c r="J310" t="n">
        <v>-356.44</v>
      </c>
      <c r="K310" t="n">
        <v>-356.44</v>
      </c>
      <c r="O310" t="inlineStr">
        <is>
          <t>Real</t>
        </is>
      </c>
      <c r="P310" t="inlineStr">
        <is>
          <t>Pago</t>
        </is>
      </c>
      <c r="Q310" t="inlineStr">
        <is>
          <t>08/2026</t>
        </is>
      </c>
      <c r="R310" t="n">
        <v>0</v>
      </c>
    </row>
    <row r="311">
      <c r="A311" t="n">
        <v>256051</v>
      </c>
      <c r="B311" t="inlineStr">
        <is>
          <t>Nuv Gastrobar</t>
        </is>
      </c>
      <c r="C311" t="inlineStr">
        <is>
          <t>ATTHOS OLIVEIRA PINTO</t>
        </is>
      </c>
      <c r="D311" t="inlineStr">
        <is>
          <t>REC40660 082026</t>
        </is>
      </c>
      <c r="E311" s="525" t="n">
        <v>46235</v>
      </c>
      <c r="F311" s="525" t="n">
        <v>46254</v>
      </c>
      <c r="G311" t="inlineStr">
        <is>
          <t>Mão de Obra - Benefícios</t>
        </is>
      </c>
      <c r="H311" t="inlineStr">
        <is>
          <t xml:space="preserve">  -  Vale-transporte</t>
        </is>
      </c>
      <c r="I311" t="inlineStr">
        <is>
          <t>VT NOVO ADMITIDO - DIA 10/08/2026</t>
        </is>
      </c>
      <c r="J311" t="n">
        <v>-406.6</v>
      </c>
      <c r="K311" t="n">
        <v>-406.6</v>
      </c>
      <c r="O311" t="inlineStr">
        <is>
          <t>Real</t>
        </is>
      </c>
      <c r="P311" t="inlineStr">
        <is>
          <t>Pago</t>
        </is>
      </c>
      <c r="Q311" t="inlineStr">
        <is>
          <t>08/2026</t>
        </is>
      </c>
      <c r="R311" t="n">
        <v>0</v>
      </c>
    </row>
    <row r="312">
      <c r="A312" t="n">
        <v>262554</v>
      </c>
      <c r="B312" t="inlineStr">
        <is>
          <t>Nuv Gastrobar</t>
        </is>
      </c>
      <c r="C312" t="inlineStr">
        <is>
          <t>LENICE DA SILVA ALVES</t>
        </is>
      </c>
      <c r="E312" s="525" t="n">
        <v>46235</v>
      </c>
      <c r="F312" s="525" t="n">
        <v>46269</v>
      </c>
      <c r="G312" t="inlineStr">
        <is>
          <t>Mão de Obra - Salários</t>
        </is>
      </c>
      <c r="H312" t="inlineStr">
        <is>
          <t>MDO CLT - Salário</t>
        </is>
      </c>
      <c r="J312" t="n">
        <v>-1959.24</v>
      </c>
      <c r="K312" t="n">
        <v>-1959.24</v>
      </c>
      <c r="O312" t="inlineStr">
        <is>
          <t>Real</t>
        </is>
      </c>
      <c r="P312" t="inlineStr">
        <is>
          <t>Processamento</t>
        </is>
      </c>
      <c r="Q312" t="inlineStr">
        <is>
          <t>08/2026</t>
        </is>
      </c>
      <c r="R312" t="n">
        <v>0</v>
      </c>
    </row>
    <row r="313">
      <c r="A313" t="n">
        <v>262555</v>
      </c>
      <c r="B313" t="inlineStr">
        <is>
          <t>Nuv Gastrobar</t>
        </is>
      </c>
      <c r="C313" t="inlineStr">
        <is>
          <t>ALIFFER AUGUSTO DA SILVA SANTOS</t>
        </is>
      </c>
      <c r="E313" s="525" t="n">
        <v>46235</v>
      </c>
      <c r="F313" s="525" t="n">
        <v>46269</v>
      </c>
      <c r="G313" t="inlineStr">
        <is>
          <t>Mão de Obra - Salários</t>
        </is>
      </c>
      <c r="H313" t="inlineStr">
        <is>
          <t>MDO CLT - Salário</t>
        </is>
      </c>
      <c r="J313" t="n">
        <v>-517.1</v>
      </c>
      <c r="K313" t="n">
        <v>-517.1</v>
      </c>
      <c r="O313" t="inlineStr">
        <is>
          <t>Real</t>
        </is>
      </c>
      <c r="P313" t="inlineStr">
        <is>
          <t>Processamento</t>
        </is>
      </c>
      <c r="Q313" t="inlineStr">
        <is>
          <t>08/2026</t>
        </is>
      </c>
      <c r="R313" t="n">
        <v>0</v>
      </c>
    </row>
    <row r="314">
      <c r="A314" t="n">
        <v>262556</v>
      </c>
      <c r="B314" t="inlineStr">
        <is>
          <t>Nuv Gastrobar</t>
        </is>
      </c>
      <c r="C314" t="inlineStr">
        <is>
          <t>ANDREIA OLIVEIRA PLACIDO DA CONCEICAO</t>
        </is>
      </c>
      <c r="E314" s="525" t="n">
        <v>46235</v>
      </c>
      <c r="F314" s="525" t="n">
        <v>46269</v>
      </c>
      <c r="G314" t="inlineStr">
        <is>
          <t>Mão de Obra - Salários</t>
        </is>
      </c>
      <c r="H314" t="inlineStr">
        <is>
          <t>MDO CLT - Salário</t>
        </is>
      </c>
      <c r="J314" t="n">
        <v>-1795.76</v>
      </c>
      <c r="K314" t="n">
        <v>-1795.76</v>
      </c>
      <c r="O314" t="inlineStr">
        <is>
          <t>Real</t>
        </is>
      </c>
      <c r="P314" t="inlineStr">
        <is>
          <t>Processamento</t>
        </is>
      </c>
      <c r="Q314" t="inlineStr">
        <is>
          <t>08/2026</t>
        </is>
      </c>
      <c r="R314" t="n">
        <v>0</v>
      </c>
    </row>
    <row r="315">
      <c r="A315" t="n">
        <v>262557</v>
      </c>
      <c r="B315" t="inlineStr">
        <is>
          <t>Nuv Gastrobar</t>
        </is>
      </c>
      <c r="C315" t="inlineStr">
        <is>
          <t>ATTHOS OLIVEIRA PINTO</t>
        </is>
      </c>
      <c r="E315" s="525" t="n">
        <v>46235</v>
      </c>
      <c r="F315" s="525" t="n">
        <v>46269</v>
      </c>
      <c r="G315" t="inlineStr">
        <is>
          <t>Mão de Obra - Salários</t>
        </is>
      </c>
      <c r="H315" t="inlineStr">
        <is>
          <t>MDO CLT - Salário</t>
        </is>
      </c>
      <c r="J315" t="n">
        <v>-2156</v>
      </c>
      <c r="K315" t="n">
        <v>-2156</v>
      </c>
      <c r="O315" t="inlineStr">
        <is>
          <t>Real</t>
        </is>
      </c>
      <c r="P315" t="inlineStr">
        <is>
          <t>Processamento</t>
        </is>
      </c>
      <c r="Q315" t="inlineStr">
        <is>
          <t>08/2026</t>
        </is>
      </c>
      <c r="R315" t="n">
        <v>0</v>
      </c>
    </row>
    <row r="316">
      <c r="A316" t="n">
        <v>262558</v>
      </c>
      <c r="B316" t="inlineStr">
        <is>
          <t>Nuv Gastrobar</t>
        </is>
      </c>
      <c r="C316" t="inlineStr">
        <is>
          <t>CAROLINE ACARAPI ARUQUIPA</t>
        </is>
      </c>
      <c r="E316" s="525" t="n">
        <v>46235</v>
      </c>
      <c r="F316" s="525" t="n">
        <v>46269</v>
      </c>
      <c r="G316" t="inlineStr">
        <is>
          <t>Mão de Obra - Salários</t>
        </is>
      </c>
      <c r="H316" t="inlineStr">
        <is>
          <t>MDO CLT - Salário</t>
        </is>
      </c>
      <c r="J316" t="n">
        <v>-1841.26</v>
      </c>
      <c r="K316" t="n">
        <v>-1841.26</v>
      </c>
      <c r="O316" t="inlineStr">
        <is>
          <t>Real</t>
        </is>
      </c>
      <c r="P316" t="inlineStr">
        <is>
          <t>Processamento</t>
        </is>
      </c>
      <c r="Q316" t="inlineStr">
        <is>
          <t>08/2026</t>
        </is>
      </c>
      <c r="R316" t="n">
        <v>0</v>
      </c>
    </row>
    <row r="317">
      <c r="A317" t="n">
        <v>262559</v>
      </c>
      <c r="B317" t="inlineStr">
        <is>
          <t>Nuv Gastrobar</t>
        </is>
      </c>
      <c r="C317" t="inlineStr">
        <is>
          <t>CINTIA CARAMICO</t>
        </is>
      </c>
      <c r="E317" s="525" t="n">
        <v>46235</v>
      </c>
      <c r="F317" s="525" t="n">
        <v>46269</v>
      </c>
      <c r="G317" t="inlineStr">
        <is>
          <t>Mão de Obra - Salários</t>
        </is>
      </c>
      <c r="H317" t="inlineStr">
        <is>
          <t>MDO CLT - Salário</t>
        </is>
      </c>
      <c r="J317" t="n">
        <v>-1542.6</v>
      </c>
      <c r="K317" t="n">
        <v>-1542.6</v>
      </c>
      <c r="O317" t="inlineStr">
        <is>
          <t>Real</t>
        </is>
      </c>
      <c r="P317" t="inlineStr">
        <is>
          <t>Processamento</t>
        </is>
      </c>
      <c r="Q317" t="inlineStr">
        <is>
          <t>08/2026</t>
        </is>
      </c>
      <c r="R317" t="n">
        <v>0</v>
      </c>
    </row>
    <row r="318">
      <c r="A318" t="n">
        <v>262560</v>
      </c>
      <c r="B318" t="inlineStr">
        <is>
          <t>Nuv Gastrobar</t>
        </is>
      </c>
      <c r="C318" t="inlineStr">
        <is>
          <t>KESSYA JHENNYFER SILVA DO NASCIMENTO</t>
        </is>
      </c>
      <c r="E318" s="525" t="n">
        <v>46235</v>
      </c>
      <c r="F318" s="525" t="n">
        <v>46269</v>
      </c>
      <c r="G318" t="inlineStr">
        <is>
          <t>Mão de Obra - Salários</t>
        </is>
      </c>
      <c r="H318" t="inlineStr">
        <is>
          <t>MDO CLT - Salário</t>
        </is>
      </c>
      <c r="J318" t="n">
        <v>-1768.62</v>
      </c>
      <c r="K318" t="n">
        <v>-1768.62</v>
      </c>
      <c r="O318" t="inlineStr">
        <is>
          <t>Real</t>
        </is>
      </c>
      <c r="P318" t="inlineStr">
        <is>
          <t>Processamento</t>
        </is>
      </c>
      <c r="Q318" t="inlineStr">
        <is>
          <t>08/2026</t>
        </is>
      </c>
      <c r="R318" t="n">
        <v>0</v>
      </c>
    </row>
    <row r="319">
      <c r="A319" t="n">
        <v>262561</v>
      </c>
      <c r="B319" t="inlineStr">
        <is>
          <t>Nuv Gastrobar</t>
        </is>
      </c>
      <c r="C319" t="inlineStr">
        <is>
          <t>LUCA CARDOSO DE ALMEIDA</t>
        </is>
      </c>
      <c r="E319" s="525" t="n">
        <v>46235</v>
      </c>
      <c r="F319" s="525" t="n">
        <v>46269</v>
      </c>
      <c r="G319" t="inlineStr">
        <is>
          <t>Mão de Obra - Salários</t>
        </is>
      </c>
      <c r="H319" t="inlineStr">
        <is>
          <t>MDO CLT - Salário</t>
        </is>
      </c>
      <c r="J319" t="n">
        <v>-812.5700000000001</v>
      </c>
      <c r="K319" t="n">
        <v>-812.5700000000001</v>
      </c>
      <c r="O319" t="inlineStr">
        <is>
          <t>Real</t>
        </is>
      </c>
      <c r="P319" t="inlineStr">
        <is>
          <t>Processamento</t>
        </is>
      </c>
      <c r="Q319" t="inlineStr">
        <is>
          <t>08/2026</t>
        </is>
      </c>
      <c r="R319" t="n">
        <v>0</v>
      </c>
    </row>
    <row r="320">
      <c r="A320" t="n">
        <v>262563</v>
      </c>
      <c r="B320" t="inlineStr">
        <is>
          <t>Nuv Gastrobar</t>
        </is>
      </c>
      <c r="C320" t="inlineStr">
        <is>
          <t>SUELEN FAUSTINO BARRETO</t>
        </is>
      </c>
      <c r="E320" s="525" t="n">
        <v>46235</v>
      </c>
      <c r="F320" s="525" t="n">
        <v>46269</v>
      </c>
      <c r="G320" t="inlineStr">
        <is>
          <t>Mão de Obra - Salários</t>
        </is>
      </c>
      <c r="H320" t="inlineStr">
        <is>
          <t>MDO CLT - Salário</t>
        </is>
      </c>
      <c r="J320" t="n">
        <v>-1925.29</v>
      </c>
      <c r="K320" t="n">
        <v>-1925.29</v>
      </c>
      <c r="O320" t="inlineStr">
        <is>
          <t>Real</t>
        </is>
      </c>
      <c r="P320" t="inlineStr">
        <is>
          <t>Processamento</t>
        </is>
      </c>
      <c r="Q320" t="inlineStr">
        <is>
          <t>08/2026</t>
        </is>
      </c>
      <c r="R320" t="n">
        <v>0</v>
      </c>
    </row>
    <row r="321">
      <c r="A321" t="n">
        <v>262565</v>
      </c>
      <c r="B321" t="inlineStr">
        <is>
          <t>Nuv Gastrobar</t>
        </is>
      </c>
      <c r="C321" t="inlineStr">
        <is>
          <t>VINICIUS EUGENIO DA SILVA</t>
        </is>
      </c>
      <c r="E321" s="525" t="n">
        <v>46235</v>
      </c>
      <c r="F321" s="525" t="n">
        <v>46269</v>
      </c>
      <c r="G321" t="inlineStr">
        <is>
          <t>Mão de Obra - Salários</t>
        </is>
      </c>
      <c r="H321" t="inlineStr">
        <is>
          <t>MDO CLT - Salário</t>
        </is>
      </c>
      <c r="J321" t="n">
        <v>-961.86</v>
      </c>
      <c r="K321" t="n">
        <v>-961.86</v>
      </c>
      <c r="O321" t="inlineStr">
        <is>
          <t>Real</t>
        </is>
      </c>
      <c r="P321" t="inlineStr">
        <is>
          <t>Processamento</t>
        </is>
      </c>
      <c r="Q321" t="inlineStr">
        <is>
          <t>08/2026</t>
        </is>
      </c>
      <c r="R321" t="n">
        <v>0</v>
      </c>
    </row>
    <row r="322">
      <c r="A322" t="n">
        <v>262566</v>
      </c>
      <c r="B322" t="inlineStr">
        <is>
          <t>Nuv Gastrobar</t>
        </is>
      </c>
      <c r="C322" t="inlineStr">
        <is>
          <t>WESLEY MATEUS BATISTA RAMOS</t>
        </is>
      </c>
      <c r="E322" s="525" t="n">
        <v>46235</v>
      </c>
      <c r="F322" s="525" t="n">
        <v>46269</v>
      </c>
      <c r="G322" t="inlineStr">
        <is>
          <t>Mão de Obra - Salários</t>
        </is>
      </c>
      <c r="H322" t="inlineStr">
        <is>
          <t>MDO CLT - Salário</t>
        </is>
      </c>
      <c r="J322" t="n">
        <v>-1841.26</v>
      </c>
      <c r="K322" t="n">
        <v>-1841.26</v>
      </c>
      <c r="O322" t="inlineStr">
        <is>
          <t>Real</t>
        </is>
      </c>
      <c r="P322" t="inlineStr">
        <is>
          <t>Processamento</t>
        </is>
      </c>
      <c r="Q322" t="inlineStr">
        <is>
          <t>08/2026</t>
        </is>
      </c>
      <c r="R322" t="n">
        <v>0</v>
      </c>
    </row>
    <row r="323">
      <c r="A323" t="n">
        <v>262567</v>
      </c>
      <c r="B323" t="inlineStr">
        <is>
          <t>Nuv Gastrobar</t>
        </is>
      </c>
      <c r="C323" t="inlineStr">
        <is>
          <t>RICARDO FELICIANGELI MEGALE</t>
        </is>
      </c>
      <c r="E323" s="525" t="n">
        <v>46235</v>
      </c>
      <c r="F323" s="525" t="n">
        <v>46269</v>
      </c>
      <c r="G323" t="inlineStr">
        <is>
          <t>Mão de Obra - Salários</t>
        </is>
      </c>
      <c r="H323" t="inlineStr">
        <is>
          <t>MDO CLT - Salário</t>
        </is>
      </c>
      <c r="J323" t="n">
        <v>-2750.01</v>
      </c>
      <c r="K323" t="n">
        <v>-2750.01</v>
      </c>
      <c r="O323" t="inlineStr">
        <is>
          <t>Real</t>
        </is>
      </c>
      <c r="P323" t="inlineStr">
        <is>
          <t>Processamento</t>
        </is>
      </c>
      <c r="Q323" t="inlineStr">
        <is>
          <t>08/2026</t>
        </is>
      </c>
      <c r="R323" t="n">
        <v>0</v>
      </c>
    </row>
    <row r="324">
      <c r="A324" t="n">
        <v>256052</v>
      </c>
      <c r="B324" t="inlineStr">
        <is>
          <t>Nuv Gastrobar</t>
        </is>
      </c>
      <c r="C324" t="inlineStr">
        <is>
          <t>ANDREIA OLIVEIRA PLACIDO DA CONCEICAO</t>
        </is>
      </c>
      <c r="D324" t="inlineStr">
        <is>
          <t>REC18190 082026</t>
        </is>
      </c>
      <c r="E324" s="525" t="n">
        <v>46235</v>
      </c>
      <c r="F324" s="525" t="n">
        <v>46254</v>
      </c>
      <c r="G324" t="inlineStr">
        <is>
          <t>Mão de Obra - Benefícios</t>
        </is>
      </c>
      <c r="H324" t="inlineStr">
        <is>
          <t xml:space="preserve">  -  Vale-transporte</t>
        </is>
      </c>
      <c r="I324" t="inlineStr">
        <is>
          <t>VT NOVO ADMITIDO - DIA 12/08/2026</t>
        </is>
      </c>
      <c r="J324" t="n">
        <v>-181.9</v>
      </c>
      <c r="K324" t="n">
        <v>-181.9</v>
      </c>
      <c r="O324" t="inlineStr">
        <is>
          <t>Real</t>
        </is>
      </c>
      <c r="P324" t="inlineStr">
        <is>
          <t>Pago</t>
        </is>
      </c>
      <c r="Q324" t="inlineStr">
        <is>
          <t>08/2026</t>
        </is>
      </c>
      <c r="R324" t="n">
        <v>0</v>
      </c>
    </row>
    <row r="325">
      <c r="A325" t="n">
        <v>256053</v>
      </c>
      <c r="B325" t="inlineStr">
        <is>
          <t>Nuv Gastrobar</t>
        </is>
      </c>
      <c r="C325" t="inlineStr">
        <is>
          <t>WESLEY MATEUS BATISTA RAMOS</t>
        </is>
      </c>
      <c r="D325" t="inlineStr">
        <is>
          <t>REC31892 082026</t>
        </is>
      </c>
      <c r="E325" s="525" t="n">
        <v>46235</v>
      </c>
      <c r="F325" s="525" t="n">
        <v>46254</v>
      </c>
      <c r="G325" t="inlineStr">
        <is>
          <t>Mão de Obra - Benefícios</t>
        </is>
      </c>
      <c r="H325" t="inlineStr">
        <is>
          <t xml:space="preserve">  -  Vale-transporte</t>
        </is>
      </c>
      <c r="I325" t="inlineStr">
        <is>
          <t>VT NOVO ADMITIDO - DIA 12/08/2026</t>
        </is>
      </c>
      <c r="J325" t="n">
        <v>-318.92</v>
      </c>
      <c r="K325" t="n">
        <v>-318.92</v>
      </c>
      <c r="O325" t="inlineStr">
        <is>
          <t>Real</t>
        </is>
      </c>
      <c r="P325" t="inlineStr">
        <is>
          <t>Pago</t>
        </is>
      </c>
      <c r="Q325" t="inlineStr">
        <is>
          <t>08/2026</t>
        </is>
      </c>
      <c r="R325" t="n">
        <v>0</v>
      </c>
    </row>
    <row r="326">
      <c r="A326" t="n">
        <v>254726</v>
      </c>
      <c r="B326" t="inlineStr">
        <is>
          <t>Nuv Gastrobar</t>
        </is>
      </c>
      <c r="C326" t="inlineStr">
        <is>
          <t xml:space="preserve">ABRASEL SAO PAULO </t>
        </is>
      </c>
      <c r="D326" t="inlineStr">
        <is>
          <t>201966</t>
        </is>
      </c>
      <c r="E326" s="525" t="n">
        <v>46235</v>
      </c>
      <c r="F326" s="525" t="n">
        <v>46240</v>
      </c>
      <c r="G326" t="inlineStr">
        <is>
          <t>Serviços de Terceiros</t>
        </is>
      </c>
      <c r="H326" t="inlineStr">
        <is>
          <t>Assessoria Financeira</t>
        </is>
      </c>
      <c r="I326" t="inlineStr">
        <is>
          <t>ABRASEL - 08/2026</t>
        </is>
      </c>
      <c r="J326" t="n">
        <v>-185</v>
      </c>
      <c r="K326" t="n">
        <v>-185</v>
      </c>
      <c r="O326" t="inlineStr">
        <is>
          <t>Real</t>
        </is>
      </c>
      <c r="P326" t="inlineStr">
        <is>
          <t>Pago</t>
        </is>
      </c>
      <c r="Q326" t="inlineStr">
        <is>
          <t>08/2026</t>
        </is>
      </c>
      <c r="R326" t="n">
        <v>0</v>
      </c>
    </row>
    <row r="327">
      <c r="A327" t="n">
        <v>262564</v>
      </c>
      <c r="B327" t="inlineStr">
        <is>
          <t>Nuv Gastrobar</t>
        </is>
      </c>
      <c r="C327" t="inlineStr">
        <is>
          <t>THAYNARA SANTOS MENDES</t>
        </is>
      </c>
      <c r="E327" s="525" t="n">
        <v>46235</v>
      </c>
      <c r="F327" s="525" t="n">
        <v>46269</v>
      </c>
      <c r="G327" t="inlineStr">
        <is>
          <t>Mão de Obra - Salários</t>
        </is>
      </c>
      <c r="H327" t="inlineStr">
        <is>
          <t>MDO CLT - Salário</t>
        </is>
      </c>
      <c r="J327" t="n">
        <v>-1841.26</v>
      </c>
      <c r="K327" t="n">
        <v>-1841.26</v>
      </c>
      <c r="O327" t="inlineStr">
        <is>
          <t>Real</t>
        </is>
      </c>
      <c r="P327" t="inlineStr">
        <is>
          <t>Processamento</t>
        </is>
      </c>
      <c r="Q327" t="inlineStr">
        <is>
          <t>08/2026</t>
        </is>
      </c>
      <c r="R327" t="n">
        <v>0</v>
      </c>
    </row>
    <row r="328">
      <c r="A328" t="n">
        <v>252888</v>
      </c>
      <c r="B328" t="inlineStr">
        <is>
          <t>Nuv Gastrobar</t>
        </is>
      </c>
      <c r="C328" t="inlineStr">
        <is>
          <t>YURASH DESING</t>
        </is>
      </c>
      <c r="D328" t="inlineStr">
        <is>
          <t>3446</t>
        </is>
      </c>
      <c r="E328" s="525" t="n">
        <v>46234</v>
      </c>
      <c r="F328" s="525" t="n">
        <v>46244</v>
      </c>
      <c r="G328" t="inlineStr">
        <is>
          <t>Investimento - CAPEX</t>
        </is>
      </c>
      <c r="H328" t="inlineStr">
        <is>
          <t>Investimento - Mobiliário e Decoração</t>
        </is>
      </c>
      <c r="I328" t="inlineStr">
        <is>
          <t>PLAQUINHAS DE NUMEROS DE MESA PARC 2/2</t>
        </is>
      </c>
      <c r="J328" t="n">
        <v>-315.25</v>
      </c>
      <c r="K328" t="n">
        <v>-315.25</v>
      </c>
      <c r="O328" t="inlineStr">
        <is>
          <t>Real</t>
        </is>
      </c>
      <c r="P328" t="inlineStr">
        <is>
          <t>Pago</t>
        </is>
      </c>
      <c r="Q328" t="inlineStr">
        <is>
          <t>07/2026</t>
        </is>
      </c>
      <c r="R328" t="n">
        <v>0</v>
      </c>
    </row>
    <row r="329">
      <c r="A329" t="n">
        <v>252887</v>
      </c>
      <c r="B329" t="inlineStr">
        <is>
          <t>Nuv Gastrobar</t>
        </is>
      </c>
      <c r="C329" t="inlineStr">
        <is>
          <t>YURASH DESING</t>
        </is>
      </c>
      <c r="D329" t="inlineStr">
        <is>
          <t>3446</t>
        </is>
      </c>
      <c r="E329" s="525" t="n">
        <v>46234</v>
      </c>
      <c r="F329" s="525" t="n">
        <v>46237</v>
      </c>
      <c r="G329" t="inlineStr">
        <is>
          <t>Investimento - CAPEX</t>
        </is>
      </c>
      <c r="H329" t="inlineStr">
        <is>
          <t>Investimento - Mobiliário e Decoração</t>
        </is>
      </c>
      <c r="I329" t="inlineStr">
        <is>
          <t>PLAQUINHAS DE NUMEROS DE MESA PARC 1/2</t>
        </is>
      </c>
      <c r="J329" t="n">
        <v>-315.25</v>
      </c>
      <c r="K329" t="n">
        <v>-315.25</v>
      </c>
      <c r="O329" t="inlineStr">
        <is>
          <t>Real</t>
        </is>
      </c>
      <c r="P329" t="inlineStr">
        <is>
          <t>Pago</t>
        </is>
      </c>
      <c r="Q329" t="inlineStr">
        <is>
          <t>07/2026</t>
        </is>
      </c>
      <c r="R329" t="n">
        <v>0</v>
      </c>
    </row>
    <row r="330">
      <c r="A330" t="n">
        <v>252292</v>
      </c>
      <c r="B330" t="inlineStr">
        <is>
          <t>Nuv Gastrobar</t>
        </is>
      </c>
      <c r="C330" t="inlineStr">
        <is>
          <t xml:space="preserve">PAULO CESAR BARAO DE MELO ME </t>
        </is>
      </c>
      <c r="D330" t="inlineStr">
        <is>
          <t>5320072026</t>
        </is>
      </c>
      <c r="E330" s="525" t="n">
        <v>46233</v>
      </c>
      <c r="F330" s="525" t="n">
        <v>46233</v>
      </c>
      <c r="G330" t="inlineStr">
        <is>
          <t>Investimento - CAPEX</t>
        </is>
      </c>
      <c r="H330" t="inlineStr">
        <is>
          <t>Investimento - Uniformes</t>
        </is>
      </c>
      <c r="I330" t="inlineStr">
        <is>
          <t>PLAQUINHAS DE IDENTIFICAÇÃO NUV</t>
        </is>
      </c>
      <c r="J330" t="n">
        <v>-532</v>
      </c>
      <c r="K330" t="n">
        <v>-532</v>
      </c>
      <c r="O330" t="inlineStr">
        <is>
          <t>Real</t>
        </is>
      </c>
      <c r="P330" t="inlineStr">
        <is>
          <t>Pago</t>
        </is>
      </c>
      <c r="Q330" t="inlineStr">
        <is>
          <t>07/2026</t>
        </is>
      </c>
      <c r="R330" t="n">
        <v>0</v>
      </c>
    </row>
    <row r="331">
      <c r="A331" t="n">
        <v>252696</v>
      </c>
      <c r="B331" t="inlineStr">
        <is>
          <t>Nuv Gastrobar</t>
        </is>
      </c>
      <c r="C331" t="inlineStr">
        <is>
          <t xml:space="preserve">KAMINO INSTITUICAO DE PAGAMENTO LTDA </t>
        </is>
      </c>
      <c r="D331" t="inlineStr">
        <is>
          <t>30072026</t>
        </is>
      </c>
      <c r="E331" s="525" t="n">
        <v>46233</v>
      </c>
      <c r="F331" s="525" t="n">
        <v>46233</v>
      </c>
      <c r="G331" t="inlineStr">
        <is>
          <t>Despesas Financeiras</t>
        </is>
      </c>
      <c r="H331" t="inlineStr">
        <is>
          <t>Tarifas Bancárias</t>
        </is>
      </c>
      <c r="J331" t="n">
        <v>-0.5</v>
      </c>
      <c r="K331" t="n">
        <v>-0.5</v>
      </c>
      <c r="O331" t="inlineStr">
        <is>
          <t>Real</t>
        </is>
      </c>
      <c r="P331" t="inlineStr">
        <is>
          <t>Pago</t>
        </is>
      </c>
      <c r="Q331" t="inlineStr">
        <is>
          <t>07/2026</t>
        </is>
      </c>
      <c r="R331" t="n">
        <v>0</v>
      </c>
    </row>
    <row r="332">
      <c r="A332" t="n">
        <v>251892</v>
      </c>
      <c r="B332" t="inlineStr">
        <is>
          <t>Nuv Gastrobar</t>
        </is>
      </c>
      <c r="C332" t="inlineStr">
        <is>
          <t>RPRATES TECHNOLOGY LTDA</t>
        </is>
      </c>
      <c r="D332" t="inlineStr">
        <is>
          <t>1</t>
        </is>
      </c>
      <c r="E332" s="525" t="n">
        <v>46232</v>
      </c>
      <c r="F332" s="525" t="n">
        <v>46247</v>
      </c>
      <c r="G332" t="inlineStr">
        <is>
          <t>Investimento - CAPEX</t>
        </is>
      </c>
      <c r="H332" t="inlineStr">
        <is>
          <t>Investimento - Projetos</t>
        </is>
      </c>
      <c r="I332" t="inlineStr">
        <is>
          <t>Instalação de infra de rede Nuv Gastrobar</t>
        </is>
      </c>
      <c r="J332" t="n">
        <v>-17608.2</v>
      </c>
      <c r="K332" t="n">
        <v>-17608.2</v>
      </c>
      <c r="O332" t="inlineStr">
        <is>
          <t>Real</t>
        </is>
      </c>
      <c r="P332" t="inlineStr">
        <is>
          <t>Colocado no Banco</t>
        </is>
      </c>
      <c r="Q332" t="inlineStr">
        <is>
          <t>07/2026</t>
        </is>
      </c>
      <c r="R332" t="n">
        <v>0</v>
      </c>
    </row>
    <row r="333">
      <c r="A333" t="n">
        <v>251887</v>
      </c>
      <c r="B333" t="inlineStr">
        <is>
          <t>Nuv Gastrobar</t>
        </is>
      </c>
      <c r="C333" t="inlineStr">
        <is>
          <t>EBAZAR.COM.BR LTDA (MERCADO LIVRE)</t>
        </is>
      </c>
      <c r="D333" t="inlineStr">
        <is>
          <t>1</t>
        </is>
      </c>
      <c r="E333" s="525" t="n">
        <v>46232</v>
      </c>
      <c r="F333" s="525" t="n">
        <v>46237</v>
      </c>
      <c r="G333" t="inlineStr">
        <is>
          <t>Investimento - CAPEX</t>
        </is>
      </c>
      <c r="H333" t="inlineStr">
        <is>
          <t>Investimento - Projetos</t>
        </is>
      </c>
      <c r="I333" t="inlineStr">
        <is>
          <t xml:space="preserve"> Compra de 4 impressoras + 1 mini PC p/ monitoramento</t>
        </is>
      </c>
      <c r="J333" t="n">
        <v>-4375.9</v>
      </c>
      <c r="K333" t="n">
        <v>-4375.9</v>
      </c>
      <c r="O333" t="inlineStr">
        <is>
          <t>Real</t>
        </is>
      </c>
      <c r="P333" t="inlineStr">
        <is>
          <t>Pago</t>
        </is>
      </c>
      <c r="Q333" t="inlineStr">
        <is>
          <t>07/2026</t>
        </is>
      </c>
      <c r="R333" t="n">
        <v>0</v>
      </c>
    </row>
    <row r="334">
      <c r="A334" t="n">
        <v>252293</v>
      </c>
      <c r="B334" t="inlineStr">
        <is>
          <t>Nuv Gastrobar</t>
        </is>
      </c>
      <c r="C334" t="inlineStr">
        <is>
          <t>COMERCIAL GOMES</t>
        </is>
      </c>
      <c r="D334" t="inlineStr">
        <is>
          <t>83146</t>
        </is>
      </c>
      <c r="E334" s="525" t="n">
        <v>46232</v>
      </c>
      <c r="F334" s="525" t="n">
        <v>46233</v>
      </c>
      <c r="G334" t="inlineStr">
        <is>
          <t>Investimento - CAPEX</t>
        </is>
      </c>
      <c r="H334" t="inlineStr">
        <is>
          <t>Investimento - Utensílios</t>
        </is>
      </c>
      <c r="I334" t="inlineStr">
        <is>
          <t>JOGO DE XICARAS</t>
        </is>
      </c>
      <c r="J334" t="n">
        <v>-1538.86</v>
      </c>
      <c r="K334" t="n">
        <v>-1538.86</v>
      </c>
      <c r="O334" t="inlineStr">
        <is>
          <t>Real</t>
        </is>
      </c>
      <c r="P334" t="inlineStr">
        <is>
          <t>Pago</t>
        </is>
      </c>
      <c r="Q334" t="inlineStr">
        <is>
          <t>07/2026</t>
        </is>
      </c>
      <c r="R334" t="n">
        <v>0</v>
      </c>
    </row>
    <row r="335">
      <c r="A335" t="n">
        <v>251890</v>
      </c>
      <c r="B335" t="inlineStr">
        <is>
          <t>Nuv Gastrobar</t>
        </is>
      </c>
      <c r="C335" t="inlineStr">
        <is>
          <t>UBIQUITI BRAZIL COMERCIO DE ELETRONICOS LTDA</t>
        </is>
      </c>
      <c r="D335" t="inlineStr">
        <is>
          <t>1</t>
        </is>
      </c>
      <c r="E335" s="525" t="n">
        <v>46232</v>
      </c>
      <c r="F335" s="525" t="n">
        <v>46237</v>
      </c>
      <c r="G335" t="inlineStr">
        <is>
          <t>Investimento - CAPEX</t>
        </is>
      </c>
      <c r="H335" t="inlineStr">
        <is>
          <t>Investimento - Projetos</t>
        </is>
      </c>
      <c r="I335" t="inlineStr">
        <is>
          <t>Compra de antenas, Switch e roteador</t>
        </is>
      </c>
      <c r="J335" t="n">
        <v>-8389</v>
      </c>
      <c r="K335" t="n">
        <v>-8389</v>
      </c>
      <c r="O335" t="inlineStr">
        <is>
          <t>Real</t>
        </is>
      </c>
      <c r="P335" t="inlineStr">
        <is>
          <t>Pago</t>
        </is>
      </c>
      <c r="Q335" t="inlineStr">
        <is>
          <t>07/2026</t>
        </is>
      </c>
      <c r="R335" t="n">
        <v>0</v>
      </c>
    </row>
    <row r="336">
      <c r="A336" t="n">
        <v>247747</v>
      </c>
      <c r="B336" t="inlineStr">
        <is>
          <t>Nuv Gastrobar</t>
        </is>
      </c>
      <c r="C336" t="inlineStr">
        <is>
          <t>MACRO CONTABILIDADE E CONSULTORIA LTDA</t>
        </is>
      </c>
      <c r="D336" t="inlineStr">
        <is>
          <t>4498</t>
        </is>
      </c>
      <c r="E336" s="525" t="n">
        <v>46218</v>
      </c>
      <c r="F336" s="525" t="n">
        <v>46233</v>
      </c>
      <c r="G336" t="inlineStr">
        <is>
          <t>Serviços de Terceiros</t>
        </is>
      </c>
      <c r="H336" t="inlineStr">
        <is>
          <t>Assessoria Contabil</t>
        </is>
      </c>
      <c r="I336" t="inlineStr">
        <is>
          <t>REGISTRO EXPRESSO - Associação Comercial - 1ª Instrumento Particular de Alteração e Consolidação do Contrato Social SALENTO</t>
        </is>
      </c>
      <c r="J336" t="n">
        <v>-189.79</v>
      </c>
      <c r="K336" t="n">
        <v>-189.79</v>
      </c>
      <c r="O336" t="inlineStr">
        <is>
          <t>Real</t>
        </is>
      </c>
      <c r="P336" t="inlineStr">
        <is>
          <t>Pago</t>
        </is>
      </c>
      <c r="Q336" t="inlineStr">
        <is>
          <t>07/2026</t>
        </is>
      </c>
      <c r="R336" t="n">
        <v>0</v>
      </c>
    </row>
    <row r="337">
      <c r="A337" t="n">
        <v>246876</v>
      </c>
      <c r="B337" t="inlineStr">
        <is>
          <t>Nuv Gastrobar</t>
        </is>
      </c>
      <c r="C337" t="inlineStr">
        <is>
          <t>DARE - SP</t>
        </is>
      </c>
      <c r="D337" t="inlineStr">
        <is>
          <t>260590150971433-0001</t>
        </is>
      </c>
      <c r="E337" s="525" t="n">
        <v>46217</v>
      </c>
      <c r="F337" s="525" t="n">
        <v>46218</v>
      </c>
      <c r="G337" t="inlineStr">
        <is>
          <t>Serviços de Terceiros</t>
        </is>
      </c>
      <c r="H337" t="inlineStr">
        <is>
          <t>Assessoria Contabil</t>
        </is>
      </c>
      <c r="I337" t="inlineStr">
        <is>
          <t>DARE CUSTAS ALTERAÇÃO CONTRATUAL SALENTO</t>
        </is>
      </c>
      <c r="J337" t="n">
        <v>-218.99</v>
      </c>
      <c r="K337" t="n">
        <v>-218.99</v>
      </c>
      <c r="O337" t="inlineStr">
        <is>
          <t>Real</t>
        </is>
      </c>
      <c r="P337" t="inlineStr">
        <is>
          <t>Pago</t>
        </is>
      </c>
      <c r="Q337" t="inlineStr">
        <is>
          <t>07/2026</t>
        </is>
      </c>
      <c r="R3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tdr_ID</t>
        </is>
      </c>
      <c r="B1" t="inlineStr">
        <is>
          <t>ID_Loja</t>
        </is>
      </c>
      <c r="C1" t="inlineStr">
        <is>
          <t>Loja</t>
        </is>
      </c>
      <c r="D1" t="inlineStr">
        <is>
          <t>Fornecedor</t>
        </is>
      </c>
      <c r="E1" t="inlineStr">
        <is>
          <t>Doc_Serie</t>
        </is>
      </c>
      <c r="F1" t="inlineStr">
        <is>
          <t>Data_Emissao</t>
        </is>
      </c>
      <c r="G1" t="inlineStr">
        <is>
          <t>Data_Recebimento</t>
        </is>
      </c>
      <c r="H1" t="inlineStr">
        <is>
          <t>Data_Vencimento</t>
        </is>
      </c>
      <c r="I1" t="inlineStr">
        <is>
          <t>Valor_Liquido</t>
        </is>
      </c>
      <c r="J1" t="inlineStr">
        <is>
          <t>Valor_Cotacao</t>
        </is>
      </c>
      <c r="K1" t="inlineStr">
        <is>
          <t>Valor_Liq_Alimentos</t>
        </is>
      </c>
      <c r="L1" t="inlineStr">
        <is>
          <t>Valor_Liq_Bebidas</t>
        </is>
      </c>
      <c r="M1" t="inlineStr">
        <is>
          <t>Valor_Liq_Descart_Hig_Limp</t>
        </is>
      </c>
      <c r="N1" t="inlineStr">
        <is>
          <t>Valor_Gelo_Gas_Carvao_Velas</t>
        </is>
      </c>
      <c r="O1" t="inlineStr">
        <is>
          <t>Valor_Utensilios</t>
        </is>
      </c>
      <c r="P1" t="inlineStr">
        <is>
          <t>Valor_Liq_Outros</t>
        </is>
      </c>
      <c r="Q1" t="inlineStr">
        <is>
          <t>Mes_Texto</t>
        </is>
      </c>
    </row>
    <row r="2">
      <c r="A2" t="n">
        <v>263882</v>
      </c>
      <c r="B2" t="n">
        <v>180</v>
      </c>
      <c r="C2" t="inlineStr">
        <is>
          <t>Nuv Gastrobar</t>
        </is>
      </c>
      <c r="D2" t="inlineStr">
        <is>
          <t>NESTLE BRASIL LTDA</t>
        </is>
      </c>
      <c r="E2" t="inlineStr">
        <is>
          <t>6948276</t>
        </is>
      </c>
      <c r="F2" s="525" t="n">
        <v>46266</v>
      </c>
      <c r="G2" s="525" t="n">
        <v>46267</v>
      </c>
      <c r="H2" s="525" t="n">
        <v>46294</v>
      </c>
      <c r="I2" t="n">
        <v>280</v>
      </c>
      <c r="J2" t="n">
        <v>0</v>
      </c>
      <c r="Q2" t="inlineStr">
        <is>
          <t>09/2026</t>
        </is>
      </c>
    </row>
    <row r="3">
      <c r="A3" t="n">
        <v>263880</v>
      </c>
      <c r="B3" t="n">
        <v>180</v>
      </c>
      <c r="C3" t="inlineStr">
        <is>
          <t>Nuv Gastrobar</t>
        </is>
      </c>
      <c r="D3" t="inlineStr">
        <is>
          <t xml:space="preserve">BETEL SOLUCOES EM HIGIENIZACAO LTDA </t>
        </is>
      </c>
      <c r="E3" t="inlineStr">
        <is>
          <t>1558</t>
        </is>
      </c>
      <c r="F3" s="525" t="n">
        <v>46266</v>
      </c>
      <c r="G3" s="525" t="n">
        <v>46275</v>
      </c>
      <c r="H3" s="525" t="n">
        <v>46279</v>
      </c>
      <c r="I3" t="n">
        <v>224.7</v>
      </c>
      <c r="J3" t="n">
        <v>224.7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224.7</v>
      </c>
      <c r="Q3" t="inlineStr">
        <is>
          <t>09/2026</t>
        </is>
      </c>
    </row>
    <row r="4">
      <c r="A4" t="n">
        <v>263559</v>
      </c>
      <c r="B4" t="n">
        <v>180</v>
      </c>
      <c r="C4" t="inlineStr">
        <is>
          <t>Nuv Gastrobar</t>
        </is>
      </c>
      <c r="D4" t="inlineStr">
        <is>
          <t>T F CIUFF HORTIFRUTI LTDA</t>
        </is>
      </c>
      <c r="E4" t="inlineStr">
        <is>
          <t>33450</t>
        </is>
      </c>
      <c r="F4" s="525" t="n">
        <v>46268</v>
      </c>
      <c r="G4" s="525" t="n">
        <v>46269</v>
      </c>
      <c r="H4" s="525" t="n">
        <v>46296</v>
      </c>
      <c r="I4" t="n">
        <v>58.85</v>
      </c>
      <c r="J4" t="n">
        <v>58.85</v>
      </c>
      <c r="K4" t="n">
        <v>58.85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09/2026</t>
        </is>
      </c>
    </row>
    <row r="5">
      <c r="A5" t="n">
        <v>263558</v>
      </c>
      <c r="B5" t="n">
        <v>180</v>
      </c>
      <c r="C5" t="inlineStr">
        <is>
          <t>Nuv Gastrobar</t>
        </is>
      </c>
      <c r="D5" t="inlineStr">
        <is>
          <t>FG7 COMERCIO E DISTRIBUICAO DE BEBIDAS LTDA</t>
        </is>
      </c>
      <c r="E5" t="inlineStr">
        <is>
          <t>844125</t>
        </is>
      </c>
      <c r="F5" s="525" t="n">
        <v>46267</v>
      </c>
      <c r="G5" s="525" t="n">
        <v>46269</v>
      </c>
      <c r="H5" s="525" t="n">
        <v>46295</v>
      </c>
      <c r="I5" t="n">
        <v>423.48</v>
      </c>
      <c r="J5" t="n">
        <v>423.48</v>
      </c>
      <c r="K5" t="n">
        <v>0</v>
      </c>
      <c r="L5" t="n">
        <v>423.48</v>
      </c>
      <c r="M5" t="n">
        <v>0</v>
      </c>
      <c r="N5" t="n">
        <v>0</v>
      </c>
      <c r="O5" t="n">
        <v>0</v>
      </c>
      <c r="P5" t="n">
        <v>0</v>
      </c>
      <c r="Q5" t="inlineStr">
        <is>
          <t>09/2026</t>
        </is>
      </c>
    </row>
    <row r="6">
      <c r="A6" t="n">
        <v>263446</v>
      </c>
      <c r="B6" t="n">
        <v>180</v>
      </c>
      <c r="C6" t="inlineStr">
        <is>
          <t>Nuv Gastrobar</t>
        </is>
      </c>
      <c r="D6" t="inlineStr">
        <is>
          <t>SPAL INDUSTRIA BRASILEIRA DE BEBIDAS S A</t>
        </is>
      </c>
      <c r="E6" t="inlineStr">
        <is>
          <t>11406844</t>
        </is>
      </c>
      <c r="F6" s="525" t="n">
        <v>46268</v>
      </c>
      <c r="G6" s="525" t="n">
        <v>46269</v>
      </c>
      <c r="H6" s="525" t="n">
        <v>46276</v>
      </c>
      <c r="I6" t="n">
        <v>210.8</v>
      </c>
      <c r="J6" t="n">
        <v>180.1</v>
      </c>
      <c r="K6" t="n">
        <v>0</v>
      </c>
      <c r="L6" t="n">
        <v>210.8</v>
      </c>
      <c r="M6" t="n">
        <v>0</v>
      </c>
      <c r="N6" t="n">
        <v>0</v>
      </c>
      <c r="O6" t="n">
        <v>0</v>
      </c>
      <c r="P6" t="n">
        <v>0</v>
      </c>
      <c r="Q6" t="inlineStr">
        <is>
          <t>09/2026</t>
        </is>
      </c>
    </row>
    <row r="7">
      <c r="A7" t="n">
        <v>263431</v>
      </c>
      <c r="B7" t="n">
        <v>180</v>
      </c>
      <c r="C7" t="inlineStr">
        <is>
          <t>Nuv Gastrobar</t>
        </is>
      </c>
      <c r="D7" t="inlineStr">
        <is>
          <t>WPP COMERCIO DE CARNES LTDA</t>
        </is>
      </c>
      <c r="E7" t="inlineStr">
        <is>
          <t>81587</t>
        </is>
      </c>
      <c r="F7" s="525" t="n">
        <v>46268</v>
      </c>
      <c r="G7" s="525" t="n">
        <v>46273</v>
      </c>
      <c r="H7" s="525" t="n">
        <v>46296</v>
      </c>
      <c r="I7" t="n">
        <v>156.8</v>
      </c>
      <c r="J7" t="n">
        <v>156.8</v>
      </c>
      <c r="K7" t="n">
        <v>156.8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09/2026</t>
        </is>
      </c>
    </row>
    <row r="8">
      <c r="A8" t="n">
        <v>263429</v>
      </c>
      <c r="B8" t="n">
        <v>180</v>
      </c>
      <c r="C8" t="inlineStr">
        <is>
          <t>Nuv Gastrobar</t>
        </is>
      </c>
      <c r="D8" t="inlineStr">
        <is>
          <t>LPQBR RESTAURANTES E PADARIAS LTDA</t>
        </is>
      </c>
      <c r="E8" t="inlineStr">
        <is>
          <t>89599</t>
        </is>
      </c>
      <c r="F8" s="525" t="n">
        <v>46266</v>
      </c>
      <c r="G8" s="525" t="n">
        <v>46273</v>
      </c>
      <c r="H8" s="525" t="n">
        <v>46289</v>
      </c>
      <c r="I8" t="n">
        <v>6735.34</v>
      </c>
      <c r="J8" t="n">
        <v>6735.34</v>
      </c>
      <c r="K8" t="n">
        <v>6735.34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09/2026</t>
        </is>
      </c>
    </row>
    <row r="9">
      <c r="A9" t="n">
        <v>263419</v>
      </c>
      <c r="B9" t="n">
        <v>180</v>
      </c>
      <c r="C9" t="inlineStr">
        <is>
          <t>Nuv Gastrobar</t>
        </is>
      </c>
      <c r="D9" t="inlineStr">
        <is>
          <t>TERRA BRASIL HORTI FRUTI LTDA</t>
        </is>
      </c>
      <c r="E9" t="inlineStr">
        <is>
          <t>1580876</t>
        </is>
      </c>
      <c r="F9" s="525" t="n">
        <v>46268</v>
      </c>
      <c r="G9" s="525" t="n">
        <v>46269</v>
      </c>
      <c r="H9" s="525" t="n">
        <v>46293</v>
      </c>
      <c r="I9" t="n">
        <v>133.86</v>
      </c>
      <c r="J9" t="n">
        <v>133.86</v>
      </c>
      <c r="K9" t="n">
        <v>133.86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09/2026</t>
        </is>
      </c>
    </row>
    <row r="10">
      <c r="A10" t="n">
        <v>263418</v>
      </c>
      <c r="B10" t="n">
        <v>180</v>
      </c>
      <c r="C10" t="inlineStr">
        <is>
          <t>Nuv Gastrobar</t>
        </is>
      </c>
      <c r="D10" t="inlineStr">
        <is>
          <t>PSSS LTDA</t>
        </is>
      </c>
      <c r="E10" t="inlineStr">
        <is>
          <t>791</t>
        </is>
      </c>
      <c r="F10" s="525" t="n">
        <v>46266</v>
      </c>
      <c r="G10" s="525" t="n">
        <v>46269</v>
      </c>
      <c r="H10" s="525" t="n">
        <v>46281</v>
      </c>
      <c r="I10" t="n">
        <v>324.9</v>
      </c>
      <c r="J10" t="n">
        <v>324.9</v>
      </c>
      <c r="K10" t="n">
        <v>0</v>
      </c>
      <c r="L10" t="n">
        <v>0</v>
      </c>
      <c r="M10" t="n">
        <v>324.9</v>
      </c>
      <c r="N10" t="n">
        <v>0</v>
      </c>
      <c r="O10" t="n">
        <v>0</v>
      </c>
      <c r="P10" t="n">
        <v>0</v>
      </c>
      <c r="Q10" t="inlineStr">
        <is>
          <t>09/2026</t>
        </is>
      </c>
    </row>
    <row r="11">
      <c r="A11" t="n">
        <v>263417</v>
      </c>
      <c r="B11" t="n">
        <v>180</v>
      </c>
      <c r="C11" t="inlineStr">
        <is>
          <t>Nuv Gastrobar</t>
        </is>
      </c>
      <c r="D11" t="inlineStr">
        <is>
          <t>ONCE ROMI LTDA</t>
        </is>
      </c>
      <c r="E11" t="inlineStr">
        <is>
          <t>24279</t>
        </is>
      </c>
      <c r="F11" s="525" t="n">
        <v>46266</v>
      </c>
      <c r="G11" s="525" t="n">
        <v>46268</v>
      </c>
      <c r="H11" s="525" t="n">
        <v>46279</v>
      </c>
      <c r="I11" t="n">
        <v>1122</v>
      </c>
      <c r="J11" t="n">
        <v>1122</v>
      </c>
      <c r="K11" t="n">
        <v>1122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09/2026</t>
        </is>
      </c>
    </row>
    <row r="12">
      <c r="A12" t="n">
        <v>263415</v>
      </c>
      <c r="B12" t="n">
        <v>180</v>
      </c>
      <c r="C12" t="inlineStr">
        <is>
          <t>Nuv Gastrobar</t>
        </is>
      </c>
      <c r="D12" t="inlineStr">
        <is>
          <t>LPQBR RESTAURANTES E PADARIAS LTDA</t>
        </is>
      </c>
      <c r="E12" t="inlineStr">
        <is>
          <t>89645</t>
        </is>
      </c>
      <c r="F12" s="525" t="n">
        <v>46267</v>
      </c>
      <c r="G12" s="525" t="n">
        <v>46269</v>
      </c>
      <c r="H12" s="525" t="n">
        <v>46295</v>
      </c>
      <c r="I12" t="n">
        <v>1374</v>
      </c>
      <c r="J12" t="n">
        <v>1374</v>
      </c>
      <c r="K12" t="n">
        <v>1374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09/2026</t>
        </is>
      </c>
    </row>
    <row r="13">
      <c r="A13" t="n">
        <v>263414</v>
      </c>
      <c r="B13" t="n">
        <v>180</v>
      </c>
      <c r="C13" t="inlineStr">
        <is>
          <t>Nuv Gastrobar</t>
        </is>
      </c>
      <c r="D13" t="inlineStr">
        <is>
          <t xml:space="preserve">HNK BR INDUSTRIA DE BEBIDAS </t>
        </is>
      </c>
      <c r="E13" t="inlineStr">
        <is>
          <t>293981</t>
        </is>
      </c>
      <c r="F13" s="525" t="n">
        <v>46267</v>
      </c>
      <c r="G13" s="525" t="n">
        <v>46269</v>
      </c>
      <c r="H13" s="525" t="n">
        <v>46282</v>
      </c>
      <c r="I13" t="n">
        <v>1305.68</v>
      </c>
      <c r="J13" t="n">
        <v>1305.6</v>
      </c>
      <c r="K13" t="n">
        <v>0</v>
      </c>
      <c r="L13" t="n">
        <v>1305.68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09/2026</t>
        </is>
      </c>
    </row>
    <row r="14">
      <c r="A14" t="n">
        <v>263413</v>
      </c>
      <c r="B14" t="n">
        <v>180</v>
      </c>
      <c r="C14" t="inlineStr">
        <is>
          <t>Nuv Gastrobar</t>
        </is>
      </c>
      <c r="D14" t="inlineStr">
        <is>
          <t>MARIO PEDRO FELICIANO - HORTIFRUTI</t>
        </is>
      </c>
      <c r="E14" t="inlineStr">
        <is>
          <t>488188</t>
        </is>
      </c>
      <c r="F14" s="525" t="n">
        <v>46267</v>
      </c>
      <c r="G14" s="525" t="n">
        <v>46269</v>
      </c>
      <c r="H14" s="525" t="n">
        <v>46295</v>
      </c>
      <c r="I14" t="n">
        <v>57.9</v>
      </c>
      <c r="J14" t="n">
        <v>57.9</v>
      </c>
      <c r="K14" t="n">
        <v>57.9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09/2026</t>
        </is>
      </c>
    </row>
    <row r="15">
      <c r="A15" t="n">
        <v>263412</v>
      </c>
      <c r="B15" t="n">
        <v>180</v>
      </c>
      <c r="C15" t="inlineStr">
        <is>
          <t>Nuv Gastrobar</t>
        </is>
      </c>
      <c r="D15" t="inlineStr">
        <is>
          <t>MARIO PEDRO FELICIANO - HORTIFRUTI</t>
        </is>
      </c>
      <c r="E15" t="inlineStr">
        <is>
          <t>488418</t>
        </is>
      </c>
      <c r="F15" s="525" t="n">
        <v>46268</v>
      </c>
      <c r="G15" s="525" t="n">
        <v>46269</v>
      </c>
      <c r="H15" s="525" t="n">
        <v>46296</v>
      </c>
      <c r="I15" t="n">
        <v>20.34</v>
      </c>
      <c r="J15" t="n">
        <v>20.34</v>
      </c>
      <c r="K15" t="n">
        <v>20.34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09/2026</t>
        </is>
      </c>
    </row>
    <row r="16">
      <c r="A16" t="n">
        <v>263411</v>
      </c>
      <c r="B16" t="n">
        <v>180</v>
      </c>
      <c r="C16" t="inlineStr">
        <is>
          <t>Nuv Gastrobar</t>
        </is>
      </c>
      <c r="D16" t="inlineStr">
        <is>
          <t>DO CHEF DISTRIBUIDORA DE ALIMENTOS LTDA</t>
        </is>
      </c>
      <c r="E16" t="inlineStr">
        <is>
          <t>4321</t>
        </is>
      </c>
      <c r="F16" s="525" t="n">
        <v>46267</v>
      </c>
      <c r="G16" s="525" t="n">
        <v>46269</v>
      </c>
      <c r="H16" s="525" t="n">
        <v>46295</v>
      </c>
      <c r="I16" t="n">
        <v>286</v>
      </c>
      <c r="J16" t="n">
        <v>286</v>
      </c>
      <c r="K16" t="n">
        <v>286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09/2026</t>
        </is>
      </c>
    </row>
    <row r="17">
      <c r="A17" t="n">
        <v>263410</v>
      </c>
      <c r="B17" t="n">
        <v>180</v>
      </c>
      <c r="C17" t="inlineStr">
        <is>
          <t>Nuv Gastrobar</t>
        </is>
      </c>
      <c r="D17" t="inlineStr">
        <is>
          <t>T F CIUFF HORTIFRUTI LTDA</t>
        </is>
      </c>
      <c r="E17" t="inlineStr">
        <is>
          <t>33416</t>
        </is>
      </c>
      <c r="F17" s="525" t="n">
        <v>46267</v>
      </c>
      <c r="G17" s="525" t="n">
        <v>46269</v>
      </c>
      <c r="H17" s="525" t="n">
        <v>46296</v>
      </c>
      <c r="I17" t="n">
        <v>62</v>
      </c>
      <c r="J17" t="n">
        <v>62</v>
      </c>
      <c r="K17" t="n">
        <v>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09/2026</t>
        </is>
      </c>
    </row>
    <row r="18">
      <c r="A18" t="n">
        <v>263409</v>
      </c>
      <c r="B18" t="n">
        <v>180</v>
      </c>
      <c r="C18" t="inlineStr">
        <is>
          <t>Nuv Gastrobar</t>
        </is>
      </c>
      <c r="D18" t="inlineStr">
        <is>
          <t>ANDREIA SANTOS FREITAS DUARTE</t>
        </is>
      </c>
      <c r="E18" t="inlineStr">
        <is>
          <t>2932</t>
        </is>
      </c>
      <c r="F18" s="525" t="n">
        <v>46266</v>
      </c>
      <c r="G18" s="525" t="n">
        <v>46267</v>
      </c>
      <c r="H18" s="525" t="n">
        <v>46300</v>
      </c>
      <c r="I18" t="n">
        <v>814.4</v>
      </c>
      <c r="J18" t="n">
        <v>814.4</v>
      </c>
      <c r="K18" t="n">
        <v>814.4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09/2026</t>
        </is>
      </c>
    </row>
    <row r="19">
      <c r="A19" t="n">
        <v>263408</v>
      </c>
      <c r="B19" t="n">
        <v>180</v>
      </c>
      <c r="C19" t="inlineStr">
        <is>
          <t>Nuv Gastrobar</t>
        </is>
      </c>
      <c r="D19" t="inlineStr">
        <is>
          <t>BATARD PADARIA ARTESANAL LTDA</t>
        </is>
      </c>
      <c r="E19" t="inlineStr">
        <is>
          <t>15278</t>
        </is>
      </c>
      <c r="F19" s="525" t="n">
        <v>46267</v>
      </c>
      <c r="G19" s="525" t="n">
        <v>46269</v>
      </c>
      <c r="H19" s="525" t="n">
        <v>46284</v>
      </c>
      <c r="I19" t="n">
        <v>498</v>
      </c>
      <c r="J19" t="n">
        <v>483</v>
      </c>
      <c r="K19" t="n">
        <v>498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09/2026</t>
        </is>
      </c>
    </row>
    <row r="20">
      <c r="A20" t="n">
        <v>262112</v>
      </c>
      <c r="B20" t="n">
        <v>180</v>
      </c>
      <c r="C20" t="inlineStr">
        <is>
          <t>Nuv Gastrobar</t>
        </is>
      </c>
      <c r="D20" t="inlineStr">
        <is>
          <t>REBAL COMERCIAL LTDA</t>
        </is>
      </c>
      <c r="E20" t="inlineStr">
        <is>
          <t>308146</t>
        </is>
      </c>
      <c r="F20" s="525" t="n">
        <v>46261</v>
      </c>
      <c r="G20" s="525" t="n">
        <v>46268</v>
      </c>
      <c r="H20" s="525" t="n">
        <v>46292</v>
      </c>
      <c r="I20" t="n">
        <v>15497.92</v>
      </c>
      <c r="J20" t="n">
        <v>15497.92</v>
      </c>
      <c r="K20" t="n">
        <v>0</v>
      </c>
      <c r="L20" t="n">
        <v>0</v>
      </c>
      <c r="M20" t="n">
        <v>0</v>
      </c>
      <c r="N20" t="n">
        <v>0</v>
      </c>
      <c r="O20" t="n">
        <v>15497.92</v>
      </c>
      <c r="P20" t="n">
        <v>0</v>
      </c>
      <c r="Q20" t="inlineStr">
        <is>
          <t>09/2026</t>
        </is>
      </c>
    </row>
    <row r="21">
      <c r="A21" t="n">
        <v>262094</v>
      </c>
      <c r="B21" t="n">
        <v>180</v>
      </c>
      <c r="C21" t="inlineStr">
        <is>
          <t>Nuv Gastrobar</t>
        </is>
      </c>
      <c r="D21" t="inlineStr">
        <is>
          <t xml:space="preserve">NOVA MIX </t>
        </is>
      </c>
      <c r="E21" t="inlineStr">
        <is>
          <t>2699290</t>
        </is>
      </c>
      <c r="F21" s="525" t="n">
        <v>46266</v>
      </c>
      <c r="G21" s="525" t="n">
        <v>46268</v>
      </c>
      <c r="H21" s="525" t="n">
        <v>46273</v>
      </c>
      <c r="I21" t="n">
        <v>378.6</v>
      </c>
      <c r="J21" t="n">
        <v>378.6</v>
      </c>
      <c r="K21" t="n">
        <v>378.6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09/2026</t>
        </is>
      </c>
    </row>
    <row r="22">
      <c r="A22" t="n">
        <v>261767</v>
      </c>
      <c r="B22" t="n">
        <v>180</v>
      </c>
      <c r="C22" t="inlineStr">
        <is>
          <t>Nuv Gastrobar</t>
        </is>
      </c>
      <c r="D22" t="inlineStr">
        <is>
          <t>PSSS LTDA</t>
        </is>
      </c>
      <c r="E22" t="inlineStr">
        <is>
          <t>735</t>
        </is>
      </c>
      <c r="F22" s="525" t="n">
        <v>46260</v>
      </c>
      <c r="G22" s="525" t="n">
        <v>46268</v>
      </c>
      <c r="H22" s="525" t="n">
        <v>46274</v>
      </c>
      <c r="I22" t="n">
        <v>393.9</v>
      </c>
      <c r="J22" t="n">
        <v>393.9</v>
      </c>
      <c r="K22" t="n">
        <v>0</v>
      </c>
      <c r="L22" t="n">
        <v>0</v>
      </c>
      <c r="M22" t="n">
        <v>244.4</v>
      </c>
      <c r="N22" t="n">
        <v>0</v>
      </c>
      <c r="O22" t="n">
        <v>149.5</v>
      </c>
      <c r="P22" t="n">
        <v>0</v>
      </c>
      <c r="Q22" t="inlineStr">
        <is>
          <t>09/2026</t>
        </is>
      </c>
    </row>
    <row r="23">
      <c r="A23" t="n">
        <v>261766</v>
      </c>
      <c r="B23" t="n">
        <v>180</v>
      </c>
      <c r="C23" t="inlineStr">
        <is>
          <t>Nuv Gastrobar</t>
        </is>
      </c>
      <c r="D23" t="inlineStr">
        <is>
          <t>NESTLE BRASIL LTDA</t>
        </is>
      </c>
      <c r="E23" t="inlineStr">
        <is>
          <t>6899336</t>
        </is>
      </c>
      <c r="F23" s="525" t="n">
        <v>46245</v>
      </c>
      <c r="G23" s="525" t="n">
        <v>46268</v>
      </c>
      <c r="H23" s="525" t="n">
        <v>46275</v>
      </c>
      <c r="I23" t="n">
        <v>10280</v>
      </c>
      <c r="J23" t="n">
        <v>10280</v>
      </c>
      <c r="K23" t="n">
        <v>0</v>
      </c>
      <c r="L23" t="n">
        <v>10280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09/2026</t>
        </is>
      </c>
    </row>
    <row r="24">
      <c r="A24" t="n">
        <v>261763</v>
      </c>
      <c r="B24" t="n">
        <v>180</v>
      </c>
      <c r="C24" t="inlineStr">
        <is>
          <t>Nuv Gastrobar</t>
        </is>
      </c>
      <c r="D24" t="inlineStr">
        <is>
          <t>AD ZUPA COMERCIAL LTDA</t>
        </is>
      </c>
      <c r="E24" t="inlineStr">
        <is>
          <t>4403</t>
        </is>
      </c>
      <c r="F24" s="525" t="n">
        <v>46261</v>
      </c>
      <c r="G24" s="525" t="n">
        <v>46268</v>
      </c>
      <c r="H24" s="525" t="n">
        <v>46289</v>
      </c>
      <c r="I24" t="n">
        <v>2900</v>
      </c>
      <c r="J24" t="n">
        <v>2900</v>
      </c>
      <c r="K24" t="n">
        <v>0</v>
      </c>
      <c r="L24" t="n">
        <v>0</v>
      </c>
      <c r="M24" t="n">
        <v>2900</v>
      </c>
      <c r="N24" t="n">
        <v>0</v>
      </c>
      <c r="O24" t="n">
        <v>0</v>
      </c>
      <c r="P24" t="n">
        <v>0</v>
      </c>
      <c r="Q24" t="inlineStr">
        <is>
          <t>09/2026</t>
        </is>
      </c>
    </row>
    <row r="25">
      <c r="A25" t="n">
        <v>261720</v>
      </c>
      <c r="B25" t="n">
        <v>180</v>
      </c>
      <c r="C25" t="inlineStr">
        <is>
          <t>Nuv Gastrobar</t>
        </is>
      </c>
      <c r="D25" t="inlineStr">
        <is>
          <t>ZAHIL IMPORTADORA LTDA</t>
        </is>
      </c>
      <c r="E25" t="inlineStr">
        <is>
          <t>276930</t>
        </is>
      </c>
      <c r="F25" s="525" t="n">
        <v>46266</v>
      </c>
      <c r="G25" s="525" t="n">
        <v>46267</v>
      </c>
      <c r="H25" s="525" t="n">
        <v>46296</v>
      </c>
      <c r="I25" t="n">
        <v>854.9299999999999</v>
      </c>
      <c r="J25" t="n">
        <v>802.75</v>
      </c>
      <c r="K25" t="n">
        <v>0</v>
      </c>
      <c r="L25" t="n">
        <v>854.9299999999999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09/2026</t>
        </is>
      </c>
    </row>
    <row r="26">
      <c r="A26" t="n">
        <v>261719</v>
      </c>
      <c r="B26" t="n">
        <v>180</v>
      </c>
      <c r="C26" t="inlineStr">
        <is>
          <t>Nuv Gastrobar</t>
        </is>
      </c>
      <c r="D26" t="inlineStr">
        <is>
          <t>WPP COMERCIO DE CARNES LTDA</t>
        </is>
      </c>
      <c r="E26" t="inlineStr">
        <is>
          <t>81577</t>
        </is>
      </c>
      <c r="F26" s="525" t="n">
        <v>46267</v>
      </c>
      <c r="G26" s="525" t="n">
        <v>46267</v>
      </c>
      <c r="H26" s="525" t="n">
        <v>46295</v>
      </c>
      <c r="I26" t="n">
        <v>1182.22</v>
      </c>
      <c r="J26" t="n">
        <v>1182.22</v>
      </c>
      <c r="K26" t="n">
        <v>1182.22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09/2026</t>
        </is>
      </c>
    </row>
    <row r="27">
      <c r="A27" t="n">
        <v>261718</v>
      </c>
      <c r="B27" t="n">
        <v>180</v>
      </c>
      <c r="C27" t="inlineStr">
        <is>
          <t>Nuv Gastrobar</t>
        </is>
      </c>
      <c r="D27" t="inlineStr">
        <is>
          <t>WPP COMERCIO DE CARNES LTDA</t>
        </is>
      </c>
      <c r="E27" t="inlineStr">
        <is>
          <t>81547</t>
        </is>
      </c>
      <c r="F27" s="525" t="n">
        <v>46267</v>
      </c>
      <c r="G27" s="525" t="n">
        <v>46267</v>
      </c>
      <c r="H27" s="525" t="n">
        <v>46295</v>
      </c>
      <c r="I27" t="n">
        <v>523.9</v>
      </c>
      <c r="J27" t="n">
        <v>523.9</v>
      </c>
      <c r="K27" t="n">
        <v>523.9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09/2026</t>
        </is>
      </c>
    </row>
    <row r="28">
      <c r="A28" t="n">
        <v>261491</v>
      </c>
      <c r="B28" t="n">
        <v>180</v>
      </c>
      <c r="C28" t="inlineStr">
        <is>
          <t>Nuv Gastrobar</t>
        </is>
      </c>
      <c r="D28" t="inlineStr">
        <is>
          <t>ANDREIA SANTOS FREITAS DUARTE</t>
        </is>
      </c>
      <c r="E28" t="inlineStr">
        <is>
          <t>2920</t>
        </is>
      </c>
      <c r="F28" s="525" t="n">
        <v>46266</v>
      </c>
      <c r="G28" s="525" t="n">
        <v>46267</v>
      </c>
      <c r="H28" s="525" t="n">
        <v>46300</v>
      </c>
      <c r="I28" t="n">
        <v>282.14</v>
      </c>
      <c r="J28" t="n">
        <v>282.14</v>
      </c>
      <c r="K28" t="n">
        <v>0</v>
      </c>
      <c r="L28" t="n">
        <v>0</v>
      </c>
      <c r="M28" t="n">
        <v>282.14</v>
      </c>
      <c r="N28" t="n">
        <v>0</v>
      </c>
      <c r="O28" t="n">
        <v>0</v>
      </c>
      <c r="P28" t="n">
        <v>0</v>
      </c>
      <c r="Q28" t="inlineStr">
        <is>
          <t>09/2026</t>
        </is>
      </c>
    </row>
    <row r="29">
      <c r="A29" t="n">
        <v>261458</v>
      </c>
      <c r="B29" t="n">
        <v>180</v>
      </c>
      <c r="C29" t="inlineStr">
        <is>
          <t>Nuv Gastrobar</t>
        </is>
      </c>
      <c r="D29" t="inlineStr">
        <is>
          <t>EMPORIO M&amp;L COMERCIO DE ALIM E BEBIDAS LTDA</t>
        </is>
      </c>
      <c r="E29" t="inlineStr">
        <is>
          <t>530692</t>
        </is>
      </c>
      <c r="F29" s="525" t="n">
        <v>46266</v>
      </c>
      <c r="G29" s="525" t="n">
        <v>46267</v>
      </c>
      <c r="H29" s="525" t="n">
        <v>46294</v>
      </c>
      <c r="I29" t="n">
        <v>1180</v>
      </c>
      <c r="J29" t="n">
        <v>1180</v>
      </c>
      <c r="K29" t="n">
        <v>1116.2</v>
      </c>
      <c r="L29" t="n">
        <v>63.8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09/2026</t>
        </is>
      </c>
    </row>
    <row r="30">
      <c r="A30" t="n">
        <v>261451</v>
      </c>
      <c r="B30" t="n">
        <v>180</v>
      </c>
      <c r="C30" t="inlineStr">
        <is>
          <t>Nuv Gastrobar</t>
        </is>
      </c>
      <c r="D30" t="inlineStr">
        <is>
          <t>AROUMAR DISTRIBUIDORA DE PRODUTOS ALIMENTICIOS LTDA</t>
        </is>
      </c>
      <c r="E30" t="inlineStr">
        <is>
          <t>1081873</t>
        </is>
      </c>
      <c r="F30" s="525" t="n">
        <v>46266</v>
      </c>
      <c r="G30" s="525" t="n">
        <v>46267</v>
      </c>
      <c r="H30" s="525" t="n">
        <v>46294</v>
      </c>
      <c r="I30" t="n">
        <v>405</v>
      </c>
      <c r="J30" t="n">
        <v>405</v>
      </c>
      <c r="K30" t="n">
        <v>405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09/2026</t>
        </is>
      </c>
    </row>
    <row r="31">
      <c r="A31" t="n">
        <v>261441</v>
      </c>
      <c r="B31" t="n">
        <v>180</v>
      </c>
      <c r="C31" t="inlineStr">
        <is>
          <t>Nuv Gastrobar</t>
        </is>
      </c>
      <c r="D31" t="inlineStr">
        <is>
          <t>TERRA BRASIL HORTI FRUTI LTDA</t>
        </is>
      </c>
      <c r="E31" t="inlineStr">
        <is>
          <t>1579324</t>
        </is>
      </c>
      <c r="F31" s="525" t="n">
        <v>46265</v>
      </c>
      <c r="G31" s="525" t="n">
        <v>46266</v>
      </c>
      <c r="H31" s="525" t="n">
        <v>46293</v>
      </c>
      <c r="I31" t="n">
        <v>58.91</v>
      </c>
      <c r="J31" t="n">
        <v>58.91</v>
      </c>
      <c r="K31" t="n">
        <v>58.91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09/2026</t>
        </is>
      </c>
    </row>
    <row r="32">
      <c r="A32" t="n">
        <v>261436</v>
      </c>
      <c r="B32" t="n">
        <v>180</v>
      </c>
      <c r="C32" t="inlineStr">
        <is>
          <t>Nuv Gastrobar</t>
        </is>
      </c>
      <c r="D32" t="inlineStr">
        <is>
          <t>REBAL COMERCIAL LTDA</t>
        </is>
      </c>
      <c r="E32" t="inlineStr">
        <is>
          <t>308431</t>
        </is>
      </c>
      <c r="F32" s="525" t="n">
        <v>46265</v>
      </c>
      <c r="G32" s="525" t="n">
        <v>46266</v>
      </c>
      <c r="H32" s="525" t="n">
        <v>46295</v>
      </c>
      <c r="I32" t="n">
        <v>314.8</v>
      </c>
      <c r="J32" t="n">
        <v>264.8</v>
      </c>
      <c r="K32" t="n">
        <v>0</v>
      </c>
      <c r="L32" t="n">
        <v>0</v>
      </c>
      <c r="M32" t="n">
        <v>0</v>
      </c>
      <c r="N32" t="n">
        <v>0</v>
      </c>
      <c r="O32" t="n">
        <v>314.8</v>
      </c>
      <c r="P32" t="n">
        <v>0</v>
      </c>
      <c r="Q32" t="inlineStr">
        <is>
          <t>09/2026</t>
        </is>
      </c>
    </row>
    <row r="33">
      <c r="A33" t="n">
        <v>261430</v>
      </c>
      <c r="B33" t="n">
        <v>180</v>
      </c>
      <c r="C33" t="inlineStr">
        <is>
          <t>Nuv Gastrobar</t>
        </is>
      </c>
      <c r="D33" t="inlineStr">
        <is>
          <t>EMPORIO M&amp;L COMERCIO DE ALIM E BEBIDAS LTDA</t>
        </is>
      </c>
      <c r="E33" t="inlineStr">
        <is>
          <t>530399</t>
        </is>
      </c>
      <c r="F33" s="525" t="n">
        <v>46265</v>
      </c>
      <c r="G33" s="525" t="n">
        <v>46266</v>
      </c>
      <c r="H33" s="525" t="n">
        <v>46294</v>
      </c>
      <c r="I33" t="n">
        <v>384</v>
      </c>
      <c r="J33" t="n">
        <v>384</v>
      </c>
      <c r="K33" t="n">
        <v>384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09/2026</t>
        </is>
      </c>
    </row>
    <row r="34">
      <c r="A34" t="n">
        <v>261415</v>
      </c>
      <c r="B34" t="n">
        <v>180</v>
      </c>
      <c r="C34" t="inlineStr">
        <is>
          <t>Nuv Gastrobar</t>
        </is>
      </c>
      <c r="D34" t="inlineStr">
        <is>
          <t>CECILIA TSUYACO ARAKI SILVA LTDA</t>
        </is>
      </c>
      <c r="E34" t="inlineStr">
        <is>
          <t>398613</t>
        </is>
      </c>
      <c r="F34" s="525" t="n">
        <v>46265</v>
      </c>
      <c r="G34" s="525" t="n">
        <v>46266</v>
      </c>
      <c r="H34" s="525" t="n">
        <v>46293</v>
      </c>
      <c r="I34" t="n">
        <v>126.66</v>
      </c>
      <c r="J34" t="n">
        <v>126.66</v>
      </c>
      <c r="K34" t="n">
        <v>126.66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09/2026</t>
        </is>
      </c>
    </row>
    <row r="35">
      <c r="A35" t="n">
        <v>261411</v>
      </c>
      <c r="B35" t="n">
        <v>180</v>
      </c>
      <c r="C35" t="inlineStr">
        <is>
          <t>Nuv Gastrobar</t>
        </is>
      </c>
      <c r="D35" t="inlineStr">
        <is>
          <t>DO CHEF DISTRIBUIDORA DE ALIMENTOS LTDA</t>
        </is>
      </c>
      <c r="E35" t="inlineStr">
        <is>
          <t>4215</t>
        </is>
      </c>
      <c r="F35" s="525" t="n">
        <v>46262</v>
      </c>
      <c r="G35" s="525" t="n">
        <v>46265</v>
      </c>
      <c r="H35" s="525" t="n">
        <v>46290</v>
      </c>
      <c r="I35" t="n">
        <v>107.1</v>
      </c>
      <c r="J35" t="n">
        <v>107.1</v>
      </c>
      <c r="K35" t="n">
        <v>107.1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08/2026</t>
        </is>
      </c>
    </row>
    <row r="36">
      <c r="A36" t="n">
        <v>261407</v>
      </c>
      <c r="B36" t="n">
        <v>180</v>
      </c>
      <c r="C36" t="inlineStr">
        <is>
          <t>Nuv Gastrobar</t>
        </is>
      </c>
      <c r="D36" t="inlineStr">
        <is>
          <t>DO CHEF DISTRIBUIDORA DE ALIMENTOS LTDA</t>
        </is>
      </c>
      <c r="E36" t="inlineStr">
        <is>
          <t>4272</t>
        </is>
      </c>
      <c r="F36" s="525" t="n">
        <v>46265</v>
      </c>
      <c r="G36" s="525" t="n">
        <v>46266</v>
      </c>
      <c r="H36" s="525" t="n">
        <v>46293</v>
      </c>
      <c r="I36" t="n">
        <v>368.39</v>
      </c>
      <c r="J36" t="n">
        <v>368.39</v>
      </c>
      <c r="K36" t="n">
        <v>368.39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09/2026</t>
        </is>
      </c>
    </row>
    <row r="37">
      <c r="A37" t="n">
        <v>261399</v>
      </c>
      <c r="B37" t="n">
        <v>180</v>
      </c>
      <c r="C37" t="inlineStr">
        <is>
          <t>Nuv Gastrobar</t>
        </is>
      </c>
      <c r="D37" t="inlineStr">
        <is>
          <t>FUNGO DE QUINTAL COMÉRCIO DE ALIMENTOS - ME</t>
        </is>
      </c>
      <c r="E37" t="inlineStr">
        <is>
          <t>151252</t>
        </is>
      </c>
      <c r="F37" s="525" t="n">
        <v>46262</v>
      </c>
      <c r="G37" s="525" t="n">
        <v>46265</v>
      </c>
      <c r="H37" s="525" t="n">
        <v>46283</v>
      </c>
      <c r="I37" t="n">
        <v>222.98</v>
      </c>
      <c r="J37" t="n">
        <v>202.98</v>
      </c>
      <c r="K37" t="n">
        <v>222.98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08/2026</t>
        </is>
      </c>
    </row>
    <row r="38">
      <c r="A38" t="n">
        <v>261396</v>
      </c>
      <c r="B38" t="n">
        <v>180</v>
      </c>
      <c r="C38" t="inlineStr">
        <is>
          <t>Nuv Gastrobar</t>
        </is>
      </c>
      <c r="D38" t="inlineStr">
        <is>
          <t>LPG INDUSTRIA E COMERCIO DE ALIMENTOS LTDA</t>
        </is>
      </c>
      <c r="E38" t="inlineStr">
        <is>
          <t>126563</t>
        </is>
      </c>
      <c r="F38" s="525" t="n">
        <v>46260</v>
      </c>
      <c r="G38" s="525" t="n">
        <v>46265</v>
      </c>
      <c r="H38" s="525" t="n">
        <v>46281</v>
      </c>
      <c r="I38" t="n">
        <v>1553.28</v>
      </c>
      <c r="J38" t="n">
        <v>1553.28</v>
      </c>
      <c r="K38" t="n">
        <v>1553.28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08/2026</t>
        </is>
      </c>
    </row>
    <row r="39">
      <c r="A39" t="n">
        <v>261389</v>
      </c>
      <c r="B39" t="n">
        <v>180</v>
      </c>
      <c r="C39" t="inlineStr">
        <is>
          <t>Nuv Gastrobar</t>
        </is>
      </c>
      <c r="D39" t="inlineStr">
        <is>
          <t>MARIO PEDRO FELICIANO - HORTIFRUTI</t>
        </is>
      </c>
      <c r="E39" t="inlineStr">
        <is>
          <t>487791</t>
        </is>
      </c>
      <c r="F39" s="525" t="n">
        <v>46262</v>
      </c>
      <c r="G39" s="525" t="n">
        <v>46265</v>
      </c>
      <c r="H39" s="525" t="n">
        <v>46290</v>
      </c>
      <c r="I39" t="n">
        <v>274.09</v>
      </c>
      <c r="J39" t="n">
        <v>274.1</v>
      </c>
      <c r="K39" t="n">
        <v>274.09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08/2026</t>
        </is>
      </c>
    </row>
    <row r="40">
      <c r="A40" t="n">
        <v>261384</v>
      </c>
      <c r="B40" t="n">
        <v>180</v>
      </c>
      <c r="C40" t="inlineStr">
        <is>
          <t>Nuv Gastrobar</t>
        </is>
      </c>
      <c r="D40" t="inlineStr">
        <is>
          <t>TERRA BRASIL HORTI FRUTI LTDA</t>
        </is>
      </c>
      <c r="E40" t="inlineStr">
        <is>
          <t>1578124</t>
        </is>
      </c>
      <c r="F40" s="525" t="n">
        <v>46263</v>
      </c>
      <c r="G40" s="525" t="n">
        <v>46265</v>
      </c>
      <c r="H40" s="525" t="n">
        <v>46286</v>
      </c>
      <c r="I40" t="n">
        <v>133.83</v>
      </c>
      <c r="J40" t="n">
        <v>133.83</v>
      </c>
      <c r="K40" t="n">
        <v>133.83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08/2026</t>
        </is>
      </c>
    </row>
    <row r="41">
      <c r="A41" t="n">
        <v>261379</v>
      </c>
      <c r="B41" t="n">
        <v>180</v>
      </c>
      <c r="C41" t="inlineStr">
        <is>
          <t>Nuv Gastrobar</t>
        </is>
      </c>
      <c r="D41" t="inlineStr">
        <is>
          <t>TRAMONTINA SUDESTE S.A</t>
        </is>
      </c>
      <c r="E41" t="inlineStr">
        <is>
          <t>2514700</t>
        </is>
      </c>
      <c r="F41" s="525" t="n">
        <v>46261</v>
      </c>
      <c r="G41" s="525" t="n">
        <v>46266</v>
      </c>
      <c r="H41" s="525" t="n">
        <v>46282</v>
      </c>
      <c r="I41" t="n">
        <v>870.4</v>
      </c>
      <c r="J41" t="n">
        <v>870.4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09/2026</t>
        </is>
      </c>
    </row>
    <row r="42">
      <c r="A42" t="n">
        <v>260991</v>
      </c>
      <c r="B42" t="n">
        <v>180</v>
      </c>
      <c r="C42" t="inlineStr">
        <is>
          <t>Nuv Gastrobar</t>
        </is>
      </c>
      <c r="D42" t="inlineStr">
        <is>
          <t>CECILIA TSUYACO ARAKI SILVA LTDA</t>
        </is>
      </c>
      <c r="E42" t="inlineStr">
        <is>
          <t>398471</t>
        </is>
      </c>
      <c r="F42" s="525" t="n">
        <v>46262</v>
      </c>
      <c r="G42" s="525" t="n">
        <v>46265</v>
      </c>
      <c r="H42" s="525" t="n">
        <v>46290</v>
      </c>
      <c r="I42" t="n">
        <v>336.7</v>
      </c>
      <c r="J42" t="n">
        <v>336.7</v>
      </c>
      <c r="K42" t="n">
        <v>336.7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08/2026</t>
        </is>
      </c>
    </row>
    <row r="43">
      <c r="A43" t="n">
        <v>260929</v>
      </c>
      <c r="B43" t="n">
        <v>180</v>
      </c>
      <c r="C43" t="inlineStr">
        <is>
          <t>Nuv Gastrobar</t>
        </is>
      </c>
      <c r="D43" t="inlineStr">
        <is>
          <t xml:space="preserve">COMERCIAL IMPORTADORA E EXPORTADORA METAPUNTO LTDA </t>
        </is>
      </c>
      <c r="E43" t="inlineStr">
        <is>
          <t>47425</t>
        </is>
      </c>
      <c r="F43" s="525" t="n">
        <v>46266</v>
      </c>
      <c r="G43" s="525" t="n">
        <v>46266</v>
      </c>
      <c r="H43" s="525" t="n">
        <v>46294</v>
      </c>
      <c r="I43" t="n">
        <v>1129.18</v>
      </c>
      <c r="J43" t="n">
        <v>1129.18</v>
      </c>
      <c r="K43" t="n">
        <v>1129.18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09/2026</t>
        </is>
      </c>
    </row>
    <row r="44">
      <c r="A44" t="n">
        <v>260204</v>
      </c>
      <c r="B44" t="n">
        <v>180</v>
      </c>
      <c r="C44" t="inlineStr">
        <is>
          <t>Nuv Gastrobar</t>
        </is>
      </c>
      <c r="D44" t="inlineStr">
        <is>
          <t>TRAMONTINA SUDESTE S.A</t>
        </is>
      </c>
      <c r="E44" t="inlineStr">
        <is>
          <t>251205</t>
        </is>
      </c>
      <c r="F44" s="525" t="n">
        <v>46255</v>
      </c>
      <c r="G44" s="525" t="n">
        <v>46261</v>
      </c>
      <c r="H44" s="525" t="n">
        <v>46285</v>
      </c>
      <c r="I44" t="n">
        <v>2011.07</v>
      </c>
      <c r="J44" t="n">
        <v>2011.12</v>
      </c>
      <c r="K44" t="n">
        <v>0</v>
      </c>
      <c r="L44" t="n">
        <v>0</v>
      </c>
      <c r="M44" t="n">
        <v>0</v>
      </c>
      <c r="N44" t="n">
        <v>0</v>
      </c>
      <c r="O44" t="n">
        <v>1736.98</v>
      </c>
      <c r="P44" t="n">
        <v>0</v>
      </c>
      <c r="Q44" t="inlineStr">
        <is>
          <t>08/2026</t>
        </is>
      </c>
    </row>
    <row r="45">
      <c r="A45" t="n">
        <v>260202</v>
      </c>
      <c r="B45" t="n">
        <v>180</v>
      </c>
      <c r="C45" t="inlineStr">
        <is>
          <t>Nuv Gastrobar</t>
        </is>
      </c>
      <c r="D45" t="inlineStr">
        <is>
          <t>CECILIA TSUYACO ARAKI SILVA LTDA</t>
        </is>
      </c>
      <c r="E45" t="inlineStr">
        <is>
          <t>398210</t>
        </is>
      </c>
      <c r="F45" s="525" t="n">
        <v>46259</v>
      </c>
      <c r="G45" s="525" t="n">
        <v>46261</v>
      </c>
      <c r="H45" s="525" t="n">
        <v>46287</v>
      </c>
      <c r="I45" t="n">
        <v>268.45</v>
      </c>
      <c r="J45" t="n">
        <v>268.45</v>
      </c>
      <c r="K45" t="n">
        <v>268.45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08/2026</t>
        </is>
      </c>
    </row>
    <row r="46">
      <c r="A46" t="n">
        <v>260201</v>
      </c>
      <c r="B46" t="n">
        <v>180</v>
      </c>
      <c r="C46" t="inlineStr">
        <is>
          <t>Nuv Gastrobar</t>
        </is>
      </c>
      <c r="D46" t="inlineStr">
        <is>
          <t>EMPORIO M&amp;L COMERCIO DE ALIM E BEBIDAS LTDA</t>
        </is>
      </c>
      <c r="E46" t="inlineStr">
        <is>
          <t>529649</t>
        </is>
      </c>
      <c r="F46" s="525" t="n">
        <v>46259</v>
      </c>
      <c r="G46" s="525" t="n">
        <v>46261</v>
      </c>
      <c r="H46" s="525" t="n">
        <v>46290</v>
      </c>
      <c r="I46" t="n">
        <v>531.65</v>
      </c>
      <c r="J46" t="n">
        <v>531.65</v>
      </c>
      <c r="K46" t="n">
        <v>531.65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08/2026</t>
        </is>
      </c>
    </row>
    <row r="47">
      <c r="A47" t="n">
        <v>260200</v>
      </c>
      <c r="B47" t="n">
        <v>180</v>
      </c>
      <c r="C47" t="inlineStr">
        <is>
          <t>Nuv Gastrobar</t>
        </is>
      </c>
      <c r="D47" t="inlineStr">
        <is>
          <t>DO CHEF DISTRIBUIDORA DE ALIMENTOS LTDA</t>
        </is>
      </c>
      <c r="E47" t="inlineStr">
        <is>
          <t>4110</t>
        </is>
      </c>
      <c r="F47" s="525" t="n">
        <v>46259</v>
      </c>
      <c r="G47" s="525" t="n">
        <v>46261</v>
      </c>
      <c r="H47" s="525" t="n">
        <v>46287</v>
      </c>
      <c r="I47" t="n">
        <v>139.19</v>
      </c>
      <c r="J47" t="n">
        <v>139.19</v>
      </c>
      <c r="K47" t="n">
        <v>139.19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08/2026</t>
        </is>
      </c>
    </row>
    <row r="48">
      <c r="A48" t="n">
        <v>260199</v>
      </c>
      <c r="B48" t="n">
        <v>180</v>
      </c>
      <c r="C48" t="inlineStr">
        <is>
          <t>Nuv Gastrobar</t>
        </is>
      </c>
      <c r="D48" t="inlineStr">
        <is>
          <t>TERRA BRASIL HORTI FRUTI LTDA</t>
        </is>
      </c>
      <c r="E48" t="inlineStr">
        <is>
          <t>1576815</t>
        </is>
      </c>
      <c r="F48" s="525" t="n">
        <v>46259</v>
      </c>
      <c r="G48" s="525" t="n">
        <v>46261</v>
      </c>
      <c r="H48" s="525" t="n">
        <v>46286</v>
      </c>
      <c r="I48" t="n">
        <v>127.19</v>
      </c>
      <c r="J48" t="n">
        <v>127.19</v>
      </c>
      <c r="K48" t="n">
        <v>127.19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08/2026</t>
        </is>
      </c>
    </row>
    <row r="49">
      <c r="A49" t="n">
        <v>260198</v>
      </c>
      <c r="B49" t="n">
        <v>180</v>
      </c>
      <c r="C49" t="inlineStr">
        <is>
          <t>Nuv Gastrobar</t>
        </is>
      </c>
      <c r="D49" t="inlineStr">
        <is>
          <t xml:space="preserve">FORTE ALIMENTOS COM. IMPORTAÇÃO LTDA </t>
        </is>
      </c>
      <c r="E49" t="inlineStr">
        <is>
          <t>391399</t>
        </is>
      </c>
      <c r="F49" s="525" t="n">
        <v>46259</v>
      </c>
      <c r="G49" s="525" t="n">
        <v>46261</v>
      </c>
      <c r="H49" s="525" t="n">
        <v>46288</v>
      </c>
      <c r="I49" t="n">
        <v>505.27</v>
      </c>
      <c r="J49" t="n">
        <v>505.26</v>
      </c>
      <c r="K49" t="n">
        <v>505.27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08/2026</t>
        </is>
      </c>
    </row>
    <row r="50">
      <c r="A50" t="n">
        <v>260184</v>
      </c>
      <c r="B50" t="n">
        <v>180</v>
      </c>
      <c r="C50" t="inlineStr">
        <is>
          <t>Nuv Gastrobar</t>
        </is>
      </c>
      <c r="D50" t="inlineStr">
        <is>
          <t>MURILLO S DUARTE COMERCIAL LTDA</t>
        </is>
      </c>
      <c r="E50" t="inlineStr">
        <is>
          <t>2760</t>
        </is>
      </c>
      <c r="F50" s="525" t="n">
        <v>46259</v>
      </c>
      <c r="G50" s="525" t="n">
        <v>46261</v>
      </c>
      <c r="H50" s="525" t="n">
        <v>46293</v>
      </c>
      <c r="I50" t="n">
        <v>380.75</v>
      </c>
      <c r="J50" t="n">
        <v>380.75</v>
      </c>
      <c r="K50" t="n">
        <v>380.75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08/2026</t>
        </is>
      </c>
    </row>
    <row r="51">
      <c r="A51" t="n">
        <v>260182</v>
      </c>
      <c r="B51" t="n">
        <v>180</v>
      </c>
      <c r="C51" t="inlineStr">
        <is>
          <t>Nuv Gastrobar</t>
        </is>
      </c>
      <c r="D51" t="inlineStr">
        <is>
          <t>DISTRIBUIDORA E IMPORTADORA IRMAOS AVELINO LTDA</t>
        </is>
      </c>
      <c r="E51" t="inlineStr">
        <is>
          <t>509743</t>
        </is>
      </c>
      <c r="F51" s="525" t="n">
        <v>46259</v>
      </c>
      <c r="G51" s="525" t="n">
        <v>46261</v>
      </c>
      <c r="H51" s="525" t="n">
        <v>46287</v>
      </c>
      <c r="I51" t="n">
        <v>717.9</v>
      </c>
      <c r="J51" t="n">
        <v>1315.85</v>
      </c>
      <c r="K51" t="n">
        <v>717.9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08/2026</t>
        </is>
      </c>
    </row>
    <row r="52">
      <c r="A52" t="n">
        <v>260179</v>
      </c>
      <c r="B52" t="n">
        <v>180</v>
      </c>
      <c r="C52" t="inlineStr">
        <is>
          <t>Nuv Gastrobar</t>
        </is>
      </c>
      <c r="D52" t="inlineStr">
        <is>
          <t>AROUMAR DISTRIBUIDORA DE PRODUTOS ALIMENTICIOS LTDA</t>
        </is>
      </c>
      <c r="E52" t="inlineStr">
        <is>
          <t>1080273</t>
        </is>
      </c>
      <c r="F52" s="525" t="n">
        <v>46259</v>
      </c>
      <c r="G52" s="525" t="n">
        <v>46261</v>
      </c>
      <c r="H52" s="525" t="n">
        <v>46287</v>
      </c>
      <c r="I52" t="n">
        <v>439.3</v>
      </c>
      <c r="J52" t="n">
        <v>439.3</v>
      </c>
      <c r="K52" t="n">
        <v>439.3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08/2026</t>
        </is>
      </c>
    </row>
    <row r="53">
      <c r="A53" t="n">
        <v>260177</v>
      </c>
      <c r="B53" t="n">
        <v>180</v>
      </c>
      <c r="C53" t="inlineStr">
        <is>
          <t>Nuv Gastrobar</t>
        </is>
      </c>
      <c r="D53" t="inlineStr">
        <is>
          <t>DO CHEF DISTRIBUIDORA DE ALIMENTOS LTDA</t>
        </is>
      </c>
      <c r="E53" t="inlineStr">
        <is>
          <t>4074</t>
        </is>
      </c>
      <c r="F53" s="525" t="n">
        <v>46258</v>
      </c>
      <c r="G53" s="525" t="n">
        <v>46261</v>
      </c>
      <c r="H53" s="525" t="n">
        <v>46286</v>
      </c>
      <c r="I53" t="n">
        <v>346</v>
      </c>
      <c r="J53" t="n">
        <v>346</v>
      </c>
      <c r="K53" t="n">
        <v>346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08/2026</t>
        </is>
      </c>
    </row>
    <row r="54">
      <c r="A54" t="n">
        <v>260176</v>
      </c>
      <c r="B54" t="n">
        <v>180</v>
      </c>
      <c r="C54" t="inlineStr">
        <is>
          <t>Nuv Gastrobar</t>
        </is>
      </c>
      <c r="D54" t="inlineStr">
        <is>
          <t>MARIO PEDRO FELICIANO - HORTIFRUTI</t>
        </is>
      </c>
      <c r="E54" t="inlineStr">
        <is>
          <t>487374</t>
        </is>
      </c>
      <c r="F54" s="525" t="n">
        <v>46259</v>
      </c>
      <c r="G54" s="525" t="n">
        <v>46261</v>
      </c>
      <c r="H54" s="525" t="n">
        <v>46287</v>
      </c>
      <c r="I54" t="n">
        <v>88.56999999999999</v>
      </c>
      <c r="J54" t="n">
        <v>88.55</v>
      </c>
      <c r="K54" t="n">
        <v>88.56999999999999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08/2026</t>
        </is>
      </c>
    </row>
    <row r="55">
      <c r="A55" t="n">
        <v>260169</v>
      </c>
      <c r="B55" t="n">
        <v>180</v>
      </c>
      <c r="C55" t="inlineStr">
        <is>
          <t>Nuv Gastrobar</t>
        </is>
      </c>
      <c r="D55" t="inlineStr">
        <is>
          <t>EMPORIO M&amp;L COMERCIO DE ALIM E BEBIDAS LTDA</t>
        </is>
      </c>
      <c r="E55" t="inlineStr">
        <is>
          <t>529363</t>
        </is>
      </c>
      <c r="F55" s="525" t="n">
        <v>46258</v>
      </c>
      <c r="G55" s="525" t="n">
        <v>46261</v>
      </c>
      <c r="H55" s="525" t="n">
        <v>46287</v>
      </c>
      <c r="I55" t="n">
        <v>1149.45</v>
      </c>
      <c r="J55" t="n">
        <v>1149.4</v>
      </c>
      <c r="K55" t="n">
        <v>1149.45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08/2026</t>
        </is>
      </c>
    </row>
    <row r="56">
      <c r="A56" t="n">
        <v>260165</v>
      </c>
      <c r="B56" t="n">
        <v>180</v>
      </c>
      <c r="C56" t="inlineStr">
        <is>
          <t>Nuv Gastrobar</t>
        </is>
      </c>
      <c r="D56" t="inlineStr">
        <is>
          <t>EMPORIO M&amp;L COMERCIO DE ALIM E BEBIDAS LTDA</t>
        </is>
      </c>
      <c r="E56" t="inlineStr">
        <is>
          <t>529117</t>
        </is>
      </c>
      <c r="F56" s="525" t="n">
        <v>46255</v>
      </c>
      <c r="G56" s="525" t="n">
        <v>46261</v>
      </c>
      <c r="H56" s="525" t="n">
        <v>46283</v>
      </c>
      <c r="I56" t="n">
        <v>1438.33</v>
      </c>
      <c r="J56" t="n">
        <v>1438.4</v>
      </c>
      <c r="K56" t="n">
        <v>1438.33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08/2026</t>
        </is>
      </c>
    </row>
    <row r="57">
      <c r="A57" t="n">
        <v>260162</v>
      </c>
      <c r="B57" t="n">
        <v>180</v>
      </c>
      <c r="C57" t="inlineStr">
        <is>
          <t>Nuv Gastrobar</t>
        </is>
      </c>
      <c r="D57" t="inlineStr">
        <is>
          <t>CECILIA TSUYACO ARAKI SILVA LTDA</t>
        </is>
      </c>
      <c r="E57" t="inlineStr">
        <is>
          <t>398081</t>
        </is>
      </c>
      <c r="F57" s="525" t="n">
        <v>46258</v>
      </c>
      <c r="G57" s="525" t="n">
        <v>46261</v>
      </c>
      <c r="H57" s="525" t="n">
        <v>46286</v>
      </c>
      <c r="I57" t="n">
        <v>100</v>
      </c>
      <c r="J57" t="n">
        <v>100</v>
      </c>
      <c r="K57" t="n">
        <v>100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08/2026</t>
        </is>
      </c>
    </row>
    <row r="58">
      <c r="A58" t="n">
        <v>260160</v>
      </c>
      <c r="B58" t="n">
        <v>180</v>
      </c>
      <c r="C58" t="inlineStr">
        <is>
          <t>Nuv Gastrobar</t>
        </is>
      </c>
      <c r="D58" t="inlineStr">
        <is>
          <t>BATARD PADARIA ARTESANAL LTDA</t>
        </is>
      </c>
      <c r="E58" t="inlineStr">
        <is>
          <t>15202</t>
        </is>
      </c>
      <c r="F58" s="525" t="n">
        <v>46260</v>
      </c>
      <c r="G58" s="525" t="n">
        <v>46261</v>
      </c>
      <c r="H58" s="525" t="n">
        <v>46277</v>
      </c>
      <c r="I58" t="n">
        <v>288</v>
      </c>
      <c r="J58" t="n">
        <v>273</v>
      </c>
      <c r="K58" t="n">
        <v>288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08/2026</t>
        </is>
      </c>
    </row>
    <row r="59">
      <c r="A59" t="n">
        <v>260158</v>
      </c>
      <c r="B59" t="n">
        <v>180</v>
      </c>
      <c r="C59" t="inlineStr">
        <is>
          <t>Nuv Gastrobar</t>
        </is>
      </c>
      <c r="D59" t="inlineStr">
        <is>
          <t>DTK COMERCIO DE ALIMENTOS LTDA</t>
        </is>
      </c>
      <c r="E59" t="inlineStr">
        <is>
          <t>97138</t>
        </is>
      </c>
      <c r="F59" s="525" t="n">
        <v>46259</v>
      </c>
      <c r="G59" s="525" t="n">
        <v>46261</v>
      </c>
      <c r="H59" s="525" t="n">
        <v>46280</v>
      </c>
      <c r="I59" t="n">
        <v>519.29</v>
      </c>
      <c r="J59" t="n">
        <v>518.3099999999999</v>
      </c>
      <c r="K59" t="n">
        <v>519.29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08/2026</t>
        </is>
      </c>
    </row>
    <row r="60">
      <c r="A60" t="n">
        <v>260091</v>
      </c>
      <c r="B60" t="n">
        <v>180</v>
      </c>
      <c r="C60" t="inlineStr">
        <is>
          <t>Nuv Gastrobar</t>
        </is>
      </c>
      <c r="D60" t="inlineStr">
        <is>
          <t>RL SISTEMAS DE HIGIENE LTDA</t>
        </is>
      </c>
      <c r="E60" t="inlineStr">
        <is>
          <t>336045</t>
        </is>
      </c>
      <c r="F60" s="525" t="n">
        <v>46259</v>
      </c>
      <c r="G60" s="525" t="n">
        <v>46261</v>
      </c>
      <c r="H60" s="525" t="n">
        <v>46287</v>
      </c>
      <c r="I60" t="n">
        <v>967</v>
      </c>
      <c r="J60" t="n">
        <v>967</v>
      </c>
      <c r="K60" t="n">
        <v>0</v>
      </c>
      <c r="L60" t="n">
        <v>0</v>
      </c>
      <c r="M60" t="n">
        <v>967</v>
      </c>
      <c r="N60" t="n">
        <v>0</v>
      </c>
      <c r="O60" t="n">
        <v>0</v>
      </c>
      <c r="P60" t="n">
        <v>0</v>
      </c>
      <c r="Q60" t="inlineStr">
        <is>
          <t>08/2026</t>
        </is>
      </c>
    </row>
    <row r="61">
      <c r="A61" t="n">
        <v>259776</v>
      </c>
      <c r="B61" t="n">
        <v>180</v>
      </c>
      <c r="C61" t="inlineStr">
        <is>
          <t>Nuv Gastrobar</t>
        </is>
      </c>
      <c r="D61" t="inlineStr">
        <is>
          <t>LATICINIOS PIRAMIDE LTDA</t>
        </is>
      </c>
      <c r="E61" t="inlineStr">
        <is>
          <t>88247</t>
        </is>
      </c>
      <c r="F61" s="525" t="n">
        <v>46258</v>
      </c>
      <c r="G61" s="525" t="n">
        <v>46261</v>
      </c>
      <c r="H61" s="525" t="n">
        <v>46272</v>
      </c>
      <c r="I61" t="n">
        <v>244.8</v>
      </c>
      <c r="J61" t="n">
        <v>244.8</v>
      </c>
      <c r="K61" t="n">
        <v>244.8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08/2026</t>
        </is>
      </c>
    </row>
    <row r="62">
      <c r="A62" t="n">
        <v>259767</v>
      </c>
      <c r="B62" t="n">
        <v>180</v>
      </c>
      <c r="C62" t="inlineStr">
        <is>
          <t>Nuv Gastrobar</t>
        </is>
      </c>
      <c r="D62" t="inlineStr">
        <is>
          <t>CEPEL COMERCIO DE PAPEIS E EMBALAGENS LTDA</t>
        </is>
      </c>
      <c r="E62" t="inlineStr">
        <is>
          <t>269526</t>
        </is>
      </c>
      <c r="F62" s="525" t="n">
        <v>46247</v>
      </c>
      <c r="G62" s="525" t="n">
        <v>46260</v>
      </c>
      <c r="H62" s="525" t="n">
        <v>46275</v>
      </c>
      <c r="I62" t="n">
        <v>2150.4</v>
      </c>
      <c r="J62" t="n">
        <v>2150.4</v>
      </c>
      <c r="K62" t="n">
        <v>0</v>
      </c>
      <c r="L62" t="n">
        <v>0</v>
      </c>
      <c r="M62" t="n">
        <v>2150.4</v>
      </c>
      <c r="N62" t="n">
        <v>0</v>
      </c>
      <c r="O62" t="n">
        <v>0</v>
      </c>
      <c r="P62" t="n">
        <v>0</v>
      </c>
      <c r="Q62" t="inlineStr">
        <is>
          <t>08/2026</t>
        </is>
      </c>
    </row>
    <row r="63">
      <c r="A63" t="n">
        <v>259766</v>
      </c>
      <c r="B63" t="n">
        <v>180</v>
      </c>
      <c r="C63" t="inlineStr">
        <is>
          <t>Nuv Gastrobar</t>
        </is>
      </c>
      <c r="D63" t="inlineStr">
        <is>
          <t>DISLAR CENTRAL DE PRODUTOS PARA O LAR LTDA. - FILIAL</t>
        </is>
      </c>
      <c r="E63" t="inlineStr">
        <is>
          <t>15053</t>
        </is>
      </c>
      <c r="F63" s="525" t="n">
        <v>46244</v>
      </c>
      <c r="G63" s="525" t="n">
        <v>46260</v>
      </c>
      <c r="H63" s="525" t="n">
        <v>46273</v>
      </c>
      <c r="I63" t="n">
        <v>431.52</v>
      </c>
      <c r="J63" t="n">
        <v>431.52</v>
      </c>
      <c r="K63" t="n">
        <v>0</v>
      </c>
      <c r="L63" t="n">
        <v>0</v>
      </c>
      <c r="M63" t="n">
        <v>0</v>
      </c>
      <c r="N63" t="n">
        <v>0</v>
      </c>
      <c r="O63" t="n">
        <v>431.52</v>
      </c>
      <c r="P63" t="n">
        <v>0</v>
      </c>
      <c r="Q63" t="inlineStr">
        <is>
          <t>08/2026</t>
        </is>
      </c>
    </row>
    <row r="64">
      <c r="A64" t="n">
        <v>259760</v>
      </c>
      <c r="B64" t="n">
        <v>180</v>
      </c>
      <c r="C64" t="inlineStr">
        <is>
          <t>Nuv Gastrobar</t>
        </is>
      </c>
      <c r="D64" t="inlineStr">
        <is>
          <t>Schipper Consultoria Internacional Comercio Importacao e Exportacao LTDA</t>
        </is>
      </c>
      <c r="E64" t="inlineStr">
        <is>
          <t>139795</t>
        </is>
      </c>
      <c r="F64" s="525" t="n">
        <v>46239</v>
      </c>
      <c r="G64" s="525" t="n">
        <v>46260</v>
      </c>
      <c r="H64" s="525" t="n">
        <v>46267</v>
      </c>
      <c r="I64" t="n">
        <v>935.24</v>
      </c>
      <c r="J64" t="n">
        <v>851.9</v>
      </c>
      <c r="K64" t="n">
        <v>0</v>
      </c>
      <c r="L64" t="n">
        <v>0</v>
      </c>
      <c r="M64" t="n">
        <v>0</v>
      </c>
      <c r="N64" t="n">
        <v>0</v>
      </c>
      <c r="O64" t="n">
        <v>935.24</v>
      </c>
      <c r="P64" t="n">
        <v>0</v>
      </c>
      <c r="Q64" t="inlineStr">
        <is>
          <t>08/2026</t>
        </is>
      </c>
    </row>
    <row r="65">
      <c r="A65" t="n">
        <v>259759</v>
      </c>
      <c r="B65" t="n">
        <v>180</v>
      </c>
      <c r="C65" t="inlineStr">
        <is>
          <t>Nuv Gastrobar</t>
        </is>
      </c>
      <c r="D65" t="inlineStr">
        <is>
          <t xml:space="preserve">NOVA MIX </t>
        </is>
      </c>
      <c r="E65" t="inlineStr">
        <is>
          <t>2694846</t>
        </is>
      </c>
      <c r="F65" s="525" t="n">
        <v>46259</v>
      </c>
      <c r="G65" s="525" t="n">
        <v>46260</v>
      </c>
      <c r="H65" s="525" t="n">
        <v>46266</v>
      </c>
      <c r="I65" t="n">
        <v>271.2</v>
      </c>
      <c r="J65" t="n">
        <v>271.2</v>
      </c>
      <c r="K65" t="n">
        <v>271.2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08/2026</t>
        </is>
      </c>
    </row>
    <row r="66">
      <c r="A66" t="n">
        <v>259436</v>
      </c>
      <c r="B66" t="n">
        <v>180</v>
      </c>
      <c r="C66" t="inlineStr">
        <is>
          <t>Nuv Gastrobar</t>
        </is>
      </c>
      <c r="D66" t="inlineStr">
        <is>
          <t>ONCE ROMI LTDA</t>
        </is>
      </c>
      <c r="E66" t="inlineStr">
        <is>
          <t>21498</t>
        </is>
      </c>
      <c r="F66" s="525" t="n">
        <v>46241</v>
      </c>
      <c r="G66" s="525" t="n">
        <v>46259</v>
      </c>
      <c r="H66" s="525" t="n">
        <v>46262</v>
      </c>
      <c r="I66" t="n">
        <v>588.09</v>
      </c>
      <c r="J66" t="n">
        <v>561</v>
      </c>
      <c r="K66" t="n">
        <v>588.09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08/2026</t>
        </is>
      </c>
    </row>
    <row r="67">
      <c r="A67" t="n">
        <v>259239</v>
      </c>
      <c r="B67" t="n">
        <v>180</v>
      </c>
      <c r="C67" t="inlineStr">
        <is>
          <t>Nuv Gastrobar</t>
        </is>
      </c>
      <c r="D67" t="inlineStr">
        <is>
          <t>WPP COMERCIO DE CARNES LTDA</t>
        </is>
      </c>
      <c r="E67" t="inlineStr">
        <is>
          <t>81336</t>
        </is>
      </c>
      <c r="F67" s="525" t="n">
        <v>46255</v>
      </c>
      <c r="G67" s="525" t="n">
        <v>46259</v>
      </c>
      <c r="H67" s="525" t="n">
        <v>46283</v>
      </c>
      <c r="I67" t="n">
        <v>344.76</v>
      </c>
      <c r="J67" t="n">
        <v>344.76</v>
      </c>
      <c r="K67" t="n">
        <v>344.76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08/2026</t>
        </is>
      </c>
    </row>
    <row r="68">
      <c r="A68" t="n">
        <v>259238</v>
      </c>
      <c r="B68" t="n">
        <v>180</v>
      </c>
      <c r="C68" t="inlineStr">
        <is>
          <t>Nuv Gastrobar</t>
        </is>
      </c>
      <c r="D68" t="inlineStr">
        <is>
          <t>WPP COMERCIO DE CARNES LTDA</t>
        </is>
      </c>
      <c r="E68" t="inlineStr">
        <is>
          <t>81275</t>
        </is>
      </c>
      <c r="F68" s="525" t="n">
        <v>46253</v>
      </c>
      <c r="G68" s="525" t="n">
        <v>46259</v>
      </c>
      <c r="H68" s="525" t="n">
        <v>46281</v>
      </c>
      <c r="I68" t="n">
        <v>152.9</v>
      </c>
      <c r="J68" t="n">
        <v>152.9</v>
      </c>
      <c r="K68" t="n">
        <v>152.9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08/2026</t>
        </is>
      </c>
    </row>
    <row r="69">
      <c r="A69" t="n">
        <v>259237</v>
      </c>
      <c r="B69" t="n">
        <v>180</v>
      </c>
      <c r="C69" t="inlineStr">
        <is>
          <t>Nuv Gastrobar</t>
        </is>
      </c>
      <c r="D69" t="inlineStr">
        <is>
          <t>TERRA BRASIL HORTI FRUTI LTDA</t>
        </is>
      </c>
      <c r="E69" t="inlineStr">
        <is>
          <t>157537</t>
        </is>
      </c>
      <c r="F69" s="525" t="n">
        <v>46256</v>
      </c>
      <c r="G69" s="525" t="n">
        <v>46259</v>
      </c>
      <c r="H69" s="525" t="n">
        <v>46286</v>
      </c>
      <c r="I69" t="n">
        <v>101.8</v>
      </c>
      <c r="J69" t="n">
        <v>101.8</v>
      </c>
      <c r="K69" t="n">
        <v>101.8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08/2026</t>
        </is>
      </c>
    </row>
    <row r="70">
      <c r="A70" t="n">
        <v>259236</v>
      </c>
      <c r="B70" t="n">
        <v>180</v>
      </c>
      <c r="C70" t="inlineStr">
        <is>
          <t>Nuv Gastrobar</t>
        </is>
      </c>
      <c r="D70" t="inlineStr">
        <is>
          <t xml:space="preserve">NOVA MIX </t>
        </is>
      </c>
      <c r="E70" t="inlineStr">
        <is>
          <t>2694087</t>
        </is>
      </c>
      <c r="F70" s="525" t="n">
        <v>46258</v>
      </c>
      <c r="G70" s="525" t="n">
        <v>46259</v>
      </c>
      <c r="H70" s="525" t="n">
        <v>46265</v>
      </c>
      <c r="I70" t="n">
        <v>339</v>
      </c>
      <c r="J70" t="n">
        <v>339</v>
      </c>
      <c r="K70" t="n">
        <v>339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08/2026</t>
        </is>
      </c>
    </row>
    <row r="71">
      <c r="A71" t="n">
        <v>259234</v>
      </c>
      <c r="B71" t="n">
        <v>180</v>
      </c>
      <c r="C71" t="inlineStr">
        <is>
          <t>Nuv Gastrobar</t>
        </is>
      </c>
      <c r="D71" t="inlineStr">
        <is>
          <t>MARIO PEDRO FELICIANO - HORTIFRUTI</t>
        </is>
      </c>
      <c r="E71" t="inlineStr">
        <is>
          <t>487031</t>
        </is>
      </c>
      <c r="F71" s="525" t="n">
        <v>46256</v>
      </c>
      <c r="G71" s="525" t="n">
        <v>46259</v>
      </c>
      <c r="H71" s="525" t="n">
        <v>46284</v>
      </c>
      <c r="I71" t="n">
        <v>16.3</v>
      </c>
      <c r="J71" t="n">
        <v>16.3</v>
      </c>
      <c r="K71" t="n">
        <v>16.3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08/2026</t>
        </is>
      </c>
    </row>
    <row r="72">
      <c r="A72" t="n">
        <v>259231</v>
      </c>
      <c r="B72" t="n">
        <v>180</v>
      </c>
      <c r="C72" t="inlineStr">
        <is>
          <t>Nuv Gastrobar</t>
        </is>
      </c>
      <c r="D72" t="inlineStr">
        <is>
          <t>MARIO PEDRO FELICIANO - HORTIFRUTI</t>
        </is>
      </c>
      <c r="E72" t="inlineStr">
        <is>
          <t>486986</t>
        </is>
      </c>
      <c r="F72" s="525" t="n">
        <v>46255</v>
      </c>
      <c r="G72" s="525" t="n">
        <v>46259</v>
      </c>
      <c r="H72" s="525" t="n">
        <v>46283</v>
      </c>
      <c r="I72" t="n">
        <v>34.21</v>
      </c>
      <c r="J72" t="n">
        <v>34.21</v>
      </c>
      <c r="K72" t="n">
        <v>34.21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08/2026</t>
        </is>
      </c>
    </row>
    <row r="73">
      <c r="A73" t="n">
        <v>259230</v>
      </c>
      <c r="B73" t="n">
        <v>180</v>
      </c>
      <c r="C73" t="inlineStr">
        <is>
          <t>Nuv Gastrobar</t>
        </is>
      </c>
      <c r="D73" t="inlineStr">
        <is>
          <t>MARIO PEDRO FELICIANO - HORTIFRUTI</t>
        </is>
      </c>
      <c r="E73" t="inlineStr">
        <is>
          <t>485970</t>
        </is>
      </c>
      <c r="F73" s="525" t="n">
        <v>46246</v>
      </c>
      <c r="G73" s="525" t="n">
        <v>46259</v>
      </c>
      <c r="H73" s="525" t="n">
        <v>46274</v>
      </c>
      <c r="I73" t="n">
        <v>54.91</v>
      </c>
      <c r="J73" t="n">
        <v>54.91</v>
      </c>
      <c r="K73" t="n">
        <v>54.91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08/2026</t>
        </is>
      </c>
    </row>
    <row r="74">
      <c r="A74" t="n">
        <v>259229</v>
      </c>
      <c r="B74" t="n">
        <v>180</v>
      </c>
      <c r="C74" t="inlineStr">
        <is>
          <t>Nuv Gastrobar</t>
        </is>
      </c>
      <c r="D74" t="inlineStr">
        <is>
          <t>LPQBR RESTAURANTES E PADARIAS LTDA</t>
        </is>
      </c>
      <c r="E74" t="inlineStr">
        <is>
          <t>89523</t>
        </is>
      </c>
      <c r="F74" s="525" t="n">
        <v>46254</v>
      </c>
      <c r="G74" s="525" t="n">
        <v>46259</v>
      </c>
      <c r="H74" s="525" t="n">
        <v>46282</v>
      </c>
      <c r="I74" t="n">
        <v>5163.1</v>
      </c>
      <c r="J74" t="n">
        <v>5068.1</v>
      </c>
      <c r="K74" t="n">
        <v>5163.1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08/2026</t>
        </is>
      </c>
    </row>
    <row r="75">
      <c r="A75" t="n">
        <v>259224</v>
      </c>
      <c r="B75" t="n">
        <v>180</v>
      </c>
      <c r="C75" t="inlineStr">
        <is>
          <t>Nuv Gastrobar</t>
        </is>
      </c>
      <c r="D75" t="inlineStr">
        <is>
          <t>ATACADISTA KINGFOOD PRODUTOS ALIMENTICIO</t>
        </is>
      </c>
      <c r="E75" t="inlineStr">
        <is>
          <t>301720</t>
        </is>
      </c>
      <c r="F75" s="525" t="n">
        <v>46252</v>
      </c>
      <c r="G75" s="525" t="n">
        <v>46259</v>
      </c>
      <c r="H75" s="525" t="n">
        <v>46280</v>
      </c>
      <c r="I75" t="n">
        <v>437.08</v>
      </c>
      <c r="J75" t="n">
        <v>437.08</v>
      </c>
      <c r="K75" t="n">
        <v>437.08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08/2026</t>
        </is>
      </c>
    </row>
    <row r="76">
      <c r="A76" t="n">
        <v>259220</v>
      </c>
      <c r="B76" t="n">
        <v>180</v>
      </c>
      <c r="C76" t="inlineStr">
        <is>
          <t>Nuv Gastrobar</t>
        </is>
      </c>
      <c r="D76" t="inlineStr">
        <is>
          <t>JR GAIOTTO ALIMENTOS LTDA</t>
        </is>
      </c>
      <c r="E76" t="inlineStr">
        <is>
          <t>103755</t>
        </is>
      </c>
      <c r="F76" s="525" t="n">
        <v>46251</v>
      </c>
      <c r="G76" s="525" t="n">
        <v>46259</v>
      </c>
      <c r="H76" s="525" t="n">
        <v>46266</v>
      </c>
      <c r="I76" t="n">
        <v>177.54</v>
      </c>
      <c r="J76" t="n">
        <v>147.54</v>
      </c>
      <c r="K76" t="n">
        <v>177.54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08/2026</t>
        </is>
      </c>
    </row>
    <row r="77">
      <c r="A77" t="n">
        <v>259218</v>
      </c>
      <c r="B77" t="n">
        <v>180</v>
      </c>
      <c r="C77" t="inlineStr">
        <is>
          <t>Nuv Gastrobar</t>
        </is>
      </c>
      <c r="D77" t="inlineStr">
        <is>
          <t>DISTRIBUIDORA E IMPORTADORA IRMAOS AVELINO LTDA</t>
        </is>
      </c>
      <c r="E77" t="inlineStr">
        <is>
          <t>508859</t>
        </is>
      </c>
      <c r="F77" s="525" t="n">
        <v>46256</v>
      </c>
      <c r="G77" s="525" t="n">
        <v>46259</v>
      </c>
      <c r="H77" s="525" t="n">
        <v>46284</v>
      </c>
      <c r="I77" t="n">
        <v>680.76</v>
      </c>
      <c r="J77" t="n">
        <v>680.76</v>
      </c>
      <c r="K77" t="n">
        <v>680.76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08/2026</t>
        </is>
      </c>
    </row>
    <row r="78">
      <c r="A78" t="n">
        <v>259216</v>
      </c>
      <c r="B78" t="n">
        <v>180</v>
      </c>
      <c r="C78" t="inlineStr">
        <is>
          <t>Nuv Gastrobar</t>
        </is>
      </c>
      <c r="D78" t="inlineStr">
        <is>
          <t>GCT COMERCIO DE PRODUTOS ALIMENTICIOS LTDA</t>
        </is>
      </c>
      <c r="E78" t="inlineStr">
        <is>
          <t>13544</t>
        </is>
      </c>
      <c r="F78" s="525" t="n">
        <v>46252</v>
      </c>
      <c r="G78" s="525" t="n">
        <v>46259</v>
      </c>
      <c r="H78" s="525" t="n">
        <v>46266</v>
      </c>
      <c r="I78" t="n">
        <v>332.15</v>
      </c>
      <c r="J78" t="n">
        <v>307.05</v>
      </c>
      <c r="K78" t="n">
        <v>0</v>
      </c>
      <c r="L78" t="n">
        <v>332.15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08/2026</t>
        </is>
      </c>
    </row>
    <row r="79">
      <c r="A79" t="n">
        <v>259212</v>
      </c>
      <c r="B79" t="n">
        <v>180</v>
      </c>
      <c r="C79" t="inlineStr">
        <is>
          <t>Nuv Gastrobar</t>
        </is>
      </c>
      <c r="D79" t="inlineStr">
        <is>
          <t xml:space="preserve">FORTE ALIMENTOS COM. IMPORTAÇÃO LTDA </t>
        </is>
      </c>
      <c r="E79" t="inlineStr">
        <is>
          <t>391084</t>
        </is>
      </c>
      <c r="F79" s="525" t="n">
        <v>46258</v>
      </c>
      <c r="G79" s="525" t="n">
        <v>46259</v>
      </c>
      <c r="H79" s="525" t="n">
        <v>46287</v>
      </c>
      <c r="I79" t="n">
        <v>734.05</v>
      </c>
      <c r="J79" t="n">
        <v>731.6</v>
      </c>
      <c r="K79" t="n">
        <v>734.05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08/2026</t>
        </is>
      </c>
    </row>
    <row r="80">
      <c r="A80" t="n">
        <v>259208</v>
      </c>
      <c r="B80" t="n">
        <v>180</v>
      </c>
      <c r="C80" t="inlineStr">
        <is>
          <t>Nuv Gastrobar</t>
        </is>
      </c>
      <c r="D80" t="inlineStr">
        <is>
          <t>DO CHEF DISTRIBUIDORA DE ALIMENTOS LTDA</t>
        </is>
      </c>
      <c r="E80" t="inlineStr">
        <is>
          <t>4030</t>
        </is>
      </c>
      <c r="F80" s="525" t="n">
        <v>46255</v>
      </c>
      <c r="G80" s="525" t="n">
        <v>46259</v>
      </c>
      <c r="H80" s="525" t="n">
        <v>46280</v>
      </c>
      <c r="I80" t="n">
        <v>191.41</v>
      </c>
      <c r="J80" t="n">
        <v>159.55</v>
      </c>
      <c r="K80" t="n">
        <v>191.41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08/2026</t>
        </is>
      </c>
    </row>
    <row r="81">
      <c r="A81" t="n">
        <v>259202</v>
      </c>
      <c r="B81" t="n">
        <v>180</v>
      </c>
      <c r="C81" t="inlineStr">
        <is>
          <t>Nuv Gastrobar</t>
        </is>
      </c>
      <c r="D81" t="inlineStr">
        <is>
          <t>MURILLO S DUARTE COMERCIAL LTDA</t>
        </is>
      </c>
      <c r="E81" t="inlineStr">
        <is>
          <t>2716</t>
        </is>
      </c>
      <c r="F81" s="525" t="n">
        <v>46252</v>
      </c>
      <c r="G81" s="525" t="n">
        <v>46259</v>
      </c>
      <c r="H81" s="525" t="n">
        <v>46286</v>
      </c>
      <c r="I81" t="n">
        <v>1245.29</v>
      </c>
      <c r="J81" t="n">
        <v>1245.2</v>
      </c>
      <c r="K81" t="n">
        <v>1245.29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08/2026</t>
        </is>
      </c>
    </row>
    <row r="82">
      <c r="A82" t="n">
        <v>259201</v>
      </c>
      <c r="B82" t="n">
        <v>180</v>
      </c>
      <c r="C82" t="inlineStr">
        <is>
          <t>Nuv Gastrobar</t>
        </is>
      </c>
      <c r="D82" t="inlineStr">
        <is>
          <t>CG FOOD´S DISTRIBUIDORA DE ALIMENTOS LTDA</t>
        </is>
      </c>
      <c r="E82" t="inlineStr">
        <is>
          <t>198944</t>
        </is>
      </c>
      <c r="F82" s="525" t="n">
        <v>46253</v>
      </c>
      <c r="G82" s="525" t="n">
        <v>46259</v>
      </c>
      <c r="H82" s="525" t="n">
        <v>46281</v>
      </c>
      <c r="I82" t="n">
        <v>289.2</v>
      </c>
      <c r="J82" t="n">
        <v>289.2</v>
      </c>
      <c r="K82" t="n">
        <v>289.2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08/2026</t>
        </is>
      </c>
    </row>
    <row r="83">
      <c r="A83" t="n">
        <v>259200</v>
      </c>
      <c r="B83" t="n">
        <v>180</v>
      </c>
      <c r="C83" t="inlineStr">
        <is>
          <t>Nuv Gastrobar</t>
        </is>
      </c>
      <c r="D83" t="inlineStr">
        <is>
          <t>CECILIA TSUYACO ARAKI SILVA LTDA</t>
        </is>
      </c>
      <c r="E83" t="inlineStr">
        <is>
          <t>397958</t>
        </is>
      </c>
      <c r="F83" s="525" t="n">
        <v>46255</v>
      </c>
      <c r="G83" s="525" t="n">
        <v>46259</v>
      </c>
      <c r="H83" s="525" t="n">
        <v>46283</v>
      </c>
      <c r="I83" t="n">
        <v>101.1</v>
      </c>
      <c r="J83" t="n">
        <v>101.1</v>
      </c>
      <c r="K83" t="n">
        <v>101.1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08/2026</t>
        </is>
      </c>
    </row>
    <row r="84">
      <c r="A84" t="n">
        <v>259199</v>
      </c>
      <c r="B84" t="n">
        <v>180</v>
      </c>
      <c r="C84" t="inlineStr">
        <is>
          <t>Nuv Gastrobar</t>
        </is>
      </c>
      <c r="D84" t="inlineStr">
        <is>
          <t>CECILIA TSUYACO ARAKI SILVA LTDA</t>
        </is>
      </c>
      <c r="E84" t="inlineStr">
        <is>
          <t>396761</t>
        </is>
      </c>
      <c r="F84" s="525" t="n">
        <v>46238</v>
      </c>
      <c r="G84" s="525" t="n">
        <v>46259</v>
      </c>
      <c r="H84" s="525" t="n">
        <v>46266</v>
      </c>
      <c r="I84" t="n">
        <v>47.5</v>
      </c>
      <c r="J84" t="n">
        <v>47.5</v>
      </c>
      <c r="K84" t="n">
        <v>47.5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08/2026</t>
        </is>
      </c>
    </row>
    <row r="85">
      <c r="A85" t="n">
        <v>259197</v>
      </c>
      <c r="B85" t="n">
        <v>180</v>
      </c>
      <c r="C85" t="inlineStr">
        <is>
          <t>Nuv Gastrobar</t>
        </is>
      </c>
      <c r="D85" t="inlineStr">
        <is>
          <t>BATARD PADARIA ARTESANAL LTDA</t>
        </is>
      </c>
      <c r="E85" t="inlineStr">
        <is>
          <t>151166</t>
        </is>
      </c>
      <c r="F85" s="525" t="n">
        <v>46259</v>
      </c>
      <c r="G85" s="525" t="n">
        <v>46259</v>
      </c>
      <c r="H85" s="525" t="n">
        <v>46275</v>
      </c>
      <c r="I85" t="n">
        <v>288</v>
      </c>
      <c r="J85" t="n">
        <v>273</v>
      </c>
      <c r="K85" t="n">
        <v>288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08/2026</t>
        </is>
      </c>
    </row>
    <row r="86">
      <c r="A86" t="n">
        <v>258780</v>
      </c>
      <c r="B86" t="n">
        <v>180</v>
      </c>
      <c r="C86" t="inlineStr">
        <is>
          <t>Nuv Gastrobar</t>
        </is>
      </c>
      <c r="D86" t="inlineStr">
        <is>
          <t>DTK COMERCIO DE ALIMENTOS LTDA</t>
        </is>
      </c>
      <c r="E86" t="inlineStr">
        <is>
          <t>95882</t>
        </is>
      </c>
      <c r="F86" s="525" t="n">
        <v>46252</v>
      </c>
      <c r="G86" s="525" t="n">
        <v>46254</v>
      </c>
      <c r="H86" s="525" t="n">
        <v>46273</v>
      </c>
      <c r="I86" t="n">
        <v>1407.68</v>
      </c>
      <c r="J86" t="n">
        <v>1405.68</v>
      </c>
      <c r="K86" t="n">
        <v>1407.68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08/2026</t>
        </is>
      </c>
    </row>
    <row r="87">
      <c r="A87" t="n">
        <v>258779</v>
      </c>
      <c r="B87" t="n">
        <v>180</v>
      </c>
      <c r="C87" t="inlineStr">
        <is>
          <t>Nuv Gastrobar</t>
        </is>
      </c>
      <c r="D87" t="inlineStr">
        <is>
          <t>PSSS LTDA</t>
        </is>
      </c>
      <c r="E87" t="inlineStr">
        <is>
          <t>709</t>
        </is>
      </c>
      <c r="F87" s="525" t="n">
        <v>46254</v>
      </c>
      <c r="G87" s="525" t="n">
        <v>46254</v>
      </c>
      <c r="H87" s="525" t="n">
        <v>46269</v>
      </c>
      <c r="I87" t="n">
        <v>97.5</v>
      </c>
      <c r="J87" t="n">
        <v>97.5</v>
      </c>
      <c r="K87" t="n">
        <v>0</v>
      </c>
      <c r="L87" t="n">
        <v>0</v>
      </c>
      <c r="M87" t="n">
        <v>97.5</v>
      </c>
      <c r="N87" t="n">
        <v>0</v>
      </c>
      <c r="O87" t="n">
        <v>0</v>
      </c>
      <c r="P87" t="n">
        <v>0</v>
      </c>
      <c r="Q87" t="inlineStr">
        <is>
          <t>08/2026</t>
        </is>
      </c>
    </row>
    <row r="88">
      <c r="A88" t="n">
        <v>258778</v>
      </c>
      <c r="B88" t="n">
        <v>180</v>
      </c>
      <c r="C88" t="inlineStr">
        <is>
          <t>Nuv Gastrobar</t>
        </is>
      </c>
      <c r="D88" t="inlineStr">
        <is>
          <t>PSSS LTDA</t>
        </is>
      </c>
      <c r="E88" t="inlineStr">
        <is>
          <t>693</t>
        </is>
      </c>
      <c r="F88" s="525" t="n">
        <v>46253</v>
      </c>
      <c r="G88" s="525" t="n">
        <v>46254</v>
      </c>
      <c r="H88" s="525" t="n">
        <v>46269</v>
      </c>
      <c r="I88" t="n">
        <v>1634.59</v>
      </c>
      <c r="J88" t="n">
        <v>1585.27</v>
      </c>
      <c r="K88" t="n">
        <v>0</v>
      </c>
      <c r="L88" t="n">
        <v>0</v>
      </c>
      <c r="M88" t="n">
        <v>1239.16</v>
      </c>
      <c r="N88" t="n">
        <v>0</v>
      </c>
      <c r="O88" t="n">
        <v>395.43</v>
      </c>
      <c r="P88" t="n">
        <v>0</v>
      </c>
      <c r="Q88" t="inlineStr">
        <is>
          <t>08/2026</t>
        </is>
      </c>
    </row>
    <row r="89">
      <c r="A89" t="n">
        <v>258776</v>
      </c>
      <c r="B89" t="n">
        <v>180</v>
      </c>
      <c r="C89" t="inlineStr">
        <is>
          <t>Nuv Gastrobar</t>
        </is>
      </c>
      <c r="D89" t="inlineStr">
        <is>
          <t>MURILLO S DUARTE COMERCIAL LTDA</t>
        </is>
      </c>
      <c r="E89" t="inlineStr">
        <is>
          <t>2705</t>
        </is>
      </c>
      <c r="F89" s="525" t="n">
        <v>46251</v>
      </c>
      <c r="G89" s="525" t="n">
        <v>46254</v>
      </c>
      <c r="H89" s="525" t="n">
        <v>46286</v>
      </c>
      <c r="I89" t="n">
        <v>740.34</v>
      </c>
      <c r="J89" t="n">
        <v>740.34</v>
      </c>
      <c r="K89" t="n">
        <v>0</v>
      </c>
      <c r="L89" t="n">
        <v>0</v>
      </c>
      <c r="M89" t="n">
        <v>740.34</v>
      </c>
      <c r="N89" t="n">
        <v>0</v>
      </c>
      <c r="O89" t="n">
        <v>0</v>
      </c>
      <c r="P89" t="n">
        <v>0</v>
      </c>
      <c r="Q89" t="inlineStr">
        <is>
          <t>08/2026</t>
        </is>
      </c>
    </row>
    <row r="90">
      <c r="A90" t="n">
        <v>258775</v>
      </c>
      <c r="B90" t="n">
        <v>180</v>
      </c>
      <c r="C90" t="inlineStr">
        <is>
          <t>Nuv Gastrobar</t>
        </is>
      </c>
      <c r="D90" t="inlineStr">
        <is>
          <t>MARIO PEDRO FELICIANO - HORTIFRUTI</t>
        </is>
      </c>
      <c r="E90" t="inlineStr">
        <is>
          <t>486432</t>
        </is>
      </c>
      <c r="F90" s="525" t="n">
        <v>46251</v>
      </c>
      <c r="G90" s="525" t="n">
        <v>46254</v>
      </c>
      <c r="H90" s="525" t="n">
        <v>46279</v>
      </c>
      <c r="I90" t="n">
        <v>228.55</v>
      </c>
      <c r="J90" t="n">
        <v>228.55</v>
      </c>
      <c r="K90" t="n">
        <v>228.55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08/2026</t>
        </is>
      </c>
    </row>
    <row r="91">
      <c r="A91" t="n">
        <v>258773</v>
      </c>
      <c r="B91" t="n">
        <v>180</v>
      </c>
      <c r="C91" t="inlineStr">
        <is>
          <t>Nuv Gastrobar</t>
        </is>
      </c>
      <c r="D91" t="inlineStr">
        <is>
          <t>DTK COMERCIO DE ALIMENTOS LTDA</t>
        </is>
      </c>
      <c r="E91" t="inlineStr">
        <is>
          <t>95883</t>
        </is>
      </c>
      <c r="F91" s="525" t="n">
        <v>46252</v>
      </c>
      <c r="G91" s="525" t="n">
        <v>46254</v>
      </c>
      <c r="H91" s="525" t="n">
        <v>46273</v>
      </c>
      <c r="I91" t="n">
        <v>878.28</v>
      </c>
      <c r="J91" t="n">
        <v>876.28</v>
      </c>
      <c r="K91" t="n">
        <v>878.28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08/2026</t>
        </is>
      </c>
    </row>
    <row r="92">
      <c r="A92" t="n">
        <v>258768</v>
      </c>
      <c r="B92" t="n">
        <v>180</v>
      </c>
      <c r="C92" t="inlineStr">
        <is>
          <t>Nuv Gastrobar</t>
        </is>
      </c>
      <c r="D92" t="inlineStr">
        <is>
          <t>DTK COMERCIO DE ALIMENTOS LTDA</t>
        </is>
      </c>
      <c r="E92" t="inlineStr">
        <is>
          <t>95932</t>
        </is>
      </c>
      <c r="F92" s="525" t="n">
        <v>46252</v>
      </c>
      <c r="G92" s="525" t="n">
        <v>46254</v>
      </c>
      <c r="H92" s="525" t="n">
        <v>46273</v>
      </c>
      <c r="I92" t="n">
        <v>583.91</v>
      </c>
      <c r="J92" t="n">
        <v>581.91</v>
      </c>
      <c r="K92" t="n">
        <v>583.91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08/2026</t>
        </is>
      </c>
    </row>
    <row r="93">
      <c r="A93" t="n">
        <v>258766</v>
      </c>
      <c r="B93" t="n">
        <v>180</v>
      </c>
      <c r="C93" t="inlineStr">
        <is>
          <t>Nuv Gastrobar</t>
        </is>
      </c>
      <c r="D93" t="inlineStr">
        <is>
          <t>DO CHEF DISTRIBUIDORA DE ALIMENTOS LTDA</t>
        </is>
      </c>
      <c r="E93" t="inlineStr">
        <is>
          <t>3925</t>
        </is>
      </c>
      <c r="F93" s="525" t="n">
        <v>46251</v>
      </c>
      <c r="G93" s="525" t="n">
        <v>46254</v>
      </c>
      <c r="H93" s="525" t="n">
        <v>46279</v>
      </c>
      <c r="I93" t="n">
        <v>451.7</v>
      </c>
      <c r="J93" t="n">
        <v>451.85</v>
      </c>
      <c r="K93" t="n">
        <v>451.7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08/2026</t>
        </is>
      </c>
    </row>
    <row r="94">
      <c r="A94" t="n">
        <v>258765</v>
      </c>
      <c r="B94" t="n">
        <v>180</v>
      </c>
      <c r="C94" t="inlineStr">
        <is>
          <t>Nuv Gastrobar</t>
        </is>
      </c>
      <c r="D94" t="inlineStr">
        <is>
          <t>EMPORIO M&amp;L COMERCIO DE ALIM E BEBIDAS LTDA</t>
        </is>
      </c>
      <c r="E94" t="inlineStr">
        <is>
          <t>528721</t>
        </is>
      </c>
      <c r="F94" s="525" t="n">
        <v>46252</v>
      </c>
      <c r="G94" s="525" t="n">
        <v>46254</v>
      </c>
      <c r="H94" s="525" t="n">
        <v>46283</v>
      </c>
      <c r="I94" t="n">
        <v>1238.72</v>
      </c>
      <c r="J94" t="n">
        <v>1201.96</v>
      </c>
      <c r="K94" t="n">
        <v>1074.86</v>
      </c>
      <c r="L94" t="n">
        <v>163.86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08/2026</t>
        </is>
      </c>
    </row>
    <row r="95">
      <c r="A95" t="n">
        <v>258764</v>
      </c>
      <c r="B95" t="n">
        <v>180</v>
      </c>
      <c r="C95" t="inlineStr">
        <is>
          <t>Nuv Gastrobar</t>
        </is>
      </c>
      <c r="D95" t="inlineStr">
        <is>
          <t>EMPORIO M&amp;L COMERCIO DE ALIM E BEBIDAS LTDA</t>
        </is>
      </c>
      <c r="E95" t="inlineStr">
        <is>
          <t>528442</t>
        </is>
      </c>
      <c r="F95" s="525" t="n">
        <v>46251</v>
      </c>
      <c r="G95" s="525" t="n">
        <v>46254</v>
      </c>
      <c r="H95" s="525" t="n">
        <v>46280</v>
      </c>
      <c r="I95" t="n">
        <v>841.5599999999999</v>
      </c>
      <c r="J95" t="n">
        <v>841.5599999999999</v>
      </c>
      <c r="K95" t="n">
        <v>841.5599999999999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08/2026</t>
        </is>
      </c>
    </row>
    <row r="96">
      <c r="A96" t="n">
        <v>258763</v>
      </c>
      <c r="B96" t="n">
        <v>180</v>
      </c>
      <c r="C96" t="inlineStr">
        <is>
          <t>Nuv Gastrobar</t>
        </is>
      </c>
      <c r="D96" t="inlineStr">
        <is>
          <t>CG FOOD´S DISTRIBUIDORA DE ALIMENTOS LTDA</t>
        </is>
      </c>
      <c r="E96" t="inlineStr">
        <is>
          <t>198805</t>
        </is>
      </c>
      <c r="F96" s="525" t="n">
        <v>46252</v>
      </c>
      <c r="G96" s="525" t="n">
        <v>46254</v>
      </c>
      <c r="H96" s="525" t="n">
        <v>46280</v>
      </c>
      <c r="I96" t="n">
        <v>624</v>
      </c>
      <c r="J96" t="n">
        <v>624</v>
      </c>
      <c r="K96" t="n">
        <v>624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08/2026</t>
        </is>
      </c>
    </row>
    <row r="97">
      <c r="A97" t="n">
        <v>258761</v>
      </c>
      <c r="B97" t="n">
        <v>180</v>
      </c>
      <c r="C97" t="inlineStr">
        <is>
          <t>Nuv Gastrobar</t>
        </is>
      </c>
      <c r="D97" t="inlineStr">
        <is>
          <t xml:space="preserve">COMERCIAL IMPORTADORA E EXPORTADORA METAPUNTO LTDA </t>
        </is>
      </c>
      <c r="E97" t="inlineStr">
        <is>
          <t>47037</t>
        </is>
      </c>
      <c r="F97" s="525" t="n">
        <v>46252</v>
      </c>
      <c r="G97" s="525" t="n">
        <v>46254</v>
      </c>
      <c r="H97" s="525" t="n">
        <v>46280</v>
      </c>
      <c r="I97" t="n">
        <v>561.8</v>
      </c>
      <c r="J97" t="n">
        <v>546.9</v>
      </c>
      <c r="K97" t="n">
        <v>561.8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08/2026</t>
        </is>
      </c>
    </row>
    <row r="98">
      <c r="A98" t="n">
        <v>258760</v>
      </c>
      <c r="B98" t="n">
        <v>180</v>
      </c>
      <c r="C98" t="inlineStr">
        <is>
          <t>Nuv Gastrobar</t>
        </is>
      </c>
      <c r="D98" t="inlineStr">
        <is>
          <t>CECILIA TSUYACO ARAKI SILVA LTDA</t>
        </is>
      </c>
      <c r="E98" t="inlineStr">
        <is>
          <t>397692</t>
        </is>
      </c>
      <c r="F98" s="525" t="n">
        <v>46252</v>
      </c>
      <c r="G98" s="525" t="n">
        <v>46254</v>
      </c>
      <c r="H98" s="525" t="n">
        <v>46280</v>
      </c>
      <c r="I98" t="n">
        <v>72.59999999999999</v>
      </c>
      <c r="J98" t="n">
        <v>72.59999999999999</v>
      </c>
      <c r="K98" t="n">
        <v>72.59999999999999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08/2026</t>
        </is>
      </c>
    </row>
    <row r="99">
      <c r="A99" t="n">
        <v>258734</v>
      </c>
      <c r="B99" t="n">
        <v>180</v>
      </c>
      <c r="C99" t="inlineStr">
        <is>
          <t>Nuv Gastrobar</t>
        </is>
      </c>
      <c r="D99" t="inlineStr">
        <is>
          <t>BRASALIMENT IND E COMERCIO DE CARNES LTD</t>
        </is>
      </c>
      <c r="E99" t="inlineStr">
        <is>
          <t>716561</t>
        </is>
      </c>
      <c r="F99" s="525" t="n">
        <v>46252</v>
      </c>
      <c r="G99" s="525" t="n">
        <v>46258</v>
      </c>
      <c r="H99" s="525" t="n">
        <v>46276</v>
      </c>
      <c r="I99" t="n">
        <v>177.01</v>
      </c>
      <c r="J99" t="n">
        <v>177.01</v>
      </c>
      <c r="K99" t="n">
        <v>177.01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08/2026</t>
        </is>
      </c>
    </row>
    <row r="100">
      <c r="A100" t="n">
        <v>258732</v>
      </c>
      <c r="B100" t="n">
        <v>180</v>
      </c>
      <c r="C100" t="inlineStr">
        <is>
          <t>Nuv Gastrobar</t>
        </is>
      </c>
      <c r="D100" t="inlineStr">
        <is>
          <t>CECILIA TSUYACO ARAKI SILVA LTDA</t>
        </is>
      </c>
      <c r="E100" t="inlineStr">
        <is>
          <t>397584</t>
        </is>
      </c>
      <c r="F100" s="525" t="n">
        <v>46251</v>
      </c>
      <c r="G100" s="525" t="n">
        <v>46254</v>
      </c>
      <c r="H100" s="525" t="n">
        <v>46279</v>
      </c>
      <c r="I100" t="n">
        <v>95</v>
      </c>
      <c r="J100" t="n">
        <v>95</v>
      </c>
      <c r="K100" t="n">
        <v>95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08/2026</t>
        </is>
      </c>
    </row>
    <row r="101">
      <c r="A101" t="n">
        <v>258725</v>
      </c>
      <c r="B101" t="n">
        <v>180</v>
      </c>
      <c r="C101" t="inlineStr">
        <is>
          <t>Nuv Gastrobar</t>
        </is>
      </c>
      <c r="D101" t="inlineStr">
        <is>
          <t>DISTRIBUIDORA E IMPORTADORA IRMAOS AVELINO LTDA</t>
        </is>
      </c>
      <c r="E101" t="inlineStr">
        <is>
          <t>507919</t>
        </is>
      </c>
      <c r="F101" s="525" t="n">
        <v>46253</v>
      </c>
      <c r="G101" s="525" t="n">
        <v>46254</v>
      </c>
      <c r="H101" s="525" t="n">
        <v>46281</v>
      </c>
      <c r="I101" t="n">
        <v>2347.29</v>
      </c>
      <c r="J101" t="n">
        <v>4021.38</v>
      </c>
      <c r="K101" t="n">
        <v>2347.29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08/2026</t>
        </is>
      </c>
    </row>
    <row r="102">
      <c r="A102" t="n">
        <v>258724</v>
      </c>
      <c r="B102" t="n">
        <v>180</v>
      </c>
      <c r="C102" t="inlineStr">
        <is>
          <t>Nuv Gastrobar</t>
        </is>
      </c>
      <c r="D102" t="inlineStr">
        <is>
          <t>AROUMAR DISTRIBUIDORA DE PRODUTOS ALIMENTICIOS LTDA</t>
        </is>
      </c>
      <c r="E102" t="inlineStr">
        <is>
          <t>1078945</t>
        </is>
      </c>
      <c r="F102" s="525" t="n">
        <v>46252</v>
      </c>
      <c r="G102" s="525" t="n">
        <v>46254</v>
      </c>
      <c r="H102" s="525" t="n">
        <v>46280</v>
      </c>
      <c r="I102" t="n">
        <v>635.6</v>
      </c>
      <c r="J102" t="n">
        <v>635.6</v>
      </c>
      <c r="K102" t="n">
        <v>635.6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08/2026</t>
        </is>
      </c>
    </row>
    <row r="103">
      <c r="A103" t="n">
        <v>258462</v>
      </c>
      <c r="B103" t="n">
        <v>180</v>
      </c>
      <c r="C103" t="inlineStr">
        <is>
          <t>Nuv Gastrobar</t>
        </is>
      </c>
      <c r="D103" t="inlineStr">
        <is>
          <t>RL SISTEMAS DE HIGIENE LTDA</t>
        </is>
      </c>
      <c r="E103" t="inlineStr">
        <is>
          <t>335699</t>
        </is>
      </c>
      <c r="F103" s="525" t="n">
        <v>46252</v>
      </c>
      <c r="G103" s="525" t="n">
        <v>46254</v>
      </c>
      <c r="H103" s="525" t="n">
        <v>46280</v>
      </c>
      <c r="I103" t="n">
        <v>1011.91</v>
      </c>
      <c r="J103" t="n">
        <v>1011.91</v>
      </c>
      <c r="K103" t="n">
        <v>0</v>
      </c>
      <c r="L103" t="n">
        <v>0</v>
      </c>
      <c r="M103" t="n">
        <v>1011.91</v>
      </c>
      <c r="N103" t="n">
        <v>0</v>
      </c>
      <c r="O103" t="n">
        <v>0</v>
      </c>
      <c r="P103" t="n">
        <v>0</v>
      </c>
      <c r="Q103" t="inlineStr">
        <is>
          <t>08/2026</t>
        </is>
      </c>
    </row>
    <row r="104">
      <c r="A104" t="n">
        <v>257818</v>
      </c>
      <c r="B104" t="n">
        <v>180</v>
      </c>
      <c r="C104" t="inlineStr">
        <is>
          <t>Nuv Gastrobar</t>
        </is>
      </c>
      <c r="D104" t="inlineStr">
        <is>
          <t>ZAHIL IMPORTADORA LTDA</t>
        </is>
      </c>
      <c r="E104" t="inlineStr">
        <is>
          <t>275979</t>
        </is>
      </c>
      <c r="F104" s="525" t="n">
        <v>46251</v>
      </c>
      <c r="G104" s="525" t="n">
        <v>46253</v>
      </c>
      <c r="H104" s="525" t="n">
        <v>46281</v>
      </c>
      <c r="I104" t="n">
        <v>1001</v>
      </c>
      <c r="J104" t="n">
        <v>1013.58</v>
      </c>
      <c r="K104" t="n">
        <v>0</v>
      </c>
      <c r="L104" t="n">
        <v>1001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08/2026</t>
        </is>
      </c>
    </row>
    <row r="105">
      <c r="A105" t="n">
        <v>257815</v>
      </c>
      <c r="B105" t="n">
        <v>180</v>
      </c>
      <c r="C105" t="inlineStr">
        <is>
          <t>Nuv Gastrobar</t>
        </is>
      </c>
      <c r="D105" t="inlineStr">
        <is>
          <t>A CASA DO PRODUTOR LTDA</t>
        </is>
      </c>
      <c r="E105" t="inlineStr">
        <is>
          <t>24086</t>
        </is>
      </c>
      <c r="F105" s="525" t="n">
        <v>46253</v>
      </c>
      <c r="G105" s="525" t="n">
        <v>46253</v>
      </c>
      <c r="H105" s="525" t="n">
        <v>46260</v>
      </c>
      <c r="I105" t="n">
        <v>220</v>
      </c>
      <c r="J105" t="n">
        <v>205</v>
      </c>
      <c r="K105" t="n">
        <v>220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08/2026</t>
        </is>
      </c>
    </row>
    <row r="106">
      <c r="A106" t="n">
        <v>257810</v>
      </c>
      <c r="B106" t="n">
        <v>180</v>
      </c>
      <c r="C106" t="inlineStr">
        <is>
          <t>Nuv Gastrobar</t>
        </is>
      </c>
      <c r="D106" t="inlineStr">
        <is>
          <t>PIRAMIDES COMERCIO DE AGUAS MINEIRAIS E BEBIDAS EM GERAL LTDA</t>
        </is>
      </c>
      <c r="E106" t="inlineStr">
        <is>
          <t>177191</t>
        </is>
      </c>
      <c r="F106" s="525" t="n">
        <v>46248</v>
      </c>
      <c r="G106" s="525" t="n">
        <v>46253</v>
      </c>
      <c r="H106" s="525" t="n">
        <v>46262</v>
      </c>
      <c r="I106" t="n">
        <v>13403.82</v>
      </c>
      <c r="J106" t="n">
        <v>12756.42</v>
      </c>
      <c r="K106" t="n">
        <v>0</v>
      </c>
      <c r="L106" t="n">
        <v>13403.82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08/2026</t>
        </is>
      </c>
    </row>
    <row r="107">
      <c r="A107" t="n">
        <v>257681</v>
      </c>
      <c r="B107" t="n">
        <v>180</v>
      </c>
      <c r="C107" t="inlineStr">
        <is>
          <t>Nuv Gastrobar</t>
        </is>
      </c>
      <c r="D107" t="inlineStr">
        <is>
          <t>TERRA BRASIL HORTI FRUTI LTDA</t>
        </is>
      </c>
      <c r="E107" t="inlineStr">
        <is>
          <t>1572552</t>
        </is>
      </c>
      <c r="F107" s="525" t="n">
        <v>46249</v>
      </c>
      <c r="G107" s="525" t="n">
        <v>46251</v>
      </c>
      <c r="H107" s="525" t="n">
        <v>46279</v>
      </c>
      <c r="I107" t="n">
        <v>184.84</v>
      </c>
      <c r="J107" t="n">
        <v>184.84</v>
      </c>
      <c r="K107" t="n">
        <v>184.84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08/2026</t>
        </is>
      </c>
    </row>
    <row r="108">
      <c r="A108" t="n">
        <v>257680</v>
      </c>
      <c r="B108" t="n">
        <v>180</v>
      </c>
      <c r="C108" t="inlineStr">
        <is>
          <t>Nuv Gastrobar</t>
        </is>
      </c>
      <c r="D108" t="inlineStr">
        <is>
          <t>PSSS LTDA</t>
        </is>
      </c>
      <c r="E108" t="inlineStr">
        <is>
          <t>648</t>
        </is>
      </c>
      <c r="F108" s="525" t="n">
        <v>46247</v>
      </c>
      <c r="G108" s="525" t="n">
        <v>46251</v>
      </c>
      <c r="H108" s="525" t="n">
        <v>46261</v>
      </c>
      <c r="I108" t="n">
        <v>1564.44</v>
      </c>
      <c r="J108" t="n">
        <v>1542.74</v>
      </c>
      <c r="K108" t="n">
        <v>0</v>
      </c>
      <c r="L108" t="n">
        <v>0</v>
      </c>
      <c r="M108" t="n">
        <v>1257.58</v>
      </c>
      <c r="N108" t="n">
        <v>0</v>
      </c>
      <c r="O108" t="n">
        <v>306.86</v>
      </c>
      <c r="P108" t="n">
        <v>0</v>
      </c>
      <c r="Q108" t="inlineStr">
        <is>
          <t>08/2026</t>
        </is>
      </c>
    </row>
    <row r="109">
      <c r="A109" t="n">
        <v>257679</v>
      </c>
      <c r="B109" t="n">
        <v>180</v>
      </c>
      <c r="C109" t="inlineStr">
        <is>
          <t>Nuv Gastrobar</t>
        </is>
      </c>
      <c r="D109" t="inlineStr">
        <is>
          <t>MARIO PEDRO FELICIANO - HORTIFRUTI</t>
        </is>
      </c>
      <c r="E109" t="inlineStr">
        <is>
          <t>486359</t>
        </is>
      </c>
      <c r="F109" s="525" t="n">
        <v>46249</v>
      </c>
      <c r="G109" s="525" t="n">
        <v>46251</v>
      </c>
      <c r="H109" s="525" t="n">
        <v>46277</v>
      </c>
      <c r="I109" t="n">
        <v>395.78</v>
      </c>
      <c r="J109" t="n">
        <v>395.77</v>
      </c>
      <c r="K109" t="n">
        <v>395.78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08/2026</t>
        </is>
      </c>
    </row>
    <row r="110">
      <c r="A110" t="n">
        <v>257678</v>
      </c>
      <c r="B110" t="n">
        <v>180</v>
      </c>
      <c r="C110" t="inlineStr">
        <is>
          <t>Nuv Gastrobar</t>
        </is>
      </c>
      <c r="D110" t="inlineStr">
        <is>
          <t>MARIO PEDRO FELICIANO - HORTIFRUTI</t>
        </is>
      </c>
      <c r="E110" t="inlineStr">
        <is>
          <t>486137</t>
        </is>
      </c>
      <c r="F110" s="525" t="n">
        <v>46247</v>
      </c>
      <c r="G110" s="525" t="n">
        <v>46251</v>
      </c>
      <c r="H110" s="525" t="n">
        <v>46275</v>
      </c>
      <c r="I110" t="n">
        <v>439.83</v>
      </c>
      <c r="J110" t="n">
        <v>439.84</v>
      </c>
      <c r="K110" t="n">
        <v>439.83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08/2026</t>
        </is>
      </c>
    </row>
    <row r="111">
      <c r="A111" t="n">
        <v>257676</v>
      </c>
      <c r="B111" t="n">
        <v>180</v>
      </c>
      <c r="C111" t="inlineStr">
        <is>
          <t>Nuv Gastrobar</t>
        </is>
      </c>
      <c r="D111" t="inlineStr">
        <is>
          <t>LPQBR RESTAURANTES E PADARIAS LTDA</t>
        </is>
      </c>
      <c r="E111" t="inlineStr">
        <is>
          <t>89439</t>
        </is>
      </c>
      <c r="F111" s="525" t="n">
        <v>46244</v>
      </c>
      <c r="G111" s="525" t="n">
        <v>46251</v>
      </c>
      <c r="H111" s="525" t="n">
        <v>46271</v>
      </c>
      <c r="I111" t="n">
        <v>629.36</v>
      </c>
      <c r="J111" t="n">
        <v>629.36</v>
      </c>
      <c r="K111" t="n">
        <v>629.36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08/2026</t>
        </is>
      </c>
    </row>
    <row r="112">
      <c r="A112" t="n">
        <v>257674</v>
      </c>
      <c r="B112" t="n">
        <v>180</v>
      </c>
      <c r="C112" t="inlineStr">
        <is>
          <t>Nuv Gastrobar</t>
        </is>
      </c>
      <c r="D112" t="inlineStr">
        <is>
          <t>LEITESOL INDUSTRIA E COMERCIO</t>
        </is>
      </c>
      <c r="E112" t="inlineStr">
        <is>
          <t>762385</t>
        </is>
      </c>
      <c r="F112" s="525" t="n">
        <v>46244</v>
      </c>
      <c r="G112" s="525" t="n">
        <v>46251</v>
      </c>
      <c r="H112" s="525" t="n">
        <v>46265</v>
      </c>
      <c r="I112" t="n">
        <v>1890.37</v>
      </c>
      <c r="J112" t="n">
        <v>1871.7</v>
      </c>
      <c r="K112" t="n">
        <v>1890.37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08/2026</t>
        </is>
      </c>
    </row>
    <row r="113">
      <c r="A113" t="n">
        <v>257673</v>
      </c>
      <c r="B113" t="n">
        <v>180</v>
      </c>
      <c r="C113" t="inlineStr">
        <is>
          <t>Nuv Gastrobar</t>
        </is>
      </c>
      <c r="D113" t="inlineStr">
        <is>
          <t>JR GAIOTTO ALIMENTOS LTDA</t>
        </is>
      </c>
      <c r="E113" t="inlineStr">
        <is>
          <t>103736</t>
        </is>
      </c>
      <c r="F113" s="525" t="n">
        <v>46248</v>
      </c>
      <c r="G113" s="525" t="n">
        <v>46251</v>
      </c>
      <c r="H113" s="525" t="n">
        <v>46265</v>
      </c>
      <c r="I113" t="n">
        <v>177.54</v>
      </c>
      <c r="J113" t="n">
        <v>147.54</v>
      </c>
      <c r="K113" t="n">
        <v>177.54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08/2026</t>
        </is>
      </c>
    </row>
    <row r="114">
      <c r="A114" t="n">
        <v>257672</v>
      </c>
      <c r="B114" t="n">
        <v>180</v>
      </c>
      <c r="C114" t="inlineStr">
        <is>
          <t>Nuv Gastrobar</t>
        </is>
      </c>
      <c r="D114" t="inlineStr">
        <is>
          <t>IMPAKTO SISTEMA DE LIMPEZA E DESCARTAVEIS LTDA</t>
        </is>
      </c>
      <c r="E114" t="inlineStr">
        <is>
          <t>3313284</t>
        </is>
      </c>
      <c r="F114" s="525" t="n">
        <v>46247</v>
      </c>
      <c r="G114" s="525" t="n">
        <v>46251</v>
      </c>
      <c r="H114" s="525" t="n">
        <v>46274</v>
      </c>
      <c r="I114" t="n">
        <v>737.75</v>
      </c>
      <c r="J114" t="n">
        <v>720.9400000000001</v>
      </c>
      <c r="K114" t="n">
        <v>0</v>
      </c>
      <c r="L114" t="n">
        <v>0</v>
      </c>
      <c r="M114" t="n">
        <v>737.75</v>
      </c>
      <c r="N114" t="n">
        <v>0</v>
      </c>
      <c r="O114" t="n">
        <v>0</v>
      </c>
      <c r="P114" t="n">
        <v>0</v>
      </c>
      <c r="Q114" t="inlineStr">
        <is>
          <t>08/2026</t>
        </is>
      </c>
    </row>
    <row r="115">
      <c r="A115" t="n">
        <v>257671</v>
      </c>
      <c r="B115" t="n">
        <v>180</v>
      </c>
      <c r="C115" t="inlineStr">
        <is>
          <t>Nuv Gastrobar</t>
        </is>
      </c>
      <c r="D115" t="inlineStr">
        <is>
          <t>FUNGO DE QUINTAL COMÉRCIO DE ALIMENTOS - ME</t>
        </is>
      </c>
      <c r="E115" t="inlineStr">
        <is>
          <t>149933</t>
        </is>
      </c>
      <c r="F115" s="525" t="n">
        <v>46251</v>
      </c>
      <c r="G115" s="525" t="n">
        <v>46251</v>
      </c>
      <c r="H115" s="525" t="n">
        <v>46272</v>
      </c>
      <c r="I115" t="n">
        <v>282.4</v>
      </c>
      <c r="J115" t="n">
        <v>262.4</v>
      </c>
      <c r="K115" t="n">
        <v>282.4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08/2026</t>
        </is>
      </c>
    </row>
    <row r="116">
      <c r="A116" t="n">
        <v>257670</v>
      </c>
      <c r="B116" t="n">
        <v>180</v>
      </c>
      <c r="C116" t="inlineStr">
        <is>
          <t>Nuv Gastrobar</t>
        </is>
      </c>
      <c r="D116" t="inlineStr">
        <is>
          <t>DO CHEF DISTRIBUIDORA DE ALIMENTOS LTDA</t>
        </is>
      </c>
      <c r="E116" t="inlineStr">
        <is>
          <t>3883</t>
        </is>
      </c>
      <c r="F116" s="525" t="n">
        <v>46248</v>
      </c>
      <c r="G116" s="525" t="n">
        <v>46251</v>
      </c>
      <c r="H116" s="525" t="n">
        <v>46276</v>
      </c>
      <c r="I116" t="n">
        <v>641.75</v>
      </c>
      <c r="J116" t="n">
        <v>641.75</v>
      </c>
      <c r="K116" t="n">
        <v>641.75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08/2026</t>
        </is>
      </c>
    </row>
    <row r="117">
      <c r="A117" t="n">
        <v>257669</v>
      </c>
      <c r="B117" t="n">
        <v>180</v>
      </c>
      <c r="C117" t="inlineStr">
        <is>
          <t>Nuv Gastrobar</t>
        </is>
      </c>
      <c r="D117" t="inlineStr">
        <is>
          <t>DO CHEF DISTRIBUIDORA DE ALIMENTOS LTDA</t>
        </is>
      </c>
      <c r="E117" t="inlineStr">
        <is>
          <t>3822</t>
        </is>
      </c>
      <c r="F117" s="525" t="n">
        <v>46247</v>
      </c>
      <c r="G117" s="525" t="n">
        <v>46251</v>
      </c>
      <c r="H117" s="525" t="n">
        <v>46275</v>
      </c>
      <c r="I117" t="n">
        <v>807.3</v>
      </c>
      <c r="J117" t="n">
        <v>807.3</v>
      </c>
      <c r="K117" t="n">
        <v>807.3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08/2026</t>
        </is>
      </c>
    </row>
    <row r="118">
      <c r="A118" t="n">
        <v>257668</v>
      </c>
      <c r="B118" t="n">
        <v>180</v>
      </c>
      <c r="C118" t="inlineStr">
        <is>
          <t>Nuv Gastrobar</t>
        </is>
      </c>
      <c r="D118" t="inlineStr">
        <is>
          <t>CECILIA TSUYACO ARAKI SILVA LTDA</t>
        </is>
      </c>
      <c r="E118" t="inlineStr">
        <is>
          <t>397488</t>
        </is>
      </c>
      <c r="F118" s="525" t="n">
        <v>46248</v>
      </c>
      <c r="G118" s="525" t="n">
        <v>46251</v>
      </c>
      <c r="H118" s="525" t="n">
        <v>46276</v>
      </c>
      <c r="I118" t="n">
        <v>361.3</v>
      </c>
      <c r="J118" t="n">
        <v>361.3</v>
      </c>
      <c r="K118" t="n">
        <v>361.3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08/2026</t>
        </is>
      </c>
    </row>
    <row r="119">
      <c r="A119" t="n">
        <v>257667</v>
      </c>
      <c r="B119" t="n">
        <v>180</v>
      </c>
      <c r="C119" t="inlineStr">
        <is>
          <t>Nuv Gastrobar</t>
        </is>
      </c>
      <c r="D119" t="inlineStr">
        <is>
          <t>CECILIA TSUYACO ARAKI SILVA LTDA</t>
        </is>
      </c>
      <c r="E119" t="inlineStr">
        <is>
          <t>397388</t>
        </is>
      </c>
      <c r="F119" s="525" t="n">
        <v>46247</v>
      </c>
      <c r="G119" s="525" t="n">
        <v>46251</v>
      </c>
      <c r="H119" s="525" t="n">
        <v>46275</v>
      </c>
      <c r="I119" t="n">
        <v>377</v>
      </c>
      <c r="J119" t="n">
        <v>377</v>
      </c>
      <c r="K119" t="n">
        <v>377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08/2026</t>
        </is>
      </c>
    </row>
    <row r="120">
      <c r="A120" t="n">
        <v>257666</v>
      </c>
      <c r="B120" t="n">
        <v>180</v>
      </c>
      <c r="C120" t="inlineStr">
        <is>
          <t>Nuv Gastrobar</t>
        </is>
      </c>
      <c r="D120" t="inlineStr">
        <is>
          <t xml:space="preserve">CAMPO VERDE ALIMENTOS LTDA </t>
        </is>
      </c>
      <c r="E120" t="inlineStr">
        <is>
          <t>89841</t>
        </is>
      </c>
      <c r="F120" s="525" t="n">
        <v>46245</v>
      </c>
      <c r="G120" s="525" t="n">
        <v>46246</v>
      </c>
      <c r="H120" s="525" t="n">
        <v>46269</v>
      </c>
      <c r="I120" t="n">
        <v>515.9400000000001</v>
      </c>
      <c r="J120" t="n">
        <v>515.9400000000001</v>
      </c>
      <c r="K120" t="n">
        <v>515.9400000000001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08/2026</t>
        </is>
      </c>
    </row>
    <row r="121">
      <c r="A121" t="n">
        <v>257665</v>
      </c>
      <c r="B121" t="n">
        <v>180</v>
      </c>
      <c r="C121" t="inlineStr">
        <is>
          <t>Nuv Gastrobar</t>
        </is>
      </c>
      <c r="D121" t="inlineStr">
        <is>
          <t xml:space="preserve">BGC COMERCIO DE UTENSILIOS </t>
        </is>
      </c>
      <c r="E121" t="inlineStr">
        <is>
          <t>2560</t>
        </is>
      </c>
      <c r="F121" s="525" t="n">
        <v>46245</v>
      </c>
      <c r="G121" s="525" t="n">
        <v>46251</v>
      </c>
      <c r="H121" s="525" t="n">
        <v>46273</v>
      </c>
      <c r="I121" t="n">
        <v>7094.03</v>
      </c>
      <c r="J121" t="n">
        <v>7094.03</v>
      </c>
      <c r="K121" t="n">
        <v>0</v>
      </c>
      <c r="L121" t="n">
        <v>0</v>
      </c>
      <c r="M121" t="n">
        <v>0</v>
      </c>
      <c r="N121" t="n">
        <v>0</v>
      </c>
      <c r="O121" t="n">
        <v>7094.03</v>
      </c>
      <c r="P121" t="n">
        <v>0</v>
      </c>
      <c r="Q121" t="inlineStr">
        <is>
          <t>08/2026</t>
        </is>
      </c>
    </row>
    <row r="122">
      <c r="A122" t="n">
        <v>257664</v>
      </c>
      <c r="B122" t="n">
        <v>180</v>
      </c>
      <c r="C122" t="inlineStr">
        <is>
          <t>Nuv Gastrobar</t>
        </is>
      </c>
      <c r="D122" t="inlineStr">
        <is>
          <t>TUICIAL INDUSTRIA GRÁFICA E EDITORA LTDA. MATRIZ</t>
        </is>
      </c>
      <c r="E122" t="inlineStr">
        <is>
          <t>28134</t>
        </is>
      </c>
      <c r="F122" s="525" t="n">
        <v>46244</v>
      </c>
      <c r="G122" s="525" t="n">
        <v>46251</v>
      </c>
      <c r="H122" s="525" t="n">
        <v>46274</v>
      </c>
      <c r="I122" t="n">
        <v>1843.14</v>
      </c>
      <c r="J122" t="n">
        <v>1679.4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1843.14</v>
      </c>
      <c r="Q122" t="inlineStr">
        <is>
          <t>08/2026</t>
        </is>
      </c>
    </row>
    <row r="123">
      <c r="A123" t="n">
        <v>257663</v>
      </c>
      <c r="B123" t="n">
        <v>180</v>
      </c>
      <c r="C123" t="inlineStr">
        <is>
          <t>Nuv Gastrobar</t>
        </is>
      </c>
      <c r="D123" t="inlineStr">
        <is>
          <t>TERRA BRASIL HORTI FRUTI LTDA</t>
        </is>
      </c>
      <c r="E123" t="inlineStr">
        <is>
          <t>1571521</t>
        </is>
      </c>
      <c r="F123" s="525" t="n">
        <v>46247</v>
      </c>
      <c r="G123" s="525" t="n">
        <v>46251</v>
      </c>
      <c r="H123" s="525" t="n">
        <v>46273</v>
      </c>
      <c r="I123" t="n">
        <v>184.84</v>
      </c>
      <c r="J123" t="n">
        <v>184.84</v>
      </c>
      <c r="K123" t="n">
        <v>184.84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08/2026</t>
        </is>
      </c>
    </row>
    <row r="124">
      <c r="A124" t="n">
        <v>257662</v>
      </c>
      <c r="B124" t="n">
        <v>180</v>
      </c>
      <c r="C124" t="inlineStr">
        <is>
          <t>Nuv Gastrobar</t>
        </is>
      </c>
      <c r="D124" t="inlineStr">
        <is>
          <t xml:space="preserve">HNK BR INDUSTRIA DE BEBIDAS </t>
        </is>
      </c>
      <c r="E124" t="inlineStr">
        <is>
          <t>277704</t>
        </is>
      </c>
      <c r="F124" s="525" t="n">
        <v>46245</v>
      </c>
      <c r="G124" s="525" t="n">
        <v>46251</v>
      </c>
      <c r="H124" s="525" t="n">
        <v>46260</v>
      </c>
      <c r="I124" t="n">
        <v>14435.22</v>
      </c>
      <c r="J124" t="n">
        <v>14087.76</v>
      </c>
      <c r="K124" t="n">
        <v>0</v>
      </c>
      <c r="L124" t="n">
        <v>14435.22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08/2026</t>
        </is>
      </c>
    </row>
    <row r="125">
      <c r="A125" t="n">
        <v>257661</v>
      </c>
      <c r="B125" t="n">
        <v>180</v>
      </c>
      <c r="C125" t="inlineStr">
        <is>
          <t>Nuv Gastrobar</t>
        </is>
      </c>
      <c r="D125" t="inlineStr">
        <is>
          <t>GRAFICA CARAPONALE LTDA</t>
        </is>
      </c>
      <c r="E125" t="inlineStr">
        <is>
          <t>13512</t>
        </is>
      </c>
      <c r="F125" s="525" t="n">
        <v>46248</v>
      </c>
      <c r="G125" s="525" t="n">
        <v>46251</v>
      </c>
      <c r="H125" s="525" t="n">
        <v>46276</v>
      </c>
      <c r="I125" t="n">
        <v>3150</v>
      </c>
      <c r="J125" t="n">
        <v>3150</v>
      </c>
      <c r="K125" t="n">
        <v>0</v>
      </c>
      <c r="L125" t="n">
        <v>0</v>
      </c>
      <c r="M125" t="n">
        <v>1680</v>
      </c>
      <c r="N125" t="n">
        <v>0</v>
      </c>
      <c r="O125" t="n">
        <v>0</v>
      </c>
      <c r="P125" t="n">
        <v>1470</v>
      </c>
      <c r="Q125" t="inlineStr">
        <is>
          <t>08/2026</t>
        </is>
      </c>
    </row>
    <row r="126">
      <c r="A126" t="n">
        <v>257159</v>
      </c>
      <c r="B126" t="n">
        <v>180</v>
      </c>
      <c r="C126" t="inlineStr">
        <is>
          <t>Nuv Gastrobar</t>
        </is>
      </c>
      <c r="D126" t="inlineStr">
        <is>
          <t>FUNGO DE QUINTAL COMÉRCIO DE ALIMENTOS - ME</t>
        </is>
      </c>
      <c r="E126" t="inlineStr">
        <is>
          <t>149834</t>
        </is>
      </c>
      <c r="F126" s="525" t="n">
        <v>46248</v>
      </c>
      <c r="G126" s="525" t="n">
        <v>46251</v>
      </c>
      <c r="H126" s="525" t="n">
        <v>46269</v>
      </c>
      <c r="I126" t="n">
        <v>134</v>
      </c>
      <c r="J126" t="n">
        <v>114</v>
      </c>
      <c r="K126" t="n">
        <v>134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08/2026</t>
        </is>
      </c>
    </row>
    <row r="127">
      <c r="A127" t="n">
        <v>257158</v>
      </c>
      <c r="B127" t="n">
        <v>180</v>
      </c>
      <c r="C127" t="inlineStr">
        <is>
          <t>Nuv Gastrobar</t>
        </is>
      </c>
      <c r="D127" t="inlineStr">
        <is>
          <t>EMPORIO M&amp;L COMERCIO DE ALIM E BEBIDAS LTDA</t>
        </is>
      </c>
      <c r="E127" t="inlineStr">
        <is>
          <t>527895</t>
        </is>
      </c>
      <c r="F127" s="525" t="n">
        <v>46247</v>
      </c>
      <c r="G127" s="525" t="n">
        <v>46251</v>
      </c>
      <c r="H127" s="525" t="n">
        <v>46276</v>
      </c>
      <c r="I127" t="n">
        <v>2859.72</v>
      </c>
      <c r="J127" t="n">
        <v>2859.72</v>
      </c>
      <c r="K127" t="n">
        <v>2859.72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08/2026</t>
        </is>
      </c>
    </row>
    <row r="128">
      <c r="A128" t="n">
        <v>257156</v>
      </c>
      <c r="B128" t="n">
        <v>180</v>
      </c>
      <c r="C128" t="inlineStr">
        <is>
          <t>Nuv Gastrobar</t>
        </is>
      </c>
      <c r="D128" t="inlineStr">
        <is>
          <t>DO CHEF DISTRIBUIDORA DE ALIMENTOS LTDA</t>
        </is>
      </c>
      <c r="E128" t="inlineStr">
        <is>
          <t>3863</t>
        </is>
      </c>
      <c r="F128" s="525" t="n">
        <v>46248</v>
      </c>
      <c r="G128" s="525" t="n">
        <v>46251</v>
      </c>
      <c r="H128" s="525" t="n">
        <v>46276</v>
      </c>
      <c r="I128" t="n">
        <v>604.4</v>
      </c>
      <c r="J128" t="n">
        <v>604.4</v>
      </c>
      <c r="K128" t="n">
        <v>604.4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08/2026</t>
        </is>
      </c>
    </row>
    <row r="129">
      <c r="A129" t="n">
        <v>257155</v>
      </c>
      <c r="B129" t="n">
        <v>180</v>
      </c>
      <c r="C129" t="inlineStr">
        <is>
          <t>Nuv Gastrobar</t>
        </is>
      </c>
      <c r="D129" t="inlineStr">
        <is>
          <t>DISTRIBUIDORA DPRO LTDA</t>
        </is>
      </c>
      <c r="E129" t="inlineStr">
        <is>
          <t>408314</t>
        </is>
      </c>
      <c r="F129" s="525" t="n">
        <v>46247</v>
      </c>
      <c r="G129" s="525" t="n">
        <v>46251</v>
      </c>
      <c r="H129" s="525" t="n">
        <v>46268</v>
      </c>
      <c r="I129" t="n">
        <v>961.2</v>
      </c>
      <c r="J129" t="n">
        <v>961.2</v>
      </c>
      <c r="K129" t="n">
        <v>0</v>
      </c>
      <c r="L129" t="n">
        <v>0</v>
      </c>
      <c r="M129" t="n">
        <v>0</v>
      </c>
      <c r="N129" t="n">
        <v>0</v>
      </c>
      <c r="O129" t="n">
        <v>961.2</v>
      </c>
      <c r="P129" t="n">
        <v>0</v>
      </c>
      <c r="Q129" t="inlineStr">
        <is>
          <t>08/2026</t>
        </is>
      </c>
    </row>
    <row r="130">
      <c r="A130" t="n">
        <v>257154</v>
      </c>
      <c r="B130" t="n">
        <v>180</v>
      </c>
      <c r="C130" t="inlineStr">
        <is>
          <t>Nuv Gastrobar</t>
        </is>
      </c>
      <c r="D130" t="inlineStr">
        <is>
          <t>CG FOOD´S DISTRIBUIDORA DE ALIMENTOS LTDA</t>
        </is>
      </c>
      <c r="E130" t="inlineStr">
        <is>
          <t>198545</t>
        </is>
      </c>
      <c r="F130" s="525" t="n">
        <v>46247</v>
      </c>
      <c r="G130" s="525" t="n">
        <v>46251</v>
      </c>
      <c r="H130" s="525" t="n">
        <v>46276</v>
      </c>
      <c r="I130" t="n">
        <v>436.8</v>
      </c>
      <c r="J130" t="n">
        <v>436.8</v>
      </c>
      <c r="K130" t="n">
        <v>436.8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08/2026</t>
        </is>
      </c>
    </row>
    <row r="131">
      <c r="A131" t="n">
        <v>257153</v>
      </c>
      <c r="B131" t="n">
        <v>180</v>
      </c>
      <c r="C131" t="inlineStr">
        <is>
          <t>Nuv Gastrobar</t>
        </is>
      </c>
      <c r="D131" t="inlineStr">
        <is>
          <t>AFEQUI - DISTRIBUIDORA DE ALIMENTOS LTDA</t>
        </is>
      </c>
      <c r="E131" t="inlineStr">
        <is>
          <t>18571</t>
        </is>
      </c>
      <c r="F131" s="525" t="n">
        <v>46247</v>
      </c>
      <c r="G131" s="525" t="n">
        <v>46251</v>
      </c>
      <c r="H131" s="525" t="n">
        <v>46268</v>
      </c>
      <c r="I131" t="n">
        <v>123.9</v>
      </c>
      <c r="J131" t="n">
        <v>123.9</v>
      </c>
      <c r="K131" t="n">
        <v>123.9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08/2026</t>
        </is>
      </c>
    </row>
    <row r="132">
      <c r="A132" t="n">
        <v>257152</v>
      </c>
      <c r="B132" t="n">
        <v>180</v>
      </c>
      <c r="C132" t="inlineStr">
        <is>
          <t>Nuv Gastrobar</t>
        </is>
      </c>
      <c r="D132" t="inlineStr">
        <is>
          <t>A CASA DO PRODUTOR LTDA</t>
        </is>
      </c>
      <c r="E132" t="inlineStr">
        <is>
          <t>24053</t>
        </is>
      </c>
      <c r="F132" s="525" t="n">
        <v>46247</v>
      </c>
      <c r="G132" s="525" t="n">
        <v>46251</v>
      </c>
      <c r="H132" s="525" t="n">
        <v>46254</v>
      </c>
      <c r="I132" t="n">
        <v>425</v>
      </c>
      <c r="J132" t="n">
        <v>410</v>
      </c>
      <c r="K132" t="n">
        <v>425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08/2026</t>
        </is>
      </c>
    </row>
    <row r="133">
      <c r="A133" t="n">
        <v>256595</v>
      </c>
      <c r="B133" t="n">
        <v>180</v>
      </c>
      <c r="C133" t="inlineStr">
        <is>
          <t>Nuv Gastrobar</t>
        </is>
      </c>
      <c r="D133" t="inlineStr">
        <is>
          <t>ZAHIL IMPORTADORA LTDA</t>
        </is>
      </c>
      <c r="E133" t="inlineStr">
        <is>
          <t>275506</t>
        </is>
      </c>
      <c r="F133" s="525" t="n">
        <v>46244</v>
      </c>
      <c r="G133" s="525" t="n">
        <v>46246</v>
      </c>
      <c r="H133" s="525" t="n">
        <v>46274</v>
      </c>
      <c r="I133" t="n">
        <v>14572.74</v>
      </c>
      <c r="J133" t="n">
        <v>14326</v>
      </c>
      <c r="K133" t="n">
        <v>0</v>
      </c>
      <c r="L133" t="n">
        <v>14572.74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08/2026</t>
        </is>
      </c>
    </row>
    <row r="134">
      <c r="A134" t="n">
        <v>256593</v>
      </c>
      <c r="B134" t="n">
        <v>180</v>
      </c>
      <c r="C134" t="inlineStr">
        <is>
          <t>Nuv Gastrobar</t>
        </is>
      </c>
      <c r="D134" t="inlineStr">
        <is>
          <t>ZAHIL IMPORTADORA LTDA</t>
        </is>
      </c>
      <c r="E134" t="inlineStr">
        <is>
          <t>275469</t>
        </is>
      </c>
      <c r="F134" s="525" t="n">
        <v>46244</v>
      </c>
      <c r="G134" s="525" t="n">
        <v>46246</v>
      </c>
      <c r="H134" s="525" t="n">
        <v>46274</v>
      </c>
      <c r="I134" t="n">
        <v>2253.99</v>
      </c>
      <c r="J134" t="n">
        <v>2570.68</v>
      </c>
      <c r="K134" t="n">
        <v>0</v>
      </c>
      <c r="L134" t="n">
        <v>2253.99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08/2026</t>
        </is>
      </c>
    </row>
    <row r="135">
      <c r="A135" t="n">
        <v>256533</v>
      </c>
      <c r="B135" t="n">
        <v>180</v>
      </c>
      <c r="C135" t="inlineStr">
        <is>
          <t>Nuv Gastrobar</t>
        </is>
      </c>
      <c r="D135" t="inlineStr">
        <is>
          <t>Schipper Consultoria Internacional Comercio Importacao e Exportacao LTDA</t>
        </is>
      </c>
      <c r="E135" t="inlineStr">
        <is>
          <t>139896</t>
        </is>
      </c>
      <c r="F135" s="525" t="n">
        <v>46239</v>
      </c>
      <c r="G135" s="525" t="n">
        <v>46246</v>
      </c>
      <c r="H135" s="525" t="n">
        <v>46248</v>
      </c>
      <c r="I135" t="n">
        <v>32798.67</v>
      </c>
      <c r="J135" t="n">
        <v>30137.39</v>
      </c>
      <c r="K135" t="n">
        <v>0</v>
      </c>
      <c r="L135" t="n">
        <v>0</v>
      </c>
      <c r="M135" t="n">
        <v>0</v>
      </c>
      <c r="N135" t="n">
        <v>0</v>
      </c>
      <c r="O135" t="n">
        <v>32798.67</v>
      </c>
      <c r="P135" t="n">
        <v>0</v>
      </c>
      <c r="Q135" t="inlineStr">
        <is>
          <t>08/2026</t>
        </is>
      </c>
    </row>
    <row r="136">
      <c r="A136" t="n">
        <v>256413</v>
      </c>
      <c r="B136" t="n">
        <v>180</v>
      </c>
      <c r="C136" t="inlineStr">
        <is>
          <t>Nuv Gastrobar</t>
        </is>
      </c>
      <c r="D136" t="inlineStr">
        <is>
          <t>B.B DISTRIBUIDORA DE CARNES LTDA</t>
        </is>
      </c>
      <c r="E136" t="inlineStr">
        <is>
          <t>428726</t>
        </is>
      </c>
      <c r="F136" s="525" t="n">
        <v>46246</v>
      </c>
      <c r="G136" s="525" t="n">
        <v>46247</v>
      </c>
      <c r="H136" s="525" t="n">
        <v>46274</v>
      </c>
      <c r="I136" t="n">
        <v>4700.76</v>
      </c>
      <c r="J136" t="n">
        <v>4700.76</v>
      </c>
      <c r="K136" t="n">
        <v>4700.76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08/2026</t>
        </is>
      </c>
    </row>
    <row r="137">
      <c r="A137" t="n">
        <v>256412</v>
      </c>
      <c r="B137" t="n">
        <v>180</v>
      </c>
      <c r="C137" t="inlineStr">
        <is>
          <t>Nuv Gastrobar</t>
        </is>
      </c>
      <c r="D137" t="inlineStr">
        <is>
          <t>DO CHEF DISTRIBUIDORA DE ALIMENTOS LTDA</t>
        </is>
      </c>
      <c r="E137" t="inlineStr">
        <is>
          <t>3779</t>
        </is>
      </c>
      <c r="F137" s="525" t="n">
        <v>46246</v>
      </c>
      <c r="G137" s="525" t="n">
        <v>46247</v>
      </c>
      <c r="H137" s="525" t="n">
        <v>46274</v>
      </c>
      <c r="I137" t="n">
        <v>661.4</v>
      </c>
      <c r="J137" t="n">
        <v>661.4</v>
      </c>
      <c r="K137" t="n">
        <v>661.4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08/2026</t>
        </is>
      </c>
    </row>
    <row r="138">
      <c r="A138" t="n">
        <v>256410</v>
      </c>
      <c r="B138" t="n">
        <v>180</v>
      </c>
      <c r="C138" t="inlineStr">
        <is>
          <t>Nuv Gastrobar</t>
        </is>
      </c>
      <c r="D138" t="inlineStr">
        <is>
          <t>ATACADISTA KINGFOOD PRODUTOS ALIMENTICIO</t>
        </is>
      </c>
      <c r="E138" t="inlineStr">
        <is>
          <t>300484</t>
        </is>
      </c>
      <c r="F138" s="525" t="n">
        <v>46245</v>
      </c>
      <c r="G138" s="525" t="n">
        <v>46247</v>
      </c>
      <c r="H138" s="525" t="n">
        <v>46273</v>
      </c>
      <c r="I138" t="n">
        <v>652.04</v>
      </c>
      <c r="J138" t="n">
        <v>652.04</v>
      </c>
      <c r="K138" t="n">
        <v>652.04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08/2026</t>
        </is>
      </c>
    </row>
    <row r="139">
      <c r="A139" t="n">
        <v>256409</v>
      </c>
      <c r="B139" t="n">
        <v>180</v>
      </c>
      <c r="C139" t="inlineStr">
        <is>
          <t>Nuv Gastrobar</t>
        </is>
      </c>
      <c r="D139" t="inlineStr">
        <is>
          <t>EMPORIO M&amp;L COMERCIO DE ALIM E BEBIDAS LTDA</t>
        </is>
      </c>
      <c r="E139" t="inlineStr">
        <is>
          <t>527074</t>
        </is>
      </c>
      <c r="F139" s="525" t="n">
        <v>46244</v>
      </c>
      <c r="G139" s="525" t="n">
        <v>46247</v>
      </c>
      <c r="H139" s="525" t="n">
        <v>46273</v>
      </c>
      <c r="I139" t="n">
        <v>469.05</v>
      </c>
      <c r="J139" t="n">
        <v>469.05</v>
      </c>
      <c r="K139" t="n">
        <v>469.05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08/2026</t>
        </is>
      </c>
    </row>
    <row r="140">
      <c r="A140" t="n">
        <v>256408</v>
      </c>
      <c r="B140" t="n">
        <v>180</v>
      </c>
      <c r="C140" t="inlineStr">
        <is>
          <t>Nuv Gastrobar</t>
        </is>
      </c>
      <c r="D140" t="inlineStr">
        <is>
          <t>COMERCIO DE CEREAIS QUATRO ESTRELAS EIRELLI</t>
        </is>
      </c>
      <c r="E140" t="inlineStr">
        <is>
          <t>11655</t>
        </is>
      </c>
      <c r="F140" s="525" t="n">
        <v>46244</v>
      </c>
      <c r="G140" s="525" t="n">
        <v>46247</v>
      </c>
      <c r="H140" s="525" t="n">
        <v>46258</v>
      </c>
      <c r="I140" t="n">
        <v>237.09</v>
      </c>
      <c r="J140" t="n">
        <v>219</v>
      </c>
      <c r="K140" t="n">
        <v>237.09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08/2026</t>
        </is>
      </c>
    </row>
    <row r="141">
      <c r="A141" t="n">
        <v>256406</v>
      </c>
      <c r="B141" t="n">
        <v>180</v>
      </c>
      <c r="C141" t="inlineStr">
        <is>
          <t>Nuv Gastrobar</t>
        </is>
      </c>
      <c r="D141" t="inlineStr">
        <is>
          <t>COMERCIO DE CEREAIS QUATRO ESTRELAS EIRELLI</t>
        </is>
      </c>
      <c r="E141" t="inlineStr">
        <is>
          <t>11646</t>
        </is>
      </c>
      <c r="F141" s="525" t="n">
        <v>46241</v>
      </c>
      <c r="G141" s="525" t="n">
        <v>46247</v>
      </c>
      <c r="H141" s="525" t="n">
        <v>46258</v>
      </c>
      <c r="I141" t="n">
        <v>404.54</v>
      </c>
      <c r="J141" t="n">
        <v>387.9</v>
      </c>
      <c r="K141" t="n">
        <v>404.54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08/2026</t>
        </is>
      </c>
    </row>
    <row r="142">
      <c r="A142" t="n">
        <v>256405</v>
      </c>
      <c r="B142" t="n">
        <v>180</v>
      </c>
      <c r="C142" t="inlineStr">
        <is>
          <t>Nuv Gastrobar</t>
        </is>
      </c>
      <c r="D142" t="inlineStr">
        <is>
          <t xml:space="preserve">MS FRANGOS LTDA </t>
        </is>
      </c>
      <c r="E142" t="inlineStr">
        <is>
          <t>7473</t>
        </is>
      </c>
      <c r="F142" s="525" t="n">
        <v>46245</v>
      </c>
      <c r="G142" s="525" t="n">
        <v>46247</v>
      </c>
      <c r="H142" s="525" t="n">
        <v>46260</v>
      </c>
      <c r="I142" t="n">
        <v>228.69</v>
      </c>
      <c r="J142" t="n">
        <v>228.7</v>
      </c>
      <c r="K142" t="n">
        <v>228.69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08/2026</t>
        </is>
      </c>
    </row>
    <row r="143">
      <c r="A143" t="n">
        <v>256403</v>
      </c>
      <c r="B143" t="n">
        <v>180</v>
      </c>
      <c r="C143" t="inlineStr">
        <is>
          <t>Nuv Gastrobar</t>
        </is>
      </c>
      <c r="D143" t="inlineStr">
        <is>
          <t>AROUMAR DISTRIBUIDORA DE PRODUTOS ALIMENTICIOS LTDA</t>
        </is>
      </c>
      <c r="E143" t="inlineStr">
        <is>
          <t>1077206</t>
        </is>
      </c>
      <c r="F143" s="525" t="n">
        <v>46244</v>
      </c>
      <c r="G143" s="525" t="n">
        <v>46247</v>
      </c>
      <c r="H143" s="525" t="n">
        <v>46272</v>
      </c>
      <c r="I143" t="n">
        <v>1397.2</v>
      </c>
      <c r="J143" t="n">
        <v>1397.2</v>
      </c>
      <c r="K143" t="n">
        <v>1397.2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08/2026</t>
        </is>
      </c>
    </row>
    <row r="144">
      <c r="A144" t="n">
        <v>256401</v>
      </c>
      <c r="B144" t="n">
        <v>180</v>
      </c>
      <c r="C144" t="inlineStr">
        <is>
          <t>Nuv Gastrobar</t>
        </is>
      </c>
      <c r="D144" t="inlineStr">
        <is>
          <t>AROUMAR DISTRIBUIDORA DE PRODUTOS ALIMENTICIOS LTDA</t>
        </is>
      </c>
      <c r="E144" t="inlineStr">
        <is>
          <t>1077207</t>
        </is>
      </c>
      <c r="F144" s="525" t="n">
        <v>46244</v>
      </c>
      <c r="G144" s="525" t="n">
        <v>46247</v>
      </c>
      <c r="H144" s="525" t="n">
        <v>46272</v>
      </c>
      <c r="I144" t="n">
        <v>443.8</v>
      </c>
      <c r="J144" t="n">
        <v>443.8</v>
      </c>
      <c r="K144" t="n">
        <v>443.8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08/2026</t>
        </is>
      </c>
    </row>
    <row r="145">
      <c r="A145" t="n">
        <v>256400</v>
      </c>
      <c r="B145" t="n">
        <v>180</v>
      </c>
      <c r="C145" t="inlineStr">
        <is>
          <t>Nuv Gastrobar</t>
        </is>
      </c>
      <c r="D145" t="inlineStr">
        <is>
          <t>EMPORIO M&amp;L COMERCIO DE ALIM E BEBIDAS LTDA</t>
        </is>
      </c>
      <c r="E145" t="inlineStr">
        <is>
          <t>526692</t>
        </is>
      </c>
      <c r="F145" s="525" t="n">
        <v>46241</v>
      </c>
      <c r="G145" s="525" t="n">
        <v>46247</v>
      </c>
      <c r="H145" s="525" t="n">
        <v>46269</v>
      </c>
      <c r="I145" t="n">
        <v>5838.1</v>
      </c>
      <c r="J145" t="n">
        <v>5838.1</v>
      </c>
      <c r="K145" t="n">
        <v>0</v>
      </c>
      <c r="L145" t="n">
        <v>5838.1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08/2026</t>
        </is>
      </c>
    </row>
    <row r="146">
      <c r="A146" t="n">
        <v>256399</v>
      </c>
      <c r="B146" t="n">
        <v>180</v>
      </c>
      <c r="C146" t="inlineStr">
        <is>
          <t>Nuv Gastrobar</t>
        </is>
      </c>
      <c r="D146" t="inlineStr">
        <is>
          <t>DTK COMERCIO DE ALIMENTOS LTDA</t>
        </is>
      </c>
      <c r="E146" t="inlineStr">
        <is>
          <t>94423</t>
        </is>
      </c>
      <c r="F146" s="525" t="n">
        <v>46245</v>
      </c>
      <c r="G146" s="525" t="n">
        <v>46247</v>
      </c>
      <c r="H146" s="525" t="n">
        <v>46266</v>
      </c>
      <c r="I146" t="n">
        <v>1080.93</v>
      </c>
      <c r="J146" t="n">
        <v>1078.93</v>
      </c>
      <c r="K146" t="n">
        <v>1080.93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08/2026</t>
        </is>
      </c>
    </row>
    <row r="147">
      <c r="A147" t="n">
        <v>256398</v>
      </c>
      <c r="B147" t="n">
        <v>180</v>
      </c>
      <c r="C147" t="inlineStr">
        <is>
          <t>Nuv Gastrobar</t>
        </is>
      </c>
      <c r="D147" t="inlineStr">
        <is>
          <t xml:space="preserve">COMERCIAL IMPORTADORA E EXPORTADORA METAPUNTO LTDA </t>
        </is>
      </c>
      <c r="E147" t="inlineStr">
        <is>
          <t>46834</t>
        </is>
      </c>
      <c r="F147" s="525" t="n">
        <v>46245</v>
      </c>
      <c r="G147" s="525" t="n">
        <v>46247</v>
      </c>
      <c r="H147" s="525" t="n">
        <v>46273</v>
      </c>
      <c r="I147" t="n">
        <v>1331.3</v>
      </c>
      <c r="J147" t="n">
        <v>1331.3</v>
      </c>
      <c r="K147" t="n">
        <v>1331.3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08/2026</t>
        </is>
      </c>
    </row>
    <row r="148">
      <c r="A148" t="n">
        <v>256397</v>
      </c>
      <c r="B148" t="n">
        <v>180</v>
      </c>
      <c r="C148" t="inlineStr">
        <is>
          <t>Nuv Gastrobar</t>
        </is>
      </c>
      <c r="D148" t="inlineStr">
        <is>
          <t>DISTRIBUIDORA E IMPORTADORA IRMAOS AVELINO LTDA</t>
        </is>
      </c>
      <c r="E148" t="inlineStr">
        <is>
          <t>504512</t>
        </is>
      </c>
      <c r="F148" s="525" t="n">
        <v>46245</v>
      </c>
      <c r="G148" s="525" t="n">
        <v>46247</v>
      </c>
      <c r="H148" s="525" t="n">
        <v>46273</v>
      </c>
      <c r="I148" t="n">
        <v>472.58</v>
      </c>
      <c r="J148" t="n">
        <v>945.5599999999999</v>
      </c>
      <c r="K148" t="n">
        <v>472.58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08/2026</t>
        </is>
      </c>
    </row>
    <row r="149">
      <c r="A149" t="n">
        <v>256396</v>
      </c>
      <c r="B149" t="n">
        <v>180</v>
      </c>
      <c r="C149" t="inlineStr">
        <is>
          <t>Nuv Gastrobar</t>
        </is>
      </c>
      <c r="D149" t="inlineStr">
        <is>
          <t>MURILLO S DUARTE COMERCIAL LTDA</t>
        </is>
      </c>
      <c r="E149" t="inlineStr">
        <is>
          <t>2681</t>
        </is>
      </c>
      <c r="F149" s="525" t="n">
        <v>46246</v>
      </c>
      <c r="G149" s="525" t="n">
        <v>46247</v>
      </c>
      <c r="H149" s="525" t="n">
        <v>46279</v>
      </c>
      <c r="I149" t="n">
        <v>739.2</v>
      </c>
      <c r="J149" t="n">
        <v>739.2</v>
      </c>
      <c r="K149" t="n">
        <v>739.2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08/2026</t>
        </is>
      </c>
    </row>
    <row r="150">
      <c r="A150" t="n">
        <v>256395</v>
      </c>
      <c r="B150" t="n">
        <v>180</v>
      </c>
      <c r="C150" t="inlineStr">
        <is>
          <t>Nuv Gastrobar</t>
        </is>
      </c>
      <c r="D150" t="inlineStr">
        <is>
          <t>MURILLO S DUARTE COMERCIAL LTDA</t>
        </is>
      </c>
      <c r="E150" t="inlineStr">
        <is>
          <t>2677</t>
        </is>
      </c>
      <c r="F150" s="525" t="n">
        <v>46245</v>
      </c>
      <c r="G150" s="525" t="n">
        <v>46247</v>
      </c>
      <c r="H150" s="525" t="n">
        <v>46279</v>
      </c>
      <c r="I150" t="n">
        <v>679.6</v>
      </c>
      <c r="J150" t="n">
        <v>679.6</v>
      </c>
      <c r="K150" t="n">
        <v>679.6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08/2026</t>
        </is>
      </c>
    </row>
    <row r="151">
      <c r="A151" t="n">
        <v>256394</v>
      </c>
      <c r="B151" t="n">
        <v>180</v>
      </c>
      <c r="C151" t="inlineStr">
        <is>
          <t>Nuv Gastrobar</t>
        </is>
      </c>
      <c r="D151" t="inlineStr">
        <is>
          <t>MURILLO S DUARTE COMERCIAL LTDA</t>
        </is>
      </c>
      <c r="E151" t="inlineStr">
        <is>
          <t>2662</t>
        </is>
      </c>
      <c r="F151" s="525" t="n">
        <v>46245</v>
      </c>
      <c r="G151" s="525" t="n">
        <v>46247</v>
      </c>
      <c r="H151" s="525" t="n">
        <v>46279</v>
      </c>
      <c r="I151" t="n">
        <v>892.92</v>
      </c>
      <c r="J151" t="n">
        <v>827.22</v>
      </c>
      <c r="K151" t="n">
        <v>0</v>
      </c>
      <c r="L151" t="n">
        <v>0</v>
      </c>
      <c r="M151" t="n">
        <v>892.92</v>
      </c>
      <c r="N151" t="n">
        <v>0</v>
      </c>
      <c r="O151" t="n">
        <v>0</v>
      </c>
      <c r="P151" t="n">
        <v>0</v>
      </c>
      <c r="Q151" t="inlineStr">
        <is>
          <t>08/2026</t>
        </is>
      </c>
    </row>
    <row r="152">
      <c r="A152" t="n">
        <v>256393</v>
      </c>
      <c r="B152" t="n">
        <v>180</v>
      </c>
      <c r="C152" t="inlineStr">
        <is>
          <t>Nuv Gastrobar</t>
        </is>
      </c>
      <c r="D152" t="inlineStr">
        <is>
          <t>EMPORIO M&amp;L COMERCIO DE ALIM E BEBIDAS LTDA</t>
        </is>
      </c>
      <c r="E152" t="inlineStr">
        <is>
          <t>527652</t>
        </is>
      </c>
      <c r="F152" s="525" t="n">
        <v>46246</v>
      </c>
      <c r="G152" s="525" t="n">
        <v>46247</v>
      </c>
      <c r="H152" s="525" t="n">
        <v>46276</v>
      </c>
      <c r="I152" t="n">
        <v>234</v>
      </c>
      <c r="J152" t="n">
        <v>234</v>
      </c>
      <c r="K152" t="n">
        <v>234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08/2026</t>
        </is>
      </c>
    </row>
    <row r="153">
      <c r="A153" t="n">
        <v>256392</v>
      </c>
      <c r="B153" t="n">
        <v>180</v>
      </c>
      <c r="C153" t="inlineStr">
        <is>
          <t>Nuv Gastrobar</t>
        </is>
      </c>
      <c r="D153" t="inlineStr">
        <is>
          <t>FNS COMERCIO E IMPORTAÇÃO LTDA</t>
        </is>
      </c>
      <c r="E153" t="inlineStr">
        <is>
          <t>404350</t>
        </is>
      </c>
      <c r="F153" s="525" t="n">
        <v>46246</v>
      </c>
      <c r="G153" s="525" t="n">
        <v>46247</v>
      </c>
      <c r="H153" s="525" t="n">
        <v>46274</v>
      </c>
      <c r="I153" t="n">
        <v>564</v>
      </c>
      <c r="J153" t="n">
        <v>456.21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564</v>
      </c>
      <c r="Q153" t="inlineStr">
        <is>
          <t>08/2026</t>
        </is>
      </c>
    </row>
    <row r="154">
      <c r="A154" t="n">
        <v>256391</v>
      </c>
      <c r="B154" t="n">
        <v>180</v>
      </c>
      <c r="C154" t="inlineStr">
        <is>
          <t>Nuv Gastrobar</t>
        </is>
      </c>
      <c r="D154" t="inlineStr">
        <is>
          <t>CECILIA TSUYACO ARAKI SILVA LTDA</t>
        </is>
      </c>
      <c r="E154" t="inlineStr">
        <is>
          <t>397304</t>
        </is>
      </c>
      <c r="F154" s="525" t="n">
        <v>46246</v>
      </c>
      <c r="G154" s="525" t="n">
        <v>46247</v>
      </c>
      <c r="H154" s="525" t="n">
        <v>46274</v>
      </c>
      <c r="I154" t="n">
        <v>255.5</v>
      </c>
      <c r="J154" t="n">
        <v>255.5</v>
      </c>
      <c r="K154" t="n">
        <v>255.5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08/2026</t>
        </is>
      </c>
    </row>
    <row r="155">
      <c r="A155" t="n">
        <v>256389</v>
      </c>
      <c r="B155" t="n">
        <v>180</v>
      </c>
      <c r="C155" t="inlineStr">
        <is>
          <t>Nuv Gastrobar</t>
        </is>
      </c>
      <c r="D155" t="inlineStr">
        <is>
          <t>DISTRIBUIDORA E IMPORTADORA IRMAOS AVELINO LTDA</t>
        </is>
      </c>
      <c r="E155" t="inlineStr">
        <is>
          <t>505069</t>
        </is>
      </c>
      <c r="F155" s="525" t="n">
        <v>46245</v>
      </c>
      <c r="G155" s="525" t="n">
        <v>46246</v>
      </c>
      <c r="H155" s="525" t="n">
        <v>46273</v>
      </c>
      <c r="I155" t="n">
        <v>1437.82</v>
      </c>
      <c r="J155" t="n">
        <v>2126.58</v>
      </c>
      <c r="K155" t="n">
        <v>1437.82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08/2026</t>
        </is>
      </c>
    </row>
    <row r="156">
      <c r="A156" t="n">
        <v>256388</v>
      </c>
      <c r="B156" t="n">
        <v>180</v>
      </c>
      <c r="C156" t="inlineStr">
        <is>
          <t>Nuv Gastrobar</t>
        </is>
      </c>
      <c r="D156" t="inlineStr">
        <is>
          <t>CEPEL COMERCIO DE PAPEIS E EMBALAGENS LTDA</t>
        </is>
      </c>
      <c r="E156" t="inlineStr">
        <is>
          <t>269354</t>
        </is>
      </c>
      <c r="F156" s="525" t="n">
        <v>46245</v>
      </c>
      <c r="G156" s="525" t="n">
        <v>46246</v>
      </c>
      <c r="H156" s="525" t="n">
        <v>46279</v>
      </c>
      <c r="I156" t="n">
        <v>1833.6</v>
      </c>
      <c r="J156" t="n">
        <v>1833.6</v>
      </c>
      <c r="K156" t="n">
        <v>0</v>
      </c>
      <c r="L156" t="n">
        <v>0</v>
      </c>
      <c r="M156" t="n">
        <v>1833.6</v>
      </c>
      <c r="N156" t="n">
        <v>0</v>
      </c>
      <c r="O156" t="n">
        <v>0</v>
      </c>
      <c r="P156" t="n">
        <v>0</v>
      </c>
      <c r="Q156" t="inlineStr">
        <is>
          <t>08/2026</t>
        </is>
      </c>
    </row>
    <row r="157">
      <c r="A157" t="n">
        <v>256387</v>
      </c>
      <c r="B157" t="n">
        <v>180</v>
      </c>
      <c r="C157" t="inlineStr">
        <is>
          <t>Nuv Gastrobar</t>
        </is>
      </c>
      <c r="D157" t="inlineStr">
        <is>
          <t>FSM FAZENDA SANTA MARGARIDA LTDA</t>
        </is>
      </c>
      <c r="E157" t="inlineStr">
        <is>
          <t>17025</t>
        </is>
      </c>
      <c r="F157" s="525" t="n">
        <v>46245</v>
      </c>
      <c r="G157" s="525" t="n">
        <v>46246</v>
      </c>
      <c r="H157" s="525" t="n">
        <v>46274</v>
      </c>
      <c r="I157" t="n">
        <v>3848.9</v>
      </c>
      <c r="J157" t="n">
        <v>3848.9</v>
      </c>
      <c r="K157" t="n">
        <v>0</v>
      </c>
      <c r="L157" t="n">
        <v>2556.9</v>
      </c>
      <c r="M157" t="n">
        <v>0</v>
      </c>
      <c r="N157" t="n">
        <v>0</v>
      </c>
      <c r="O157" t="n">
        <v>1292</v>
      </c>
      <c r="P157" t="n">
        <v>0</v>
      </c>
      <c r="Q157" t="inlineStr">
        <is>
          <t>08/2026</t>
        </is>
      </c>
    </row>
    <row r="158">
      <c r="A158" t="n">
        <v>256384</v>
      </c>
      <c r="B158" t="n">
        <v>180</v>
      </c>
      <c r="C158" t="inlineStr">
        <is>
          <t>Nuv Gastrobar</t>
        </is>
      </c>
      <c r="D158" t="inlineStr">
        <is>
          <t>MONTE ALTO ALIMENTOS LTDA</t>
        </is>
      </c>
      <c r="E158" t="inlineStr">
        <is>
          <t>184294</t>
        </is>
      </c>
      <c r="F158" s="525" t="n">
        <v>46245</v>
      </c>
      <c r="G158" s="525" t="n">
        <v>46246</v>
      </c>
      <c r="H158" s="525" t="n">
        <v>46259</v>
      </c>
      <c r="I158" t="n">
        <v>3115.73</v>
      </c>
      <c r="J158" t="n">
        <v>3115.73</v>
      </c>
      <c r="K158" t="n">
        <v>3115.73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08/2026</t>
        </is>
      </c>
    </row>
    <row r="159">
      <c r="A159" t="n">
        <v>256382</v>
      </c>
      <c r="B159" t="n">
        <v>180</v>
      </c>
      <c r="C159" t="inlineStr">
        <is>
          <t>Nuv Gastrobar</t>
        </is>
      </c>
      <c r="D159" t="inlineStr">
        <is>
          <t>COMERCIO DE CEREAIS QUATRO ESTRELAS EIRELLI</t>
        </is>
      </c>
      <c r="E159" t="inlineStr">
        <is>
          <t>11677</t>
        </is>
      </c>
      <c r="F159" s="525" t="n">
        <v>46244</v>
      </c>
      <c r="G159" s="525" t="n">
        <v>46246</v>
      </c>
      <c r="H159" s="525" t="n">
        <v>46265</v>
      </c>
      <c r="I159" t="n">
        <v>778.24</v>
      </c>
      <c r="J159" t="n">
        <v>761.6</v>
      </c>
      <c r="K159" t="n">
        <v>778.24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08/2026</t>
        </is>
      </c>
    </row>
    <row r="160">
      <c r="A160" t="n">
        <v>256361</v>
      </c>
      <c r="B160" t="n">
        <v>180</v>
      </c>
      <c r="C160" t="inlineStr">
        <is>
          <t>Nuv Gastrobar</t>
        </is>
      </c>
      <c r="D160" t="inlineStr">
        <is>
          <t>LATICINIOS PIRAMIDE LTDA</t>
        </is>
      </c>
      <c r="E160" t="inlineStr">
        <is>
          <t>87822</t>
        </is>
      </c>
      <c r="F160" s="525" t="n">
        <v>46245</v>
      </c>
      <c r="G160" s="525" t="n">
        <v>46246</v>
      </c>
      <c r="H160" s="525" t="n">
        <v>46259</v>
      </c>
      <c r="I160" t="n">
        <v>366.4</v>
      </c>
      <c r="J160" t="n">
        <v>336.4</v>
      </c>
      <c r="K160" t="n">
        <v>366.4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08/2026</t>
        </is>
      </c>
    </row>
    <row r="161">
      <c r="A161" t="n">
        <v>256360</v>
      </c>
      <c r="B161" t="n">
        <v>180</v>
      </c>
      <c r="C161" t="inlineStr">
        <is>
          <t>Nuv Gastrobar</t>
        </is>
      </c>
      <c r="D161" t="inlineStr">
        <is>
          <t>ARTE GELATI SORVETES LTDA</t>
        </is>
      </c>
      <c r="E161" t="inlineStr">
        <is>
          <t>42432</t>
        </is>
      </c>
      <c r="F161" s="525" t="n">
        <v>46245</v>
      </c>
      <c r="G161" s="525" t="n">
        <v>46246</v>
      </c>
      <c r="H161" s="525" t="n">
        <v>46259</v>
      </c>
      <c r="I161" t="n">
        <v>1108.4</v>
      </c>
      <c r="J161" t="n">
        <v>1108.4</v>
      </c>
      <c r="K161" t="n">
        <v>1108.4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08/2026</t>
        </is>
      </c>
    </row>
    <row r="162">
      <c r="A162" t="n">
        <v>256359</v>
      </c>
      <c r="B162" t="n">
        <v>180</v>
      </c>
      <c r="C162" t="inlineStr">
        <is>
          <t>Nuv Gastrobar</t>
        </is>
      </c>
      <c r="D162" t="inlineStr">
        <is>
          <t>EMPORIO M&amp;L COMERCIO DE ALIM E BEBIDAS LTDA</t>
        </is>
      </c>
      <c r="E162" t="inlineStr">
        <is>
          <t>527407</t>
        </is>
      </c>
      <c r="F162" s="525" t="n">
        <v>46245</v>
      </c>
      <c r="G162" s="525" t="n">
        <v>46246</v>
      </c>
      <c r="H162" s="525" t="n">
        <v>46276</v>
      </c>
      <c r="I162" t="n">
        <v>1057.95</v>
      </c>
      <c r="J162" t="n">
        <v>1046.05</v>
      </c>
      <c r="K162" t="n">
        <v>736.33</v>
      </c>
      <c r="L162" t="n">
        <v>321.62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08/2026</t>
        </is>
      </c>
    </row>
    <row r="163">
      <c r="A163" t="n">
        <v>256352</v>
      </c>
      <c r="B163" t="n">
        <v>180</v>
      </c>
      <c r="C163" t="inlineStr">
        <is>
          <t>Nuv Gastrobar</t>
        </is>
      </c>
      <c r="D163" t="inlineStr">
        <is>
          <t>BATARD PADARIA ARTESANAL LTDA</t>
        </is>
      </c>
      <c r="E163" t="inlineStr">
        <is>
          <t>15034</t>
        </is>
      </c>
      <c r="F163" s="525" t="n">
        <v>46245</v>
      </c>
      <c r="G163" s="525" t="n">
        <v>46246</v>
      </c>
      <c r="H163" s="525" t="n">
        <v>46262</v>
      </c>
      <c r="I163" t="n">
        <v>379</v>
      </c>
      <c r="J163" t="n">
        <v>364</v>
      </c>
      <c r="K163" t="n">
        <v>379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08/2026</t>
        </is>
      </c>
    </row>
    <row r="164">
      <c r="A164" t="n">
        <v>256350</v>
      </c>
      <c r="B164" t="n">
        <v>180</v>
      </c>
      <c r="C164" t="inlineStr">
        <is>
          <t>Nuv Gastrobar</t>
        </is>
      </c>
      <c r="D164" t="inlineStr">
        <is>
          <t>DO CHEF DISTRIBUIDORA DE ALIMENTOS LTDA</t>
        </is>
      </c>
      <c r="E164" t="inlineStr">
        <is>
          <t>3740</t>
        </is>
      </c>
      <c r="F164" s="525" t="n">
        <v>46245</v>
      </c>
      <c r="G164" s="525" t="n">
        <v>46246</v>
      </c>
      <c r="H164" s="525" t="n">
        <v>46273</v>
      </c>
      <c r="I164" t="n">
        <v>285.55</v>
      </c>
      <c r="J164" t="n">
        <v>285.55</v>
      </c>
      <c r="K164" t="n">
        <v>285.55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08/2026</t>
        </is>
      </c>
    </row>
    <row r="165">
      <c r="A165" t="n">
        <v>256349</v>
      </c>
      <c r="B165" t="n">
        <v>180</v>
      </c>
      <c r="C165" t="inlineStr">
        <is>
          <t>Nuv Gastrobar</t>
        </is>
      </c>
      <c r="D165" t="inlineStr">
        <is>
          <t>MARIO PEDRO FELICIANO - HORTIFRUTI</t>
        </is>
      </c>
      <c r="E165" t="inlineStr">
        <is>
          <t>485895</t>
        </is>
      </c>
      <c r="F165" s="525" t="n">
        <v>46245</v>
      </c>
      <c r="G165" s="525" t="n">
        <v>46246</v>
      </c>
      <c r="H165" s="525" t="n">
        <v>46273</v>
      </c>
      <c r="I165" t="n">
        <v>293.55</v>
      </c>
      <c r="J165" t="n">
        <v>293.55</v>
      </c>
      <c r="K165" t="n">
        <v>293.55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08/2026</t>
        </is>
      </c>
    </row>
    <row r="166">
      <c r="A166" t="n">
        <v>256348</v>
      </c>
      <c r="B166" t="n">
        <v>180</v>
      </c>
      <c r="C166" t="inlineStr">
        <is>
          <t>Nuv Gastrobar</t>
        </is>
      </c>
      <c r="D166" t="inlineStr">
        <is>
          <t>CECILIA TSUYACO ARAKI SILVA LTDA</t>
        </is>
      </c>
      <c r="E166" t="inlineStr">
        <is>
          <t>397238</t>
        </is>
      </c>
      <c r="F166" s="525" t="n">
        <v>46245</v>
      </c>
      <c r="G166" s="525" t="n">
        <v>46246</v>
      </c>
      <c r="H166" s="525" t="n">
        <v>46273</v>
      </c>
      <c r="I166" t="n">
        <v>564.2</v>
      </c>
      <c r="J166" t="n">
        <v>564.2</v>
      </c>
      <c r="K166" t="n">
        <v>564.2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08/2026</t>
        </is>
      </c>
    </row>
    <row r="167">
      <c r="A167" t="n">
        <v>256347</v>
      </c>
      <c r="B167" t="n">
        <v>180</v>
      </c>
      <c r="C167" t="inlineStr">
        <is>
          <t>Nuv Gastrobar</t>
        </is>
      </c>
      <c r="D167" t="inlineStr">
        <is>
          <t>DTK COMERCIO DE ALIMENTOS LTDA</t>
        </is>
      </c>
      <c r="E167" t="inlineStr">
        <is>
          <t>94926</t>
        </is>
      </c>
      <c r="F167" s="525" t="n">
        <v>46246</v>
      </c>
      <c r="G167" s="525" t="n">
        <v>46246</v>
      </c>
      <c r="H167" s="525" t="n">
        <v>46267</v>
      </c>
      <c r="I167" t="n">
        <v>751.1</v>
      </c>
      <c r="J167" t="n">
        <v>749.1</v>
      </c>
      <c r="K167" t="n">
        <v>751.1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08/2026</t>
        </is>
      </c>
    </row>
    <row r="168">
      <c r="A168" t="n">
        <v>256346</v>
      </c>
      <c r="B168" t="n">
        <v>180</v>
      </c>
      <c r="C168" t="inlineStr">
        <is>
          <t>Nuv Gastrobar</t>
        </is>
      </c>
      <c r="D168" t="inlineStr">
        <is>
          <t>FUNGO DE QUINTAL COMÉRCIO DE ALIMENTOS - ME</t>
        </is>
      </c>
      <c r="E168" t="inlineStr">
        <is>
          <t>149581</t>
        </is>
      </c>
      <c r="F168" s="525" t="n">
        <v>46246</v>
      </c>
      <c r="G168" s="525" t="n">
        <v>46246</v>
      </c>
      <c r="H168" s="525" t="n">
        <v>46267</v>
      </c>
      <c r="I168" t="n">
        <v>371</v>
      </c>
      <c r="J168" t="n">
        <v>371</v>
      </c>
      <c r="K168" t="n">
        <v>371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08/2026</t>
        </is>
      </c>
    </row>
    <row r="169">
      <c r="A169" t="n">
        <v>256345</v>
      </c>
      <c r="B169" t="n">
        <v>180</v>
      </c>
      <c r="C169" t="inlineStr">
        <is>
          <t>Nuv Gastrobar</t>
        </is>
      </c>
      <c r="D169" t="inlineStr">
        <is>
          <t>FNS COMERCIO E IMPORTAÇÃO LTDA</t>
        </is>
      </c>
      <c r="E169" t="inlineStr">
        <is>
          <t>404013</t>
        </is>
      </c>
      <c r="F169" s="525" t="n">
        <v>46244</v>
      </c>
      <c r="G169" s="525" t="n">
        <v>46246</v>
      </c>
      <c r="H169" s="525" t="n">
        <v>46272</v>
      </c>
      <c r="I169" t="n">
        <v>4008.2</v>
      </c>
      <c r="J169" t="n">
        <v>3115.76</v>
      </c>
      <c r="K169" t="n">
        <v>0</v>
      </c>
      <c r="L169" t="n">
        <v>0</v>
      </c>
      <c r="M169" t="n">
        <v>2378.97</v>
      </c>
      <c r="N169" t="n">
        <v>0</v>
      </c>
      <c r="O169" t="n">
        <v>0</v>
      </c>
      <c r="P169" t="n">
        <v>1629.23</v>
      </c>
      <c r="Q169" t="inlineStr">
        <is>
          <t>08/2026</t>
        </is>
      </c>
    </row>
    <row r="170">
      <c r="A170" t="n">
        <v>256344</v>
      </c>
      <c r="B170" t="n">
        <v>180</v>
      </c>
      <c r="C170" t="inlineStr">
        <is>
          <t>Nuv Gastrobar</t>
        </is>
      </c>
      <c r="D170" t="inlineStr">
        <is>
          <t>EMPORIO M&amp;L COMERCIO DE ALIM E BEBIDAS LTDA</t>
        </is>
      </c>
      <c r="E170" t="inlineStr">
        <is>
          <t>526987</t>
        </is>
      </c>
      <c r="F170" s="525" t="n">
        <v>46244</v>
      </c>
      <c r="G170" s="525" t="n">
        <v>46246</v>
      </c>
      <c r="H170" s="525" t="n">
        <v>46273</v>
      </c>
      <c r="I170" t="n">
        <v>4020.99</v>
      </c>
      <c r="J170" t="n">
        <v>4020.99</v>
      </c>
      <c r="K170" t="n">
        <v>4020.99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08/2026</t>
        </is>
      </c>
    </row>
    <row r="171">
      <c r="A171" t="n">
        <v>256343</v>
      </c>
      <c r="B171" t="n">
        <v>180</v>
      </c>
      <c r="C171" t="inlineStr">
        <is>
          <t>Nuv Gastrobar</t>
        </is>
      </c>
      <c r="D171" t="inlineStr">
        <is>
          <t>EMPORIO M&amp;L COMERCIO DE ALIM E BEBIDAS LTDA</t>
        </is>
      </c>
      <c r="E171" t="inlineStr">
        <is>
          <t>526919</t>
        </is>
      </c>
      <c r="F171" s="525" t="n">
        <v>46244</v>
      </c>
      <c r="G171" s="525" t="n">
        <v>46246</v>
      </c>
      <c r="H171" s="525" t="n">
        <v>46273</v>
      </c>
      <c r="I171" t="n">
        <v>666.6</v>
      </c>
      <c r="J171" t="n">
        <v>666.6</v>
      </c>
      <c r="K171" t="n">
        <v>454.6</v>
      </c>
      <c r="L171" t="n">
        <v>212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08/2026</t>
        </is>
      </c>
    </row>
    <row r="172">
      <c r="A172" t="n">
        <v>256342</v>
      </c>
      <c r="B172" t="n">
        <v>180</v>
      </c>
      <c r="C172" t="inlineStr">
        <is>
          <t>Nuv Gastrobar</t>
        </is>
      </c>
      <c r="D172" t="inlineStr">
        <is>
          <t>FARA INDUSTRIA E COMERCIO DE ALIMENTOS SAUDAVEIS LTDA</t>
        </is>
      </c>
      <c r="E172" t="inlineStr">
        <is>
          <t>24509</t>
        </is>
      </c>
      <c r="F172" s="525" t="n">
        <v>46244</v>
      </c>
      <c r="G172" s="525" t="n">
        <v>46246</v>
      </c>
      <c r="H172" s="525" t="n">
        <v>46265</v>
      </c>
      <c r="I172" t="n">
        <v>624.6</v>
      </c>
      <c r="J172" t="n">
        <v>599.6</v>
      </c>
      <c r="K172" t="n">
        <v>624.6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08/2026</t>
        </is>
      </c>
    </row>
    <row r="173">
      <c r="A173" t="n">
        <v>256341</v>
      </c>
      <c r="B173" t="n">
        <v>180</v>
      </c>
      <c r="C173" t="inlineStr">
        <is>
          <t>Nuv Gastrobar</t>
        </is>
      </c>
      <c r="D173" t="inlineStr">
        <is>
          <t>BRUNO FELIPE DE ASSIS BORGES</t>
        </is>
      </c>
      <c r="E173" t="inlineStr">
        <is>
          <t>912</t>
        </is>
      </c>
      <c r="F173" s="525" t="n">
        <v>46244</v>
      </c>
      <c r="G173" s="525" t="n">
        <v>46246</v>
      </c>
      <c r="H173" s="525" t="n">
        <v>46273</v>
      </c>
      <c r="I173" t="n">
        <v>1092</v>
      </c>
      <c r="J173" t="n">
        <v>1092</v>
      </c>
      <c r="K173" t="n">
        <v>1092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08/2026</t>
        </is>
      </c>
    </row>
    <row r="174">
      <c r="A174" t="n">
        <v>256335</v>
      </c>
      <c r="B174" t="n">
        <v>180</v>
      </c>
      <c r="C174" t="inlineStr">
        <is>
          <t>Nuv Gastrobar</t>
        </is>
      </c>
      <c r="D174" t="inlineStr">
        <is>
          <t xml:space="preserve">FORTE ALIMENTOS COM. IMPORTAÇÃO LTDA </t>
        </is>
      </c>
      <c r="E174" t="inlineStr">
        <is>
          <t>388722</t>
        </is>
      </c>
      <c r="F174" s="525" t="n">
        <v>46244</v>
      </c>
      <c r="G174" s="525" t="n">
        <v>46246</v>
      </c>
      <c r="H174" s="525" t="n">
        <v>46273</v>
      </c>
      <c r="I174" t="n">
        <v>285</v>
      </c>
      <c r="J174" t="n">
        <v>285</v>
      </c>
      <c r="K174" t="n">
        <v>285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08/2026</t>
        </is>
      </c>
    </row>
    <row r="175">
      <c r="A175" t="n">
        <v>256330</v>
      </c>
      <c r="B175" t="n">
        <v>180</v>
      </c>
      <c r="C175" t="inlineStr">
        <is>
          <t>Nuv Gastrobar</t>
        </is>
      </c>
      <c r="D175" t="inlineStr">
        <is>
          <t>DISTRIBUIDORA ARENA VIP COMERCIO DE BEBIDAS LTDA</t>
        </is>
      </c>
      <c r="E175" t="inlineStr">
        <is>
          <t>18131</t>
        </is>
      </c>
      <c r="F175" s="525" t="n">
        <v>46241</v>
      </c>
      <c r="G175" s="525" t="n">
        <v>46246</v>
      </c>
      <c r="H175" s="525" t="n">
        <v>46269</v>
      </c>
      <c r="I175" t="n">
        <v>2717.91</v>
      </c>
      <c r="J175" t="n">
        <v>2700</v>
      </c>
      <c r="K175" t="n">
        <v>0</v>
      </c>
      <c r="L175" t="n">
        <v>2717.91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08/2026</t>
        </is>
      </c>
    </row>
    <row r="176">
      <c r="A176" t="n">
        <v>256323</v>
      </c>
      <c r="B176" t="n">
        <v>180</v>
      </c>
      <c r="C176" t="inlineStr">
        <is>
          <t>Nuv Gastrobar</t>
        </is>
      </c>
      <c r="D176" t="inlineStr">
        <is>
          <t>REBAL COMERCIAL LTDA</t>
        </is>
      </c>
      <c r="E176" t="inlineStr">
        <is>
          <t>306824</t>
        </is>
      </c>
      <c r="F176" s="525" t="n">
        <v>46244</v>
      </c>
      <c r="G176" s="525" t="n">
        <v>46245</v>
      </c>
      <c r="H176" s="525" t="n">
        <v>46275</v>
      </c>
      <c r="I176" t="n">
        <v>2982.04</v>
      </c>
      <c r="J176" t="n">
        <v>2981.75</v>
      </c>
      <c r="K176" t="n">
        <v>0</v>
      </c>
      <c r="L176" t="n">
        <v>0</v>
      </c>
      <c r="M176" t="n">
        <v>0</v>
      </c>
      <c r="N176" t="n">
        <v>0</v>
      </c>
      <c r="O176" t="n">
        <v>2982.04</v>
      </c>
      <c r="P176" t="n">
        <v>0</v>
      </c>
      <c r="Q176" t="inlineStr">
        <is>
          <t>08/2026</t>
        </is>
      </c>
    </row>
    <row r="177">
      <c r="A177" t="n">
        <v>256319</v>
      </c>
      <c r="B177" t="n">
        <v>180</v>
      </c>
      <c r="C177" t="inlineStr">
        <is>
          <t>Nuv Gastrobar</t>
        </is>
      </c>
      <c r="D177" t="inlineStr">
        <is>
          <t>REBAL COMERCIAL LTDA</t>
        </is>
      </c>
      <c r="E177" t="inlineStr">
        <is>
          <t>306822</t>
        </is>
      </c>
      <c r="F177" s="525" t="n">
        <v>46244</v>
      </c>
      <c r="G177" s="525" t="n">
        <v>46245</v>
      </c>
      <c r="H177" s="525" t="n">
        <v>46275</v>
      </c>
      <c r="I177" t="n">
        <v>25151.34</v>
      </c>
      <c r="J177" t="n">
        <v>25151.34</v>
      </c>
      <c r="K177" t="n">
        <v>0</v>
      </c>
      <c r="L177" t="n">
        <v>0</v>
      </c>
      <c r="M177" t="n">
        <v>0</v>
      </c>
      <c r="N177" t="n">
        <v>0</v>
      </c>
      <c r="O177" t="n">
        <v>25151.34</v>
      </c>
      <c r="P177" t="n">
        <v>0</v>
      </c>
      <c r="Q177" t="inlineStr">
        <is>
          <t>08/2026</t>
        </is>
      </c>
    </row>
    <row r="178">
      <c r="A178" t="n">
        <v>256318</v>
      </c>
      <c r="B178" t="n">
        <v>180</v>
      </c>
      <c r="C178" t="inlineStr">
        <is>
          <t>Nuv Gastrobar</t>
        </is>
      </c>
      <c r="D178" t="inlineStr">
        <is>
          <t>J.K. COMERCIO DE GENEROS ALIMENICIOS LTDA</t>
        </is>
      </c>
      <c r="E178" t="inlineStr">
        <is>
          <t>3924</t>
        </is>
      </c>
      <c r="F178" s="525" t="n">
        <v>46244</v>
      </c>
      <c r="G178" s="525" t="n">
        <v>46246</v>
      </c>
      <c r="H178" s="525" t="n">
        <v>46274</v>
      </c>
      <c r="I178" t="n">
        <v>325</v>
      </c>
      <c r="J178" t="n">
        <v>325</v>
      </c>
      <c r="K178" t="n">
        <v>325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08/2026</t>
        </is>
      </c>
    </row>
    <row r="179">
      <c r="A179" t="n">
        <v>256313</v>
      </c>
      <c r="B179" t="n">
        <v>180</v>
      </c>
      <c r="C179" t="inlineStr">
        <is>
          <t>Nuv Gastrobar</t>
        </is>
      </c>
      <c r="D179" t="inlineStr">
        <is>
          <t>J.K. COMERCIO DE GENEROS ALIMENICIOS LTDA</t>
        </is>
      </c>
      <c r="E179" t="inlineStr">
        <is>
          <t>3917</t>
        </is>
      </c>
      <c r="F179" s="525" t="n">
        <v>46244</v>
      </c>
      <c r="G179" s="525" t="n">
        <v>46246</v>
      </c>
      <c r="H179" s="525" t="n">
        <v>46274</v>
      </c>
      <c r="I179" t="n">
        <v>1900</v>
      </c>
      <c r="J179" t="n">
        <v>1900</v>
      </c>
      <c r="K179" t="n">
        <v>1900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08/2026</t>
        </is>
      </c>
    </row>
    <row r="180">
      <c r="A180" t="n">
        <v>256311</v>
      </c>
      <c r="B180" t="n">
        <v>180</v>
      </c>
      <c r="C180" t="inlineStr">
        <is>
          <t>Nuv Gastrobar</t>
        </is>
      </c>
      <c r="D180" t="inlineStr">
        <is>
          <t>TRAMONTINA SUDESTE S.A</t>
        </is>
      </c>
      <c r="E180" t="inlineStr">
        <is>
          <t>2508211</t>
        </is>
      </c>
      <c r="F180" s="525" t="n">
        <v>46244</v>
      </c>
      <c r="G180" s="525" t="n">
        <v>46245</v>
      </c>
      <c r="H180" s="525" t="n">
        <v>46274</v>
      </c>
      <c r="I180" t="n">
        <v>21029.01</v>
      </c>
      <c r="J180" t="n">
        <v>20247.19</v>
      </c>
      <c r="K180" t="n">
        <v>0</v>
      </c>
      <c r="L180" t="n">
        <v>0</v>
      </c>
      <c r="M180" t="n">
        <v>0</v>
      </c>
      <c r="N180" t="n">
        <v>0</v>
      </c>
      <c r="O180" t="n">
        <v>21029.01</v>
      </c>
      <c r="P180" t="n">
        <v>0</v>
      </c>
      <c r="Q180" t="inlineStr">
        <is>
          <t>08/2026</t>
        </is>
      </c>
    </row>
    <row r="181">
      <c r="A181" t="n">
        <v>256308</v>
      </c>
      <c r="B181" t="n">
        <v>180</v>
      </c>
      <c r="C181" t="inlineStr">
        <is>
          <t>Nuv Gastrobar</t>
        </is>
      </c>
      <c r="D181" t="inlineStr">
        <is>
          <t>ATACADISTA KINGFOOD PRODUTOS ALIMENTICIO</t>
        </is>
      </c>
      <c r="E181" t="inlineStr">
        <is>
          <t>299903</t>
        </is>
      </c>
      <c r="F181" s="525" t="n">
        <v>46244</v>
      </c>
      <c r="G181" s="525" t="n">
        <v>46246</v>
      </c>
      <c r="H181" s="525" t="n">
        <v>46272</v>
      </c>
      <c r="I181" t="n">
        <v>586.1</v>
      </c>
      <c r="J181" t="n">
        <v>586.1</v>
      </c>
      <c r="K181" t="n">
        <v>586.1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08/2026</t>
        </is>
      </c>
    </row>
    <row r="182">
      <c r="A182" t="n">
        <v>256305</v>
      </c>
      <c r="B182" t="n">
        <v>180</v>
      </c>
      <c r="C182" t="inlineStr">
        <is>
          <t>Nuv Gastrobar</t>
        </is>
      </c>
      <c r="D182" t="inlineStr">
        <is>
          <t>CG FOOD´S DISTRIBUIDORA DE ALIMENTOS LTDA</t>
        </is>
      </c>
      <c r="E182" t="inlineStr">
        <is>
          <t>198108</t>
        </is>
      </c>
      <c r="F182" s="525" t="n">
        <v>46245</v>
      </c>
      <c r="G182" s="525" t="n">
        <v>46246</v>
      </c>
      <c r="H182" s="525" t="n">
        <v>46273</v>
      </c>
      <c r="I182" t="n">
        <v>374.4</v>
      </c>
      <c r="J182" t="n">
        <v>374.4</v>
      </c>
      <c r="K182" t="n">
        <v>374.4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08/2026</t>
        </is>
      </c>
    </row>
    <row r="183">
      <c r="A183" t="n">
        <v>256297</v>
      </c>
      <c r="B183" t="n">
        <v>180</v>
      </c>
      <c r="C183" t="inlineStr">
        <is>
          <t>Nuv Gastrobar</t>
        </is>
      </c>
      <c r="D183" t="inlineStr">
        <is>
          <t xml:space="preserve"> FAMIGERADA COMERCIO E EXPORTACAO DE BEBIDAS LTDA</t>
        </is>
      </c>
      <c r="E183" t="inlineStr">
        <is>
          <t>2410</t>
        </is>
      </c>
      <c r="F183" s="525" t="n">
        <v>46244</v>
      </c>
      <c r="G183" s="525" t="n">
        <v>46246</v>
      </c>
      <c r="H183" s="525" t="n">
        <v>46272</v>
      </c>
      <c r="I183" t="n">
        <v>990</v>
      </c>
      <c r="J183" t="n">
        <v>990</v>
      </c>
      <c r="K183" t="n">
        <v>0</v>
      </c>
      <c r="L183" t="n">
        <v>990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08/2026</t>
        </is>
      </c>
    </row>
    <row r="184">
      <c r="A184" t="n">
        <v>256296</v>
      </c>
      <c r="B184" t="n">
        <v>180</v>
      </c>
      <c r="C184" t="inlineStr">
        <is>
          <t>Nuv Gastrobar</t>
        </is>
      </c>
      <c r="D184" t="inlineStr">
        <is>
          <t>WPP COMERCIO DE CARNES LTDA</t>
        </is>
      </c>
      <c r="E184" t="inlineStr">
        <is>
          <t>81106</t>
        </is>
      </c>
      <c r="F184" s="525" t="n">
        <v>46245</v>
      </c>
      <c r="G184" s="525" t="n">
        <v>46246</v>
      </c>
      <c r="H184" s="525" t="n">
        <v>46273</v>
      </c>
      <c r="I184" t="n">
        <v>1699.67</v>
      </c>
      <c r="J184" t="n">
        <v>1699.67</v>
      </c>
      <c r="K184" t="n">
        <v>1699.67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08/2026</t>
        </is>
      </c>
    </row>
    <row r="185">
      <c r="A185" t="n">
        <v>256294</v>
      </c>
      <c r="B185" t="n">
        <v>180</v>
      </c>
      <c r="C185" t="inlineStr">
        <is>
          <t>Nuv Gastrobar</t>
        </is>
      </c>
      <c r="D185" t="inlineStr">
        <is>
          <t>WPP COMERCIO DE CARNES LTDA</t>
        </is>
      </c>
      <c r="E185" t="inlineStr">
        <is>
          <t>81072</t>
        </is>
      </c>
      <c r="F185" s="525" t="n">
        <v>46244</v>
      </c>
      <c r="G185" s="525" t="n">
        <v>46246</v>
      </c>
      <c r="H185" s="525" t="n">
        <v>46272</v>
      </c>
      <c r="I185" t="n">
        <v>1008.06</v>
      </c>
      <c r="J185" t="n">
        <v>1008.06</v>
      </c>
      <c r="K185" t="n">
        <v>1008.06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08/2026</t>
        </is>
      </c>
    </row>
    <row r="186">
      <c r="A186" t="n">
        <v>256292</v>
      </c>
      <c r="B186" t="n">
        <v>180</v>
      </c>
      <c r="C186" t="inlineStr">
        <is>
          <t>Nuv Gastrobar</t>
        </is>
      </c>
      <c r="D186" t="inlineStr">
        <is>
          <t>WPP COMERCIO DE CARNES LTDA</t>
        </is>
      </c>
      <c r="E186" t="inlineStr">
        <is>
          <t>81102</t>
        </is>
      </c>
      <c r="F186" s="525" t="n">
        <v>46245</v>
      </c>
      <c r="G186" s="525" t="n">
        <v>46246</v>
      </c>
      <c r="H186" s="525" t="n">
        <v>46273</v>
      </c>
      <c r="I186" t="n">
        <v>1180.21</v>
      </c>
      <c r="J186" t="n">
        <v>1180.21</v>
      </c>
      <c r="K186" t="n">
        <v>1180.21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08/2026</t>
        </is>
      </c>
    </row>
    <row r="187">
      <c r="A187" t="n">
        <v>256290</v>
      </c>
      <c r="B187" t="n">
        <v>180</v>
      </c>
      <c r="C187" t="inlineStr">
        <is>
          <t>Nuv Gastrobar</t>
        </is>
      </c>
      <c r="D187" t="inlineStr">
        <is>
          <t xml:space="preserve">FORTE ALIMENTOS COM. IMPORTAÇÃO LTDA </t>
        </is>
      </c>
      <c r="E187" t="inlineStr">
        <is>
          <t>388748</t>
        </is>
      </c>
      <c r="F187" s="525" t="n">
        <v>46244</v>
      </c>
      <c r="G187" s="525" t="n">
        <v>46246</v>
      </c>
      <c r="H187" s="525" t="n">
        <v>46272</v>
      </c>
      <c r="I187" t="n">
        <v>506.63</v>
      </c>
      <c r="J187" t="n">
        <v>506.63</v>
      </c>
      <c r="K187" t="n">
        <v>506.63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08/2026</t>
        </is>
      </c>
    </row>
    <row r="188">
      <c r="A188" t="n">
        <v>256287</v>
      </c>
      <c r="B188" t="n">
        <v>180</v>
      </c>
      <c r="C188" t="inlineStr">
        <is>
          <t>Nuv Gastrobar</t>
        </is>
      </c>
      <c r="D188" t="inlineStr">
        <is>
          <t xml:space="preserve">FORTE ALIMENTOS COM. IMPORTAÇÃO LTDA </t>
        </is>
      </c>
      <c r="E188" t="inlineStr">
        <is>
          <t>388690</t>
        </is>
      </c>
      <c r="F188" s="525" t="n">
        <v>46244</v>
      </c>
      <c r="G188" s="525" t="n">
        <v>46246</v>
      </c>
      <c r="H188" s="525" t="n">
        <v>46273</v>
      </c>
      <c r="I188" t="n">
        <v>367.5</v>
      </c>
      <c r="J188" t="n">
        <v>367.5</v>
      </c>
      <c r="K188" t="n">
        <v>367.5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08/2026</t>
        </is>
      </c>
    </row>
    <row r="189">
      <c r="A189" t="n">
        <v>256284</v>
      </c>
      <c r="B189" t="n">
        <v>180</v>
      </c>
      <c r="C189" t="inlineStr">
        <is>
          <t>Nuv Gastrobar</t>
        </is>
      </c>
      <c r="D189" t="inlineStr">
        <is>
          <t xml:space="preserve">NOVA MIX </t>
        </is>
      </c>
      <c r="E189" t="inlineStr">
        <is>
          <t>2687929</t>
        </is>
      </c>
      <c r="F189" s="525" t="n">
        <v>46246</v>
      </c>
      <c r="G189" s="525" t="n">
        <v>46247</v>
      </c>
      <c r="H189" s="525" t="n">
        <v>46253</v>
      </c>
      <c r="I189" t="n">
        <v>474.6</v>
      </c>
      <c r="J189" t="n">
        <v>474.6</v>
      </c>
      <c r="K189" t="n">
        <v>474.6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08/2026</t>
        </is>
      </c>
    </row>
    <row r="190">
      <c r="A190" t="n">
        <v>255988</v>
      </c>
      <c r="B190" t="n">
        <v>180</v>
      </c>
      <c r="C190" t="inlineStr">
        <is>
          <t>Nuv Gastrobar</t>
        </is>
      </c>
      <c r="D190" t="inlineStr">
        <is>
          <t xml:space="preserve">NOVA MIX </t>
        </is>
      </c>
      <c r="E190" t="inlineStr">
        <is>
          <t>2685854 1/3</t>
        </is>
      </c>
      <c r="F190" s="525" t="n">
        <v>46244</v>
      </c>
      <c r="G190" s="525" t="n">
        <v>46246</v>
      </c>
      <c r="H190" s="525" t="n">
        <v>46251</v>
      </c>
      <c r="I190" t="n">
        <v>1339.95</v>
      </c>
      <c r="J190" t="n">
        <v>1339.95</v>
      </c>
      <c r="K190" t="n">
        <v>1339.95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08/2026</t>
        </is>
      </c>
    </row>
    <row r="191">
      <c r="A191" t="n">
        <v>255940</v>
      </c>
      <c r="B191" t="n">
        <v>180</v>
      </c>
      <c r="C191" t="inlineStr">
        <is>
          <t>Nuv Gastrobar</t>
        </is>
      </c>
      <c r="D191" t="inlineStr">
        <is>
          <t>QUEIJARIA ATALAIA LTDA</t>
        </is>
      </c>
      <c r="E191" t="inlineStr">
        <is>
          <t>30667</t>
        </is>
      </c>
      <c r="F191" s="525" t="n">
        <v>46240</v>
      </c>
      <c r="G191" s="525" t="n">
        <v>46246</v>
      </c>
      <c r="H191" s="525" t="n">
        <v>46254</v>
      </c>
      <c r="I191" t="n">
        <v>365.83</v>
      </c>
      <c r="J191" t="n">
        <v>335.83</v>
      </c>
      <c r="K191" t="n">
        <v>365.83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08/2026</t>
        </is>
      </c>
    </row>
    <row r="192">
      <c r="A192" t="n">
        <v>255937</v>
      </c>
      <c r="B192" t="n">
        <v>180</v>
      </c>
      <c r="C192" t="inlineStr">
        <is>
          <t>Nuv Gastrobar</t>
        </is>
      </c>
      <c r="D192" t="inlineStr">
        <is>
          <t>FG7 COMERCIO E DISTRIBUICAO DE BEBIDAS LTDA</t>
        </is>
      </c>
      <c r="E192" t="inlineStr">
        <is>
          <t>835668</t>
        </is>
      </c>
      <c r="F192" s="525" t="n">
        <v>46242</v>
      </c>
      <c r="G192" s="525" t="n">
        <v>46246</v>
      </c>
      <c r="H192" s="525" t="n">
        <v>46256</v>
      </c>
      <c r="I192" t="n">
        <v>1722</v>
      </c>
      <c r="J192" t="n">
        <v>1722</v>
      </c>
      <c r="K192" t="n">
        <v>0</v>
      </c>
      <c r="L192" t="n">
        <v>1722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08/2026</t>
        </is>
      </c>
    </row>
    <row r="193">
      <c r="A193" t="n">
        <v>255926</v>
      </c>
      <c r="B193" t="n">
        <v>180</v>
      </c>
      <c r="C193" t="inlineStr">
        <is>
          <t>Nuv Gastrobar</t>
        </is>
      </c>
      <c r="D193" t="inlineStr">
        <is>
          <t>PASTIFICIO J D MASSAS ARTESANAIS EIRELI</t>
        </is>
      </c>
      <c r="E193" t="inlineStr">
        <is>
          <t>3200</t>
        </is>
      </c>
      <c r="F193" s="525" t="n">
        <v>46245</v>
      </c>
      <c r="G193" s="525" t="n">
        <v>46246</v>
      </c>
      <c r="H193" s="525" t="n">
        <v>46251</v>
      </c>
      <c r="I193" t="n">
        <v>843.26</v>
      </c>
      <c r="J193" t="n">
        <v>761.25</v>
      </c>
      <c r="K193" t="n">
        <v>843.26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08/2026</t>
        </is>
      </c>
    </row>
    <row r="194">
      <c r="A194" t="n">
        <v>255632</v>
      </c>
      <c r="B194" t="n">
        <v>180</v>
      </c>
      <c r="C194" t="inlineStr">
        <is>
          <t>Nuv Gastrobar</t>
        </is>
      </c>
      <c r="D194" t="inlineStr">
        <is>
          <t>B.B DISTRIBUIDORA DE CARNES LTDA</t>
        </is>
      </c>
      <c r="E194" t="inlineStr">
        <is>
          <t>428395</t>
        </is>
      </c>
      <c r="F194" s="525" t="n">
        <v>46244</v>
      </c>
      <c r="G194" s="525" t="n">
        <v>46245</v>
      </c>
      <c r="H194" s="525" t="n">
        <v>46272</v>
      </c>
      <c r="I194" t="n">
        <v>1758.23</v>
      </c>
      <c r="J194" t="n">
        <v>1758.23</v>
      </c>
      <c r="K194" t="n">
        <v>1758.23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08/2026</t>
        </is>
      </c>
    </row>
    <row r="195">
      <c r="A195" t="n">
        <v>255614</v>
      </c>
      <c r="B195" t="n">
        <v>180</v>
      </c>
      <c r="C195" t="inlineStr">
        <is>
          <t>Nuv Gastrobar</t>
        </is>
      </c>
      <c r="D195" t="inlineStr">
        <is>
          <t>FRONT BEBIDAS LTDA</t>
        </is>
      </c>
      <c r="E195" t="inlineStr">
        <is>
          <t>814510</t>
        </is>
      </c>
      <c r="F195" s="525" t="n">
        <v>46241</v>
      </c>
      <c r="G195" s="525" t="n">
        <v>46244</v>
      </c>
      <c r="H195" s="525" t="n">
        <v>46272</v>
      </c>
      <c r="I195" t="n">
        <v>1317.6</v>
      </c>
      <c r="J195" t="n">
        <v>1317.6</v>
      </c>
      <c r="K195" t="n">
        <v>0</v>
      </c>
      <c r="L195" t="n">
        <v>1317.6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08/2026</t>
        </is>
      </c>
    </row>
    <row r="196">
      <c r="A196" t="n">
        <v>255613</v>
      </c>
      <c r="B196" t="n">
        <v>180</v>
      </c>
      <c r="C196" t="inlineStr">
        <is>
          <t>Nuv Gastrobar</t>
        </is>
      </c>
      <c r="D196" t="inlineStr">
        <is>
          <t>DTK COMERCIO DE ALIMENTOS LTDA</t>
        </is>
      </c>
      <c r="E196" t="inlineStr">
        <is>
          <t>94245</t>
        </is>
      </c>
      <c r="F196" s="525" t="n">
        <v>46242</v>
      </c>
      <c r="G196" s="525" t="n">
        <v>46244</v>
      </c>
      <c r="H196" s="525" t="n">
        <v>46263</v>
      </c>
      <c r="I196" t="n">
        <v>969.03</v>
      </c>
      <c r="J196" t="n">
        <v>634.6900000000001</v>
      </c>
      <c r="K196" t="n">
        <v>969.03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08/2026</t>
        </is>
      </c>
    </row>
    <row r="197">
      <c r="A197" t="n">
        <v>255611</v>
      </c>
      <c r="B197" t="n">
        <v>180</v>
      </c>
      <c r="C197" t="inlineStr">
        <is>
          <t>Nuv Gastrobar</t>
        </is>
      </c>
      <c r="D197" t="inlineStr">
        <is>
          <t>RL SISTEMAS DE HIGIENE LTDA</t>
        </is>
      </c>
      <c r="E197" t="inlineStr">
        <is>
          <t>335155</t>
        </is>
      </c>
      <c r="F197" s="525" t="n">
        <v>46240</v>
      </c>
      <c r="G197" s="525" t="n">
        <v>46244</v>
      </c>
      <c r="H197" s="525" t="n">
        <v>46268</v>
      </c>
      <c r="I197" t="n">
        <v>2430.56</v>
      </c>
      <c r="J197" t="n">
        <v>2430.56</v>
      </c>
      <c r="K197" t="n">
        <v>0</v>
      </c>
      <c r="L197" t="n">
        <v>0</v>
      </c>
      <c r="M197" t="n">
        <v>2430.56</v>
      </c>
      <c r="N197" t="n">
        <v>0</v>
      </c>
      <c r="O197" t="n">
        <v>0</v>
      </c>
      <c r="P197" t="n">
        <v>0</v>
      </c>
      <c r="Q197" t="inlineStr">
        <is>
          <t>08/2026</t>
        </is>
      </c>
    </row>
    <row r="198">
      <c r="A198" t="n">
        <v>255609</v>
      </c>
      <c r="B198" t="n">
        <v>180</v>
      </c>
      <c r="C198" t="inlineStr">
        <is>
          <t>Nuv Gastrobar</t>
        </is>
      </c>
      <c r="D198" t="inlineStr">
        <is>
          <t>PIRAMIDES COMERCIO DE AGUAS MINEIRAIS E BEBIDAS EM GERAL LTDA</t>
        </is>
      </c>
      <c r="E198" t="inlineStr">
        <is>
          <t>175920</t>
        </is>
      </c>
      <c r="F198" s="525" t="n">
        <v>46241</v>
      </c>
      <c r="G198" s="525" t="n">
        <v>46244</v>
      </c>
      <c r="H198" s="525" t="n">
        <v>46255</v>
      </c>
      <c r="I198" t="n">
        <v>236.12</v>
      </c>
      <c r="J198" t="n">
        <v>236.16</v>
      </c>
      <c r="K198" t="n">
        <v>0</v>
      </c>
      <c r="L198" t="n">
        <v>236.12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08/2026</t>
        </is>
      </c>
    </row>
    <row r="199">
      <c r="A199" t="n">
        <v>255607</v>
      </c>
      <c r="B199" t="n">
        <v>180</v>
      </c>
      <c r="C199" t="inlineStr">
        <is>
          <t>Nuv Gastrobar</t>
        </is>
      </c>
      <c r="D199" t="inlineStr">
        <is>
          <t>EMPORIO M&amp;L COMERCIO DE ALIM E BEBIDAS LTDA</t>
        </is>
      </c>
      <c r="E199" t="inlineStr">
        <is>
          <t>525875</t>
        </is>
      </c>
      <c r="F199" s="525" t="n">
        <v>46238</v>
      </c>
      <c r="G199" s="525" t="n">
        <v>46244</v>
      </c>
      <c r="H199" s="525" t="n">
        <v>46266</v>
      </c>
      <c r="I199" t="n">
        <v>102.89</v>
      </c>
      <c r="J199" t="n">
        <v>102.89</v>
      </c>
      <c r="K199" t="n">
        <v>102.89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08/2026</t>
        </is>
      </c>
    </row>
    <row r="200">
      <c r="A200" t="n">
        <v>255606</v>
      </c>
      <c r="B200" t="n">
        <v>180</v>
      </c>
      <c r="C200" t="inlineStr">
        <is>
          <t>Nuv Gastrobar</t>
        </is>
      </c>
      <c r="D200" t="inlineStr">
        <is>
          <t>CECILIA TSUYACO ARAKI SILVA LTDA</t>
        </is>
      </c>
      <c r="E200" t="inlineStr">
        <is>
          <t>396679</t>
        </is>
      </c>
      <c r="F200" s="525" t="n">
        <v>46237</v>
      </c>
      <c r="G200" s="525" t="n">
        <v>46244</v>
      </c>
      <c r="H200" s="525" t="n">
        <v>46265</v>
      </c>
      <c r="I200" t="n">
        <v>12.4</v>
      </c>
      <c r="J200" t="n">
        <v>12.4</v>
      </c>
      <c r="K200" t="n">
        <v>12.4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08/2026</t>
        </is>
      </c>
    </row>
    <row r="201">
      <c r="A201" t="n">
        <v>255605</v>
      </c>
      <c r="B201" t="n">
        <v>180</v>
      </c>
      <c r="C201" t="inlineStr">
        <is>
          <t>Nuv Gastrobar</t>
        </is>
      </c>
      <c r="D201" t="inlineStr">
        <is>
          <t>DO CHEF DISTRIBUIDORA DE ALIMENTOS LTDA</t>
        </is>
      </c>
      <c r="E201" t="inlineStr">
        <is>
          <t>3509</t>
        </is>
      </c>
      <c r="F201" s="525" t="n">
        <v>46237</v>
      </c>
      <c r="G201" s="525" t="n">
        <v>46244</v>
      </c>
      <c r="H201" s="525" t="n">
        <v>46265</v>
      </c>
      <c r="I201" t="n">
        <v>96</v>
      </c>
      <c r="J201" t="n">
        <v>96</v>
      </c>
      <c r="K201" t="n">
        <v>96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08/2026</t>
        </is>
      </c>
    </row>
    <row r="202">
      <c r="A202" t="n">
        <v>255602</v>
      </c>
      <c r="B202" t="n">
        <v>180</v>
      </c>
      <c r="C202" t="inlineStr">
        <is>
          <t>Nuv Gastrobar</t>
        </is>
      </c>
      <c r="D202" t="inlineStr">
        <is>
          <t>MONOUSO COMERCIO E IMPORTACAO LTDA</t>
        </is>
      </c>
      <c r="E202" t="inlineStr">
        <is>
          <t>49526</t>
        </is>
      </c>
      <c r="F202" s="525" t="n">
        <v>46235</v>
      </c>
      <c r="G202" s="525" t="n">
        <v>46244</v>
      </c>
      <c r="H202" s="525" t="n">
        <v>46262</v>
      </c>
      <c r="I202" t="n">
        <v>961.01</v>
      </c>
      <c r="J202" t="n">
        <v>819.78</v>
      </c>
      <c r="K202" t="n">
        <v>0</v>
      </c>
      <c r="L202" t="n">
        <v>0</v>
      </c>
      <c r="M202" t="n">
        <v>140.67</v>
      </c>
      <c r="N202" t="n">
        <v>0</v>
      </c>
      <c r="O202" t="n">
        <v>0</v>
      </c>
      <c r="P202" t="n">
        <v>820.34</v>
      </c>
      <c r="Q202" t="inlineStr">
        <is>
          <t>08/2026</t>
        </is>
      </c>
    </row>
    <row r="203">
      <c r="A203" t="n">
        <v>255599</v>
      </c>
      <c r="B203" t="n">
        <v>180</v>
      </c>
      <c r="C203" t="inlineStr">
        <is>
          <t>Nuv Gastrobar</t>
        </is>
      </c>
      <c r="D203" t="inlineStr">
        <is>
          <t>A CASA DO PRODUTOR LTDA</t>
        </is>
      </c>
      <c r="E203" t="inlineStr">
        <is>
          <t>23994</t>
        </is>
      </c>
      <c r="F203" s="525" t="n">
        <v>46239</v>
      </c>
      <c r="G203" s="525" t="n">
        <v>46244</v>
      </c>
      <c r="H203" s="525" t="n">
        <v>46248</v>
      </c>
      <c r="I203" t="n">
        <v>197.79</v>
      </c>
      <c r="J203" t="n">
        <v>164</v>
      </c>
      <c r="K203" t="n">
        <v>197.79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08/2026</t>
        </is>
      </c>
    </row>
    <row r="204">
      <c r="A204" t="n">
        <v>255597</v>
      </c>
      <c r="B204" t="n">
        <v>180</v>
      </c>
      <c r="C204" t="inlineStr">
        <is>
          <t>Nuv Gastrobar</t>
        </is>
      </c>
      <c r="D204" t="inlineStr">
        <is>
          <t>MURILLO S DUARTE COMERCIAL LTDA</t>
        </is>
      </c>
      <c r="E204" t="inlineStr">
        <is>
          <t>2600</t>
        </is>
      </c>
      <c r="F204" s="525" t="n">
        <v>46237</v>
      </c>
      <c r="G204" s="525" t="n">
        <v>46244</v>
      </c>
      <c r="H204" s="525" t="n">
        <v>46272</v>
      </c>
      <c r="I204" t="n">
        <v>220.59</v>
      </c>
      <c r="J204" t="n">
        <v>220.59</v>
      </c>
      <c r="K204" t="n">
        <v>220.59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08/2026</t>
        </is>
      </c>
    </row>
    <row r="205">
      <c r="A205" t="n">
        <v>255596</v>
      </c>
      <c r="B205" t="n">
        <v>180</v>
      </c>
      <c r="C205" t="inlineStr">
        <is>
          <t>Nuv Gastrobar</t>
        </is>
      </c>
      <c r="D205" t="inlineStr">
        <is>
          <t>WPP COMERCIO DE CARNES LTDA</t>
        </is>
      </c>
      <c r="E205" t="inlineStr">
        <is>
          <t>80996</t>
        </is>
      </c>
      <c r="F205" s="525" t="n">
        <v>46240</v>
      </c>
      <c r="G205" s="525" t="n">
        <v>46241</v>
      </c>
      <c r="H205" s="525" t="n">
        <v>46268</v>
      </c>
      <c r="I205" t="n">
        <v>252.35</v>
      </c>
      <c r="J205" t="n">
        <v>252.35</v>
      </c>
      <c r="K205" t="n">
        <v>252.35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08/2026</t>
        </is>
      </c>
    </row>
    <row r="206">
      <c r="A206" t="n">
        <v>255594</v>
      </c>
      <c r="B206" t="n">
        <v>180</v>
      </c>
      <c r="C206" t="inlineStr">
        <is>
          <t>Nuv Gastrobar</t>
        </is>
      </c>
      <c r="D206" t="inlineStr">
        <is>
          <t>MURILLO S DUARTE COMERCIAL LTDA</t>
        </is>
      </c>
      <c r="E206" t="inlineStr">
        <is>
          <t>2625</t>
        </is>
      </c>
      <c r="F206" s="525" t="n">
        <v>46238</v>
      </c>
      <c r="G206" s="525" t="n">
        <v>46244</v>
      </c>
      <c r="H206" s="525" t="n">
        <v>46272</v>
      </c>
      <c r="I206" t="n">
        <v>181.7</v>
      </c>
      <c r="J206" t="n">
        <v>181.7</v>
      </c>
      <c r="K206" t="n">
        <v>181.7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08/2026</t>
        </is>
      </c>
    </row>
    <row r="207">
      <c r="A207" t="n">
        <v>255593</v>
      </c>
      <c r="B207" t="n">
        <v>180</v>
      </c>
      <c r="C207" t="inlineStr">
        <is>
          <t>Nuv Gastrobar</t>
        </is>
      </c>
      <c r="D207" t="inlineStr">
        <is>
          <t>JR GAIOTTO ALIMENTOS LTDA</t>
        </is>
      </c>
      <c r="E207" t="inlineStr">
        <is>
          <t>103642</t>
        </is>
      </c>
      <c r="F207" s="525" t="n">
        <v>46239</v>
      </c>
      <c r="G207" s="525" t="n">
        <v>46244</v>
      </c>
      <c r="H207" s="525" t="n">
        <v>46254</v>
      </c>
      <c r="I207" t="n">
        <v>128.36</v>
      </c>
      <c r="J207" t="n">
        <v>98.36</v>
      </c>
      <c r="K207" t="n">
        <v>128.36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08/2026</t>
        </is>
      </c>
    </row>
    <row r="208">
      <c r="A208" t="n">
        <v>255592</v>
      </c>
      <c r="B208" t="n">
        <v>180</v>
      </c>
      <c r="C208" t="inlineStr">
        <is>
          <t>Nuv Gastrobar</t>
        </is>
      </c>
      <c r="D208" t="inlineStr">
        <is>
          <t>MARIO PEDRO FELICIANO - HORTIFRUTI</t>
        </is>
      </c>
      <c r="E208" t="inlineStr">
        <is>
          <t>484939</t>
        </is>
      </c>
      <c r="F208" s="525" t="n">
        <v>46237</v>
      </c>
      <c r="G208" s="525" t="n">
        <v>46244</v>
      </c>
      <c r="H208" s="525" t="n">
        <v>46265</v>
      </c>
      <c r="I208" t="n">
        <v>33.86</v>
      </c>
      <c r="J208" t="n">
        <v>33.86</v>
      </c>
      <c r="K208" t="n">
        <v>33.86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08/2026</t>
        </is>
      </c>
    </row>
    <row r="209">
      <c r="A209" t="n">
        <v>255591</v>
      </c>
      <c r="B209" t="n">
        <v>180</v>
      </c>
      <c r="C209" t="inlineStr">
        <is>
          <t>Nuv Gastrobar</t>
        </is>
      </c>
      <c r="D209" t="inlineStr">
        <is>
          <t>CECILIA TSUYACO ARAKI SILVA LTDA</t>
        </is>
      </c>
      <c r="E209" t="inlineStr">
        <is>
          <t>396760</t>
        </is>
      </c>
      <c r="F209" s="525" t="n">
        <v>46238</v>
      </c>
      <c r="G209" s="525" t="n">
        <v>46244</v>
      </c>
      <c r="H209" s="525" t="n">
        <v>46266</v>
      </c>
      <c r="I209" t="n">
        <v>85.7</v>
      </c>
      <c r="J209" t="n">
        <v>85.7</v>
      </c>
      <c r="K209" t="n">
        <v>85.7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08/2026</t>
        </is>
      </c>
    </row>
    <row r="210">
      <c r="A210" t="n">
        <v>255589</v>
      </c>
      <c r="B210" t="n">
        <v>180</v>
      </c>
      <c r="C210" t="inlineStr">
        <is>
          <t>Nuv Gastrobar</t>
        </is>
      </c>
      <c r="D210" t="inlineStr">
        <is>
          <t>CECILIA TSUYACO ARAKI SILVA LTDA</t>
        </is>
      </c>
      <c r="E210" t="inlineStr">
        <is>
          <t>397010</t>
        </is>
      </c>
      <c r="F210" s="525" t="n">
        <v>46241</v>
      </c>
      <c r="G210" s="525" t="n">
        <v>46244</v>
      </c>
      <c r="H210" s="525" t="n">
        <v>46269</v>
      </c>
      <c r="I210" t="n">
        <v>695</v>
      </c>
      <c r="J210" t="n">
        <v>695</v>
      </c>
      <c r="K210" t="n">
        <v>695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08/2026</t>
        </is>
      </c>
    </row>
    <row r="211">
      <c r="A211" t="n">
        <v>255587</v>
      </c>
      <c r="B211" t="n">
        <v>180</v>
      </c>
      <c r="C211" t="inlineStr">
        <is>
          <t>Nuv Gastrobar</t>
        </is>
      </c>
      <c r="D211" t="inlineStr">
        <is>
          <t>DO CHEF DISTRIBUIDORA DE ALIMENTOS LTDA</t>
        </is>
      </c>
      <c r="E211" t="inlineStr">
        <is>
          <t>3655</t>
        </is>
      </c>
      <c r="F211" s="525" t="n">
        <v>46241</v>
      </c>
      <c r="G211" s="525" t="n">
        <v>46244</v>
      </c>
      <c r="H211" s="525" t="n">
        <v>46269</v>
      </c>
      <c r="I211" t="n">
        <v>199.2</v>
      </c>
      <c r="J211" t="n">
        <v>199.2</v>
      </c>
      <c r="K211" t="n">
        <v>199.2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08/2026</t>
        </is>
      </c>
    </row>
    <row r="212">
      <c r="A212" t="n">
        <v>255586</v>
      </c>
      <c r="B212" t="n">
        <v>180</v>
      </c>
      <c r="C212" t="inlineStr">
        <is>
          <t>Nuv Gastrobar</t>
        </is>
      </c>
      <c r="D212" t="inlineStr">
        <is>
          <t>MARIO PEDRO FELICIANO - HORTIFRUTI</t>
        </is>
      </c>
      <c r="E212" t="inlineStr">
        <is>
          <t>485478</t>
        </is>
      </c>
      <c r="F212" s="525" t="n">
        <v>46241</v>
      </c>
      <c r="G212" s="525" t="n">
        <v>46244</v>
      </c>
      <c r="H212" s="525" t="n">
        <v>46269</v>
      </c>
      <c r="I212" t="n">
        <v>236.6</v>
      </c>
      <c r="J212" t="n">
        <v>236.6</v>
      </c>
      <c r="K212" t="n">
        <v>236.6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08/2026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ID_Casa</t>
        </is>
      </c>
      <c r="B1" t="inlineStr">
        <is>
          <t>Casa</t>
        </is>
      </c>
      <c r="C1" t="inlineStr">
        <is>
          <t>Mês</t>
        </is>
      </c>
      <c r="D1" t="inlineStr">
        <is>
          <t>Ano</t>
        </is>
      </c>
      <c r="E1" t="inlineStr">
        <is>
          <t>Classificacao_Contabil_1</t>
        </is>
      </c>
      <c r="F1" t="inlineStr">
        <is>
          <t>Classificacao_Contabil_2</t>
        </is>
      </c>
      <c r="G1" t="inlineStr">
        <is>
          <t>Valor Ajuste</t>
        </is>
      </c>
      <c r="H1" t="inlineStr">
        <is>
          <t>Descrição Ajuste</t>
        </is>
      </c>
      <c r="I1" t="inlineStr">
        <is>
          <t>Mes_Texto</t>
        </is>
      </c>
      <c r="J1" t="inlineStr">
        <is>
          <t>Cargo_DRE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ID_Loja</t>
        </is>
      </c>
      <c r="B1" t="inlineStr">
        <is>
          <t>Loja</t>
        </is>
      </c>
      <c r="C1" t="inlineStr">
        <is>
          <t>Data_Evento</t>
        </is>
      </c>
      <c r="D1" t="inlineStr">
        <is>
          <t>Mes_Texto</t>
        </is>
      </c>
      <c r="E1" t="inlineStr">
        <is>
          <t>Categoria</t>
        </is>
      </c>
      <c r="F1" t="inlineStr">
        <is>
          <t>Soma_Valor_Transacao_Bruto</t>
        </is>
      </c>
      <c r="G1" t="inlineStr">
        <is>
          <t>Soma_Desconto</t>
        </is>
      </c>
      <c r="H1" t="inlineStr">
        <is>
          <t>Soma_Valor_Transacao_Liquido</t>
        </is>
      </c>
    </row>
    <row r="2">
      <c r="A2" t="n">
        <v>180</v>
      </c>
      <c r="B2" t="inlineStr">
        <is>
          <t>Nuv Gastrobar</t>
        </is>
      </c>
      <c r="C2" s="525" t="n">
        <v>46266</v>
      </c>
      <c r="D2" t="inlineStr">
        <is>
          <t>9/2026</t>
        </is>
      </c>
      <c r="E2" t="inlineStr">
        <is>
          <t>Alimentos</t>
        </is>
      </c>
      <c r="F2" t="n">
        <v>1270</v>
      </c>
      <c r="G2" t="n">
        <v>335.4</v>
      </c>
      <c r="H2" t="n">
        <v>934.6</v>
      </c>
    </row>
    <row r="3">
      <c r="A3" t="n">
        <v>180</v>
      </c>
      <c r="B3" t="inlineStr">
        <is>
          <t>Nuv Gastrobar</t>
        </is>
      </c>
      <c r="C3" s="525" t="n">
        <v>46266</v>
      </c>
      <c r="D3" t="inlineStr">
        <is>
          <t>9/2026</t>
        </is>
      </c>
      <c r="E3" t="inlineStr">
        <is>
          <t>Serviço</t>
        </is>
      </c>
      <c r="F3" t="n">
        <v>248.84</v>
      </c>
      <c r="G3" t="n">
        <v>0</v>
      </c>
      <c r="H3" t="n">
        <v>248.84</v>
      </c>
    </row>
    <row r="4">
      <c r="A4" t="n">
        <v>180</v>
      </c>
      <c r="B4" t="inlineStr">
        <is>
          <t>Nuv Gastrobar</t>
        </is>
      </c>
      <c r="C4" s="525" t="n">
        <v>46266</v>
      </c>
      <c r="D4" t="inlineStr">
        <is>
          <t>9/2026</t>
        </is>
      </c>
      <c r="E4" t="inlineStr">
        <is>
          <t>Bebidas</t>
        </is>
      </c>
      <c r="F4" t="n">
        <v>1256</v>
      </c>
      <c r="G4" t="n">
        <v>215.05</v>
      </c>
      <c r="H4" t="n">
        <v>1040.95</v>
      </c>
    </row>
    <row r="5">
      <c r="A5" t="n">
        <v>180</v>
      </c>
      <c r="B5" t="inlineStr">
        <is>
          <t>Nuv Gastrobar</t>
        </is>
      </c>
      <c r="C5" s="525" t="n">
        <v>46265</v>
      </c>
      <c r="D5" t="inlineStr">
        <is>
          <t>8/2026</t>
        </is>
      </c>
      <c r="E5" t="inlineStr">
        <is>
          <t>Serviço</t>
        </is>
      </c>
      <c r="F5" t="n">
        <v>475.15</v>
      </c>
      <c r="G5" t="n">
        <v>0</v>
      </c>
      <c r="H5" t="n">
        <v>475.15</v>
      </c>
    </row>
    <row r="6">
      <c r="A6" t="n">
        <v>180</v>
      </c>
      <c r="B6" t="inlineStr">
        <is>
          <t>Nuv Gastrobar</t>
        </is>
      </c>
      <c r="C6" s="525" t="n">
        <v>46265</v>
      </c>
      <c r="D6" t="inlineStr">
        <is>
          <t>8/2026</t>
        </is>
      </c>
      <c r="E6" t="inlineStr">
        <is>
          <t>Bebidas</t>
        </is>
      </c>
      <c r="F6" t="n">
        <v>1962</v>
      </c>
      <c r="G6" t="n">
        <v>300.2</v>
      </c>
      <c r="H6" t="n">
        <v>1661.8</v>
      </c>
    </row>
    <row r="7">
      <c r="A7" t="n">
        <v>180</v>
      </c>
      <c r="B7" t="inlineStr">
        <is>
          <t>Nuv Gastrobar</t>
        </is>
      </c>
      <c r="C7" s="525" t="n">
        <v>46265</v>
      </c>
      <c r="D7" t="inlineStr">
        <is>
          <t>8/2026</t>
        </is>
      </c>
      <c r="E7" t="inlineStr">
        <is>
          <t>Alimentos</t>
        </is>
      </c>
      <c r="F7" t="n">
        <v>2810</v>
      </c>
      <c r="G7" t="n">
        <v>933.5</v>
      </c>
      <c r="H7" t="n">
        <v>1876.5</v>
      </c>
    </row>
    <row r="8">
      <c r="A8" t="n">
        <v>180</v>
      </c>
      <c r="B8" t="inlineStr">
        <is>
          <t>Nuv Gastrobar</t>
        </is>
      </c>
      <c r="C8" s="525" t="n">
        <v>46264</v>
      </c>
      <c r="D8" t="inlineStr">
        <is>
          <t>8/2026</t>
        </is>
      </c>
      <c r="E8" t="inlineStr">
        <is>
          <t>Bebidas</t>
        </is>
      </c>
      <c r="F8" t="n">
        <v>3968</v>
      </c>
      <c r="G8" t="n">
        <v>245.85</v>
      </c>
      <c r="H8" t="n">
        <v>3722.15</v>
      </c>
    </row>
    <row r="9">
      <c r="A9" t="n">
        <v>180</v>
      </c>
      <c r="B9" t="inlineStr">
        <is>
          <t>Nuv Gastrobar</t>
        </is>
      </c>
      <c r="C9" s="525" t="n">
        <v>46264</v>
      </c>
      <c r="D9" t="inlineStr">
        <is>
          <t>8/2026</t>
        </is>
      </c>
      <c r="E9" t="inlineStr">
        <is>
          <t>Alimentos</t>
        </is>
      </c>
      <c r="F9" t="n">
        <v>3600</v>
      </c>
      <c r="G9" t="n">
        <v>512.75</v>
      </c>
      <c r="H9" t="n">
        <v>3087.25</v>
      </c>
    </row>
    <row r="10">
      <c r="A10" t="n">
        <v>180</v>
      </c>
      <c r="B10" t="inlineStr">
        <is>
          <t>Nuv Gastrobar</t>
        </is>
      </c>
      <c r="C10" s="525" t="n">
        <v>46264</v>
      </c>
      <c r="D10" t="inlineStr">
        <is>
          <t>8/2026</t>
        </is>
      </c>
      <c r="E10" t="inlineStr">
        <is>
          <t>Serviço</t>
        </is>
      </c>
      <c r="F10" t="n">
        <v>888.9299999999999</v>
      </c>
      <c r="G10" t="n">
        <v>0</v>
      </c>
      <c r="H10" t="n">
        <v>888.9299999999999</v>
      </c>
    </row>
    <row r="11">
      <c r="A11" t="n">
        <v>180</v>
      </c>
      <c r="B11" t="inlineStr">
        <is>
          <t>Nuv Gastrobar</t>
        </is>
      </c>
      <c r="C11" s="525" t="n">
        <v>46263</v>
      </c>
      <c r="D11" t="inlineStr">
        <is>
          <t>8/2026</t>
        </is>
      </c>
      <c r="E11" t="inlineStr">
        <is>
          <t>Alimentos</t>
        </is>
      </c>
      <c r="F11" t="n">
        <v>3397</v>
      </c>
      <c r="G11" t="n">
        <v>266.35</v>
      </c>
      <c r="H11" t="n">
        <v>3130.65</v>
      </c>
    </row>
    <row r="12">
      <c r="A12" t="n">
        <v>180</v>
      </c>
      <c r="B12" t="inlineStr">
        <is>
          <t>Nuv Gastrobar</t>
        </is>
      </c>
      <c r="C12" s="525" t="n">
        <v>46263</v>
      </c>
      <c r="D12" t="inlineStr">
        <is>
          <t>8/2026</t>
        </is>
      </c>
      <c r="E12" t="inlineStr">
        <is>
          <t>Bebidas</t>
        </is>
      </c>
      <c r="F12" t="n">
        <v>4914</v>
      </c>
      <c r="G12" t="n">
        <v>223.15</v>
      </c>
      <c r="H12" t="n">
        <v>4690.85</v>
      </c>
    </row>
    <row r="13">
      <c r="A13" t="n">
        <v>180</v>
      </c>
      <c r="B13" t="inlineStr">
        <is>
          <t>Nuv Gastrobar</t>
        </is>
      </c>
      <c r="C13" s="525" t="n">
        <v>46263</v>
      </c>
      <c r="D13" t="inlineStr">
        <is>
          <t>8/2026</t>
        </is>
      </c>
      <c r="E13" t="inlineStr">
        <is>
          <t>Serviço</t>
        </is>
      </c>
      <c r="F13" t="n">
        <v>1032.18</v>
      </c>
      <c r="G13" t="n">
        <v>0</v>
      </c>
      <c r="H13" t="n">
        <v>1032.18</v>
      </c>
    </row>
    <row r="14">
      <c r="A14" t="n">
        <v>180</v>
      </c>
      <c r="B14" t="inlineStr">
        <is>
          <t>Nuv Gastrobar</t>
        </is>
      </c>
      <c r="C14" s="525" t="n">
        <v>46262</v>
      </c>
      <c r="D14" t="inlineStr">
        <is>
          <t>8/2026</t>
        </is>
      </c>
      <c r="E14" t="inlineStr">
        <is>
          <t>Alimentos</t>
        </is>
      </c>
      <c r="F14" t="n">
        <v>1664</v>
      </c>
      <c r="G14" t="n">
        <v>525.34</v>
      </c>
      <c r="H14" t="n">
        <v>1138.66</v>
      </c>
    </row>
    <row r="15">
      <c r="A15" t="n">
        <v>180</v>
      </c>
      <c r="B15" t="inlineStr">
        <is>
          <t>Nuv Gastrobar</t>
        </is>
      </c>
      <c r="C15" s="525" t="n">
        <v>46262</v>
      </c>
      <c r="D15" t="inlineStr">
        <is>
          <t>8/2026</t>
        </is>
      </c>
      <c r="E15" t="inlineStr">
        <is>
          <t>Bebidas</t>
        </is>
      </c>
      <c r="F15" t="n">
        <v>1933</v>
      </c>
      <c r="G15" t="n">
        <v>350.41</v>
      </c>
      <c r="H15" t="n">
        <v>1582.59</v>
      </c>
    </row>
    <row r="16">
      <c r="A16" t="n">
        <v>180</v>
      </c>
      <c r="B16" t="inlineStr">
        <is>
          <t>Nuv Gastrobar</t>
        </is>
      </c>
      <c r="C16" s="525" t="n">
        <v>46262</v>
      </c>
      <c r="D16" t="inlineStr">
        <is>
          <t>8/2026</t>
        </is>
      </c>
      <c r="E16" t="inlineStr">
        <is>
          <t>Serviço</t>
        </is>
      </c>
      <c r="F16" t="n">
        <v>365.65</v>
      </c>
      <c r="G16" t="n">
        <v>0</v>
      </c>
      <c r="H16" t="n">
        <v>365.65</v>
      </c>
    </row>
    <row r="17">
      <c r="A17" t="n">
        <v>180</v>
      </c>
      <c r="B17" t="inlineStr">
        <is>
          <t>Nuv Gastrobar</t>
        </is>
      </c>
      <c r="C17" s="525" t="n">
        <v>46261</v>
      </c>
      <c r="D17" t="inlineStr">
        <is>
          <t>8/2026</t>
        </is>
      </c>
      <c r="E17" t="inlineStr">
        <is>
          <t>Alimentos</t>
        </is>
      </c>
      <c r="F17" t="n">
        <v>1855</v>
      </c>
      <c r="G17" t="n">
        <v>440.55</v>
      </c>
      <c r="H17" t="n">
        <v>1414.45</v>
      </c>
    </row>
    <row r="18">
      <c r="A18" t="n">
        <v>180</v>
      </c>
      <c r="B18" t="inlineStr">
        <is>
          <t>Nuv Gastrobar</t>
        </is>
      </c>
      <c r="C18" s="525" t="n">
        <v>46261</v>
      </c>
      <c r="D18" t="inlineStr">
        <is>
          <t>8/2026</t>
        </is>
      </c>
      <c r="E18" t="inlineStr">
        <is>
          <t>Serviço</t>
        </is>
      </c>
      <c r="F18" t="n">
        <v>441</v>
      </c>
      <c r="G18" t="n">
        <v>0</v>
      </c>
      <c r="H18" t="n">
        <v>441</v>
      </c>
    </row>
    <row r="19">
      <c r="A19" t="n">
        <v>180</v>
      </c>
      <c r="B19" t="inlineStr">
        <is>
          <t>Nuv Gastrobar</t>
        </is>
      </c>
      <c r="C19" s="525" t="n">
        <v>46261</v>
      </c>
      <c r="D19" t="inlineStr">
        <is>
          <t>8/2026</t>
        </is>
      </c>
      <c r="E19" t="inlineStr">
        <is>
          <t>Bebidas</t>
        </is>
      </c>
      <c r="F19" t="n">
        <v>2309</v>
      </c>
      <c r="G19" t="n">
        <v>426.25</v>
      </c>
      <c r="H19" t="n">
        <v>1882.75</v>
      </c>
    </row>
    <row r="20">
      <c r="A20" t="n">
        <v>180</v>
      </c>
      <c r="B20" t="inlineStr">
        <is>
          <t>Nuv Gastrobar</t>
        </is>
      </c>
      <c r="C20" s="525" t="n">
        <v>46260</v>
      </c>
      <c r="D20" t="inlineStr">
        <is>
          <t>8/2026</t>
        </is>
      </c>
      <c r="E20" t="inlineStr">
        <is>
          <t>Bebidas</t>
        </is>
      </c>
      <c r="F20" t="n">
        <v>1555</v>
      </c>
      <c r="G20" t="n">
        <v>289.43</v>
      </c>
      <c r="H20" t="n">
        <v>1265.57</v>
      </c>
    </row>
    <row r="21">
      <c r="A21" t="n">
        <v>180</v>
      </c>
      <c r="B21" t="inlineStr">
        <is>
          <t>Nuv Gastrobar</t>
        </is>
      </c>
      <c r="C21" s="525" t="n">
        <v>46260</v>
      </c>
      <c r="D21" t="inlineStr">
        <is>
          <t>8/2026</t>
        </is>
      </c>
      <c r="E21" t="inlineStr">
        <is>
          <t>Alimentos</t>
        </is>
      </c>
      <c r="F21" t="n">
        <v>2092</v>
      </c>
      <c r="G21" t="n">
        <v>251.73</v>
      </c>
      <c r="H21" t="n">
        <v>1840.27</v>
      </c>
    </row>
    <row r="22">
      <c r="A22" t="n">
        <v>180</v>
      </c>
      <c r="B22" t="inlineStr">
        <is>
          <t>Nuv Gastrobar</t>
        </is>
      </c>
      <c r="C22" s="525" t="n">
        <v>46260</v>
      </c>
      <c r="D22" t="inlineStr">
        <is>
          <t>8/2026</t>
        </is>
      </c>
      <c r="E22" t="inlineStr">
        <is>
          <t>Serviço</t>
        </is>
      </c>
      <c r="F22" t="n">
        <v>820.67</v>
      </c>
      <c r="G22" t="n">
        <v>0</v>
      </c>
      <c r="H22" t="n">
        <v>820.67</v>
      </c>
    </row>
    <row r="23">
      <c r="A23" t="n">
        <v>180</v>
      </c>
      <c r="B23" t="inlineStr">
        <is>
          <t>Nuv Gastrobar</t>
        </is>
      </c>
      <c r="C23" s="525" t="n">
        <v>46258</v>
      </c>
      <c r="D23" t="inlineStr">
        <is>
          <t>8/2026</t>
        </is>
      </c>
      <c r="E23" t="inlineStr">
        <is>
          <t>Bebidas</t>
        </is>
      </c>
      <c r="F23" t="n">
        <v>1801</v>
      </c>
      <c r="G23" t="n">
        <v>412.31</v>
      </c>
      <c r="H23" t="n">
        <v>1388.69</v>
      </c>
    </row>
    <row r="24">
      <c r="A24" t="n">
        <v>180</v>
      </c>
      <c r="B24" t="inlineStr">
        <is>
          <t>Nuv Gastrobar</t>
        </is>
      </c>
      <c r="C24" s="525" t="n">
        <v>46258</v>
      </c>
      <c r="D24" t="inlineStr">
        <is>
          <t>8/2026</t>
        </is>
      </c>
      <c r="E24" t="inlineStr">
        <is>
          <t>Alimentos</t>
        </is>
      </c>
      <c r="F24" t="n">
        <v>3603</v>
      </c>
      <c r="G24" t="n">
        <v>2201.94</v>
      </c>
      <c r="H24" t="n">
        <v>1401.06</v>
      </c>
    </row>
    <row r="25">
      <c r="A25" t="n">
        <v>180</v>
      </c>
      <c r="B25" t="inlineStr">
        <is>
          <t>Nuv Gastrobar</t>
        </is>
      </c>
      <c r="C25" s="525" t="n">
        <v>46258</v>
      </c>
      <c r="D25" t="inlineStr">
        <is>
          <t>8/2026</t>
        </is>
      </c>
      <c r="E25" t="inlineStr">
        <is>
          <t>Serviço</t>
        </is>
      </c>
      <c r="F25" t="n">
        <v>369.81</v>
      </c>
      <c r="G25" t="n">
        <v>0</v>
      </c>
      <c r="H25" t="n">
        <v>369.81</v>
      </c>
    </row>
    <row r="26">
      <c r="A26" t="n">
        <v>180</v>
      </c>
      <c r="B26" t="inlineStr">
        <is>
          <t>Nuv Gastrobar</t>
        </is>
      </c>
      <c r="C26" s="525" t="n">
        <v>46257</v>
      </c>
      <c r="D26" t="inlineStr">
        <is>
          <t>8/2026</t>
        </is>
      </c>
      <c r="E26" t="inlineStr">
        <is>
          <t>Bebidas</t>
        </is>
      </c>
      <c r="F26" t="n">
        <v>4864</v>
      </c>
      <c r="G26" t="n">
        <v>291.8</v>
      </c>
      <c r="H26" t="n">
        <v>4572.2</v>
      </c>
    </row>
    <row r="27">
      <c r="A27" t="n">
        <v>180</v>
      </c>
      <c r="B27" t="inlineStr">
        <is>
          <t>Nuv Gastrobar</t>
        </is>
      </c>
      <c r="C27" s="525" t="n">
        <v>46257</v>
      </c>
      <c r="D27" t="inlineStr">
        <is>
          <t>8/2026</t>
        </is>
      </c>
      <c r="E27" t="inlineStr">
        <is>
          <t>Alimentos</t>
        </is>
      </c>
      <c r="F27" t="n">
        <v>3085</v>
      </c>
      <c r="G27" t="n">
        <v>368.3</v>
      </c>
      <c r="H27" t="n">
        <v>2716.7</v>
      </c>
    </row>
    <row r="28">
      <c r="A28" t="n">
        <v>180</v>
      </c>
      <c r="B28" t="inlineStr">
        <is>
          <t>Nuv Gastrobar</t>
        </is>
      </c>
      <c r="C28" s="525" t="n">
        <v>46257</v>
      </c>
      <c r="D28" t="inlineStr">
        <is>
          <t>8/2026</t>
        </is>
      </c>
      <c r="E28" t="inlineStr">
        <is>
          <t>Serviço</t>
        </is>
      </c>
      <c r="F28" t="n">
        <v>958.65</v>
      </c>
      <c r="G28" t="n">
        <v>0</v>
      </c>
      <c r="H28" t="n">
        <v>958.65</v>
      </c>
    </row>
    <row r="29">
      <c r="A29" t="n">
        <v>180</v>
      </c>
      <c r="B29" t="inlineStr">
        <is>
          <t>Nuv Gastrobar</t>
        </is>
      </c>
      <c r="C29" s="525" t="n">
        <v>46256</v>
      </c>
      <c r="D29" t="inlineStr">
        <is>
          <t>8/2026</t>
        </is>
      </c>
      <c r="E29" t="inlineStr">
        <is>
          <t>Serviço</t>
        </is>
      </c>
      <c r="F29" t="n">
        <v>1197.32</v>
      </c>
      <c r="G29" t="n">
        <v>0</v>
      </c>
      <c r="H29" t="n">
        <v>1197.32</v>
      </c>
    </row>
    <row r="30">
      <c r="A30" t="n">
        <v>180</v>
      </c>
      <c r="B30" t="inlineStr">
        <is>
          <t>Nuv Gastrobar</t>
        </is>
      </c>
      <c r="C30" s="525" t="n">
        <v>46256</v>
      </c>
      <c r="D30" t="inlineStr">
        <is>
          <t>8/2026</t>
        </is>
      </c>
      <c r="E30" t="inlineStr">
        <is>
          <t>Alimentos</t>
        </is>
      </c>
      <c r="F30" t="n">
        <v>4032</v>
      </c>
      <c r="G30" t="n">
        <v>602.16</v>
      </c>
      <c r="H30" t="n">
        <v>3429.84</v>
      </c>
    </row>
    <row r="31">
      <c r="A31" t="n">
        <v>180</v>
      </c>
      <c r="B31" t="inlineStr">
        <is>
          <t>Nuv Gastrobar</t>
        </is>
      </c>
      <c r="C31" s="525" t="n">
        <v>46256</v>
      </c>
      <c r="D31" t="inlineStr">
        <is>
          <t>8/2026</t>
        </is>
      </c>
      <c r="E31" t="inlineStr">
        <is>
          <t>Bebidas</t>
        </is>
      </c>
      <c r="F31" t="n">
        <v>5788</v>
      </c>
      <c r="G31" t="n">
        <v>159.44</v>
      </c>
      <c r="H31" t="n">
        <v>5628.56</v>
      </c>
    </row>
    <row r="32">
      <c r="A32" t="n">
        <v>180</v>
      </c>
      <c r="B32" t="inlineStr">
        <is>
          <t>Nuv Gastrobar</t>
        </is>
      </c>
      <c r="C32" s="525" t="n">
        <v>46255</v>
      </c>
      <c r="D32" t="inlineStr">
        <is>
          <t>8/2026</t>
        </is>
      </c>
      <c r="E32" t="inlineStr">
        <is>
          <t>Bebidas</t>
        </is>
      </c>
      <c r="F32" t="n">
        <v>2999</v>
      </c>
      <c r="G32" t="n">
        <v>473.28</v>
      </c>
      <c r="H32" t="n">
        <v>2525.72</v>
      </c>
    </row>
    <row r="33">
      <c r="A33" t="n">
        <v>180</v>
      </c>
      <c r="B33" t="inlineStr">
        <is>
          <t>Nuv Gastrobar</t>
        </is>
      </c>
      <c r="C33" s="525" t="n">
        <v>46255</v>
      </c>
      <c r="D33" t="inlineStr">
        <is>
          <t>8/2026</t>
        </is>
      </c>
      <c r="E33" t="inlineStr">
        <is>
          <t>Alimentos</t>
        </is>
      </c>
      <c r="F33" t="n">
        <v>2474</v>
      </c>
      <c r="G33" t="n">
        <v>1057.57</v>
      </c>
      <c r="H33" t="n">
        <v>1416.43</v>
      </c>
    </row>
    <row r="34">
      <c r="A34" t="n">
        <v>180</v>
      </c>
      <c r="B34" t="inlineStr">
        <is>
          <t>Nuv Gastrobar</t>
        </is>
      </c>
      <c r="C34" s="525" t="n">
        <v>46255</v>
      </c>
      <c r="D34" t="inlineStr">
        <is>
          <t>8/2026</t>
        </is>
      </c>
      <c r="E34" t="inlineStr">
        <is>
          <t>Serviço</t>
        </is>
      </c>
      <c r="F34" t="n">
        <v>544.37</v>
      </c>
      <c r="G34" t="n">
        <v>0</v>
      </c>
      <c r="H34" t="n">
        <v>544.37</v>
      </c>
    </row>
    <row r="35">
      <c r="A35" t="n">
        <v>180</v>
      </c>
      <c r="B35" t="inlineStr">
        <is>
          <t>Nuv Gastrobar</t>
        </is>
      </c>
      <c r="C35" s="525" t="n">
        <v>46254</v>
      </c>
      <c r="D35" t="inlineStr">
        <is>
          <t>8/2026</t>
        </is>
      </c>
      <c r="E35" t="inlineStr">
        <is>
          <t>Serviço</t>
        </is>
      </c>
      <c r="F35" t="n">
        <v>392</v>
      </c>
      <c r="G35" t="n">
        <v>0</v>
      </c>
      <c r="H35" t="n">
        <v>392</v>
      </c>
    </row>
    <row r="36">
      <c r="A36" t="n">
        <v>180</v>
      </c>
      <c r="B36" t="inlineStr">
        <is>
          <t>Nuv Gastrobar</t>
        </is>
      </c>
      <c r="C36" s="525" t="n">
        <v>46254</v>
      </c>
      <c r="D36" t="inlineStr">
        <is>
          <t>8/2026</t>
        </is>
      </c>
      <c r="E36" t="inlineStr">
        <is>
          <t>Alimentos</t>
        </is>
      </c>
      <c r="F36" t="n">
        <v>2597</v>
      </c>
      <c r="G36" t="n">
        <v>1083.06</v>
      </c>
      <c r="H36" t="n">
        <v>1513.94</v>
      </c>
    </row>
    <row r="37">
      <c r="A37" t="n">
        <v>180</v>
      </c>
      <c r="B37" t="inlineStr">
        <is>
          <t>Nuv Gastrobar</t>
        </is>
      </c>
      <c r="C37" s="525" t="n">
        <v>46254</v>
      </c>
      <c r="D37" t="inlineStr">
        <is>
          <t>8/2026</t>
        </is>
      </c>
      <c r="E37" t="inlineStr">
        <is>
          <t>Bebidas</t>
        </is>
      </c>
      <c r="F37" t="n">
        <v>1624</v>
      </c>
      <c r="G37" t="n">
        <v>293.1</v>
      </c>
      <c r="H37" t="n">
        <v>1330.9</v>
      </c>
    </row>
    <row r="38">
      <c r="A38" t="n">
        <v>180</v>
      </c>
      <c r="B38" t="inlineStr">
        <is>
          <t>Nuv Gastrobar</t>
        </is>
      </c>
      <c r="C38" s="525" t="n">
        <v>46251</v>
      </c>
      <c r="D38" t="inlineStr">
        <is>
          <t>8/2026</t>
        </is>
      </c>
      <c r="E38" t="inlineStr">
        <is>
          <t>Serviço</t>
        </is>
      </c>
      <c r="F38" t="n">
        <v>345.98</v>
      </c>
      <c r="G38" t="n">
        <v>0</v>
      </c>
      <c r="H38" t="n">
        <v>345.98</v>
      </c>
    </row>
    <row r="39">
      <c r="A39" t="n">
        <v>180</v>
      </c>
      <c r="B39" t="inlineStr">
        <is>
          <t>Nuv Gastrobar</t>
        </is>
      </c>
      <c r="C39" s="525" t="n">
        <v>46251</v>
      </c>
      <c r="D39" t="inlineStr">
        <is>
          <t>8/2026</t>
        </is>
      </c>
      <c r="E39" t="inlineStr">
        <is>
          <t>Bebidas</t>
        </is>
      </c>
      <c r="F39" t="n">
        <v>1514</v>
      </c>
      <c r="G39" t="n">
        <v>279.51</v>
      </c>
      <c r="H39" t="n">
        <v>1234.49</v>
      </c>
    </row>
    <row r="40">
      <c r="A40" t="n">
        <v>180</v>
      </c>
      <c r="B40" t="inlineStr">
        <is>
          <t>Nuv Gastrobar</t>
        </is>
      </c>
      <c r="C40" s="525" t="n">
        <v>46251</v>
      </c>
      <c r="D40" t="inlineStr">
        <is>
          <t>8/2026</t>
        </is>
      </c>
      <c r="E40" t="inlineStr">
        <is>
          <t>Alimentos</t>
        </is>
      </c>
      <c r="F40" t="n">
        <v>1862</v>
      </c>
      <c r="G40" t="n">
        <v>673.04</v>
      </c>
      <c r="H40" t="n">
        <v>1188.96</v>
      </c>
    </row>
    <row r="41">
      <c r="A41" t="n">
        <v>180</v>
      </c>
      <c r="B41" t="inlineStr">
        <is>
          <t>Nuv Gastrobar</t>
        </is>
      </c>
      <c r="C41" s="525" t="n">
        <v>46250</v>
      </c>
      <c r="D41" t="inlineStr">
        <is>
          <t>8/2026</t>
        </is>
      </c>
      <c r="E41" t="inlineStr">
        <is>
          <t>Serviço</t>
        </is>
      </c>
      <c r="F41" t="n">
        <v>1141.92</v>
      </c>
      <c r="G41" t="n">
        <v>0</v>
      </c>
      <c r="H41" t="n">
        <v>1141.92</v>
      </c>
    </row>
    <row r="42">
      <c r="A42" t="n">
        <v>180</v>
      </c>
      <c r="B42" t="inlineStr">
        <is>
          <t>Nuv Gastrobar</t>
        </is>
      </c>
      <c r="C42" s="525" t="n">
        <v>46250</v>
      </c>
      <c r="D42" t="inlineStr">
        <is>
          <t>8/2026</t>
        </is>
      </c>
      <c r="E42" t="inlineStr">
        <is>
          <t>Bebidas</t>
        </is>
      </c>
      <c r="F42" t="n">
        <v>5478</v>
      </c>
      <c r="G42" t="n">
        <v>407.38</v>
      </c>
      <c r="H42" t="n">
        <v>5070.62</v>
      </c>
    </row>
    <row r="43">
      <c r="A43" t="n">
        <v>180</v>
      </c>
      <c r="B43" t="inlineStr">
        <is>
          <t>Nuv Gastrobar</t>
        </is>
      </c>
      <c r="C43" s="525" t="n">
        <v>46250</v>
      </c>
      <c r="D43" t="inlineStr">
        <is>
          <t>8/2026</t>
        </is>
      </c>
      <c r="E43" t="inlineStr">
        <is>
          <t>Alimentos</t>
        </is>
      </c>
      <c r="F43" t="n">
        <v>3793</v>
      </c>
      <c r="G43" t="n">
        <v>507.77</v>
      </c>
      <c r="H43" t="n">
        <v>3285.23</v>
      </c>
    </row>
    <row r="44">
      <c r="A44" t="n">
        <v>180</v>
      </c>
      <c r="B44" t="inlineStr">
        <is>
          <t>Nuv Gastrobar</t>
        </is>
      </c>
      <c r="C44" s="525" t="n">
        <v>46249</v>
      </c>
      <c r="D44" t="inlineStr">
        <is>
          <t>8/2026</t>
        </is>
      </c>
      <c r="E44" t="inlineStr">
        <is>
          <t>Serviço</t>
        </is>
      </c>
      <c r="F44" t="n">
        <v>1025.31</v>
      </c>
      <c r="G44" t="n">
        <v>0</v>
      </c>
      <c r="H44" t="n">
        <v>1025.31</v>
      </c>
    </row>
    <row r="45">
      <c r="A45" t="n">
        <v>180</v>
      </c>
      <c r="B45" t="inlineStr">
        <is>
          <t>Nuv Gastrobar</t>
        </is>
      </c>
      <c r="C45" s="525" t="n">
        <v>46249</v>
      </c>
      <c r="D45" t="inlineStr">
        <is>
          <t>8/2026</t>
        </is>
      </c>
      <c r="E45" t="inlineStr">
        <is>
          <t>Alimentos</t>
        </is>
      </c>
      <c r="F45" t="n">
        <v>4232</v>
      </c>
      <c r="G45" t="n">
        <v>1487.81</v>
      </c>
      <c r="H45" t="n">
        <v>2744.19</v>
      </c>
    </row>
    <row r="46">
      <c r="A46" t="n">
        <v>180</v>
      </c>
      <c r="B46" t="inlineStr">
        <is>
          <t>Nuv Gastrobar</t>
        </is>
      </c>
      <c r="C46" s="525" t="n">
        <v>46249</v>
      </c>
      <c r="D46" t="inlineStr">
        <is>
          <t>8/2026</t>
        </is>
      </c>
      <c r="E46" t="inlineStr">
        <is>
          <t>Bebidas</t>
        </is>
      </c>
      <c r="F46" t="n">
        <v>5539</v>
      </c>
      <c r="G46" t="n">
        <v>432.64</v>
      </c>
      <c r="H46" t="n">
        <v>5106.36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CARTAO FB</t>
        </is>
      </c>
      <c r="B1" t="inlineStr">
        <is>
          <t>NOME</t>
        </is>
      </c>
      <c r="C1" t="inlineStr">
        <is>
          <t>CENTRO DE CUSTO</t>
        </is>
      </c>
      <c r="D1" t="inlineStr">
        <is>
          <t>ID_Casa</t>
        </is>
      </c>
      <c r="E1" t="inlineStr">
        <is>
          <t>Casa</t>
        </is>
      </c>
      <c r="F1" t="inlineStr">
        <is>
          <t>Mês</t>
        </is>
      </c>
      <c r="G1" t="inlineStr">
        <is>
          <t>Ano</t>
        </is>
      </c>
      <c r="H1" t="inlineStr">
        <is>
          <t>Valor</t>
        </is>
      </c>
      <c r="I1" t="inlineStr">
        <is>
          <t>Mes_Texto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ID_receita</t>
        </is>
      </c>
      <c r="B1" t="inlineStr">
        <is>
          <t>Casa</t>
        </is>
      </c>
      <c r="C1" t="inlineStr">
        <is>
          <t>Cliente</t>
        </is>
      </c>
      <c r="D1" t="inlineStr">
        <is>
          <t>Classificacao</t>
        </is>
      </c>
      <c r="E1" t="inlineStr">
        <is>
          <t>ID_Evento</t>
        </is>
      </c>
      <c r="F1" t="inlineStr">
        <is>
          <t>Nome_Evento</t>
        </is>
      </c>
      <c r="G1" t="inlineStr">
        <is>
          <t>Tipo_Evento</t>
        </is>
      </c>
      <c r="H1" t="inlineStr">
        <is>
          <t>Modelo_Evento</t>
        </is>
      </c>
      <c r="I1" t="inlineStr">
        <is>
          <t>Valor_Total</t>
        </is>
      </c>
      <c r="J1" t="inlineStr">
        <is>
          <t>Data_Ocorrencia</t>
        </is>
      </c>
      <c r="K1" t="inlineStr">
        <is>
          <t>Recebimento_Parcela</t>
        </is>
      </c>
      <c r="L1" t="inlineStr">
        <is>
          <t>Valor_Parcela</t>
        </is>
      </c>
      <c r="M1" t="inlineStr">
        <is>
          <t>Status_Pgto</t>
        </is>
      </c>
      <c r="N1" t="inlineStr">
        <is>
          <t>Categ_AB</t>
        </is>
      </c>
      <c r="O1" t="inlineStr">
        <is>
          <t>Categ_Aluguel</t>
        </is>
      </c>
      <c r="P1" t="inlineStr">
        <is>
          <t>Categ_Artist</t>
        </is>
      </c>
      <c r="Q1" t="inlineStr">
        <is>
          <t>Categ_Couvert</t>
        </is>
      </c>
      <c r="R1" t="inlineStr">
        <is>
          <t>Categ_Locacao</t>
        </is>
      </c>
      <c r="S1" t="inlineStr">
        <is>
          <t>Categ_Patroc</t>
        </is>
      </c>
      <c r="T1" t="inlineStr">
        <is>
          <t>Categ_Taxa_Serv</t>
        </is>
      </c>
      <c r="U1" t="inlineStr">
        <is>
          <t>Ocorrencia_Mes_Texto</t>
        </is>
      </c>
      <c r="V1" t="inlineStr">
        <is>
          <t>Recebimento_Mes_Texto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Casa</t>
        </is>
      </c>
      <c r="B1" t="inlineStr">
        <is>
          <t>ID_Parcela</t>
        </is>
      </c>
      <c r="C1" t="inlineStr">
        <is>
          <t>ID_Evento</t>
        </is>
      </c>
      <c r="D1" t="inlineStr">
        <is>
          <t>Data_Evento</t>
        </is>
      </c>
      <c r="E1" t="inlineStr">
        <is>
          <t>Nome_do_Evento</t>
        </is>
      </c>
      <c r="F1" t="inlineStr">
        <is>
          <t>Comercial_Responsável</t>
        </is>
      </c>
      <c r="G1" t="inlineStr">
        <is>
          <t>Modelo_Evento</t>
        </is>
      </c>
      <c r="H1" t="inlineStr">
        <is>
          <t>Valor_Parcela</t>
        </is>
      </c>
      <c r="I1" t="inlineStr">
        <is>
          <t>Valor Total</t>
        </is>
      </c>
      <c r="J1" t="inlineStr">
        <is>
          <t>Valor AB</t>
        </is>
      </c>
      <c r="K1" t="inlineStr">
        <is>
          <t>Valor Taxa Serviço</t>
        </is>
      </c>
      <c r="L1" t="inlineStr">
        <is>
          <t>Valor Locação Espaço</t>
        </is>
      </c>
      <c r="M1" t="inlineStr">
        <is>
          <t>Valor Contratação Artístico</t>
        </is>
      </c>
      <c r="N1" t="inlineStr">
        <is>
          <t>Valor Contratação Técnico de Som</t>
        </is>
      </c>
      <c r="O1" t="inlineStr">
        <is>
          <t>Valor Contatação Bilheteria/Couvert Artístico</t>
        </is>
      </c>
      <c r="P1" t="inlineStr">
        <is>
          <t>Valor Locação Gerador</t>
        </is>
      </c>
      <c r="Q1" t="inlineStr">
        <is>
          <t>Valor Locação Decoração/Mobiliário</t>
        </is>
      </c>
      <c r="R1" t="inlineStr">
        <is>
          <t>Valor Locação Utensílios</t>
        </is>
      </c>
      <c r="S1" t="inlineStr">
        <is>
          <t>Valor Mão de Obra Extra</t>
        </is>
      </c>
      <c r="T1" t="inlineStr">
        <is>
          <t>Valor Comissão BV</t>
        </is>
      </c>
      <c r="U1" t="inlineStr">
        <is>
          <t>Valor Taxa Administrativa</t>
        </is>
      </c>
      <c r="V1" t="inlineStr">
        <is>
          <t>Valor Extras Gerais</t>
        </is>
      </c>
      <c r="W1" t="inlineStr">
        <is>
          <t>Valor_Imposto</t>
        </is>
      </c>
      <c r="X1" t="inlineStr">
        <is>
          <t>Valor Acréscimo Forma de Pagamento</t>
        </is>
      </c>
      <c r="Y1" t="inlineStr">
        <is>
          <t>Data_Vencimento</t>
        </is>
      </c>
      <c r="Z1" t="inlineStr">
        <is>
          <t>Status_Pagamento</t>
        </is>
      </c>
      <c r="AA1" t="inlineStr">
        <is>
          <t>Data_Recebimento</t>
        </is>
      </c>
      <c r="AB1" t="inlineStr">
        <is>
          <t>Mes_Texto_Evento</t>
        </is>
      </c>
      <c r="AC1" t="inlineStr">
        <is>
          <t>Mes_Texto_Recebimento</t>
        </is>
      </c>
    </row>
    <row r="2">
      <c r="A2" t="inlineStr">
        <is>
          <t>Nuv Gastrobar</t>
        </is>
      </c>
      <c r="B2" t="n">
        <v>2371</v>
      </c>
      <c r="C2" t="n">
        <v>3988</v>
      </c>
      <c r="D2" s="526" t="n">
        <v>46261</v>
      </c>
      <c r="E2" t="inlineStr">
        <is>
          <t>BTR VARESE - LOCAÇÃO</t>
        </is>
      </c>
      <c r="F2" t="inlineStr">
        <is>
          <t>Catarina Ramos Narciso</t>
        </is>
      </c>
      <c r="G2" t="inlineStr">
        <is>
          <t>Pacote Exclusivo</t>
        </is>
      </c>
      <c r="H2" t="n">
        <v>400</v>
      </c>
      <c r="I2" t="n">
        <v>800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175</v>
      </c>
      <c r="R2" t="n">
        <v>225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526" t="n">
        <v>46259</v>
      </c>
      <c r="Z2" t="inlineStr">
        <is>
          <t>Pago</t>
        </is>
      </c>
      <c r="AA2" s="526" t="n">
        <v>46259</v>
      </c>
      <c r="AB2" t="inlineStr">
        <is>
          <t>08/2026</t>
        </is>
      </c>
      <c r="AC2" t="inlineStr">
        <is>
          <t>08/2026</t>
        </is>
      </c>
    </row>
    <row r="3">
      <c r="A3" t="inlineStr">
        <is>
          <t>Nuv Gastrobar</t>
        </is>
      </c>
      <c r="B3" t="n">
        <v>2372</v>
      </c>
      <c r="C3" t="n">
        <v>3988</v>
      </c>
      <c r="D3" s="526" t="n">
        <v>46261</v>
      </c>
      <c r="E3" t="inlineStr">
        <is>
          <t>BTR VARESE - LOCAÇÃO</t>
        </is>
      </c>
      <c r="F3" t="inlineStr">
        <is>
          <t>Catarina Ramos Narciso</t>
        </is>
      </c>
      <c r="G3" t="inlineStr">
        <is>
          <t>Pacote Exclusivo</t>
        </is>
      </c>
      <c r="H3" t="n">
        <v>400</v>
      </c>
      <c r="I3" t="n">
        <v>800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175</v>
      </c>
      <c r="R3" t="n">
        <v>225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526" t="n">
        <v>46262</v>
      </c>
      <c r="Z3" t="inlineStr">
        <is>
          <t>Pago</t>
        </is>
      </c>
      <c r="AA3" s="526" t="n">
        <v>46262</v>
      </c>
      <c r="AB3" t="inlineStr">
        <is>
          <t>08/2026</t>
        </is>
      </c>
      <c r="AC3" t="inlineStr">
        <is>
          <t>08/2026</t>
        </is>
      </c>
    </row>
    <row r="4">
      <c r="A4" t="inlineStr">
        <is>
          <t>Nuv Gastrobar</t>
        </is>
      </c>
      <c r="B4" t="n">
        <v>2373</v>
      </c>
      <c r="C4" t="n">
        <v>3991</v>
      </c>
      <c r="D4" s="526" t="n">
        <v>46260</v>
      </c>
      <c r="E4" t="inlineStr">
        <is>
          <t xml:space="preserve">MELHORES DO ANO - REVISTA VEJA </t>
        </is>
      </c>
      <c r="F4" t="inlineStr">
        <is>
          <t>Catarina Ramos Narciso</t>
        </is>
      </c>
      <c r="G4" t="inlineStr">
        <is>
          <t>Pacote Exclusivo</t>
        </is>
      </c>
      <c r="H4" t="n">
        <v>14152.18</v>
      </c>
      <c r="I4" t="n">
        <v>28304.36</v>
      </c>
      <c r="J4" t="n">
        <v>10592.22</v>
      </c>
      <c r="K4" t="n">
        <v>1582.74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915</v>
      </c>
      <c r="T4" t="n">
        <v>0</v>
      </c>
      <c r="U4" t="n">
        <v>0</v>
      </c>
      <c r="V4" t="n">
        <v>-2114.7</v>
      </c>
      <c r="W4" t="n">
        <v>3176.92</v>
      </c>
      <c r="X4" t="n">
        <v>0</v>
      </c>
      <c r="Y4" s="526" t="n">
        <v>46259</v>
      </c>
      <c r="Z4" t="inlineStr">
        <is>
          <t>Pago</t>
        </is>
      </c>
      <c r="AA4" s="526" t="n">
        <v>46259</v>
      </c>
      <c r="AB4" t="inlineStr">
        <is>
          <t>08/2026</t>
        </is>
      </c>
      <c r="AC4" t="inlineStr">
        <is>
          <t>08/2026</t>
        </is>
      </c>
    </row>
    <row r="5">
      <c r="A5" t="inlineStr">
        <is>
          <t>Nuv Gastrobar</t>
        </is>
      </c>
      <c r="B5" t="n">
        <v>2374</v>
      </c>
      <c r="C5" t="n">
        <v>3991</v>
      </c>
      <c r="D5" s="526" t="n">
        <v>46260</v>
      </c>
      <c r="E5" t="inlineStr">
        <is>
          <t xml:space="preserve">MELHORES DO ANO - REVISTA VEJA </t>
        </is>
      </c>
      <c r="F5" t="inlineStr">
        <is>
          <t>Catarina Ramos Narciso</t>
        </is>
      </c>
      <c r="G5" t="inlineStr">
        <is>
          <t>Pacote Exclusivo</t>
        </is>
      </c>
      <c r="H5" t="n">
        <v>14152.18</v>
      </c>
      <c r="I5" t="n">
        <v>28304.36</v>
      </c>
      <c r="J5" t="n">
        <v>10592.22</v>
      </c>
      <c r="K5" t="n">
        <v>1582.74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915</v>
      </c>
      <c r="T5" t="n">
        <v>0</v>
      </c>
      <c r="U5" t="n">
        <v>0</v>
      </c>
      <c r="V5" t="n">
        <v>-2114.7</v>
      </c>
      <c r="W5" t="n">
        <v>3176.92</v>
      </c>
      <c r="X5" t="n">
        <v>0</v>
      </c>
      <c r="Y5" s="526" t="n">
        <v>46275</v>
      </c>
      <c r="AA5" s="526" t="n"/>
      <c r="AB5" t="inlineStr">
        <is>
          <t>08/2026</t>
        </is>
      </c>
    </row>
    <row r="6">
      <c r="A6" t="inlineStr">
        <is>
          <t>Nuv Gastrobar</t>
        </is>
      </c>
      <c r="B6" t="n">
        <v>2379</v>
      </c>
      <c r="C6" t="n">
        <v>3998</v>
      </c>
      <c r="D6" s="526" t="n">
        <v>46248</v>
      </c>
      <c r="E6" t="inlineStr">
        <is>
          <t>PRO_FESTA DE LANÇAMENTO NUBANK 14.08</t>
        </is>
      </c>
      <c r="F6" t="inlineStr">
        <is>
          <t>Bruna Crema</t>
        </is>
      </c>
      <c r="G6" t="inlineStr">
        <is>
          <t>Pacote Exclusivo</t>
        </is>
      </c>
      <c r="H6" t="n">
        <v>99967.39999999999</v>
      </c>
      <c r="I6" t="n">
        <v>99967.39999999999</v>
      </c>
      <c r="J6" t="n">
        <v>86971.64</v>
      </c>
      <c r="K6" t="n">
        <v>12995.76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526" t="n">
        <v>46248</v>
      </c>
      <c r="AA6" s="526" t="n"/>
      <c r="AB6" t="inlineStr">
        <is>
          <t>08/2026</t>
        </is>
      </c>
    </row>
    <row r="7">
      <c r="A7" t="inlineStr">
        <is>
          <t>Nuv Gastrobar</t>
        </is>
      </c>
      <c r="B7" t="n">
        <v>2380</v>
      </c>
      <c r="C7" t="n">
        <v>3996</v>
      </c>
      <c r="D7" s="526" t="n">
        <v>46247</v>
      </c>
      <c r="E7" t="inlineStr">
        <is>
          <t>PRO_COLETIVA NUV 13.08</t>
        </is>
      </c>
      <c r="F7" t="inlineStr">
        <is>
          <t>Bruna Crema</t>
        </is>
      </c>
      <c r="G7" t="inlineStr">
        <is>
          <t>Pacote Exclusivo</t>
        </is>
      </c>
      <c r="H7" t="n">
        <v>7840</v>
      </c>
      <c r="I7" t="n">
        <v>7840</v>
      </c>
      <c r="J7" t="n">
        <v>6820.8</v>
      </c>
      <c r="K7" t="n">
        <v>1019.2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526" t="n">
        <v>46247</v>
      </c>
      <c r="AA7" s="526" t="n"/>
      <c r="AB7" t="inlineStr">
        <is>
          <t>08/2026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2:AC36"/>
  <sheetViews>
    <sheetView showGridLines="0" zoomScale="80" zoomScaleNormal="80" workbookViewId="0">
      <selection activeCell="E21" sqref="E21"/>
    </sheetView>
  </sheetViews>
  <sheetFormatPr baseColWidth="8" defaultRowHeight="14.4"/>
  <cols>
    <col width="4.44140625" customWidth="1" min="1" max="1"/>
    <col width="35.6640625" customWidth="1" min="2" max="2"/>
    <col width="16.5546875" bestFit="1" customWidth="1" min="3" max="3"/>
    <col width="15.21875" bestFit="1" customWidth="1" min="4" max="4"/>
    <col width="15.109375" bestFit="1" customWidth="1" min="5" max="5"/>
    <col width="14.88671875" bestFit="1" customWidth="1" min="6" max="6"/>
    <col width="14.88671875" bestFit="1" customWidth="1" style="297" min="7" max="7"/>
    <col width="14.109375" customWidth="1" min="8" max="8"/>
    <col outlineLevel="1" width="15.44140625" customWidth="1" style="297" min="9" max="9"/>
    <col outlineLevel="1" width="14.88671875" customWidth="1" min="10" max="10"/>
    <col outlineLevel="1" width="14.88671875" bestFit="1" customWidth="1" min="11" max="11"/>
    <col outlineLevel="1" width="13.88671875" bestFit="1" customWidth="1" min="12" max="12"/>
    <col outlineLevel="1" width="11.6640625" customWidth="1" min="13" max="15"/>
    <col width="6.33203125" customWidth="1" style="527" min="16" max="16"/>
    <col width="36" customWidth="1" style="528" min="17" max="17"/>
    <col width="16.6640625" bestFit="1" customWidth="1" style="529" min="18" max="19"/>
    <col width="16.5546875" bestFit="1" customWidth="1" min="20" max="20"/>
    <col width="15.5546875" bestFit="1" customWidth="1" min="21" max="22"/>
    <col width="16.5546875" customWidth="1" min="23" max="23"/>
    <col width="14" bestFit="1" customWidth="1" min="24" max="29"/>
  </cols>
  <sheetData>
    <row r="1" ht="12.6" customHeight="1"/>
    <row r="2" ht="18" customHeight="1">
      <c r="A2" s="300" t="n"/>
      <c r="B2" s="301" t="inlineStr">
        <is>
          <t>BLUE NOTE SP</t>
        </is>
      </c>
      <c r="C2" s="302" t="inlineStr">
        <is>
          <t>12/2025</t>
        </is>
      </c>
      <c r="D2" s="302" t="inlineStr">
        <is>
          <t>01/2026</t>
        </is>
      </c>
      <c r="E2" s="302" t="inlineStr">
        <is>
          <t>02/2026</t>
        </is>
      </c>
      <c r="F2" s="302" t="inlineStr">
        <is>
          <t>03/2026</t>
        </is>
      </c>
      <c r="G2" s="302" t="inlineStr">
        <is>
          <t>04/2026</t>
        </is>
      </c>
      <c r="H2" s="302" t="inlineStr">
        <is>
          <t>05/2026</t>
        </is>
      </c>
      <c r="I2" s="302" t="inlineStr">
        <is>
          <t>06/2026</t>
        </is>
      </c>
      <c r="J2" s="302" t="inlineStr">
        <is>
          <t>07/2026</t>
        </is>
      </c>
      <c r="K2" s="302" t="inlineStr">
        <is>
          <t>08/2026</t>
        </is>
      </c>
      <c r="L2" s="302" t="inlineStr">
        <is>
          <t>09/2026</t>
        </is>
      </c>
      <c r="M2" s="302" t="inlineStr">
        <is>
          <t>10/2026</t>
        </is>
      </c>
      <c r="N2" s="302" t="inlineStr">
        <is>
          <t>11/2026</t>
        </is>
      </c>
      <c r="O2" s="303" t="inlineStr">
        <is>
          <t>12/2026</t>
        </is>
      </c>
    </row>
    <row r="3" hidden="1">
      <c r="A3" s="300" t="n"/>
      <c r="B3" s="304" t="n"/>
      <c r="C3" s="530" t="n"/>
      <c r="D3" s="530" t="n"/>
      <c r="E3" s="530" t="n"/>
      <c r="F3" s="530" t="n"/>
      <c r="G3" s="530" t="n"/>
      <c r="H3" s="530" t="n"/>
      <c r="I3" s="530" t="n"/>
      <c r="J3" s="530" t="n"/>
      <c r="K3" s="530" t="n"/>
      <c r="L3" s="530" t="n"/>
      <c r="M3" s="530" t="n"/>
      <c r="N3" s="530" t="n"/>
      <c r="O3" s="531" t="n"/>
      <c r="Q3" s="532" t="n"/>
    </row>
    <row r="4">
      <c r="A4" s="300" t="n"/>
      <c r="B4" s="308" t="n"/>
      <c r="O4" s="309" t="n"/>
      <c r="Q4" s="533" t="inlineStr">
        <is>
          <t>VALID. FAT CMV NA DRE</t>
        </is>
      </c>
      <c r="R4" s="533" t="inlineStr">
        <is>
          <t>01/2026</t>
        </is>
      </c>
      <c r="S4" s="533" t="inlineStr">
        <is>
          <t>02/2026</t>
        </is>
      </c>
      <c r="T4" s="302" t="inlineStr">
        <is>
          <t>03/2026</t>
        </is>
      </c>
      <c r="U4" s="302" t="inlineStr">
        <is>
          <t>04/2026</t>
        </is>
      </c>
      <c r="V4" s="302" t="inlineStr">
        <is>
          <t>05/2026</t>
        </is>
      </c>
      <c r="W4" s="302" t="inlineStr">
        <is>
          <t>06/2026</t>
        </is>
      </c>
      <c r="X4" s="302" t="inlineStr">
        <is>
          <t>07/2026</t>
        </is>
      </c>
      <c r="Y4" s="302" t="inlineStr">
        <is>
          <t>08/2026</t>
        </is>
      </c>
      <c r="Z4" s="302" t="inlineStr">
        <is>
          <t>09/2026</t>
        </is>
      </c>
      <c r="AA4" s="302" t="inlineStr">
        <is>
          <t>10/2026</t>
        </is>
      </c>
      <c r="AB4" s="302" t="inlineStr">
        <is>
          <t>11/2026</t>
        </is>
      </c>
      <c r="AC4" s="303" t="inlineStr">
        <is>
          <t>12/2026</t>
        </is>
      </c>
    </row>
    <row r="5">
      <c r="A5" s="310" t="n"/>
      <c r="B5" s="311" t="inlineStr">
        <is>
          <t>(+) Estoque inicial Alimento</t>
        </is>
      </c>
      <c r="C5" s="534" t="n">
        <v>0</v>
      </c>
      <c r="D5" s="534">
        <f>C17</f>
        <v/>
      </c>
      <c r="E5" s="534">
        <f>D17</f>
        <v/>
      </c>
      <c r="F5" s="534">
        <f>E17</f>
        <v/>
      </c>
      <c r="G5" s="534">
        <f>F17</f>
        <v/>
      </c>
      <c r="H5" s="534">
        <f>G17</f>
        <v/>
      </c>
      <c r="I5" s="534">
        <f>H17</f>
        <v/>
      </c>
      <c r="J5" s="534">
        <f>I17</f>
        <v/>
      </c>
      <c r="K5" s="534">
        <f>J17</f>
        <v/>
      </c>
      <c r="L5" s="534">
        <f>K17</f>
        <v/>
      </c>
      <c r="M5" s="534">
        <f>L17</f>
        <v/>
      </c>
      <c r="N5" s="534">
        <f>M17</f>
        <v/>
      </c>
      <c r="O5" s="535">
        <f>N17</f>
        <v/>
      </c>
      <c r="Q5" s="536" t="inlineStr">
        <is>
          <t xml:space="preserve">ZigPay </t>
        </is>
      </c>
      <c r="R5" s="529">
        <f>SUM(D25:D26)</f>
        <v/>
      </c>
      <c r="S5" s="529">
        <f>SUM(E25:E26)</f>
        <v/>
      </c>
      <c r="T5" s="529">
        <f>SUM(F25:F26)</f>
        <v/>
      </c>
      <c r="U5" s="529">
        <f>SUM(G25:G26)</f>
        <v/>
      </c>
      <c r="V5" s="529">
        <f>SUM(H25:H26)</f>
        <v/>
      </c>
      <c r="W5" s="529">
        <f>SUM(I25:I26)</f>
        <v/>
      </c>
      <c r="X5" s="529">
        <f>SUM(J25:J26)</f>
        <v/>
      </c>
      <c r="Y5" s="529">
        <f>SUM(K25:K26)</f>
        <v/>
      </c>
      <c r="Z5" s="529">
        <f>SUM(L25:L26)</f>
        <v/>
      </c>
      <c r="AA5" s="529">
        <f>SUM(M25:M26)</f>
        <v/>
      </c>
      <c r="AB5" s="529">
        <f>SUM(N25:N26)</f>
        <v/>
      </c>
      <c r="AC5" s="529">
        <f>SUM(O25:O26)</f>
        <v/>
      </c>
    </row>
    <row r="6">
      <c r="A6" s="310" t="n"/>
      <c r="B6" s="311" t="inlineStr">
        <is>
          <t>(+) Estoque inicial Bebida</t>
        </is>
      </c>
      <c r="C6" s="534" t="n">
        <v>0</v>
      </c>
      <c r="D6" s="534">
        <f>C18</f>
        <v/>
      </c>
      <c r="E6" s="534">
        <f>D18</f>
        <v/>
      </c>
      <c r="F6" s="534">
        <f>E18</f>
        <v/>
      </c>
      <c r="G6" s="534">
        <f>F18</f>
        <v/>
      </c>
      <c r="H6" s="534">
        <f>G18</f>
        <v/>
      </c>
      <c r="I6" s="534">
        <f>H18</f>
        <v/>
      </c>
      <c r="J6" s="534">
        <f>I18</f>
        <v/>
      </c>
      <c r="K6" s="534">
        <f>J18</f>
        <v/>
      </c>
      <c r="L6" s="534">
        <f>K18</f>
        <v/>
      </c>
      <c r="M6" s="534">
        <f>L18</f>
        <v/>
      </c>
      <c r="N6" s="534">
        <f>M18</f>
        <v/>
      </c>
      <c r="O6" s="535">
        <f>N18</f>
        <v/>
      </c>
      <c r="Q6" s="536" t="inlineStr">
        <is>
          <t xml:space="preserve">Eventos </t>
        </is>
      </c>
      <c r="R6" s="529">
        <f>DRE!J14</f>
        <v/>
      </c>
      <c r="S6" s="529">
        <f>DRE!M14</f>
        <v/>
      </c>
      <c r="T6" s="529">
        <f>DRE!P14</f>
        <v/>
      </c>
      <c r="U6" s="529">
        <f>DRE!S14</f>
        <v/>
      </c>
      <c r="V6" s="529">
        <f>DRE!V14</f>
        <v/>
      </c>
      <c r="W6" s="529">
        <f>DRE!Y14</f>
        <v/>
      </c>
      <c r="X6" s="529">
        <f>DRE!AB14</f>
        <v/>
      </c>
      <c r="Y6" s="529">
        <f>DRE!AE14</f>
        <v/>
      </c>
      <c r="Z6" s="529">
        <f>DRE!AH14</f>
        <v/>
      </c>
      <c r="AA6" s="529">
        <f>DRE!AK14</f>
        <v/>
      </c>
      <c r="AB6" s="529">
        <f>DRE!AN14</f>
        <v/>
      </c>
      <c r="AC6" s="529">
        <f>DRE!AQ14</f>
        <v/>
      </c>
    </row>
    <row r="7">
      <c r="A7" s="310" t="n"/>
      <c r="B7" s="311" t="inlineStr">
        <is>
          <t>(+) Estoque inicial Produção Cozinha</t>
        </is>
      </c>
      <c r="C7" s="534" t="n">
        <v>0</v>
      </c>
      <c r="D7" s="534">
        <f>C19</f>
        <v/>
      </c>
      <c r="E7" s="534">
        <f>D19</f>
        <v/>
      </c>
      <c r="F7" s="534">
        <f>E19</f>
        <v/>
      </c>
      <c r="G7" s="534">
        <f>F19</f>
        <v/>
      </c>
      <c r="H7" s="534">
        <f>G19</f>
        <v/>
      </c>
      <c r="I7" s="534">
        <f>H19</f>
        <v/>
      </c>
      <c r="J7" s="534">
        <f>I19</f>
        <v/>
      </c>
      <c r="K7" s="534">
        <f>J19</f>
        <v/>
      </c>
      <c r="L7" s="534">
        <f>K19</f>
        <v/>
      </c>
      <c r="M7" s="534">
        <f>L19</f>
        <v/>
      </c>
      <c r="N7" s="534">
        <f>M19</f>
        <v/>
      </c>
      <c r="O7" s="535">
        <f>N19</f>
        <v/>
      </c>
      <c r="Q7" s="528" t="inlineStr">
        <is>
          <t>Comanda Aberta/Couvert</t>
        </is>
      </c>
      <c r="R7" s="537">
        <f>-(SUMIFS(BD_Eventos_Novo!$J:$J,BD_Eventos_Novo!$G:$G,"Comanda Aberta / Couvert Antecipado",BD_Eventos_Novo!$AB:$AB,CMV_Manual!R$4)+SUMIFS(BD_Eventos_Novo!$J:$J,BD_Eventos_Novo!$G:$G,"Consumação Mínima",BD_Eventos_Novo!$AB:$AB,CMV_Manual!R$4))</f>
        <v/>
      </c>
      <c r="S7" s="537">
        <f>-(SUMIFS(BD_Eventos_Novo!$J:$J,BD_Eventos_Novo!$G:$G,"Comanda Aberta / Couvert Antecipado",BD_Eventos_Novo!$AB:$AB,CMV_Manual!S$4)+SUMIFS(BD_Eventos_Novo!$J:$J,BD_Eventos_Novo!$G:$G,"Consumação Mínima",BD_Eventos_Novo!$AB:$AB,CMV_Manual!S$4))</f>
        <v/>
      </c>
      <c r="T7" s="537">
        <f>-(SUMIFS(BD_Eventos_Novo!$J:$J,BD_Eventos_Novo!$G:$G,"Comanda Aberta / Couvert Antecipado",BD_Eventos_Novo!$AB:$AB,CMV_Manual!T$4)+SUMIFS(BD_Eventos_Novo!$J:$J,BD_Eventos_Novo!$G:$G,"Consumação Mínima",BD_Eventos_Novo!$AB:$AB,CMV_Manual!T$4))</f>
        <v/>
      </c>
      <c r="U7" s="537">
        <f>-(SUMIFS(BD_Eventos_Novo!$J:$J,BD_Eventos_Novo!$G:$G,"Comanda Aberta / Couvert Antecipado",BD_Eventos_Novo!$AB:$AB,CMV_Manual!U$4)+SUMIFS(BD_Eventos_Novo!$J:$J,BD_Eventos_Novo!$G:$G,"Consumação Mínima",BD_Eventos_Novo!$AB:$AB,CMV_Manual!U$4))</f>
        <v/>
      </c>
      <c r="V7" s="537">
        <f>-(SUMIFS(BD_Eventos_Novo!$J:$J,BD_Eventos_Novo!$G:$G,"Comanda Aberta / Couvert Antecipado",BD_Eventos_Novo!$AB:$AB,CMV_Manual!V$4)+SUMIFS(BD_Eventos_Novo!$J:$J,BD_Eventos_Novo!$G:$G,"Consumação Mínima",BD_Eventos_Novo!$AB:$AB,CMV_Manual!V$4))</f>
        <v/>
      </c>
      <c r="W7" s="537">
        <f>-(SUMIFS(BD_Eventos_Novo!$J:$J,BD_Eventos_Novo!$G:$G,"Comanda Aberta / Couvert Antecipado",BD_Eventos_Novo!$AB:$AB,CMV_Manual!W$4)+SUMIFS(BD_Eventos_Novo!$J:$J,BD_Eventos_Novo!$G:$G,"Consumação Mínima",BD_Eventos_Novo!$AB:$AB,CMV_Manual!W$4))</f>
        <v/>
      </c>
      <c r="X7" s="537">
        <f>-(SUMIFS(BD_Eventos_Novo!$J:$J,BD_Eventos_Novo!$G:$G,"Comanda Aberta / Couvert Antecipado",BD_Eventos_Novo!$AB:$AB,CMV_Manual!X$4)+SUMIFS(BD_Eventos_Novo!$J:$J,BD_Eventos_Novo!$G:$G,"Consumação Mínima",BD_Eventos_Novo!$AB:$AB,CMV_Manual!X$4))</f>
        <v/>
      </c>
      <c r="Y7" s="537">
        <f>-(SUMIFS(BD_Eventos_Novo!$J:$J,BD_Eventos_Novo!$G:$G,"Comanda Aberta / Couvert Antecipado",BD_Eventos_Novo!$AB:$AB,CMV_Manual!Y$4)+SUMIFS(BD_Eventos_Novo!$J:$J,BD_Eventos_Novo!$G:$G,"Consumação Mínima",BD_Eventos_Novo!$AB:$AB,CMV_Manual!Y$4))</f>
        <v/>
      </c>
      <c r="Z7" s="537">
        <f>-(SUMIFS(BD_Eventos_Novo!$J:$J,BD_Eventos_Novo!$G:$G,"Comanda Aberta / Couvert Antecipado",BD_Eventos_Novo!$AB:$AB,CMV_Manual!Z$4)+SUMIFS(BD_Eventos_Novo!$J:$J,BD_Eventos_Novo!$G:$G,"Consumação Mínima",BD_Eventos_Novo!$AB:$AB,CMV_Manual!Z$4))</f>
        <v/>
      </c>
      <c r="AA7" s="537">
        <f>-(SUMIFS(BD_Eventos_Novo!$J:$J,BD_Eventos_Novo!$G:$G,"Comanda Aberta / Couvert Antecipado",BD_Eventos_Novo!$AB:$AB,CMV_Manual!AA$4)+SUMIFS(BD_Eventos_Novo!$J:$J,BD_Eventos_Novo!$G:$G,"Consumação Mínima",BD_Eventos_Novo!$AB:$AB,CMV_Manual!AA$4))</f>
        <v/>
      </c>
      <c r="AB7" s="537">
        <f>-(SUMIFS(BD_Eventos_Novo!$J:$J,BD_Eventos_Novo!$G:$G,"Comanda Aberta / Couvert Antecipado",BD_Eventos_Novo!$AB:$AB,CMV_Manual!AB$4)+SUMIFS(BD_Eventos_Novo!$J:$J,BD_Eventos_Novo!$G:$G,"Consumação Mínima",BD_Eventos_Novo!$AB:$AB,CMV_Manual!AB$4))</f>
        <v/>
      </c>
      <c r="AC7" s="537">
        <f>-(SUMIFS(BD_Eventos_Novo!$J:$J,BD_Eventos_Novo!$G:$G,"Comanda Aberta / Couvert Antecipado",BD_Eventos_Novo!$AB:$AB,CMV_Manual!AC$4)+SUMIFS(BD_Eventos_Novo!$J:$J,BD_Eventos_Novo!$G:$G,"Consumação Mínima",BD_Eventos_Novo!$AB:$AB,CMV_Manual!AC$4))</f>
        <v/>
      </c>
    </row>
    <row r="8">
      <c r="A8" s="310" t="n"/>
      <c r="B8" s="311" t="inlineStr">
        <is>
          <t>(+) Estoque inicial Produção Bar</t>
        </is>
      </c>
      <c r="C8" s="534" t="n">
        <v>0</v>
      </c>
      <c r="D8" s="534">
        <f>C20</f>
        <v/>
      </c>
      <c r="E8" s="534">
        <f>D20</f>
        <v/>
      </c>
      <c r="F8" s="534">
        <f>E20</f>
        <v/>
      </c>
      <c r="G8" s="534">
        <f>F20</f>
        <v/>
      </c>
      <c r="H8" s="534">
        <f>G20</f>
        <v/>
      </c>
      <c r="I8" s="534">
        <f>H20</f>
        <v/>
      </c>
      <c r="J8" s="534">
        <f>I20</f>
        <v/>
      </c>
      <c r="K8" s="534">
        <f>J20</f>
        <v/>
      </c>
      <c r="L8" s="534">
        <f>K20</f>
        <v/>
      </c>
      <c r="M8" s="534">
        <f>L20</f>
        <v/>
      </c>
      <c r="N8" s="534">
        <f>M20</f>
        <v/>
      </c>
      <c r="O8" s="535">
        <f>N20</f>
        <v/>
      </c>
      <c r="Q8" s="528" t="inlineStr">
        <is>
          <t>Descontos</t>
        </is>
      </c>
      <c r="R8" s="537">
        <f>-(SUMIFS(Aut_Descontos!$I:$I,Aut_Descontos!$L:$L,CMV_Manual!R$4)+SUMIFS(Aut_Descontos!$J:$J,Aut_Descontos!$L:$L,CMV_Manual!R$4))</f>
        <v/>
      </c>
      <c r="S8" s="537">
        <f>-(SUMIFS(Aut_Descontos!$I:$I,Aut_Descontos!$L:$L,CMV_Manual!S$4)+SUMIFS(Aut_Descontos!$J:$J,Aut_Descontos!$L:$L,CMV_Manual!S$4))</f>
        <v/>
      </c>
      <c r="T8" s="537">
        <f>-(SUMIFS(Aut_Descontos!$I:$I,Aut_Descontos!$L:$L,CMV_Manual!T$4)+SUMIFS(Aut_Descontos!$J:$J,Aut_Descontos!$L:$L,CMV_Manual!T$4))</f>
        <v/>
      </c>
      <c r="U8" s="537">
        <f>-(SUMIFS(Aut_Descontos!$I:$I,Aut_Descontos!$L:$L,CMV_Manual!U$4)+SUMIFS(Aut_Descontos!$J:$J,Aut_Descontos!$L:$L,CMV_Manual!U$4))</f>
        <v/>
      </c>
      <c r="V8" s="537">
        <f>-(SUMIFS(Aut_Descontos!$I:$I,Aut_Descontos!$L:$L,CMV_Manual!V$4)+SUMIFS(Aut_Descontos!$J:$J,Aut_Descontos!$L:$L,CMV_Manual!V$4))</f>
        <v/>
      </c>
      <c r="W8" s="537">
        <f>-(SUMIFS(Aut_Descontos!$I:$I,Aut_Descontos!$L:$L,CMV_Manual!W$4)+SUMIFS(Aut_Descontos!$J:$J,Aut_Descontos!$L:$L,CMV_Manual!W$4))</f>
        <v/>
      </c>
      <c r="X8" s="537">
        <f>-(SUMIFS(Aut_Descontos!$I:$I,Aut_Descontos!$L:$L,CMV_Manual!X$4)+SUMIFS(Aut_Descontos!$J:$J,Aut_Descontos!$L:$L,CMV_Manual!X$4))</f>
        <v/>
      </c>
      <c r="Y8" s="537">
        <f>-(SUMIFS(Aut_Descontos!$I:$I,Aut_Descontos!$L:$L,CMV_Manual!Y$4)+SUMIFS(Aut_Descontos!$J:$J,Aut_Descontos!$L:$L,CMV_Manual!Y$4))</f>
        <v/>
      </c>
      <c r="Z8" s="537">
        <f>-(SUMIFS(Aut_Descontos!$I:$I,Aut_Descontos!$L:$L,CMV_Manual!Z$4)+SUMIFS(Aut_Descontos!$J:$J,Aut_Descontos!$L:$L,CMV_Manual!Z$4))</f>
        <v/>
      </c>
      <c r="AA8" s="537">
        <f>-(SUMIFS(Aut_Descontos!$I:$I,Aut_Descontos!$L:$L,CMV_Manual!AA$4)+SUMIFS(Aut_Descontos!$J:$J,Aut_Descontos!$L:$L,CMV_Manual!AA$4))</f>
        <v/>
      </c>
      <c r="AB8" s="537">
        <f>-(SUMIFS(Aut_Descontos!$I:$I,Aut_Descontos!$L:$L,CMV_Manual!AB$4)+SUMIFS(Aut_Descontos!$J:$J,Aut_Descontos!$L:$L,CMV_Manual!AB$4))</f>
        <v/>
      </c>
      <c r="AC8" s="537">
        <f>-(SUMIFS(Aut_Descontos!$I:$I,Aut_Descontos!$L:$L,CMV_Manual!AC$4)+SUMIFS(Aut_Descontos!$J:$J,Aut_Descontos!$L:$L,CMV_Manual!AC$4))</f>
        <v/>
      </c>
    </row>
    <row r="9">
      <c r="A9" s="314" t="n"/>
      <c r="B9" s="311" t="inlineStr">
        <is>
          <t>(+) Compra de Alimento</t>
        </is>
      </c>
      <c r="C9" s="538" t="n">
        <v>0</v>
      </c>
      <c r="D9" s="538">
        <f>-SUMIFS(Aut_BlueMe_Sem_Pedido!$J:$J,Aut_BlueMe_Sem_Pedido!$Q:$Q,CMV_Manual!D$2,Aut_BlueMe_Sem_Pedido!$H:$H,"Insumos - Alimentos")+SUMIFS(Aut_BlueMe_Com_Pedido!$K:$K,Aut_BlueMe_Com_Pedido!$Q:$Q,CMV_Manual!D$2)</f>
        <v/>
      </c>
      <c r="E9" s="538">
        <f>-SUMIFS(Aut_BlueMe_Sem_Pedido!$J:$J,Aut_BlueMe_Sem_Pedido!$Q:$Q,CMV_Manual!E$2,Aut_BlueMe_Sem_Pedido!$H:$H,"Insumos - Alimentos")+SUMIFS(Aut_BlueMe_Com_Pedido!$K:$K,Aut_BlueMe_Com_Pedido!$Q:$Q,CMV_Manual!E$2)</f>
        <v/>
      </c>
      <c r="F9" s="538">
        <f>-SUMIFS(Aut_BlueMe_Sem_Pedido!$J:$J,Aut_BlueMe_Sem_Pedido!$Q:$Q,CMV_Manual!F$2,Aut_BlueMe_Sem_Pedido!$H:$H,"Insumos - Alimentos")+SUMIFS(Aut_BlueMe_Com_Pedido!$K:$K,Aut_BlueMe_Com_Pedido!$Q:$Q,CMV_Manual!F$2)</f>
        <v/>
      </c>
      <c r="G9" s="538">
        <f>-SUMIFS(Aut_BlueMe_Sem_Pedido!$J:$J,Aut_BlueMe_Sem_Pedido!$Q:$Q,CMV_Manual!G$2,Aut_BlueMe_Sem_Pedido!$H:$H,"Insumos - Alimentos")+SUMIFS(Aut_BlueMe_Com_Pedido!$K:$K,Aut_BlueMe_Com_Pedido!$Q:$Q,CMV_Manual!G$2)</f>
        <v/>
      </c>
      <c r="H9" s="538">
        <f>-SUMIFS(Aut_BlueMe_Sem_Pedido!$J:$J,Aut_BlueMe_Sem_Pedido!$Q:$Q,CMV_Manual!H$2,Aut_BlueMe_Sem_Pedido!$H:$H,"Insumos - Alimentos")+SUMIFS(Aut_BlueMe_Com_Pedido!$K:$K,Aut_BlueMe_Com_Pedido!$Q:$Q,CMV_Manual!H$2)</f>
        <v/>
      </c>
      <c r="I9" s="538">
        <f>-SUMIFS(Aut_BlueMe_Sem_Pedido!$J:$J,Aut_BlueMe_Sem_Pedido!$Q:$Q,CMV_Manual!I$2,Aut_BlueMe_Sem_Pedido!$H:$H,"Insumos - Alimentos")+SUMIFS(Aut_BlueMe_Com_Pedido!$K:$K,Aut_BlueMe_Com_Pedido!$Q:$Q,CMV_Manual!I$2)</f>
        <v/>
      </c>
      <c r="J9" s="538">
        <f>-SUMIFS(Aut_BlueMe_Sem_Pedido!$J:$J,Aut_BlueMe_Sem_Pedido!$Q:$Q,CMV_Manual!J$2,Aut_BlueMe_Sem_Pedido!$H:$H,"Insumos - Alimentos")+SUMIFS(Aut_BlueMe_Com_Pedido!$K:$K,Aut_BlueMe_Com_Pedido!$Q:$Q,CMV_Manual!J$2)</f>
        <v/>
      </c>
      <c r="K9" s="538">
        <f>-SUMIFS(Aut_BlueMe_Sem_Pedido!$J:$J,Aut_BlueMe_Sem_Pedido!$Q:$Q,CMV_Manual!K$2,Aut_BlueMe_Sem_Pedido!$H:$H,"Insumos - Alimentos")+SUMIFS(Aut_BlueMe_Com_Pedido!$K:$K,Aut_BlueMe_Com_Pedido!$Q:$Q,CMV_Manual!K$2)</f>
        <v/>
      </c>
      <c r="L9" s="538">
        <f>-SUMIFS(Aut_BlueMe_Sem_Pedido!$J:$J,Aut_BlueMe_Sem_Pedido!$Q:$Q,CMV_Manual!L$2,Aut_BlueMe_Sem_Pedido!$H:$H,"Insumos - Alimentos")+SUMIFS(Aut_BlueMe_Com_Pedido!$K:$K,Aut_BlueMe_Com_Pedido!$Q:$Q,CMV_Manual!L$2)</f>
        <v/>
      </c>
      <c r="M9" s="538">
        <f>-SUMIFS(Aut_BlueMe_Sem_Pedido!$J:$J,Aut_BlueMe_Sem_Pedido!$Q:$Q,CMV_Manual!M$2,Aut_BlueMe_Sem_Pedido!$H:$H,"Insumos - Alimentos")+SUMIFS(Aut_BlueMe_Com_Pedido!$K:$K,Aut_BlueMe_Com_Pedido!$Q:$Q,CMV_Manual!M$2)</f>
        <v/>
      </c>
      <c r="N9" s="538">
        <f>-SUMIFS(Aut_BlueMe_Sem_Pedido!$J:$J,Aut_BlueMe_Sem_Pedido!$Q:$Q,CMV_Manual!N$2,Aut_BlueMe_Sem_Pedido!$H:$H,"Insumos - Alimentos")+SUMIFS(Aut_BlueMe_Com_Pedido!$K:$K,Aut_BlueMe_Com_Pedido!$Q:$Q,CMV_Manual!N$2)</f>
        <v/>
      </c>
      <c r="O9" s="539">
        <f>-SUMIFS(Aut_BlueMe_Sem_Pedido!$J:$J,Aut_BlueMe_Sem_Pedido!$Q:$Q,CMV_Manual!O$2,Aut_BlueMe_Sem_Pedido!$H:$H,"Insumos - Alimentos")+SUMIFS(Aut_BlueMe_Com_Pedido!$K:$K,Aut_BlueMe_Com_Pedido!$Q:$Q,CMV_Manual!O$2)</f>
        <v/>
      </c>
      <c r="P9" s="540" t="n"/>
      <c r="Q9" s="528" t="inlineStr">
        <is>
          <t>Promoções Utilizadas</t>
        </is>
      </c>
      <c r="R9" s="537">
        <f>-(SUMIFS(Aut_Promocoes_Utilizadas!$G:$G,Aut_Promocoes_Utilizadas!$I:$I,"Eventos",Aut_Promocoes_Utilizadas!$J:$J,CMV_Manual!R$4))</f>
        <v/>
      </c>
      <c r="S9" s="537">
        <f>-(SUMIFS(Aut_Promocoes_Utilizadas!$G:$G,Aut_Promocoes_Utilizadas!$I:$I,"Eventos",Aut_Promocoes_Utilizadas!$J:$J,CMV_Manual!S$4))</f>
        <v/>
      </c>
      <c r="T9" s="537">
        <f>-(SUMIFS(Aut_Promocoes_Utilizadas!$G:$G,Aut_Promocoes_Utilizadas!$I:$I,"Eventos",Aut_Promocoes_Utilizadas!$J:$J,CMV_Manual!T$4))</f>
        <v/>
      </c>
      <c r="U9" s="537">
        <f>-(SUMIFS(Aut_Promocoes_Utilizadas!$G:$G,Aut_Promocoes_Utilizadas!$I:$I,"Eventos",Aut_Promocoes_Utilizadas!$J:$J,CMV_Manual!U$4))</f>
        <v/>
      </c>
      <c r="V9" s="537">
        <f>-(SUMIFS(Aut_Promocoes_Utilizadas!$G:$G,Aut_Promocoes_Utilizadas!$I:$I,"Eventos",Aut_Promocoes_Utilizadas!$J:$J,CMV_Manual!V$4))</f>
        <v/>
      </c>
      <c r="W9" s="537">
        <f>-(SUMIFS(Aut_Promocoes_Utilizadas!$G:$G,Aut_Promocoes_Utilizadas!$I:$I,"Eventos",Aut_Promocoes_Utilizadas!$J:$J,CMV_Manual!W$4))</f>
        <v/>
      </c>
      <c r="X9" s="537">
        <f>-(SUMIFS(Aut_Promocoes_Utilizadas!$G:$G,Aut_Promocoes_Utilizadas!$I:$I,"Eventos",Aut_Promocoes_Utilizadas!$J:$J,CMV_Manual!X$4))</f>
        <v/>
      </c>
      <c r="Y9" s="537">
        <f>-(SUMIFS(Aut_Promocoes_Utilizadas!$G:$G,Aut_Promocoes_Utilizadas!$I:$I,"Eventos",Aut_Promocoes_Utilizadas!$J:$J,CMV_Manual!Y$4))</f>
        <v/>
      </c>
      <c r="Z9" s="537">
        <f>-(SUMIFS(Aut_Promocoes_Utilizadas!$G:$G,Aut_Promocoes_Utilizadas!$I:$I,"Eventos",Aut_Promocoes_Utilizadas!$J:$J,CMV_Manual!Z$4))</f>
        <v/>
      </c>
      <c r="AA9" s="537">
        <f>-(SUMIFS(Aut_Promocoes_Utilizadas!$G:$G,Aut_Promocoes_Utilizadas!$I:$I,"Eventos",Aut_Promocoes_Utilizadas!$J:$J,CMV_Manual!AA$4))</f>
        <v/>
      </c>
      <c r="AB9" s="537">
        <f>-(SUMIFS(Aut_Promocoes_Utilizadas!$G:$G,Aut_Promocoes_Utilizadas!$I:$I,"Eventos",Aut_Promocoes_Utilizadas!$J:$J,CMV_Manual!AB$4))</f>
        <v/>
      </c>
      <c r="AC9" s="537">
        <f>-(SUMIFS(Aut_Promocoes_Utilizadas!$G:$G,Aut_Promocoes_Utilizadas!$I:$I,"Eventos",Aut_Promocoes_Utilizadas!$J:$J,CMV_Manual!AC$4))</f>
        <v/>
      </c>
    </row>
    <row r="10">
      <c r="A10" s="314" t="n"/>
      <c r="B10" s="311" t="inlineStr">
        <is>
          <t>(+) Compra de Bebida</t>
        </is>
      </c>
      <c r="C10" s="538" t="n">
        <v>0</v>
      </c>
      <c r="D10" s="538">
        <f>-SUMIFS(Aut_BlueMe_Sem_Pedido!$J:$J,Aut_BlueMe_Sem_Pedido!$Q:$Q,CMV_Manual!D$2,Aut_BlueMe_Sem_Pedido!$H:$H,"Insumos - Bebidas")+SUMIFS(Aut_BlueMe_Com_Pedido!$L:$L,Aut_BlueMe_Com_Pedido!$Q:$Q,CMV_Manual!D$2)</f>
        <v/>
      </c>
      <c r="E10" s="538">
        <f>-SUMIFS(Aut_BlueMe_Sem_Pedido!$J:$J,Aut_BlueMe_Sem_Pedido!$Q:$Q,CMV_Manual!E$2,Aut_BlueMe_Sem_Pedido!$H:$H,"Insumos - Bebidas")+SUMIFS(Aut_BlueMe_Com_Pedido!$L:$L,Aut_BlueMe_Com_Pedido!$Q:$Q,CMV_Manual!E$2)</f>
        <v/>
      </c>
      <c r="F10" s="538">
        <f>-SUMIFS(Aut_BlueMe_Sem_Pedido!$J:$J,Aut_BlueMe_Sem_Pedido!$Q:$Q,CMV_Manual!F$2,Aut_BlueMe_Sem_Pedido!$H:$H,"Insumos - Bebidas")+SUMIFS(Aut_BlueMe_Com_Pedido!$L:$L,Aut_BlueMe_Com_Pedido!$Q:$Q,CMV_Manual!F$2)</f>
        <v/>
      </c>
      <c r="G10" s="538">
        <f>-SUMIFS(Aut_BlueMe_Sem_Pedido!$J:$J,Aut_BlueMe_Sem_Pedido!$Q:$Q,CMV_Manual!G$2,Aut_BlueMe_Sem_Pedido!$H:$H,"Insumos - Bebidas")+SUMIFS(Aut_BlueMe_Com_Pedido!$L:$L,Aut_BlueMe_Com_Pedido!$Q:$Q,CMV_Manual!G$2)</f>
        <v/>
      </c>
      <c r="H10" s="538">
        <f>-SUMIFS(Aut_BlueMe_Sem_Pedido!$J:$J,Aut_BlueMe_Sem_Pedido!$Q:$Q,CMV_Manual!H$2,Aut_BlueMe_Sem_Pedido!$H:$H,"Insumos - Bebidas")+SUMIFS(Aut_BlueMe_Com_Pedido!$L:$L,Aut_BlueMe_Com_Pedido!$Q:$Q,CMV_Manual!H$2)</f>
        <v/>
      </c>
      <c r="I10" s="538">
        <f>-SUMIFS(Aut_BlueMe_Sem_Pedido!$J:$J,Aut_BlueMe_Sem_Pedido!$Q:$Q,CMV_Manual!I$2,Aut_BlueMe_Sem_Pedido!$H:$H,"Insumos - Bebidas")+SUMIFS(Aut_BlueMe_Com_Pedido!$L:$L,Aut_BlueMe_Com_Pedido!$Q:$Q,CMV_Manual!I$2)</f>
        <v/>
      </c>
      <c r="J10" s="538">
        <f>-SUMIFS(Aut_BlueMe_Sem_Pedido!$J:$J,Aut_BlueMe_Sem_Pedido!$Q:$Q,CMV_Manual!J$2,Aut_BlueMe_Sem_Pedido!$H:$H,"Insumos - Bebidas")+SUMIFS(Aut_BlueMe_Com_Pedido!$L:$L,Aut_BlueMe_Com_Pedido!$Q:$Q,CMV_Manual!J$2)</f>
        <v/>
      </c>
      <c r="K10" s="538">
        <f>-SUMIFS(Aut_BlueMe_Sem_Pedido!$J:$J,Aut_BlueMe_Sem_Pedido!$Q:$Q,CMV_Manual!K$2,Aut_BlueMe_Sem_Pedido!$H:$H,"Insumos - Bebidas")+SUMIFS(Aut_BlueMe_Com_Pedido!$L:$L,Aut_BlueMe_Com_Pedido!$Q:$Q,CMV_Manual!K$2)</f>
        <v/>
      </c>
      <c r="L10" s="538">
        <f>-SUMIFS(Aut_BlueMe_Sem_Pedido!$J:$J,Aut_BlueMe_Sem_Pedido!$Q:$Q,CMV_Manual!L$2,Aut_BlueMe_Sem_Pedido!$H:$H,"Insumos - Bebidas")+SUMIFS(Aut_BlueMe_Com_Pedido!$L:$L,Aut_BlueMe_Com_Pedido!$Q:$Q,CMV_Manual!L$2)</f>
        <v/>
      </c>
      <c r="M10" s="538">
        <f>-SUMIFS(Aut_BlueMe_Sem_Pedido!$J:$J,Aut_BlueMe_Sem_Pedido!$Q:$Q,CMV_Manual!M$2,Aut_BlueMe_Sem_Pedido!$H:$H,"Insumos - Bebidas")+SUMIFS(Aut_BlueMe_Com_Pedido!$L:$L,Aut_BlueMe_Com_Pedido!$Q:$Q,CMV_Manual!M$2)</f>
        <v/>
      </c>
      <c r="N10" s="538">
        <f>-SUMIFS(Aut_BlueMe_Sem_Pedido!$J:$J,Aut_BlueMe_Sem_Pedido!$Q:$Q,CMV_Manual!N$2,Aut_BlueMe_Sem_Pedido!$H:$H,"Insumos - Bebidas")+SUMIFS(Aut_BlueMe_Com_Pedido!$L:$L,Aut_BlueMe_Com_Pedido!$Q:$Q,CMV_Manual!N$2)</f>
        <v/>
      </c>
      <c r="O10" s="539">
        <f>-SUMIFS(Aut_BlueMe_Sem_Pedido!$J:$J,Aut_BlueMe_Sem_Pedido!$Q:$Q,CMV_Manual!O$2,Aut_BlueMe_Sem_Pedido!$H:$H,"Insumos - Bebidas")+SUMIFS(Aut_BlueMe_Com_Pedido!$L:$L,Aut_BlueMe_Com_Pedido!$Q:$Q,CMV_Manual!O$2)</f>
        <v/>
      </c>
      <c r="P10" s="540" t="n"/>
      <c r="Q10" s="446" t="inlineStr">
        <is>
          <t>Delivery</t>
        </is>
      </c>
      <c r="R10" s="529" t="n">
        <v>0</v>
      </c>
      <c r="S10" s="529" t="n">
        <v>0</v>
      </c>
      <c r="T10" s="529" t="n">
        <v>0</v>
      </c>
      <c r="U10" s="529" t="n">
        <v>0</v>
      </c>
      <c r="V10" s="529" t="n">
        <v>0</v>
      </c>
      <c r="W10" s="529" t="n">
        <v>0</v>
      </c>
      <c r="X10" s="529" t="n">
        <v>0</v>
      </c>
      <c r="Y10" s="529" t="n">
        <v>0</v>
      </c>
      <c r="Z10" s="529" t="n">
        <v>0</v>
      </c>
      <c r="AA10" s="529" t="n">
        <v>0</v>
      </c>
      <c r="AB10" s="529" t="n">
        <v>0</v>
      </c>
      <c r="AC10" s="529" t="n">
        <v>0</v>
      </c>
    </row>
    <row r="11" ht="15.6" customHeight="1">
      <c r="A11" s="314" t="n"/>
      <c r="B11" s="311" t="inlineStr">
        <is>
          <t>(+)Entradas transferência Alimento</t>
        </is>
      </c>
      <c r="C11" s="534" t="n">
        <v>0</v>
      </c>
      <c r="D11" s="534">
        <f>SUMIFS(Aut_Transferencias!$K:$K,Aut_Transferencias!$J:$J,CMV_Manual!D$2,Aut_Transferencias!$G:$G,"ALIMENTOS",Aut_Transferencias!$C:$C,"Blue Note - São Paulo")</f>
        <v/>
      </c>
      <c r="E11" s="534">
        <f>SUMIFS(Aut_Transferencias!$K:$K,Aut_Transferencias!$J:$J,CMV_Manual!E$2,Aut_Transferencias!$G:$G,"ALIMENTOS",Aut_Transferencias!$C:$C,"Blue Note - São Paulo")</f>
        <v/>
      </c>
      <c r="F11" s="534">
        <f>SUMIFS(Aut_Transferencias!$K:$K,Aut_Transferencias!$J:$J,CMV_Manual!F$2,Aut_Transferencias!$G:$G,"ALIMENTOS",Aut_Transferencias!$C:$C,"Blue Note - São Paulo")</f>
        <v/>
      </c>
      <c r="G11" s="534">
        <f>SUMIFS(Aut_Transferencias!$K:$K,Aut_Transferencias!$J:$J,CMV_Manual!G$2,Aut_Transferencias!$G:$G,"ALIMENTOS",Aut_Transferencias!$C:$C,"Blue Note - São Paulo")</f>
        <v/>
      </c>
      <c r="H11" s="534">
        <f>SUMIFS(Aut_Transferencias!$K:$K,Aut_Transferencias!$J:$J,CMV_Manual!H$2,Aut_Transferencias!$G:$G,"ALIMENTOS",Aut_Transferencias!$C:$C,"Blue Note - São Paulo")</f>
        <v/>
      </c>
      <c r="I11" s="534">
        <f>SUMIFS(Aut_Transferencias!$K:$K,Aut_Transferencias!$J:$J,CMV_Manual!I$2,Aut_Transferencias!$G:$G,"ALIMENTOS",Aut_Transferencias!$C:$C,"Blue Note - São Paulo")</f>
        <v/>
      </c>
      <c r="J11" s="534">
        <f>SUMIFS(Aut_Transferencias!$K:$K,Aut_Transferencias!$J:$J,CMV_Manual!J$2,Aut_Transferencias!$G:$G,"ALIMENTOS",Aut_Transferencias!$C:$C,"Blue Note - São Paulo")</f>
        <v/>
      </c>
      <c r="K11" s="534">
        <f>SUMIFS(Aut_Transferencias!$K:$K,Aut_Transferencias!$J:$J,CMV_Manual!K$2,Aut_Transferencias!$G:$G,"ALIMENTOS",Aut_Transferencias!$C:$C,"Blue Note - São Paulo")</f>
        <v/>
      </c>
      <c r="L11" s="534">
        <f>SUMIFS(Aut_Transferencias!$K:$K,Aut_Transferencias!$J:$J,CMV_Manual!L$2,Aut_Transferencias!$G:$G,"ALIMENTOS",Aut_Transferencias!$C:$C,"Blue Note - São Paulo")</f>
        <v/>
      </c>
      <c r="M11" s="534">
        <f>SUMIFS(Aut_Transferencias!$K:$K,Aut_Transferencias!$J:$J,CMV_Manual!M$2,Aut_Transferencias!$G:$G,"ALIMENTOS",Aut_Transferencias!$C:$C,"Blue Note - São Paulo")</f>
        <v/>
      </c>
      <c r="N11" s="534">
        <f>SUMIFS(Aut_Transferencias!$K:$K,Aut_Transferencias!$J:$J,CMV_Manual!N$2,Aut_Transferencias!$G:$G,"ALIMENTOS",Aut_Transferencias!$C:$C,"Blue Note - São Paulo")</f>
        <v/>
      </c>
      <c r="O11" s="535">
        <f>SUMIFS(Aut_Transferencias!$K:$K,Aut_Transferencias!$J:$J,CMV_Manual!O$2,Aut_Transferencias!$G:$G,"ALIMENTOS",Aut_Transferencias!$C:$C,"Blue Note - São Paulo")</f>
        <v/>
      </c>
      <c r="P11" s="541" t="n"/>
      <c r="T11" s="529" t="n"/>
    </row>
    <row r="12">
      <c r="A12" s="314" t="n"/>
      <c r="B12" s="311" t="inlineStr">
        <is>
          <t>(+)Entradas transferência Bebidas</t>
        </is>
      </c>
      <c r="C12" s="534" t="n">
        <v>0</v>
      </c>
      <c r="D12" s="534">
        <f>SUMIFS(Aut_Transferencias!$K:$K,Aut_Transferencias!$J:$J,CMV_Manual!D$2,Aut_Transferencias!$G:$G,"BEBIDAS",Aut_Transferencias!$C:$C,"Blue Note - São Paulo")</f>
        <v/>
      </c>
      <c r="E12" s="534">
        <f>SUMIFS(Aut_Transferencias!$K:$K,Aut_Transferencias!$J:$J,CMV_Manual!E$2,Aut_Transferencias!$G:$G,"BEBIDAS",Aut_Transferencias!$C:$C,"Blue Note - São Paulo")</f>
        <v/>
      </c>
      <c r="F12" s="534">
        <f>SUMIFS(Aut_Transferencias!$K:$K,Aut_Transferencias!$J:$J,CMV_Manual!F$2,Aut_Transferencias!$G:$G,"BEBIDAS",Aut_Transferencias!$C:$C,"Blue Note - São Paulo")</f>
        <v/>
      </c>
      <c r="G12" s="534">
        <f>SUMIFS(Aut_Transferencias!$K:$K,Aut_Transferencias!$J:$J,CMV_Manual!G$2,Aut_Transferencias!$G:$G,"BEBIDAS",Aut_Transferencias!$C:$C,"Blue Note - São Paulo")</f>
        <v/>
      </c>
      <c r="H12" s="534">
        <f>SUMIFS(Aut_Transferencias!$K:$K,Aut_Transferencias!$J:$J,CMV_Manual!H$2,Aut_Transferencias!$G:$G,"BEBIDAS",Aut_Transferencias!$C:$C,"Blue Note - São Paulo")</f>
        <v/>
      </c>
      <c r="I12" s="534">
        <f>SUMIFS(Aut_Transferencias!$K:$K,Aut_Transferencias!$J:$J,CMV_Manual!I$2,Aut_Transferencias!$G:$G,"BEBIDAS",Aut_Transferencias!$C:$C,"Blue Note - São Paulo")</f>
        <v/>
      </c>
      <c r="J12" s="534">
        <f>SUMIFS(Aut_Transferencias!$K:$K,Aut_Transferencias!$J:$J,CMV_Manual!J$2,Aut_Transferencias!$G:$G,"BEBIDAS",Aut_Transferencias!$C:$C,"Blue Note - São Paulo")</f>
        <v/>
      </c>
      <c r="K12" s="534">
        <f>SUMIFS(Aut_Transferencias!$K:$K,Aut_Transferencias!$J:$J,CMV_Manual!K$2,Aut_Transferencias!$G:$G,"BEBIDAS",Aut_Transferencias!$C:$C,"Blue Note - São Paulo")</f>
        <v/>
      </c>
      <c r="L12" s="534">
        <f>SUMIFS(Aut_Transferencias!$K:$K,Aut_Transferencias!$J:$J,CMV_Manual!L$2,Aut_Transferencias!$G:$G,"BEBIDAS",Aut_Transferencias!$C:$C,"Blue Note - São Paulo")</f>
        <v/>
      </c>
      <c r="M12" s="534">
        <f>SUMIFS(Aut_Transferencias!$K:$K,Aut_Transferencias!$J:$J,CMV_Manual!M$2,Aut_Transferencias!$G:$G,"BEBIDAS",Aut_Transferencias!$C:$C,"Blue Note - São Paulo")</f>
        <v/>
      </c>
      <c r="N12" s="534">
        <f>SUMIFS(Aut_Transferencias!$K:$K,Aut_Transferencias!$J:$J,CMV_Manual!N$2,Aut_Transferencias!$G:$G,"BEBIDAS",Aut_Transferencias!$C:$C,"Blue Note - São Paulo")</f>
        <v/>
      </c>
      <c r="O12" s="535">
        <f>SUMIFS(Aut_Transferencias!$K:$K,Aut_Transferencias!$J:$J,CMV_Manual!O$2,Aut_Transferencias!$G:$G,"BEBIDAS",Aut_Transferencias!$C:$C,"Blue Note - São Paulo")</f>
        <v/>
      </c>
      <c r="Q12" s="536" t="inlineStr">
        <is>
          <t>A&amp;B Final para calculo do CMV na DRE</t>
        </is>
      </c>
      <c r="R12" s="542">
        <f>SUM(R5:R11)</f>
        <v/>
      </c>
      <c r="S12" s="542">
        <f>SUM(S5:S11)</f>
        <v/>
      </c>
      <c r="T12" s="542">
        <f>SUM(T5:T11)</f>
        <v/>
      </c>
      <c r="U12" s="542">
        <f>SUM(U5:U11)</f>
        <v/>
      </c>
      <c r="V12" s="542">
        <f>SUM(V5:V11)</f>
        <v/>
      </c>
      <c r="W12" s="542">
        <f>SUM(W5:W11)</f>
        <v/>
      </c>
      <c r="X12" s="542">
        <f>SUM(X5:X11)</f>
        <v/>
      </c>
      <c r="Y12" s="542">
        <f>SUM(Y5:Y11)</f>
        <v/>
      </c>
      <c r="Z12" s="542">
        <f>SUM(Z5:Z11)</f>
        <v/>
      </c>
      <c r="AA12" s="542">
        <f>SUM(AA5:AA11)</f>
        <v/>
      </c>
      <c r="AB12" s="542">
        <f>SUM(AB5:AB11)</f>
        <v/>
      </c>
      <c r="AC12" s="542">
        <f>SUM(AC5:AC11)</f>
        <v/>
      </c>
    </row>
    <row r="13">
      <c r="A13" s="314" t="n"/>
      <c r="B13" s="311" t="inlineStr">
        <is>
          <t>(-) Saídas transferencia Alimento</t>
        </is>
      </c>
      <c r="C13" s="538" t="n">
        <v>0</v>
      </c>
      <c r="D13" s="538">
        <f>SUMIFS(Aut_Transferencias!$K:$K,Aut_Transferencias!$J:$J,CMV_Manual!D$2,Aut_Transferencias!$G:$G,"ALIMENTOS",Aut_Transferencias!$B:$B,"Blue Note - São Paulo")</f>
        <v/>
      </c>
      <c r="E13" s="538">
        <f>SUMIFS(Aut_Transferencias!$K:$K,Aut_Transferencias!$J:$J,CMV_Manual!E$2,Aut_Transferencias!$G:$G,"ALIMENTOS",Aut_Transferencias!$B:$B,"Blue Note - São Paulo")</f>
        <v/>
      </c>
      <c r="F13" s="538">
        <f>SUMIFS(Aut_Transferencias!$K:$K,Aut_Transferencias!$J:$J,CMV_Manual!F$2,Aut_Transferencias!$G:$G,"ALIMENTOS",Aut_Transferencias!$B:$B,"Blue Note - São Paulo")</f>
        <v/>
      </c>
      <c r="G13" s="538">
        <f>SUMIFS(Aut_Transferencias!$K:$K,Aut_Transferencias!$J:$J,CMV_Manual!G$2,Aut_Transferencias!$G:$G,"ALIMENTOS",Aut_Transferencias!$B:$B,"Blue Note - São Paulo")</f>
        <v/>
      </c>
      <c r="H13" s="538">
        <f>SUMIFS(Aut_Transferencias!$K:$K,Aut_Transferencias!$J:$J,CMV_Manual!H$2,Aut_Transferencias!$G:$G,"ALIMENTOS",Aut_Transferencias!$B:$B,"Blue Note - São Paulo")</f>
        <v/>
      </c>
      <c r="I13" s="538">
        <f>SUMIFS(Aut_Transferencias!$K:$K,Aut_Transferencias!$J:$J,CMV_Manual!I$2,Aut_Transferencias!$G:$G,"ALIMENTOS",Aut_Transferencias!$B:$B,"Blue Note - São Paulo")</f>
        <v/>
      </c>
      <c r="J13" s="538">
        <f>SUMIFS(Aut_Transferencias!$K:$K,Aut_Transferencias!$J:$J,CMV_Manual!J$2,Aut_Transferencias!$G:$G,"ALIMENTOS",Aut_Transferencias!$B:$B,"Blue Note - São Paulo")</f>
        <v/>
      </c>
      <c r="K13" s="538">
        <f>SUMIFS(Aut_Transferencias!$K:$K,Aut_Transferencias!$J:$J,CMV_Manual!K$2,Aut_Transferencias!$G:$G,"ALIMENTOS",Aut_Transferencias!$B:$B,"Blue Note - São Paulo")</f>
        <v/>
      </c>
      <c r="L13" s="538">
        <f>SUMIFS(Aut_Transferencias!$K:$K,Aut_Transferencias!$J:$J,CMV_Manual!L$2,Aut_Transferencias!$G:$G,"ALIMENTOS",Aut_Transferencias!$B:$B,"Blue Note - São Paulo")</f>
        <v/>
      </c>
      <c r="M13" s="538">
        <f>SUMIFS(Aut_Transferencias!$K:$K,Aut_Transferencias!$J:$J,CMV_Manual!M$2,Aut_Transferencias!$G:$G,"ALIMENTOS",Aut_Transferencias!$B:$B,"Blue Note - São Paulo")</f>
        <v/>
      </c>
      <c r="N13" s="538">
        <f>SUMIFS(Aut_Transferencias!$K:$K,Aut_Transferencias!$J:$J,CMV_Manual!N$2,Aut_Transferencias!$G:$G,"ALIMENTOS",Aut_Transferencias!$B:$B,"Blue Note - São Paulo")</f>
        <v/>
      </c>
      <c r="O13" s="539">
        <f>SUMIFS(Aut_Transferencias!$K:$K,Aut_Transferencias!$J:$J,CMV_Manual!O$2,Aut_Transferencias!$G:$G,"ALIMENTOS",Aut_Transferencias!$B:$B,"Blue Note - São Paulo")</f>
        <v/>
      </c>
      <c r="T13" s="529" t="n"/>
    </row>
    <row r="14">
      <c r="A14" s="314" t="n"/>
      <c r="B14" s="311" t="inlineStr">
        <is>
          <t>(-) Saídas transferencia Bebidas</t>
        </is>
      </c>
      <c r="C14" s="538" t="n">
        <v>0</v>
      </c>
      <c r="D14" s="538">
        <f>SUMIFS(Aut_Transferencias!$K:$K,Aut_Transferencias!$J:$J,CMV_Manual!D$2,Aut_Transferencias!$G:$G,"BEBIDAS",Aut_Transferencias!$B:$B,"Blue Note - São Paulo")</f>
        <v/>
      </c>
      <c r="E14" s="538">
        <f>SUMIFS(Aut_Transferencias!$K:$K,Aut_Transferencias!$J:$J,CMV_Manual!E$2,Aut_Transferencias!$G:$G,"BEBIDAS",Aut_Transferencias!$B:$B,"Blue Note - São Paulo")</f>
        <v/>
      </c>
      <c r="F14" s="538">
        <f>SUMIFS(Aut_Transferencias!$K:$K,Aut_Transferencias!$J:$J,CMV_Manual!F$2,Aut_Transferencias!$G:$G,"BEBIDAS",Aut_Transferencias!$B:$B,"Blue Note - São Paulo")</f>
        <v/>
      </c>
      <c r="G14" s="538">
        <f>SUMIFS(Aut_Transferencias!$K:$K,Aut_Transferencias!$J:$J,CMV_Manual!G$2,Aut_Transferencias!$G:$G,"BEBIDAS",Aut_Transferencias!$B:$B,"Blue Note - São Paulo")</f>
        <v/>
      </c>
      <c r="H14" s="538">
        <f>SUMIFS(Aut_Transferencias!$K:$K,Aut_Transferencias!$J:$J,CMV_Manual!H$2,Aut_Transferencias!$G:$G,"BEBIDAS",Aut_Transferencias!$B:$B,"Blue Note - São Paulo")</f>
        <v/>
      </c>
      <c r="I14" s="538">
        <f>SUMIFS(Aut_Transferencias!$K:$K,Aut_Transferencias!$J:$J,CMV_Manual!I$2,Aut_Transferencias!$G:$G,"BEBIDAS",Aut_Transferencias!$B:$B,"Blue Note - São Paulo")</f>
        <v/>
      </c>
      <c r="J14" s="538">
        <f>SUMIFS(Aut_Transferencias!$K:$K,Aut_Transferencias!$J:$J,CMV_Manual!J$2,Aut_Transferencias!$G:$G,"BEBIDAS",Aut_Transferencias!$B:$B,"Blue Note - São Paulo")</f>
        <v/>
      </c>
      <c r="K14" s="538">
        <f>SUMIFS(Aut_Transferencias!$K:$K,Aut_Transferencias!$J:$J,CMV_Manual!K$2,Aut_Transferencias!$G:$G,"BEBIDAS",Aut_Transferencias!$B:$B,"Blue Note - São Paulo")</f>
        <v/>
      </c>
      <c r="L14" s="538">
        <f>SUMIFS(Aut_Transferencias!$K:$K,Aut_Transferencias!$J:$J,CMV_Manual!L$2,Aut_Transferencias!$G:$G,"BEBIDAS",Aut_Transferencias!$B:$B,"Blue Note - São Paulo")</f>
        <v/>
      </c>
      <c r="M14" s="538">
        <f>SUMIFS(Aut_Transferencias!$K:$K,Aut_Transferencias!$J:$J,CMV_Manual!M$2,Aut_Transferencias!$G:$G,"BEBIDAS",Aut_Transferencias!$B:$B,"Blue Note - São Paulo")</f>
        <v/>
      </c>
      <c r="N14" s="538">
        <f>SUMIFS(Aut_Transferencias!$K:$K,Aut_Transferencias!$J:$J,CMV_Manual!N$2,Aut_Transferencias!$G:$G,"BEBIDAS",Aut_Transferencias!$B:$B,"Blue Note - São Paulo")</f>
        <v/>
      </c>
      <c r="O14" s="539">
        <f>SUMIFS(Aut_Transferencias!$K:$K,Aut_Transferencias!$J:$J,CMV_Manual!O$2,Aut_Transferencias!$G:$G,"BEBIDAS",Aut_Transferencias!$B:$B,"Blue Note - São Paulo")</f>
        <v/>
      </c>
      <c r="Q14" s="536" t="inlineStr">
        <is>
          <t>Eventos para add no EPM</t>
        </is>
      </c>
      <c r="R14" s="543">
        <f>SUM(R6:R10)</f>
        <v/>
      </c>
      <c r="S14" s="543">
        <f>SUM(S6:S10)</f>
        <v/>
      </c>
      <c r="T14" s="543">
        <f>SUM(T6:T10)</f>
        <v/>
      </c>
      <c r="U14" s="543">
        <f>SUM(U6:U10)</f>
        <v/>
      </c>
      <c r="V14" s="543">
        <f>SUM(V6:V10)</f>
        <v/>
      </c>
      <c r="W14" s="543">
        <f>SUM(W6:W10)</f>
        <v/>
      </c>
      <c r="X14" s="543">
        <f>SUM(X6:X10)</f>
        <v/>
      </c>
      <c r="Y14" s="543">
        <f>SUM(Y6:Y10)</f>
        <v/>
      </c>
      <c r="Z14" s="543">
        <f>SUM(Z6:Z10)</f>
        <v/>
      </c>
      <c r="AA14" s="543">
        <f>SUM(AA6:AA10)</f>
        <v/>
      </c>
      <c r="AB14" s="543">
        <f>SUM(AB6:AB10)</f>
        <v/>
      </c>
      <c r="AC14" s="543">
        <f>SUM(AC6:AC10)</f>
        <v/>
      </c>
    </row>
    <row r="15">
      <c r="A15" s="314" t="n"/>
      <c r="B15" s="311" t="inlineStr">
        <is>
          <t>(-) Consumo Funcionário</t>
        </is>
      </c>
      <c r="C15" s="544" t="n">
        <v>0</v>
      </c>
      <c r="D15" s="544">
        <f>SUMIFS(Aut_Consumo_Funcionarios!$F:$F,Aut_Consumo_Funcionarios!$D:$D,CMV_Manual!D$2)</f>
        <v/>
      </c>
      <c r="E15" s="544">
        <f>SUMIFS(Aut_Consumo_Funcionarios!$F:$F,Aut_Consumo_Funcionarios!$D:$D,CMV_Manual!E$2)</f>
        <v/>
      </c>
      <c r="F15" s="544">
        <f>SUMIFS(Aut_Consumo_Funcionarios!$F:$F,Aut_Consumo_Funcionarios!$D:$D,CMV_Manual!F$2)</f>
        <v/>
      </c>
      <c r="G15" s="544">
        <f>SUMIFS(Aut_Consumo_Funcionarios!$F:$F,Aut_Consumo_Funcionarios!$D:$D,CMV_Manual!G$2)</f>
        <v/>
      </c>
      <c r="H15" s="544">
        <f>SUMIFS(Aut_Consumo_Funcionarios!$F:$F,Aut_Consumo_Funcionarios!$D:$D,CMV_Manual!H$2)</f>
        <v/>
      </c>
      <c r="I15" s="544">
        <f>SUMIFS(Aut_Consumo_Funcionarios!$F:$F,Aut_Consumo_Funcionarios!$D:$D,CMV_Manual!I$2)</f>
        <v/>
      </c>
      <c r="J15" s="544">
        <f>SUMIFS(Aut_Consumo_Funcionarios!$F:$F,Aut_Consumo_Funcionarios!$D:$D,CMV_Manual!J$2)</f>
        <v/>
      </c>
      <c r="K15" s="544">
        <f>SUMIFS(Aut_Consumo_Funcionarios!$F:$F,Aut_Consumo_Funcionarios!$D:$D,CMV_Manual!K$2)</f>
        <v/>
      </c>
      <c r="L15" s="544">
        <f>SUMIFS(Aut_Consumo_Funcionarios!$F:$F,Aut_Consumo_Funcionarios!$D:$D,CMV_Manual!L$2)</f>
        <v/>
      </c>
      <c r="M15" s="544">
        <f>SUMIFS(Aut_Consumo_Funcionarios!$F:$F,Aut_Consumo_Funcionarios!$D:$D,CMV_Manual!M$2)</f>
        <v/>
      </c>
      <c r="N15" s="544">
        <f>SUMIFS(Aut_Consumo_Funcionarios!$F:$F,Aut_Consumo_Funcionarios!$D:$D,CMV_Manual!N$2)</f>
        <v/>
      </c>
      <c r="O15" s="545">
        <f>SUMIFS(Aut_Consumo_Funcionarios!$F:$F,Aut_Consumo_Funcionarios!$D:$D,CMV_Manual!O$2)</f>
        <v/>
      </c>
      <c r="R15" s="543" t="n"/>
    </row>
    <row r="16">
      <c r="A16" s="314" t="n"/>
      <c r="B16" s="311" t="inlineStr">
        <is>
          <t>(-) Perdas /baixas manuais</t>
        </is>
      </c>
      <c r="C16" s="546" t="n">
        <v>0</v>
      </c>
      <c r="D16" s="546" t="n"/>
      <c r="E16" s="546" t="n"/>
      <c r="F16" s="546" t="n"/>
      <c r="G16" s="546" t="n"/>
      <c r="H16" s="546" t="n"/>
      <c r="I16" s="546" t="n"/>
      <c r="J16" s="546" t="n"/>
      <c r="K16" s="546" t="n"/>
      <c r="L16" s="547" t="n"/>
      <c r="M16" s="547" t="n"/>
      <c r="N16" s="547" t="n"/>
      <c r="O16" s="548" t="n"/>
    </row>
    <row r="17">
      <c r="A17" s="310" t="n"/>
      <c r="B17" s="311" t="inlineStr">
        <is>
          <t>(-) Fechamento Alimento, estoque final</t>
        </is>
      </c>
      <c r="C17" s="534" t="n">
        <v>0</v>
      </c>
      <c r="D17" s="534">
        <f>SUMIFS(Aut_Valor_Estoque!$P:$P,Aut_Valor_Estoque!$K:$K,CMV_Manual!D$2,Aut_Valor_Estoque!$J:$J,"ALIMENTOS")</f>
        <v/>
      </c>
      <c r="E17" s="534">
        <f>SUMIFS(Aut_Valor_Estoque!$P:$P,Aut_Valor_Estoque!$K:$K,CMV_Manual!E$2,Aut_Valor_Estoque!$J:$J,"ALIMENTOS")</f>
        <v/>
      </c>
      <c r="F17" s="534">
        <f>SUMIFS(Aut_Valor_Estoque!$P:$P,Aut_Valor_Estoque!$K:$K,CMV_Manual!F$2,Aut_Valor_Estoque!$J:$J,"ALIMENTOS")</f>
        <v/>
      </c>
      <c r="G17" s="534">
        <f>SUMIFS(Aut_Valor_Estoque!$P:$P,Aut_Valor_Estoque!$K:$K,CMV_Manual!G$2,Aut_Valor_Estoque!$J:$J,"ALIMENTOS")</f>
        <v/>
      </c>
      <c r="H17" s="534">
        <f>SUMIFS(Aut_Valor_Estoque!$P:$P,Aut_Valor_Estoque!$K:$K,CMV_Manual!H$2,Aut_Valor_Estoque!$J:$J,"ALIMENTOS")</f>
        <v/>
      </c>
      <c r="I17" s="534">
        <f>SUMIFS(Aut_Valor_Estoque!$P:$P,Aut_Valor_Estoque!$K:$K,CMV_Manual!I$2,Aut_Valor_Estoque!$J:$J,"ALIMENTOS")</f>
        <v/>
      </c>
      <c r="J17" s="534">
        <f>SUMIFS(Aut_Valor_Estoque!$P:$P,Aut_Valor_Estoque!$K:$K,CMV_Manual!J$2,Aut_Valor_Estoque!$J:$J,"ALIMENTOS")</f>
        <v/>
      </c>
      <c r="K17" s="534">
        <f>SUMIFS(Aut_Valor_Estoque!$P:$P,Aut_Valor_Estoque!$K:$K,CMV_Manual!K$2,Aut_Valor_Estoque!$J:$J,"ALIMENTOS")</f>
        <v/>
      </c>
      <c r="L17" s="534">
        <f>SUMIFS(Aut_Valor_Estoque!$P:$P,Aut_Valor_Estoque!$K:$K,CMV_Manual!L$2,Aut_Valor_Estoque!$J:$J,"ALIMENTOS")</f>
        <v/>
      </c>
      <c r="M17" s="534">
        <f>SUMIFS(Aut_Valor_Estoque!$P:$P,Aut_Valor_Estoque!$K:$K,CMV_Manual!M$2,Aut_Valor_Estoque!$J:$J,"ALIMENTOS")</f>
        <v/>
      </c>
      <c r="N17" s="534">
        <f>SUMIFS(Aut_Valor_Estoque!$P:$P,Aut_Valor_Estoque!$K:$K,CMV_Manual!N$2,Aut_Valor_Estoque!$J:$J,"ALIMENTOS")</f>
        <v/>
      </c>
      <c r="O17" s="539">
        <f>SUMIFS(Aut_Valor_Estoque!$P:$P,Aut_Valor_Estoque!$K:$K,CMV_Manual!O$2,Aut_Valor_Estoque!$J:$J,"ALIMENTOS")</f>
        <v/>
      </c>
    </row>
    <row r="18">
      <c r="A18" s="310" t="n"/>
      <c r="B18" s="311" t="inlineStr">
        <is>
          <t>(-) Fechamento Bebida, estoque final</t>
        </is>
      </c>
      <c r="C18" s="534" t="n">
        <v>0</v>
      </c>
      <c r="D18" s="534">
        <f>SUMIFS(Aut_Valor_Estoque!$P:$P,Aut_Valor_Estoque!$K:$K,CMV_Manual!D$2,Aut_Valor_Estoque!$J:$J,"BEBIDAS")</f>
        <v/>
      </c>
      <c r="E18" s="534">
        <f>SUMIFS(Aut_Valor_Estoque!$P:$P,Aut_Valor_Estoque!$K:$K,CMV_Manual!E$2,Aut_Valor_Estoque!$J:$J,"BEBIDAS")</f>
        <v/>
      </c>
      <c r="F18" s="534">
        <f>SUMIFS(Aut_Valor_Estoque!$P:$P,Aut_Valor_Estoque!$K:$K,CMV_Manual!F$2,Aut_Valor_Estoque!$J:$J,"BEBIDAS")</f>
        <v/>
      </c>
      <c r="G18" s="534">
        <f>SUMIFS(Aut_Valor_Estoque!$P:$P,Aut_Valor_Estoque!$K:$K,CMV_Manual!G$2,Aut_Valor_Estoque!$J:$J,"BEBIDAS")</f>
        <v/>
      </c>
      <c r="H18" s="534">
        <f>SUMIFS(Aut_Valor_Estoque!$P:$P,Aut_Valor_Estoque!$K:$K,CMV_Manual!H$2,Aut_Valor_Estoque!$J:$J,"BEBIDAS")</f>
        <v/>
      </c>
      <c r="I18" s="534">
        <f>SUMIFS(Aut_Valor_Estoque!$P:$P,Aut_Valor_Estoque!$K:$K,CMV_Manual!I$2,Aut_Valor_Estoque!$J:$J,"BEBIDAS")</f>
        <v/>
      </c>
      <c r="J18" s="534">
        <f>SUMIFS(Aut_Valor_Estoque!$P:$P,Aut_Valor_Estoque!$K:$K,CMV_Manual!J$2,Aut_Valor_Estoque!$J:$J,"BEBIDAS")</f>
        <v/>
      </c>
      <c r="K18" s="534">
        <f>SUMIFS(Aut_Valor_Estoque!$P:$P,Aut_Valor_Estoque!$K:$K,CMV_Manual!K$2,Aut_Valor_Estoque!$J:$J,"BEBIDAS")</f>
        <v/>
      </c>
      <c r="L18" s="534">
        <f>SUMIFS(Aut_Valor_Estoque!$P:$P,Aut_Valor_Estoque!$K:$K,CMV_Manual!L$2,Aut_Valor_Estoque!$J:$J,"BEBIDAS")</f>
        <v/>
      </c>
      <c r="M18" s="534">
        <f>SUMIFS(Aut_Valor_Estoque!$P:$P,Aut_Valor_Estoque!$K:$K,CMV_Manual!M$2,Aut_Valor_Estoque!$J:$J,"BEBIDAS")</f>
        <v/>
      </c>
      <c r="N18" s="534">
        <f>SUMIFS(Aut_Valor_Estoque!$P:$P,Aut_Valor_Estoque!$K:$K,CMV_Manual!N$2,Aut_Valor_Estoque!$J:$J,"BEBIDAS")</f>
        <v/>
      </c>
      <c r="O18" s="535">
        <f>SUMIFS(Aut_Valor_Estoque!$P:$P,Aut_Valor_Estoque!$K:$K,CMV_Manual!O$2,Aut_Valor_Estoque!$J:$J,"BEBIDAS")</f>
        <v/>
      </c>
    </row>
    <row r="19">
      <c r="A19" s="310" t="n"/>
      <c r="B19" s="311" t="inlineStr">
        <is>
          <t>(-) Fechamento Produção Cozinha</t>
        </is>
      </c>
      <c r="C19" s="534" t="n">
        <v>0</v>
      </c>
      <c r="D19" s="534">
        <f>SUMIFS(Aut_Insumos_Producao!$J:$J,Aut_Insumos_Producao!$D:$D,CMV_Manual!D$2,Aut_Insumos_Producao!$H:$H,"ALIMENTOS")</f>
        <v/>
      </c>
      <c r="E19" s="534">
        <f>SUMIFS(Aut_Insumos_Producao!$J:$J,Aut_Insumos_Producao!$D:$D,CMV_Manual!E$2,Aut_Insumos_Producao!$H:$H,"ALIMENTOS")</f>
        <v/>
      </c>
      <c r="F19" s="534">
        <f>SUMIFS(Aut_Insumos_Producao!$J:$J,Aut_Insumos_Producao!$D:$D,CMV_Manual!F$2,Aut_Insumos_Producao!$H:$H,"ALIMENTOS")</f>
        <v/>
      </c>
      <c r="G19" s="534">
        <f>SUMIFS(Aut_Insumos_Producao!$J:$J,Aut_Insumos_Producao!$D:$D,CMV_Manual!G$2,Aut_Insumos_Producao!$H:$H,"ALIMENTOS")</f>
        <v/>
      </c>
      <c r="H19" s="534">
        <f>SUMIFS(Aut_Insumos_Producao!$J:$J,Aut_Insumos_Producao!$D:$D,CMV_Manual!H$2,Aut_Insumos_Producao!$H:$H,"ALIMENTOS")</f>
        <v/>
      </c>
      <c r="I19" s="534">
        <f>SUMIFS(Aut_Insumos_Producao!$J:$J,Aut_Insumos_Producao!$D:$D,CMV_Manual!I$2,Aut_Insumos_Producao!$H:$H,"ALIMENTOS")</f>
        <v/>
      </c>
      <c r="J19" s="534">
        <f>SUMIFS(Aut_Insumos_Producao!$J:$J,Aut_Insumos_Producao!$D:$D,CMV_Manual!J$2,Aut_Insumos_Producao!$H:$H,"ALIMENTOS")</f>
        <v/>
      </c>
      <c r="K19" s="534">
        <f>SUMIFS(Aut_Insumos_Producao!$J:$J,Aut_Insumos_Producao!$D:$D,CMV_Manual!K$2,Aut_Insumos_Producao!$H:$H,"ALIMENTOS")</f>
        <v/>
      </c>
      <c r="L19" s="534">
        <f>SUMIFS(Aut_Insumos_Producao!$J:$J,Aut_Insumos_Producao!$D:$D,CMV_Manual!L$2,Aut_Insumos_Producao!$H:$H,"ALIMENTOS")</f>
        <v/>
      </c>
      <c r="M19" s="534">
        <f>SUMIFS(Aut_Insumos_Producao!$J:$J,Aut_Insumos_Producao!$D:$D,CMV_Manual!M$2,Aut_Insumos_Producao!$H:$H,"ALIMENTOS")</f>
        <v/>
      </c>
      <c r="N19" s="534">
        <f>SUMIFS(Aut_Insumos_Producao!$J:$J,Aut_Insumos_Producao!$D:$D,CMV_Manual!N$2,Aut_Insumos_Producao!$H:$H,"ALIMENTOS")</f>
        <v/>
      </c>
      <c r="O19" s="535">
        <f>SUMIFS(Aut_Insumos_Producao!$J:$J,Aut_Insumos_Producao!$D:$D,CMV_Manual!O$2,Aut_Insumos_Producao!$H:$H,"ALIMENTOS")</f>
        <v/>
      </c>
    </row>
    <row r="20">
      <c r="A20" s="310" t="n"/>
      <c r="B20" s="311" t="inlineStr">
        <is>
          <t>(-) Fechamento Produção Bar</t>
        </is>
      </c>
      <c r="C20" s="534" t="n">
        <v>0</v>
      </c>
      <c r="D20" s="534">
        <f>SUMIFS(Aut_Insumos_Producao!$J:$J,Aut_Insumos_Producao!$D:$D,CMV_Manual!D$2,Aut_Insumos_Producao!$H:$H,"BEBIDAS")</f>
        <v/>
      </c>
      <c r="E20" s="534">
        <f>SUMIFS(Aut_Insumos_Producao!$J:$J,Aut_Insumos_Producao!$D:$D,CMV_Manual!E$2,Aut_Insumos_Producao!$H:$H,"BEBIDAS")</f>
        <v/>
      </c>
      <c r="F20" s="534">
        <f>SUMIFS(Aut_Insumos_Producao!$J:$J,Aut_Insumos_Producao!$D:$D,CMV_Manual!F$2,Aut_Insumos_Producao!$H:$H,"BEBIDAS")</f>
        <v/>
      </c>
      <c r="G20" s="534">
        <f>SUMIFS(Aut_Insumos_Producao!$J:$J,Aut_Insumos_Producao!$D:$D,CMV_Manual!G$2,Aut_Insumos_Producao!$H:$H,"BEBIDAS")</f>
        <v/>
      </c>
      <c r="H20" s="534">
        <f>SUMIFS(Aut_Insumos_Producao!$J:$J,Aut_Insumos_Producao!$D:$D,CMV_Manual!H$2,Aut_Insumos_Producao!$H:$H,"BEBIDAS")</f>
        <v/>
      </c>
      <c r="I20" s="534">
        <f>SUMIFS(Aut_Insumos_Producao!$J:$J,Aut_Insumos_Producao!$D:$D,CMV_Manual!I$2,Aut_Insumos_Producao!$H:$H,"BEBIDAS")</f>
        <v/>
      </c>
      <c r="J20" s="534">
        <f>SUMIFS(Aut_Insumos_Producao!$J:$J,Aut_Insumos_Producao!$D:$D,CMV_Manual!J$2,Aut_Insumos_Producao!$H:$H,"BEBIDAS")</f>
        <v/>
      </c>
      <c r="K20" s="534">
        <f>SUMIFS(Aut_Insumos_Producao!$J:$J,Aut_Insumos_Producao!$D:$D,CMV_Manual!K$2,Aut_Insumos_Producao!$H:$H,"BEBIDAS")</f>
        <v/>
      </c>
      <c r="L20" s="534">
        <f>SUMIFS(Aut_Insumos_Producao!$J:$J,Aut_Insumos_Producao!$D:$D,CMV_Manual!L$2,Aut_Insumos_Producao!$H:$H,"BEBIDAS")</f>
        <v/>
      </c>
      <c r="M20" s="534">
        <f>SUMIFS(Aut_Insumos_Producao!$J:$J,Aut_Insumos_Producao!$D:$D,CMV_Manual!M$2,Aut_Insumos_Producao!$H:$H,"BEBIDAS")</f>
        <v/>
      </c>
      <c r="N20" s="534">
        <f>SUMIFS(Aut_Insumos_Producao!$J:$J,Aut_Insumos_Producao!$D:$D,CMV_Manual!N$2,Aut_Insumos_Producao!$H:$H,"BEBIDAS")</f>
        <v/>
      </c>
      <c r="O20" s="535">
        <f>SUMIFS(Aut_Insumos_Producao!$J:$J,Aut_Insumos_Producao!$D:$D,CMV_Manual!O$2,Aut_Insumos_Producao!$H:$H,"BEBIDAS")</f>
        <v/>
      </c>
    </row>
    <row r="21">
      <c r="A21" s="314" t="n"/>
      <c r="B21" s="322" t="n"/>
      <c r="C21" s="549" t="n"/>
      <c r="D21" s="549" t="n"/>
      <c r="E21" s="549" t="n"/>
      <c r="F21" s="549" t="n"/>
      <c r="G21" s="549" t="n"/>
      <c r="H21" s="549" t="n"/>
      <c r="I21" s="549" t="n"/>
      <c r="J21" s="549" t="n"/>
      <c r="K21" s="549" t="n"/>
      <c r="L21" s="549" t="n"/>
      <c r="M21" s="549" t="n"/>
      <c r="N21" s="549" t="n"/>
      <c r="O21" s="550" t="n"/>
    </row>
    <row r="22">
      <c r="B22" s="325" t="inlineStr">
        <is>
          <t>(=) Custo Alimento Vendido</t>
        </is>
      </c>
      <c r="C22" s="551" t="n">
        <v>0</v>
      </c>
      <c r="D22" s="551">
        <f>D5+D7+D9+D11-D13-D15-D17-D19</f>
        <v/>
      </c>
      <c r="E22" s="551">
        <f>E5+E7+E9+E11-E13-E15-E17-E19</f>
        <v/>
      </c>
      <c r="F22" s="551">
        <f>F5+F7+F9+F11-F13-F15-F17-F19</f>
        <v/>
      </c>
      <c r="G22" s="551">
        <f>G5+G7+G9+G11-G13-G15-G17-G19</f>
        <v/>
      </c>
      <c r="H22" s="551">
        <f>H5+H7+H9+H11-H13-H15-H17-H19</f>
        <v/>
      </c>
      <c r="I22" s="551">
        <f>I5+I7+I9+I11-I13-I15-I17-I19</f>
        <v/>
      </c>
      <c r="J22" s="551">
        <f>J5+J7+J9+J11-J13-J15-J17-J19</f>
        <v/>
      </c>
      <c r="K22" s="551">
        <f>K5+K7+K9+K11-K13-K15-K17-K19</f>
        <v/>
      </c>
      <c r="L22" s="551">
        <f>L5+L7+L9+L11-L13-L15-L17-L19</f>
        <v/>
      </c>
      <c r="M22" s="551">
        <f>M5+M7+M9+M11-M13-M15-M17-M19</f>
        <v/>
      </c>
      <c r="N22" s="551">
        <f>N5+N7+N9+N11-N13-N15-N17-N19</f>
        <v/>
      </c>
      <c r="O22" s="552">
        <f>O5+O7+O9+O11-O13-O15-O17-O19</f>
        <v/>
      </c>
    </row>
    <row r="23">
      <c r="B23" s="325" t="inlineStr">
        <is>
          <t>(=) Custo Bebida Vendida</t>
        </is>
      </c>
      <c r="C23" s="551" t="n">
        <v>0</v>
      </c>
      <c r="D23" s="551">
        <f>D6+D8+D10+D12-D14-D18-D20</f>
        <v/>
      </c>
      <c r="E23" s="551">
        <f>E6+E8+E10+E12-E14-E18-E20</f>
        <v/>
      </c>
      <c r="F23" s="551">
        <f>F6+F8+F10+F12-F14-F18-F20</f>
        <v/>
      </c>
      <c r="G23" s="551">
        <f>G6+G8+G10+G12-G14-G18-G20</f>
        <v/>
      </c>
      <c r="H23" s="551">
        <f>H6+H8+H10+H12-H14-H18-H20</f>
        <v/>
      </c>
      <c r="I23" s="551">
        <f>I6+I8+I10+I12-I14-I18-I20</f>
        <v/>
      </c>
      <c r="J23" s="551">
        <f>J6+J8+J10+J12-J14-J18-J20</f>
        <v/>
      </c>
      <c r="K23" s="551">
        <f>K6+K8+K10+K12-K14-K18-K20</f>
        <v/>
      </c>
      <c r="L23" s="551">
        <f>L6+L8+L10+L12-L14-L18-L20</f>
        <v/>
      </c>
      <c r="M23" s="551">
        <f>M6+M8+M10+M12-M14-M18-M20</f>
        <v/>
      </c>
      <c r="N23" s="551">
        <f>N6+N8+N10+N12-N14-N18-N20</f>
        <v/>
      </c>
      <c r="O23" s="552">
        <f>O6+O8+O10+O12-O14-O18-O20</f>
        <v/>
      </c>
      <c r="P23" s="553" t="n"/>
    </row>
    <row r="24">
      <c r="B24" s="327" t="inlineStr">
        <is>
          <t>Somatorio A&amp;B</t>
        </is>
      </c>
      <c r="C24" s="554">
        <f>SUM(C22:C23)</f>
        <v/>
      </c>
      <c r="D24" s="554">
        <f>SUM(D22:D23)</f>
        <v/>
      </c>
      <c r="E24" s="554">
        <f>SUM(E22:E23)</f>
        <v/>
      </c>
      <c r="F24" s="554">
        <f>SUM(F22:F23)</f>
        <v/>
      </c>
      <c r="G24" s="554">
        <f>SUM(G22:G23)</f>
        <v/>
      </c>
      <c r="H24" s="554">
        <f>SUM(H22:H23)</f>
        <v/>
      </c>
      <c r="I24" s="554">
        <f>SUM(I22:I23)</f>
        <v/>
      </c>
      <c r="J24" s="554">
        <f>SUM(J22:J23)</f>
        <v/>
      </c>
      <c r="K24" s="554">
        <f>SUM(K22:K23)</f>
        <v/>
      </c>
      <c r="L24" s="554">
        <f>SUM(L22:L23)</f>
        <v/>
      </c>
      <c r="M24" s="554">
        <f>SUM(M22:M23)</f>
        <v/>
      </c>
      <c r="N24" s="554">
        <f>SUM(N22:N23)</f>
        <v/>
      </c>
      <c r="O24" s="555">
        <f>SUM(O22:O23)</f>
        <v/>
      </c>
    </row>
    <row r="25">
      <c r="A25" s="310" t="n"/>
      <c r="B25" s="328" t="inlineStr">
        <is>
          <t>Venda De Alimento</t>
        </is>
      </c>
      <c r="C25" s="556" t="n">
        <v>0</v>
      </c>
      <c r="D25" s="556">
        <f>SUMIFS(Aut_Faturamento_Zig!$F:$F,Aut_Faturamento_Zig!$D:$D,CMV_Manual!D$2,Aut_Faturamento_Zig!$E:$E,"Alimentos")</f>
        <v/>
      </c>
      <c r="E25" s="556">
        <f>SUMIFS(Aut_Faturamento_Zig!$F:$F,Aut_Faturamento_Zig!$D:$D,CMV_Manual!E$2,Aut_Faturamento_Zig!$E:$E,"Alimentos")</f>
        <v/>
      </c>
      <c r="F25" s="556">
        <f>SUMIFS(Aut_Faturamento_Zig!$F:$F,Aut_Faturamento_Zig!$D:$D,CMV_Manual!F$2,Aut_Faturamento_Zig!$E:$E,"Alimentos")</f>
        <v/>
      </c>
      <c r="G25" s="556">
        <f>SUMIFS(Aut_Faturamento_Zig!$F:$F,Aut_Faturamento_Zig!$D:$D,CMV_Manual!G$2,Aut_Faturamento_Zig!$E:$E,"Alimentos")</f>
        <v/>
      </c>
      <c r="H25" s="556">
        <f>SUMIFS(Aut_Faturamento_Zig!$F:$F,Aut_Faturamento_Zig!$D:$D,CMV_Manual!H$2,Aut_Faturamento_Zig!$E:$E,"Alimentos")</f>
        <v/>
      </c>
      <c r="I25" s="556">
        <f>SUMIFS(Aut_Faturamento_Zig!$F:$F,Aut_Faturamento_Zig!$D:$D,CMV_Manual!I$2,Aut_Faturamento_Zig!$E:$E,"Alimentos")</f>
        <v/>
      </c>
      <c r="J25" s="556">
        <f>SUMIFS(Aut_Faturamento_Zig!$F:$F,Aut_Faturamento_Zig!$D:$D,CMV_Manual!J$2,Aut_Faturamento_Zig!$E:$E,"Alimentos")</f>
        <v/>
      </c>
      <c r="K25" s="556">
        <f>SUMIFS(Aut_Faturamento_Zig!$F:$F,Aut_Faturamento_Zig!$D:$D,CMV_Manual!K$2,Aut_Faturamento_Zig!$E:$E,"Alimentos")</f>
        <v/>
      </c>
      <c r="L25" s="556">
        <f>SUMIFS(Aut_Faturamento_Zig!$F:$F,Aut_Faturamento_Zig!$D:$D,CMV_Manual!L$2,Aut_Faturamento_Zig!$E:$E,"Alimentos")</f>
        <v/>
      </c>
      <c r="M25" s="556">
        <f>SUMIFS(Aut_Faturamento_Zig!$F:$F,Aut_Faturamento_Zig!$D:$D,CMV_Manual!M$2,Aut_Faturamento_Zig!$E:$E,"Alimentos")</f>
        <v/>
      </c>
      <c r="N25" s="556">
        <f>SUMIFS(Aut_Faturamento_Zig!$F:$F,Aut_Faturamento_Zig!$D:$D,CMV_Manual!N$2,Aut_Faturamento_Zig!$E:$E,"Alimentos")</f>
        <v/>
      </c>
      <c r="O25" s="557">
        <f>SUMIFS(Aut_Faturamento_Zig!$F:$F,Aut_Faturamento_Zig!$D:$D,CMV_Manual!O$2,Aut_Faturamento_Zig!$E:$E,"Alimentos")</f>
        <v/>
      </c>
      <c r="Q25" s="558" t="n"/>
      <c r="R25" s="559" t="n"/>
    </row>
    <row r="26">
      <c r="A26" s="310" t="n"/>
      <c r="B26" s="328" t="inlineStr">
        <is>
          <t>Venda De Bebida</t>
        </is>
      </c>
      <c r="C26" s="556" t="n">
        <v>0</v>
      </c>
      <c r="D26" s="556">
        <f>SUMIFS(Aut_Faturamento_Zig!$F:$F,Aut_Faturamento_Zig!$D:$D,CMV_Manual!D$2,Aut_Faturamento_Zig!$E:$E,"Bebidas")</f>
        <v/>
      </c>
      <c r="E26" s="556">
        <f>SUMIFS(Aut_Faturamento_Zig!$F:$F,Aut_Faturamento_Zig!$D:$D,CMV_Manual!E$2,Aut_Faturamento_Zig!$E:$E,"Bebidas")</f>
        <v/>
      </c>
      <c r="F26" s="556">
        <f>SUMIFS(Aut_Faturamento_Zig!$F:$F,Aut_Faturamento_Zig!$D:$D,CMV_Manual!F$2,Aut_Faturamento_Zig!$E:$E,"Bebidas")</f>
        <v/>
      </c>
      <c r="G26" s="556">
        <f>SUMIFS(Aut_Faturamento_Zig!$F:$F,Aut_Faturamento_Zig!$D:$D,CMV_Manual!G$2,Aut_Faturamento_Zig!$E:$E,"Bebidas")</f>
        <v/>
      </c>
      <c r="H26" s="556">
        <f>SUMIFS(Aut_Faturamento_Zig!$F:$F,Aut_Faturamento_Zig!$D:$D,CMV_Manual!H$2,Aut_Faturamento_Zig!$E:$E,"Bebidas")</f>
        <v/>
      </c>
      <c r="I26" s="556">
        <f>SUMIFS(Aut_Faturamento_Zig!$F:$F,Aut_Faturamento_Zig!$D:$D,CMV_Manual!I$2,Aut_Faturamento_Zig!$E:$E,"Bebidas")</f>
        <v/>
      </c>
      <c r="J26" s="556">
        <f>SUMIFS(Aut_Faturamento_Zig!$F:$F,Aut_Faturamento_Zig!$D:$D,CMV_Manual!J$2,Aut_Faturamento_Zig!$E:$E,"Bebidas")</f>
        <v/>
      </c>
      <c r="K26" s="556">
        <f>SUMIFS(Aut_Faturamento_Zig!$F:$F,Aut_Faturamento_Zig!$D:$D,CMV_Manual!K$2,Aut_Faturamento_Zig!$E:$E,"Bebidas")</f>
        <v/>
      </c>
      <c r="L26" s="556">
        <f>SUMIFS(Aut_Faturamento_Zig!$F:$F,Aut_Faturamento_Zig!$D:$D,CMV_Manual!L$2,Aut_Faturamento_Zig!$E:$E,"Bebidas")</f>
        <v/>
      </c>
      <c r="M26" s="556">
        <f>SUMIFS(Aut_Faturamento_Zig!$F:$F,Aut_Faturamento_Zig!$D:$D,CMV_Manual!M$2,Aut_Faturamento_Zig!$E:$E,"Bebidas")</f>
        <v/>
      </c>
      <c r="N26" s="556">
        <f>SUMIFS(Aut_Faturamento_Zig!$F:$F,Aut_Faturamento_Zig!$D:$D,CMV_Manual!N$2,Aut_Faturamento_Zig!$E:$E,"Bebidas")</f>
        <v/>
      </c>
      <c r="O26" s="557">
        <f>SUMIFS(Aut_Faturamento_Zig!$F:$F,Aut_Faturamento_Zig!$D:$D,CMV_Manual!O$2,Aut_Faturamento_Zig!$E:$E,"Bebidas")</f>
        <v/>
      </c>
      <c r="P26" s="553" t="n"/>
      <c r="Q26" s="558" t="n"/>
      <c r="R26" s="543" t="n"/>
    </row>
    <row r="27">
      <c r="A27" s="310" t="n"/>
      <c r="B27" s="328" t="inlineStr">
        <is>
          <t>Eventos (A&amp;B)</t>
        </is>
      </c>
      <c r="C27" s="556" t="n">
        <v>0</v>
      </c>
      <c r="D27" s="556">
        <f>SUMIFS(Aut_Eventos_AeB!$D:$D,Aut_Eventos_AeB!$E:$E,CMV_Manual!D$2)</f>
        <v/>
      </c>
      <c r="E27" s="556">
        <f>S14</f>
        <v/>
      </c>
      <c r="F27" s="556">
        <f>SUMIFS(Aut_Eventos_AeB!$D:$D,Aut_Eventos_AeB!$E:$E,CMV_Manual!F$2)</f>
        <v/>
      </c>
      <c r="G27" s="556">
        <f>SUMIFS(Aut_Eventos_AeB!$D:$D,Aut_Eventos_AeB!$E:$E,CMV_Manual!G$2)</f>
        <v/>
      </c>
      <c r="H27" s="556">
        <f>SUMIFS(Aut_Eventos_AeB!$D:$D,Aut_Eventos_AeB!$E:$E,CMV_Manual!H$2)</f>
        <v/>
      </c>
      <c r="I27" s="556">
        <f>SUMIFS(Aut_Eventos_AeB!$D:$D,Aut_Eventos_AeB!$E:$E,CMV_Manual!I$2)</f>
        <v/>
      </c>
      <c r="J27" s="556">
        <f>SUMIFS(Aut_Eventos_AeB!$D:$D,Aut_Eventos_AeB!$E:$E,CMV_Manual!J$2)</f>
        <v/>
      </c>
      <c r="K27" s="556">
        <f>SUMIFS(Aut_Eventos_AeB!$D:$D,Aut_Eventos_AeB!$E:$E,CMV_Manual!K$2)</f>
        <v/>
      </c>
      <c r="L27" s="556">
        <f>SUMIFS(Aut_Eventos_AeB!$D:$D,Aut_Eventos_AeB!$E:$E,CMV_Manual!L$2)</f>
        <v/>
      </c>
      <c r="M27" s="556">
        <f>SUMIFS(Aut_Eventos_AeB!$D:$D,Aut_Eventos_AeB!$E:$E,CMV_Manual!M$2)</f>
        <v/>
      </c>
      <c r="N27" s="556">
        <f>SUMIFS(Aut_Eventos_AeB!$D:$D,Aut_Eventos_AeB!$E:$E,CMV_Manual!N$2)</f>
        <v/>
      </c>
      <c r="O27" s="557">
        <f>SUMIFS(Aut_Eventos_AeB!$D:$D,Aut_Eventos_AeB!$E:$E,CMV_Manual!O$2)</f>
        <v/>
      </c>
      <c r="Q27" s="560" t="n"/>
      <c r="R27" s="543" t="n"/>
    </row>
    <row r="28">
      <c r="A28" s="310" t="n"/>
      <c r="B28" s="328" t="inlineStr">
        <is>
          <t>Delivery</t>
        </is>
      </c>
      <c r="C28" s="561" t="n"/>
      <c r="D28" s="561" t="n"/>
      <c r="E28" s="561" t="n"/>
      <c r="F28" s="561" t="n"/>
      <c r="G28" s="561" t="n"/>
      <c r="H28" s="561" t="n"/>
      <c r="I28" s="561" t="n"/>
      <c r="J28" s="561" t="n"/>
      <c r="K28" s="561" t="n"/>
      <c r="L28" s="561" t="n"/>
      <c r="M28" s="561" t="n"/>
      <c r="N28" s="561" t="n"/>
      <c r="O28" s="562" t="n"/>
      <c r="Q28" s="560" t="n"/>
    </row>
    <row r="29">
      <c r="A29" s="310" t="n"/>
      <c r="B29" s="334" t="inlineStr">
        <is>
          <t>Soma A&amp;B + Eventos</t>
        </is>
      </c>
      <c r="C29" s="563" t="n">
        <v>0</v>
      </c>
      <c r="D29" s="563">
        <f>SUM(D25:D28)</f>
        <v/>
      </c>
      <c r="E29" s="563">
        <f>SUM(E25:E28)</f>
        <v/>
      </c>
      <c r="F29" s="563">
        <f>SUM(F25:F28)</f>
        <v/>
      </c>
      <c r="G29" s="563">
        <f>SUM(G25:G28)</f>
        <v/>
      </c>
      <c r="H29" s="563">
        <f>SUM(H25:H28)</f>
        <v/>
      </c>
      <c r="I29" s="563">
        <f>SUM(I25:I28)</f>
        <v/>
      </c>
      <c r="J29" s="563">
        <f>SUM(J25:J28)</f>
        <v/>
      </c>
      <c r="K29" s="563">
        <f>SUM(K25:K28)</f>
        <v/>
      </c>
      <c r="L29" s="563">
        <f>SUM(L25:L28)</f>
        <v/>
      </c>
      <c r="M29" s="563">
        <f>SUM(M25:M28)</f>
        <v/>
      </c>
      <c r="N29" s="563">
        <f>SUM(N25:N28)</f>
        <v/>
      </c>
      <c r="O29" s="564">
        <f>SUM(O25:O28)</f>
        <v/>
      </c>
      <c r="Q29" s="560" t="n"/>
    </row>
    <row r="30">
      <c r="A30" s="310" t="n"/>
      <c r="B30" s="337" t="inlineStr">
        <is>
          <t>%</t>
        </is>
      </c>
      <c r="C30" s="338">
        <f>IFERROR(C24/C29,"-")</f>
        <v/>
      </c>
      <c r="D30" s="338">
        <f>IFERROR(D24/D29,"-")</f>
        <v/>
      </c>
      <c r="E30" s="338">
        <f>IFERROR(E24/E29,"-")</f>
        <v/>
      </c>
      <c r="F30" s="338">
        <f>IFERROR(F24/F29,"-")</f>
        <v/>
      </c>
      <c r="G30" s="338">
        <f>IFERROR(G24/G29,"-")</f>
        <v/>
      </c>
      <c r="H30" s="338">
        <f>IFERROR(H24/H29,"-")</f>
        <v/>
      </c>
      <c r="I30" s="338">
        <f>IFERROR(I24/I29,"-")</f>
        <v/>
      </c>
      <c r="J30" s="338">
        <f>IFERROR(J24/J29,"-")</f>
        <v/>
      </c>
      <c r="K30" s="338">
        <f>IFERROR(K24/K29,"-")</f>
        <v/>
      </c>
      <c r="L30" s="338">
        <f>IFERROR(L24/L29,"-")</f>
        <v/>
      </c>
      <c r="M30" s="338">
        <f>IFERROR(M24/M29,"-")</f>
        <v/>
      </c>
      <c r="N30" s="338">
        <f>IFERROR(N24/N29,"-")</f>
        <v/>
      </c>
      <c r="O30" s="339">
        <f>IFERROR(O24/O29,"-")</f>
        <v/>
      </c>
    </row>
    <row r="31" ht="6" customHeight="1">
      <c r="A31" s="310" t="n"/>
      <c r="B31" s="337" t="n"/>
      <c r="C31" s="340" t="n"/>
      <c r="D31" s="340" t="n"/>
      <c r="E31" s="340" t="n"/>
      <c r="F31" s="340" t="n"/>
      <c r="G31" s="340" t="n"/>
      <c r="H31" s="340" t="n"/>
      <c r="I31" s="340" t="n"/>
      <c r="J31" s="340" t="n"/>
      <c r="K31" s="340" t="n"/>
      <c r="L31" s="340" t="n"/>
      <c r="M31" s="340" t="n"/>
      <c r="N31" s="340" t="n"/>
      <c r="O31" s="341" t="n"/>
    </row>
    <row r="32">
      <c r="B32" s="311" t="inlineStr">
        <is>
          <t>CMV Alimento</t>
        </is>
      </c>
      <c r="C32" s="342">
        <f>IFERROR((C22)/(C25+(C27*50%)),"-")</f>
        <v/>
      </c>
      <c r="D32" s="478">
        <f>IFERROR((D22)/(D25+(D27*50%)),"-")</f>
        <v/>
      </c>
      <c r="E32" s="479">
        <f>IFERROR((E22)/(E25+(E27*50%)),"-")</f>
        <v/>
      </c>
      <c r="F32" s="478">
        <f>IFERROR((F22)/(F25+(F27*50%)),"-")</f>
        <v/>
      </c>
      <c r="G32" s="342">
        <f>IFERROR((G22)/(G25+(G27*50%)),"-")</f>
        <v/>
      </c>
      <c r="H32" s="342">
        <f>IFERROR((H22)/(H25+(H27*50%)),"-")</f>
        <v/>
      </c>
      <c r="I32" s="342">
        <f>IFERROR((I22)/(I25+(I27*50%)),"-")</f>
        <v/>
      </c>
      <c r="J32" s="342">
        <f>IFERROR((J22)/(J25+(J27*50%)),"-")</f>
        <v/>
      </c>
      <c r="K32" s="343">
        <f>IFERROR(K22/K25,"-")</f>
        <v/>
      </c>
      <c r="L32" s="343">
        <f>IFERROR(L22/L25,"-")</f>
        <v/>
      </c>
      <c r="M32" s="343">
        <f>IFERROR(M22/M25,"-")</f>
        <v/>
      </c>
      <c r="N32" s="343">
        <f>IFERROR(N22/N25,"-")</f>
        <v/>
      </c>
      <c r="O32" s="344">
        <f>IFERROR(O22/O25,"-")</f>
        <v/>
      </c>
    </row>
    <row r="33">
      <c r="B33" s="311" t="inlineStr">
        <is>
          <t>CMV Bebida</t>
        </is>
      </c>
      <c r="C33" s="345">
        <f>IFERROR(C23/(C26+(C27*50%)),"-")</f>
        <v/>
      </c>
      <c r="D33" s="480">
        <f>IFERROR(D23/(D26+(D27*50%)),"-")</f>
        <v/>
      </c>
      <c r="E33" s="481">
        <f>IFERROR(E23/(E26+(E27*50%)),"-")</f>
        <v/>
      </c>
      <c r="F33" s="480">
        <f>IFERROR(F23/(F26+(F27*50%)),"-")</f>
        <v/>
      </c>
      <c r="G33" s="345">
        <f>IFERROR(G23/(G26+(G27*50%)),"-")</f>
        <v/>
      </c>
      <c r="H33" s="345">
        <f>IFERROR(H23/(H26+(H27*50%)),"-")</f>
        <v/>
      </c>
      <c r="I33" s="345">
        <f>IFERROR(I23/(I26+(I27*50%)),"-")</f>
        <v/>
      </c>
      <c r="J33" s="345">
        <f>IFERROR(J23/(J26+(J27*50%)),"-")</f>
        <v/>
      </c>
      <c r="K33" s="343">
        <f>IFERROR(K23/K26,"-")</f>
        <v/>
      </c>
      <c r="L33" s="343">
        <f>IFERROR(L23/L26,"-")</f>
        <v/>
      </c>
      <c r="M33" s="343">
        <f>IFERROR(M23/M26,"-")</f>
        <v/>
      </c>
      <c r="N33" s="343">
        <f>IFERROR(N23/N26,"-")</f>
        <v/>
      </c>
      <c r="O33" s="344">
        <f>IFERROR(O23/O26,"-")</f>
        <v/>
      </c>
    </row>
    <row r="34">
      <c r="B34" s="327" t="inlineStr">
        <is>
          <t>CMV Geral</t>
        </is>
      </c>
      <c r="C34" s="346">
        <f>C24/C29</f>
        <v/>
      </c>
      <c r="D34" s="346">
        <f>D24/D29</f>
        <v/>
      </c>
      <c r="E34" s="346">
        <f>E24/E29</f>
        <v/>
      </c>
      <c r="F34" s="346">
        <f>F24/F29</f>
        <v/>
      </c>
      <c r="G34" s="346">
        <f>G24/G29</f>
        <v/>
      </c>
      <c r="H34" s="346">
        <f>H24/H29</f>
        <v/>
      </c>
      <c r="I34" s="346">
        <f>I24/I29</f>
        <v/>
      </c>
      <c r="J34" s="346">
        <f>J24/J29</f>
        <v/>
      </c>
      <c r="K34" s="346">
        <f>K24/K29</f>
        <v/>
      </c>
      <c r="L34" s="346">
        <f>L24/L29</f>
        <v/>
      </c>
      <c r="M34" s="346">
        <f>M24/M29</f>
        <v/>
      </c>
      <c r="N34" s="346">
        <f>N24/N29</f>
        <v/>
      </c>
      <c r="O34" s="347">
        <f>O24/O29</f>
        <v/>
      </c>
    </row>
    <row r="36" ht="15" customHeight="1">
      <c r="B36" s="565" t="n"/>
    </row>
  </sheetData>
  <pageMargins left="0.511811024" right="0.511811024" top="0.787401575" bottom="0.787401575" header="0.31496062" footer="0.31496062"/>
  <pageSetup orientation="portrait" paperSize="9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ID_CASA</t>
        </is>
      </c>
      <c r="B1" t="inlineStr">
        <is>
          <t>CNPJ_CASA</t>
        </is>
      </c>
      <c r="C1" t="inlineStr">
        <is>
          <t>NUM_MATRICULA_FUNC</t>
        </is>
      </c>
      <c r="D1" t="inlineStr">
        <is>
          <t>NOME_FUNC</t>
        </is>
      </c>
      <c r="E1" t="inlineStr">
        <is>
          <t>CPF_FUNC</t>
        </is>
      </c>
      <c r="F1" t="inlineStr">
        <is>
          <t>CODIGO_VERBA</t>
        </is>
      </c>
      <c r="G1" t="inlineStr">
        <is>
          <t>VERBA</t>
        </is>
      </c>
      <c r="H1" t="inlineStr">
        <is>
          <t>PROCESSO</t>
        </is>
      </c>
      <c r="I1" t="inlineStr">
        <is>
          <t>QUANTIDADE</t>
        </is>
      </c>
      <c r="J1" t="inlineStr">
        <is>
          <t>VALOR</t>
        </is>
      </c>
      <c r="K1" t="inlineStr">
        <is>
          <t>Mes_Texto</t>
        </is>
      </c>
      <c r="L1" t="inlineStr">
        <is>
          <t>DATA_CALCULO</t>
        </is>
      </c>
      <c r="M1" t="inlineStr">
        <is>
          <t>DATA_PAGAMENTO</t>
        </is>
      </c>
    </row>
    <row r="2">
      <c r="A2" t="n">
        <v>180</v>
      </c>
      <c r="B2" t="inlineStr">
        <is>
          <t>60.347.244/0001-77</t>
        </is>
      </c>
      <c r="C2" t="n">
        <v>1</v>
      </c>
      <c r="D2" t="inlineStr">
        <is>
          <t>LENICE DA SILVA ALVES</t>
        </is>
      </c>
      <c r="E2" t="inlineStr">
        <is>
          <t>587.792.248-30</t>
        </is>
      </c>
      <c r="F2" t="n">
        <v>2003</v>
      </c>
      <c r="G2" t="inlineStr">
        <is>
          <t>Gorjeta</t>
        </is>
      </c>
      <c r="H2" t="inlineStr">
        <is>
          <t>1 - Mensal</t>
        </is>
      </c>
      <c r="I2" t="n">
        <v>0</v>
      </c>
      <c r="J2" t="n">
        <v>450</v>
      </c>
      <c r="K2" t="inlineStr">
        <is>
          <t>08/2026</t>
        </is>
      </c>
      <c r="L2" s="526" t="n">
        <v>46269.80555555555</v>
      </c>
    </row>
    <row r="3">
      <c r="A3" t="n">
        <v>180</v>
      </c>
      <c r="B3" t="inlineStr">
        <is>
          <t>60.347.244/0001-77</t>
        </is>
      </c>
      <c r="C3" t="n">
        <v>2</v>
      </c>
      <c r="D3" t="inlineStr">
        <is>
          <t>ATTHOS OLIVEIRA PINTO</t>
        </is>
      </c>
      <c r="E3" t="inlineStr">
        <is>
          <t>040.385.905-00</t>
        </is>
      </c>
      <c r="F3" t="n">
        <v>2003</v>
      </c>
      <c r="G3" t="inlineStr">
        <is>
          <t>Gorjeta</t>
        </is>
      </c>
      <c r="H3" t="inlineStr">
        <is>
          <t>1 - Mensal</t>
        </is>
      </c>
      <c r="I3" t="n">
        <v>0</v>
      </c>
      <c r="J3" t="n">
        <v>380</v>
      </c>
      <c r="K3" t="inlineStr">
        <is>
          <t>08/2026</t>
        </is>
      </c>
      <c r="L3" s="526" t="n">
        <v>46269.80625</v>
      </c>
    </row>
    <row r="4">
      <c r="A4" t="n">
        <v>180</v>
      </c>
      <c r="B4" t="inlineStr">
        <is>
          <t>60.347.244/0001-77</t>
        </is>
      </c>
      <c r="C4" t="n">
        <v>3</v>
      </c>
      <c r="D4" t="inlineStr">
        <is>
          <t>WESLEY MATEUS BATISTA RAMOS</t>
        </is>
      </c>
      <c r="E4" t="inlineStr">
        <is>
          <t>584.170.048-07</t>
        </is>
      </c>
      <c r="F4" t="n">
        <v>2003</v>
      </c>
      <c r="G4" t="inlineStr">
        <is>
          <t>Gorjeta</t>
        </is>
      </c>
      <c r="H4" t="inlineStr">
        <is>
          <t>1 - Mensal</t>
        </is>
      </c>
      <c r="I4" t="n">
        <v>0</v>
      </c>
      <c r="J4" t="n">
        <v>480</v>
      </c>
      <c r="K4" t="inlineStr">
        <is>
          <t>08/2026</t>
        </is>
      </c>
      <c r="L4" s="526" t="n">
        <v>46269.80625</v>
      </c>
    </row>
    <row r="5">
      <c r="A5" t="n">
        <v>180</v>
      </c>
      <c r="B5" t="inlineStr">
        <is>
          <t>60.347.244/0001-77</t>
        </is>
      </c>
      <c r="C5" t="n">
        <v>4</v>
      </c>
      <c r="D5" t="inlineStr">
        <is>
          <t>THAYNARA SANTOS MENDES</t>
        </is>
      </c>
      <c r="E5" t="inlineStr">
        <is>
          <t>415.018.238-84</t>
        </is>
      </c>
      <c r="F5" t="n">
        <v>2003</v>
      </c>
      <c r="G5" t="inlineStr">
        <is>
          <t>Gorjeta</t>
        </is>
      </c>
      <c r="H5" t="inlineStr">
        <is>
          <t>1 - Mensal</t>
        </is>
      </c>
      <c r="I5" t="n">
        <v>0</v>
      </c>
      <c r="J5" t="n">
        <v>480</v>
      </c>
      <c r="K5" t="inlineStr">
        <is>
          <t>08/2026</t>
        </is>
      </c>
      <c r="L5" s="526" t="n">
        <v>46269.80625</v>
      </c>
    </row>
    <row r="6">
      <c r="A6" t="n">
        <v>180</v>
      </c>
      <c r="B6" t="inlineStr">
        <is>
          <t>60.347.244/0001-77</t>
        </is>
      </c>
      <c r="C6" t="n">
        <v>5</v>
      </c>
      <c r="D6" t="inlineStr">
        <is>
          <t>CAROLINE ACARAPI ARUQUIPA</t>
        </is>
      </c>
      <c r="E6" t="inlineStr">
        <is>
          <t>362.501.418-12</t>
        </is>
      </c>
      <c r="F6" t="n">
        <v>2003</v>
      </c>
      <c r="G6" t="inlineStr">
        <is>
          <t>Gorjeta</t>
        </is>
      </c>
      <c r="H6" t="inlineStr">
        <is>
          <t>1 - Mensal</t>
        </is>
      </c>
      <c r="I6" t="n">
        <v>0</v>
      </c>
      <c r="J6" t="n">
        <v>480</v>
      </c>
      <c r="K6" t="inlineStr">
        <is>
          <t>08/2026</t>
        </is>
      </c>
      <c r="L6" s="526" t="n">
        <v>46269.80625</v>
      </c>
    </row>
    <row r="7">
      <c r="A7" t="n">
        <v>180</v>
      </c>
      <c r="B7" t="inlineStr">
        <is>
          <t>60.347.244/0001-77</t>
        </is>
      </c>
      <c r="C7" t="n">
        <v>6</v>
      </c>
      <c r="D7" t="inlineStr">
        <is>
          <t>ANDREIA OLIVEIRA PLACIDO DA CONCEICAO</t>
        </is>
      </c>
      <c r="E7" t="inlineStr">
        <is>
          <t>465.196.138-00</t>
        </is>
      </c>
      <c r="F7" t="n">
        <v>2003</v>
      </c>
      <c r="G7" t="inlineStr">
        <is>
          <t>Gorjeta</t>
        </is>
      </c>
      <c r="H7" t="inlineStr">
        <is>
          <t>1 - Mensal</t>
        </is>
      </c>
      <c r="I7" t="n">
        <v>0</v>
      </c>
      <c r="J7" t="n">
        <v>430</v>
      </c>
      <c r="K7" t="inlineStr">
        <is>
          <t>08/2026</t>
        </is>
      </c>
      <c r="L7" s="526" t="n">
        <v>46269.80625</v>
      </c>
    </row>
    <row r="8">
      <c r="A8" t="n">
        <v>180</v>
      </c>
      <c r="B8" t="inlineStr">
        <is>
          <t>60.347.244/0001-77</t>
        </is>
      </c>
      <c r="C8" t="n">
        <v>7</v>
      </c>
      <c r="D8" t="inlineStr">
        <is>
          <t>KESSYA JHENNYFER SILVA DO NASCIMENTO</t>
        </is>
      </c>
      <c r="E8" t="inlineStr">
        <is>
          <t>452.120.628-02</t>
        </is>
      </c>
      <c r="F8" t="n">
        <v>2003</v>
      </c>
      <c r="G8" t="inlineStr">
        <is>
          <t>Gorjeta</t>
        </is>
      </c>
      <c r="H8" t="inlineStr">
        <is>
          <t>1 - Mensal</t>
        </is>
      </c>
      <c r="I8" t="n">
        <v>0</v>
      </c>
      <c r="J8" t="n">
        <v>480</v>
      </c>
      <c r="K8" t="inlineStr">
        <is>
          <t>08/2026</t>
        </is>
      </c>
      <c r="L8" s="526" t="n">
        <v>46269.80625</v>
      </c>
    </row>
    <row r="9">
      <c r="A9" t="n">
        <v>180</v>
      </c>
      <c r="B9" t="inlineStr">
        <is>
          <t>60.347.244/0001-77</t>
        </is>
      </c>
      <c r="C9" t="n">
        <v>8</v>
      </c>
      <c r="D9" t="inlineStr">
        <is>
          <t>SUELEN FAUSTINO BARRETO</t>
        </is>
      </c>
      <c r="E9" t="inlineStr">
        <is>
          <t>049.962.533-12</t>
        </is>
      </c>
      <c r="F9" t="n">
        <v>2003</v>
      </c>
      <c r="G9" t="inlineStr">
        <is>
          <t>Gorjeta</t>
        </is>
      </c>
      <c r="H9" t="inlineStr">
        <is>
          <t>1 - Mensal</t>
        </is>
      </c>
      <c r="I9" t="n">
        <v>0</v>
      </c>
      <c r="J9" t="n">
        <v>530</v>
      </c>
      <c r="K9" t="inlineStr">
        <is>
          <t>08/2026</t>
        </is>
      </c>
      <c r="L9" s="526" t="n">
        <v>46269.80625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Mês</t>
        </is>
      </c>
      <c r="C1" t="inlineStr">
        <is>
          <t>Categoria</t>
        </is>
      </c>
      <c r="D1" t="inlineStr">
        <is>
          <t>Total Desc</t>
        </is>
      </c>
      <c r="E1" t="inlineStr">
        <is>
          <t>CMV</t>
        </is>
      </c>
      <c r="F1" t="inlineStr">
        <is>
          <t>Permanece no Desconto</t>
        </is>
      </c>
      <c r="G1" t="inlineStr">
        <is>
          <t>Aloca no Centro de Custo</t>
        </is>
      </c>
      <c r="H1" t="inlineStr">
        <is>
          <t>Centro de Custo</t>
        </is>
      </c>
      <c r="I1" t="inlineStr">
        <is>
          <t>Dedução Faturamento - Alimento</t>
        </is>
      </c>
      <c r="J1" t="inlineStr">
        <is>
          <t>Dedução Faturamento - Bebida</t>
        </is>
      </c>
      <c r="K1" t="inlineStr">
        <is>
          <t>Descontos - DRE</t>
        </is>
      </c>
      <c r="L1" t="inlineStr">
        <is>
          <t>Mes_Texto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Casa</t>
        </is>
      </c>
      <c r="B1" t="inlineStr">
        <is>
          <t>Mês</t>
        </is>
      </c>
      <c r="C1" t="inlineStr">
        <is>
          <t>Produto</t>
        </is>
      </c>
      <c r="D1" t="inlineStr">
        <is>
          <t>Promoção</t>
        </is>
      </c>
      <c r="E1" t="inlineStr">
        <is>
          <t>Categoria Produto</t>
        </is>
      </c>
      <c r="F1" t="inlineStr">
        <is>
          <t>Quantidade de usos</t>
        </is>
      </c>
      <c r="G1" t="inlineStr">
        <is>
          <t>Desconto total</t>
        </is>
      </c>
      <c r="H1" t="inlineStr">
        <is>
          <t>A&amp;B</t>
        </is>
      </c>
      <c r="I1" t="inlineStr">
        <is>
          <t>Categoria</t>
        </is>
      </c>
      <c r="J1" t="inlineStr">
        <is>
          <t>Mes_Texto</t>
        </is>
      </c>
    </row>
    <row r="2">
      <c r="A2" t="inlineStr">
        <is>
          <t>Nuv Gastrobar</t>
        </is>
      </c>
      <c r="B2" s="526" t="n">
        <v>46235</v>
      </c>
      <c r="C2" t="inlineStr">
        <is>
          <t>VANILLA MARTINI</t>
        </is>
      </c>
      <c r="D2" t="inlineStr">
        <is>
          <t>30% FÁBRICA DE BARES - CPF</t>
        </is>
      </c>
      <c r="E2" t="inlineStr">
        <is>
          <t>COCKTAILS CLÁSSICOS E CONTEMPORÂNEOS</t>
        </is>
      </c>
      <c r="F2" t="n">
        <v>1</v>
      </c>
      <c r="G2" t="n">
        <v>10.5</v>
      </c>
      <c r="H2" t="inlineStr">
        <is>
          <t>B</t>
        </is>
      </c>
      <c r="J2" t="inlineStr">
        <is>
          <t>8/2026</t>
        </is>
      </c>
    </row>
    <row r="3">
      <c r="A3" t="inlineStr">
        <is>
          <t>Nuv Gastrobar</t>
        </is>
      </c>
      <c r="B3" s="526" t="n">
        <v>46235</v>
      </c>
      <c r="C3" t="inlineStr">
        <is>
          <t>CUPUAÇU</t>
        </is>
      </c>
      <c r="D3" t="inlineStr">
        <is>
          <t>30% FÁBRICA DE BARES - CPF</t>
        </is>
      </c>
      <c r="E3" t="inlineStr">
        <is>
          <t>BATIDINHAS AUTORAIS</t>
        </is>
      </c>
      <c r="F3" t="n">
        <v>1</v>
      </c>
      <c r="G3" t="n">
        <v>9</v>
      </c>
      <c r="H3" t="inlineStr">
        <is>
          <t>A</t>
        </is>
      </c>
      <c r="J3" t="inlineStr">
        <is>
          <t>8/2026</t>
        </is>
      </c>
    </row>
    <row r="4">
      <c r="A4" t="inlineStr">
        <is>
          <t>Nuv Gastrobar</t>
        </is>
      </c>
      <c r="B4" s="526" t="n">
        <v>46235</v>
      </c>
      <c r="C4" t="inlineStr">
        <is>
          <t>MATCHA</t>
        </is>
      </c>
      <c r="D4" t="inlineStr">
        <is>
          <t>30% FÁBRICA DE BARES - CPF</t>
        </is>
      </c>
      <c r="E4" t="inlineStr">
        <is>
          <t>PARA BEBER</t>
        </is>
      </c>
      <c r="F4" t="n">
        <v>1</v>
      </c>
      <c r="G4" t="n">
        <v>6.6</v>
      </c>
      <c r="H4" t="inlineStr">
        <is>
          <t>B</t>
        </is>
      </c>
      <c r="J4" t="inlineStr">
        <is>
          <t>8/2026</t>
        </is>
      </c>
    </row>
    <row r="5">
      <c r="A5" t="inlineStr">
        <is>
          <t>Nuv Gastrobar</t>
        </is>
      </c>
      <c r="B5" s="526" t="n">
        <v>46235</v>
      </c>
      <c r="C5" t="inlineStr">
        <is>
          <t>FANTA GUARANA</t>
        </is>
      </c>
      <c r="D5" t="inlineStr">
        <is>
          <t>30% FÁBRICA DE BARES - CPF</t>
        </is>
      </c>
      <c r="E5" t="inlineStr">
        <is>
          <t>BEBIDAS</t>
        </is>
      </c>
      <c r="F5" t="n">
        <v>1</v>
      </c>
      <c r="G5" t="n">
        <v>3.6</v>
      </c>
      <c r="H5" t="inlineStr">
        <is>
          <t>B</t>
        </is>
      </c>
      <c r="J5" t="inlineStr">
        <is>
          <t>8/2026</t>
        </is>
      </c>
    </row>
    <row r="6">
      <c r="A6" t="inlineStr">
        <is>
          <t>Nuv Gastrobar</t>
        </is>
      </c>
      <c r="B6" s="526" t="n">
        <v>46235</v>
      </c>
      <c r="C6" t="inlineStr">
        <is>
          <t>CAESAR SALAD</t>
        </is>
      </c>
      <c r="D6" t="inlineStr">
        <is>
          <t>30% FÁBRICA DE BARES - CPF</t>
        </is>
      </c>
      <c r="E6" t="inlineStr">
        <is>
          <t>SALADAS</t>
        </is>
      </c>
      <c r="F6" t="n">
        <v>4</v>
      </c>
      <c r="G6" t="n">
        <v>54</v>
      </c>
      <c r="H6" t="inlineStr">
        <is>
          <t>A</t>
        </is>
      </c>
      <c r="J6" t="inlineStr">
        <is>
          <t>8/2026</t>
        </is>
      </c>
    </row>
    <row r="7">
      <c r="A7" t="inlineStr">
        <is>
          <t>Nuv Gastrobar</t>
        </is>
      </c>
      <c r="B7" s="526" t="n">
        <v>46235</v>
      </c>
      <c r="C7" t="inlineStr">
        <is>
          <t>CHEESEBURGER</t>
        </is>
      </c>
      <c r="D7" t="inlineStr">
        <is>
          <t>30% FÁBRICA DE BARES - CPF</t>
        </is>
      </c>
      <c r="E7" t="inlineStr">
        <is>
          <t>SANDUÍCHES</t>
        </is>
      </c>
      <c r="F7" t="n">
        <v>8</v>
      </c>
      <c r="G7" t="n">
        <v>129.6</v>
      </c>
      <c r="H7" t="inlineStr">
        <is>
          <t>A</t>
        </is>
      </c>
      <c r="J7" t="inlineStr">
        <is>
          <t>8/2026</t>
        </is>
      </c>
    </row>
    <row r="8">
      <c r="A8" t="inlineStr">
        <is>
          <t>Nuv Gastrobar</t>
        </is>
      </c>
      <c r="B8" s="526" t="n">
        <v>46235</v>
      </c>
      <c r="C8" t="inlineStr">
        <is>
          <t>INTERLUDIO</t>
        </is>
      </c>
      <c r="D8" t="inlineStr">
        <is>
          <t>30% FÁBRICA DE BARES - CPF</t>
        </is>
      </c>
      <c r="E8" t="inlineStr">
        <is>
          <t>DRINKS SEM ÁLCOOL</t>
        </is>
      </c>
      <c r="F8" t="n">
        <v>11</v>
      </c>
      <c r="G8" t="n">
        <v>92.40000000000001</v>
      </c>
      <c r="H8" t="inlineStr">
        <is>
          <t>B</t>
        </is>
      </c>
      <c r="J8" t="inlineStr">
        <is>
          <t>8/2026</t>
        </is>
      </c>
    </row>
    <row r="9">
      <c r="A9" t="inlineStr">
        <is>
          <t>Nuv Gastrobar</t>
        </is>
      </c>
      <c r="B9" s="526" t="n">
        <v>46235</v>
      </c>
      <c r="C9" t="inlineStr">
        <is>
          <t>HOT DOG DA CASA</t>
        </is>
      </c>
      <c r="D9" t="inlineStr">
        <is>
          <t>30% FÁBRICA DE BARES - CPF</t>
        </is>
      </c>
      <c r="E9" t="inlineStr">
        <is>
          <t>SANDUÍCHES</t>
        </is>
      </c>
      <c r="F9" t="n">
        <v>2</v>
      </c>
      <c r="G9" t="n">
        <v>24.6</v>
      </c>
      <c r="H9" t="inlineStr">
        <is>
          <t>A</t>
        </is>
      </c>
      <c r="J9" t="inlineStr">
        <is>
          <t>8/2026</t>
        </is>
      </c>
    </row>
    <row r="10">
      <c r="A10" t="inlineStr">
        <is>
          <t>Nuv Gastrobar</t>
        </is>
      </c>
      <c r="B10" s="526" t="n">
        <v>46235</v>
      </c>
      <c r="C10" t="inlineStr">
        <is>
          <t>QUEIJADINHA</t>
        </is>
      </c>
      <c r="D10" t="inlineStr">
        <is>
          <t>30% FÁBRICA DE BARES - CPF</t>
        </is>
      </c>
      <c r="E10" t="inlineStr">
        <is>
          <t>DOCES</t>
        </is>
      </c>
      <c r="F10" t="n">
        <v>12</v>
      </c>
      <c r="G10" t="n">
        <v>64.8</v>
      </c>
      <c r="H10" t="inlineStr">
        <is>
          <t>A</t>
        </is>
      </c>
      <c r="J10" t="inlineStr">
        <is>
          <t>8/2026</t>
        </is>
      </c>
    </row>
    <row r="11">
      <c r="A11" t="inlineStr">
        <is>
          <t>Nuv Gastrobar</t>
        </is>
      </c>
      <c r="B11" s="526" t="n">
        <v>46235</v>
      </c>
      <c r="C11" t="inlineStr">
        <is>
          <t>MATCHA LATTE</t>
        </is>
      </c>
      <c r="D11" t="inlineStr">
        <is>
          <t>30% FÁBRICA DE BARES - CPF</t>
        </is>
      </c>
      <c r="E11" t="inlineStr">
        <is>
          <t>PARA BEBER</t>
        </is>
      </c>
      <c r="F11" t="n">
        <v>2</v>
      </c>
      <c r="G11" t="n">
        <v>13.2</v>
      </c>
      <c r="H11" t="inlineStr">
        <is>
          <t>B</t>
        </is>
      </c>
      <c r="J11" t="inlineStr">
        <is>
          <t>8/2026</t>
        </is>
      </c>
    </row>
    <row r="12">
      <c r="A12" t="inlineStr">
        <is>
          <t>Nuv Gastrobar</t>
        </is>
      </c>
      <c r="B12" s="526" t="n">
        <v>46235</v>
      </c>
      <c r="C12" t="inlineStr">
        <is>
          <t>AGUA MINERAL MAMBA C/GÁS</t>
        </is>
      </c>
      <c r="D12" t="inlineStr">
        <is>
          <t>30% FÁBRICA DE BARES - CPF</t>
        </is>
      </c>
      <c r="E12" t="inlineStr">
        <is>
          <t>BEBIDAS</t>
        </is>
      </c>
      <c r="F12" t="n">
        <v>18</v>
      </c>
      <c r="G12" t="n">
        <v>48.6</v>
      </c>
      <c r="H12" t="inlineStr">
        <is>
          <t>B</t>
        </is>
      </c>
      <c r="J12" t="inlineStr">
        <is>
          <t>8/2026</t>
        </is>
      </c>
    </row>
    <row r="13">
      <c r="A13" t="inlineStr">
        <is>
          <t>Nuv Gastrobar</t>
        </is>
      </c>
      <c r="B13" s="526" t="n">
        <v>46235</v>
      </c>
      <c r="C13" t="inlineStr">
        <is>
          <t>ICE LATTE</t>
        </is>
      </c>
      <c r="D13" t="inlineStr">
        <is>
          <t>30% FÁBRICA DE BARES - CPF</t>
        </is>
      </c>
      <c r="E13" t="inlineStr">
        <is>
          <t>PARA BEBER</t>
        </is>
      </c>
      <c r="F13" t="n">
        <v>13</v>
      </c>
      <c r="G13" t="n">
        <v>91.8</v>
      </c>
      <c r="H13" t="inlineStr">
        <is>
          <t>B</t>
        </is>
      </c>
      <c r="J13" t="inlineStr">
        <is>
          <t>8/2026</t>
        </is>
      </c>
    </row>
    <row r="14">
      <c r="A14" t="inlineStr">
        <is>
          <t>Nuv Gastrobar</t>
        </is>
      </c>
      <c r="B14" s="526" t="n">
        <v>46235</v>
      </c>
      <c r="C14" t="inlineStr">
        <is>
          <t>BROWNIE COM NOZES</t>
        </is>
      </c>
      <c r="D14" t="inlineStr">
        <is>
          <t>30% FÁBRICA DE BARES - CPF</t>
        </is>
      </c>
      <c r="E14" t="inlineStr">
        <is>
          <t>DOCES</t>
        </is>
      </c>
      <c r="F14" t="n">
        <v>12</v>
      </c>
      <c r="G14" t="n">
        <v>72</v>
      </c>
      <c r="H14" t="inlineStr">
        <is>
          <t>A</t>
        </is>
      </c>
      <c r="J14" t="inlineStr">
        <is>
          <t>8/2026</t>
        </is>
      </c>
    </row>
    <row r="15">
      <c r="A15" t="inlineStr">
        <is>
          <t>Nuv Gastrobar</t>
        </is>
      </c>
      <c r="B15" s="526" t="n">
        <v>46235</v>
      </c>
      <c r="C15" t="inlineStr">
        <is>
          <t>ADICIONAL FRITAS</t>
        </is>
      </c>
      <c r="D15" t="inlineStr">
        <is>
          <t>30% FÁBRICA DE BARES - CPF</t>
        </is>
      </c>
      <c r="E15" t="inlineStr">
        <is>
          <t>ADICIONAIS</t>
        </is>
      </c>
      <c r="F15" t="n">
        <v>1</v>
      </c>
      <c r="G15" t="n">
        <v>4.5</v>
      </c>
      <c r="H15" t="inlineStr">
        <is>
          <t>A</t>
        </is>
      </c>
      <c r="J15" t="inlineStr">
        <is>
          <t>8/2026</t>
        </is>
      </c>
    </row>
    <row r="16">
      <c r="A16" t="inlineStr">
        <is>
          <t>Nuv Gastrobar</t>
        </is>
      </c>
      <c r="B16" s="526" t="n">
        <v>46235</v>
      </c>
      <c r="C16" t="inlineStr">
        <is>
          <t>ROSBIFE DA CASA</t>
        </is>
      </c>
      <c r="D16" t="inlineStr">
        <is>
          <t>30% FÁBRICA DE BARES - CPF</t>
        </is>
      </c>
      <c r="E16" t="inlineStr">
        <is>
          <t>COMIDINHAS &amp; PRATOS</t>
        </is>
      </c>
      <c r="F16" t="n">
        <v>3</v>
      </c>
      <c r="G16" t="n">
        <v>55.8</v>
      </c>
      <c r="H16" t="inlineStr">
        <is>
          <t>A</t>
        </is>
      </c>
      <c r="J16" t="inlineStr">
        <is>
          <t>8/2026</t>
        </is>
      </c>
    </row>
    <row r="17">
      <c r="A17" t="inlineStr">
        <is>
          <t>Nuv Gastrobar</t>
        </is>
      </c>
      <c r="B17" s="526" t="n">
        <v>46235</v>
      </c>
      <c r="C17" t="inlineStr">
        <is>
          <t>PERSPECTIVA</t>
        </is>
      </c>
      <c r="D17" t="inlineStr">
        <is>
          <t>30% FÁBRICA DE BARES - CPF</t>
        </is>
      </c>
      <c r="E17" t="inlineStr">
        <is>
          <t>DRINKS SEM ÁLCOOL</t>
        </is>
      </c>
      <c r="F17" t="n">
        <v>17</v>
      </c>
      <c r="G17" t="n">
        <v>142.8</v>
      </c>
      <c r="H17" t="inlineStr">
        <is>
          <t>B</t>
        </is>
      </c>
      <c r="J17" t="inlineStr">
        <is>
          <t>8/2026</t>
        </is>
      </c>
    </row>
    <row r="18">
      <c r="A18" t="inlineStr">
        <is>
          <t>Nuv Gastrobar</t>
        </is>
      </c>
      <c r="B18" s="526" t="n">
        <v>46235</v>
      </c>
      <c r="C18" t="inlineStr">
        <is>
          <t>COXINHA DA CASA</t>
        </is>
      </c>
      <c r="D18" t="inlineStr">
        <is>
          <t>30% FÁBRICA DE BARES - CPF</t>
        </is>
      </c>
      <c r="E18" t="inlineStr">
        <is>
          <t>O DESPERTAR</t>
        </is>
      </c>
      <c r="F18" t="n">
        <v>12</v>
      </c>
      <c r="G18" t="n">
        <v>75.59999999999999</v>
      </c>
      <c r="H18" t="inlineStr">
        <is>
          <t>A</t>
        </is>
      </c>
      <c r="J18" t="inlineStr">
        <is>
          <t>8/2026</t>
        </is>
      </c>
    </row>
    <row r="19">
      <c r="A19" t="inlineStr">
        <is>
          <t>Nuv Gastrobar</t>
        </is>
      </c>
      <c r="B19" s="526" t="n">
        <v>46235</v>
      </c>
      <c r="C19" t="inlineStr">
        <is>
          <t>BETERRABA ASSADA</t>
        </is>
      </c>
      <c r="D19" t="inlineStr">
        <is>
          <t>30% FÁBRICA DE BARES - CPF</t>
        </is>
      </c>
      <c r="E19" t="inlineStr">
        <is>
          <t>SALADAS</t>
        </is>
      </c>
      <c r="F19" t="n">
        <v>2</v>
      </c>
      <c r="G19" t="n">
        <v>31.2</v>
      </c>
      <c r="H19" t="inlineStr">
        <is>
          <t>A</t>
        </is>
      </c>
      <c r="J19" t="inlineStr">
        <is>
          <t>8/2026</t>
        </is>
      </c>
    </row>
    <row r="20">
      <c r="A20" t="inlineStr">
        <is>
          <t>Nuv Gastrobar</t>
        </is>
      </c>
      <c r="B20" s="526" t="n">
        <v>46235</v>
      </c>
      <c r="C20" t="inlineStr">
        <is>
          <t>FRANGO FRITO CROCANTE</t>
        </is>
      </c>
      <c r="D20" t="inlineStr">
        <is>
          <t>30% FÁBRICA DE BARES - CPF</t>
        </is>
      </c>
      <c r="E20" t="inlineStr">
        <is>
          <t>COMIDINHAS &amp; PRATOS</t>
        </is>
      </c>
      <c r="F20" t="n">
        <v>8</v>
      </c>
      <c r="G20" t="n">
        <v>139.2</v>
      </c>
      <c r="H20" t="inlineStr">
        <is>
          <t>A</t>
        </is>
      </c>
      <c r="J20" t="inlineStr">
        <is>
          <t>8/2026</t>
        </is>
      </c>
    </row>
    <row r="21">
      <c r="A21" t="inlineStr">
        <is>
          <t>Nuv Gastrobar</t>
        </is>
      </c>
      <c r="B21" s="526" t="n">
        <v>46235</v>
      </c>
      <c r="C21" t="inlineStr">
        <is>
          <t>VANILLA LATTE</t>
        </is>
      </c>
      <c r="D21" t="inlineStr">
        <is>
          <t>30% FÁBRICA DE BARES - CPF</t>
        </is>
      </c>
      <c r="E21" t="inlineStr">
        <is>
          <t>PARA BEBER</t>
        </is>
      </c>
      <c r="F21" t="n">
        <v>1</v>
      </c>
      <c r="G21" t="n">
        <v>6.6</v>
      </c>
      <c r="H21" t="inlineStr">
        <is>
          <t>B</t>
        </is>
      </c>
      <c r="J21" t="inlineStr">
        <is>
          <t>8/2026</t>
        </is>
      </c>
    </row>
    <row r="22">
      <c r="A22" t="inlineStr">
        <is>
          <t>Nuv Gastrobar</t>
        </is>
      </c>
      <c r="B22" s="526" t="n">
        <v>46235</v>
      </c>
      <c r="C22" t="inlineStr">
        <is>
          <t>ECLAIR CHOCOLATE</t>
        </is>
      </c>
      <c r="D22" t="inlineStr">
        <is>
          <t>30% FÁBRICA DE BARES - CPF</t>
        </is>
      </c>
      <c r="E22" t="inlineStr">
        <is>
          <t>DOCES</t>
        </is>
      </c>
      <c r="F22" t="n">
        <v>1</v>
      </c>
      <c r="G22" t="n">
        <v>5.4</v>
      </c>
      <c r="H22" t="inlineStr">
        <is>
          <t>A</t>
        </is>
      </c>
      <c r="J22" t="inlineStr">
        <is>
          <t>8/2026</t>
        </is>
      </c>
    </row>
    <row r="23">
      <c r="A23" t="inlineStr">
        <is>
          <t>Nuv Gastrobar</t>
        </is>
      </c>
      <c r="B23" s="526" t="n">
        <v>46235</v>
      </c>
      <c r="C23" t="inlineStr">
        <is>
          <t>PAIN AU CHOCOLAT</t>
        </is>
      </c>
      <c r="D23" t="inlineStr">
        <is>
          <t>30% FÁBRICA DE BARES - CPF</t>
        </is>
      </c>
      <c r="E23" t="inlineStr">
        <is>
          <t>DOCES</t>
        </is>
      </c>
      <c r="F23" t="n">
        <v>1</v>
      </c>
      <c r="G23" t="n">
        <v>7.2</v>
      </c>
      <c r="H23" t="inlineStr">
        <is>
          <t>A</t>
        </is>
      </c>
      <c r="J23" t="inlineStr">
        <is>
          <t>8/2026</t>
        </is>
      </c>
    </row>
    <row r="24">
      <c r="A24" t="inlineStr">
        <is>
          <t>Nuv Gastrobar</t>
        </is>
      </c>
      <c r="B24" s="526" t="n">
        <v>46235</v>
      </c>
      <c r="C24" t="inlineStr">
        <is>
          <t>SCHWEPPES CITRUS ZERO AÇUCAR 350 ML</t>
        </is>
      </c>
      <c r="D24" t="inlineStr">
        <is>
          <t>30% FÁBRICA DE BARES - CPF</t>
        </is>
      </c>
      <c r="E24" t="inlineStr">
        <is>
          <t>BEBIDAS</t>
        </is>
      </c>
      <c r="F24" t="n">
        <v>1</v>
      </c>
      <c r="G24" t="n">
        <v>4.5</v>
      </c>
      <c r="H24" t="inlineStr">
        <is>
          <t>B</t>
        </is>
      </c>
      <c r="J24" t="inlineStr">
        <is>
          <t>8/2026</t>
        </is>
      </c>
    </row>
    <row r="25">
      <c r="A25" t="inlineStr">
        <is>
          <t>Nuv Gastrobar</t>
        </is>
      </c>
      <c r="B25" s="526" t="n">
        <v>46235</v>
      </c>
      <c r="C25" t="inlineStr">
        <is>
          <t>FRANGO FRITO NO BRIOCHE</t>
        </is>
      </c>
      <c r="D25" t="inlineStr">
        <is>
          <t>30% FÁBRICA DE BARES - CPF</t>
        </is>
      </c>
      <c r="E25" t="inlineStr">
        <is>
          <t>SANDUÍCHES</t>
        </is>
      </c>
      <c r="F25" t="n">
        <v>18</v>
      </c>
      <c r="G25" t="n">
        <v>273.6</v>
      </c>
      <c r="H25" t="inlineStr">
        <is>
          <t>A</t>
        </is>
      </c>
      <c r="J25" t="inlineStr">
        <is>
          <t>8/2026</t>
        </is>
      </c>
    </row>
    <row r="26">
      <c r="A26" t="inlineStr">
        <is>
          <t>Nuv Gastrobar</t>
        </is>
      </c>
      <c r="B26" s="526" t="n">
        <v>46235</v>
      </c>
      <c r="C26" t="inlineStr">
        <is>
          <t>CAPPUCCINO AVELÃ</t>
        </is>
      </c>
      <c r="D26" t="inlineStr">
        <is>
          <t>30% FÁBRICA DE BARES - CPF</t>
        </is>
      </c>
      <c r="E26" t="inlineStr">
        <is>
          <t>PARA BEBER</t>
        </is>
      </c>
      <c r="F26" t="n">
        <v>10</v>
      </c>
      <c r="G26" t="n">
        <v>60</v>
      </c>
      <c r="H26" t="inlineStr">
        <is>
          <t>B</t>
        </is>
      </c>
      <c r="J26" t="inlineStr">
        <is>
          <t>8/2026</t>
        </is>
      </c>
    </row>
    <row r="27">
      <c r="A27" t="inlineStr">
        <is>
          <t>Nuv Gastrobar</t>
        </is>
      </c>
      <c r="B27" s="526" t="n">
        <v>46235</v>
      </c>
      <c r="C27" t="inlineStr">
        <is>
          <t>FALAFEL ARTESANAL</t>
        </is>
      </c>
      <c r="D27" t="inlineStr">
        <is>
          <t>30% FÁBRICA DE BARES - CPF</t>
        </is>
      </c>
      <c r="E27" t="inlineStr">
        <is>
          <t>COMIDINHAS &amp; PRATOS</t>
        </is>
      </c>
      <c r="F27" t="n">
        <v>2</v>
      </c>
      <c r="G27" t="n">
        <v>28.8</v>
      </c>
      <c r="H27" t="inlineStr">
        <is>
          <t>A</t>
        </is>
      </c>
      <c r="J27" t="inlineStr">
        <is>
          <t>8/2026</t>
        </is>
      </c>
    </row>
    <row r="28">
      <c r="A28" t="inlineStr">
        <is>
          <t>Nuv Gastrobar</t>
        </is>
      </c>
      <c r="B28" s="526" t="n">
        <v>46235</v>
      </c>
      <c r="C28" t="inlineStr">
        <is>
          <t>RIGATONI ALL'AMATRICIANA</t>
        </is>
      </c>
      <c r="D28" t="inlineStr">
        <is>
          <t>30% FÁBRICA DE BARES - CPF</t>
        </is>
      </c>
      <c r="E28" t="inlineStr">
        <is>
          <t>PRATOS PRINCIPAIS</t>
        </is>
      </c>
      <c r="F28" t="n">
        <v>3</v>
      </c>
      <c r="G28" t="n">
        <v>68.40000000000001</v>
      </c>
      <c r="H28" t="inlineStr">
        <is>
          <t>A</t>
        </is>
      </c>
      <c r="J28" t="inlineStr">
        <is>
          <t>8/2026</t>
        </is>
      </c>
    </row>
    <row r="29">
      <c r="A29" t="inlineStr">
        <is>
          <t>Nuv Gastrobar</t>
        </is>
      </c>
      <c r="B29" s="526" t="n">
        <v>46235</v>
      </c>
      <c r="C29" t="inlineStr">
        <is>
          <t>ICE VANILLA LATTE</t>
        </is>
      </c>
      <c r="D29" t="inlineStr">
        <is>
          <t>30% FÁBRICA DE BARES - CPF</t>
        </is>
      </c>
      <c r="E29" t="inlineStr">
        <is>
          <t>PARA BEBER</t>
        </is>
      </c>
      <c r="F29" t="n">
        <v>4</v>
      </c>
      <c r="G29" t="n">
        <v>28.8</v>
      </c>
      <c r="H29" t="inlineStr">
        <is>
          <t>B</t>
        </is>
      </c>
      <c r="J29" t="inlineStr">
        <is>
          <t>8/2026</t>
        </is>
      </c>
    </row>
    <row r="30">
      <c r="A30" t="inlineStr">
        <is>
          <t>Nuv Gastrobar</t>
        </is>
      </c>
      <c r="B30" s="526" t="n">
        <v>46235</v>
      </c>
      <c r="C30" t="inlineStr">
        <is>
          <t>EMPADA</t>
        </is>
      </c>
      <c r="D30" t="inlineStr">
        <is>
          <t>30% FÁBRICA DE BARES - CPF</t>
        </is>
      </c>
      <c r="E30" t="inlineStr">
        <is>
          <t>O DESPERTAR</t>
        </is>
      </c>
      <c r="F30" t="n">
        <v>3</v>
      </c>
      <c r="G30" t="n">
        <v>18</v>
      </c>
      <c r="H30" t="inlineStr">
        <is>
          <t>A</t>
        </is>
      </c>
      <c r="J30" t="inlineStr">
        <is>
          <t>8/2026</t>
        </is>
      </c>
    </row>
    <row r="31">
      <c r="A31" t="inlineStr">
        <is>
          <t>Nuv Gastrobar</t>
        </is>
      </c>
      <c r="B31" s="526" t="n">
        <v>46235</v>
      </c>
      <c r="C31" t="inlineStr">
        <is>
          <t>CAPPUCCINO</t>
        </is>
      </c>
      <c r="D31" t="inlineStr">
        <is>
          <t>30% FÁBRICA DE BARES - CPF</t>
        </is>
      </c>
      <c r="E31" t="inlineStr">
        <is>
          <t>PARA BEBER</t>
        </is>
      </c>
      <c r="F31" t="n">
        <v>11</v>
      </c>
      <c r="G31" t="n">
        <v>59.4</v>
      </c>
      <c r="H31" t="inlineStr">
        <is>
          <t>B</t>
        </is>
      </c>
      <c r="J31" t="inlineStr">
        <is>
          <t>8/2026</t>
        </is>
      </c>
    </row>
    <row r="32">
      <c r="A32" t="inlineStr">
        <is>
          <t>Nuv Gastrobar</t>
        </is>
      </c>
      <c r="B32" s="526" t="n">
        <v>46235</v>
      </c>
      <c r="C32" t="inlineStr">
        <is>
          <t>AGUA MINERAL MAMBA S/GÁS</t>
        </is>
      </c>
      <c r="D32" t="inlineStr">
        <is>
          <t>30% FÁBRICA DE BARES - CPF</t>
        </is>
      </c>
      <c r="E32" t="inlineStr">
        <is>
          <t>BEBIDAS</t>
        </is>
      </c>
      <c r="F32" t="n">
        <v>7</v>
      </c>
      <c r="G32" t="n">
        <v>18.9</v>
      </c>
      <c r="H32" t="inlineStr">
        <is>
          <t>B</t>
        </is>
      </c>
      <c r="J32" t="inlineStr">
        <is>
          <t>8/2026</t>
        </is>
      </c>
    </row>
    <row r="33">
      <c r="A33" t="inlineStr">
        <is>
          <t>Nuv Gastrobar</t>
        </is>
      </c>
      <c r="B33" s="526" t="n">
        <v>46235</v>
      </c>
      <c r="C33" t="inlineStr">
        <is>
          <t>OVOS MEXIDOS</t>
        </is>
      </c>
      <c r="D33" t="inlineStr">
        <is>
          <t>30% FÁBRICA DE BARES - CPF</t>
        </is>
      </c>
      <c r="E33" t="inlineStr">
        <is>
          <t>O DESPERTAR</t>
        </is>
      </c>
      <c r="F33" t="n">
        <v>1</v>
      </c>
      <c r="G33" t="n">
        <v>12.3</v>
      </c>
      <c r="H33" t="inlineStr">
        <is>
          <t>A</t>
        </is>
      </c>
      <c r="J33" t="inlineStr">
        <is>
          <t>8/2026</t>
        </is>
      </c>
    </row>
    <row r="34">
      <c r="A34" t="inlineStr">
        <is>
          <t>Nuv Gastrobar</t>
        </is>
      </c>
      <c r="B34" s="526" t="n">
        <v>46235</v>
      </c>
      <c r="C34" t="inlineStr">
        <is>
          <t>SUCO DE UVA DEL VALLE</t>
        </is>
      </c>
      <c r="D34" t="inlineStr">
        <is>
          <t>30% FÁBRICA DE BARES - CPF</t>
        </is>
      </c>
      <c r="E34" t="inlineStr">
        <is>
          <t>BEBIDAS</t>
        </is>
      </c>
      <c r="F34" t="n">
        <v>4</v>
      </c>
      <c r="G34" t="n">
        <v>21.6</v>
      </c>
      <c r="H34" t="inlineStr">
        <is>
          <t>B</t>
        </is>
      </c>
      <c r="J34" t="inlineStr">
        <is>
          <t>8/2026</t>
        </is>
      </c>
    </row>
    <row r="35">
      <c r="A35" t="inlineStr">
        <is>
          <t>Nuv Gastrobar</t>
        </is>
      </c>
      <c r="B35" s="526" t="n">
        <v>46235</v>
      </c>
      <c r="C35" t="inlineStr">
        <is>
          <t>CROISSANT COM REQUEIJÃO</t>
        </is>
      </c>
      <c r="D35" t="inlineStr">
        <is>
          <t>30% FÁBRICA DE BARES - CPF</t>
        </is>
      </c>
      <c r="E35" t="inlineStr">
        <is>
          <t>O DESPERTAR</t>
        </is>
      </c>
      <c r="F35" t="n">
        <v>4</v>
      </c>
      <c r="G35" t="n">
        <v>30</v>
      </c>
      <c r="H35" t="inlineStr">
        <is>
          <t>A</t>
        </is>
      </c>
      <c r="J35" t="inlineStr">
        <is>
          <t>8/2026</t>
        </is>
      </c>
    </row>
    <row r="36">
      <c r="A36" t="inlineStr">
        <is>
          <t>Nuv Gastrobar</t>
        </is>
      </c>
      <c r="B36" s="526" t="n">
        <v>46235</v>
      </c>
      <c r="C36" t="inlineStr">
        <is>
          <t>COLD BREW CITRUS</t>
        </is>
      </c>
      <c r="D36" t="inlineStr">
        <is>
          <t>30% FÁBRICA DE BARES - CPF</t>
        </is>
      </c>
      <c r="E36" t="inlineStr">
        <is>
          <t>PARA BEBER</t>
        </is>
      </c>
      <c r="F36" t="n">
        <v>1</v>
      </c>
      <c r="G36" t="n">
        <v>7.2</v>
      </c>
      <c r="H36" t="inlineStr">
        <is>
          <t>B</t>
        </is>
      </c>
      <c r="J36" t="inlineStr">
        <is>
          <t>8/2026</t>
        </is>
      </c>
    </row>
    <row r="37">
      <c r="A37" t="inlineStr">
        <is>
          <t>Nuv Gastrobar</t>
        </is>
      </c>
      <c r="B37" s="526" t="n">
        <v>46235</v>
      </c>
      <c r="C37" t="inlineStr">
        <is>
          <t>STEAK EM TIRINHAS E FRITAS</t>
        </is>
      </c>
      <c r="D37" t="inlineStr">
        <is>
          <t>30% FÁBRICA DE BARES - CPF</t>
        </is>
      </c>
      <c r="E37" t="inlineStr">
        <is>
          <t>PRATOS PRINCIPAIS</t>
        </is>
      </c>
      <c r="F37" t="n">
        <v>15</v>
      </c>
      <c r="G37" t="n">
        <v>441</v>
      </c>
      <c r="H37" t="inlineStr">
        <is>
          <t>A</t>
        </is>
      </c>
      <c r="J37" t="inlineStr">
        <is>
          <t>8/2026</t>
        </is>
      </c>
    </row>
    <row r="38">
      <c r="A38" t="inlineStr">
        <is>
          <t>Nuv Gastrobar</t>
        </is>
      </c>
      <c r="B38" s="526" t="n">
        <v>46235</v>
      </c>
      <c r="C38" t="inlineStr">
        <is>
          <t>CAPPUCCINO CARAMELO SALGADO</t>
        </is>
      </c>
      <c r="D38" t="inlineStr">
        <is>
          <t>30% FÁBRICA DE BARES - CPF</t>
        </is>
      </c>
      <c r="E38" t="inlineStr">
        <is>
          <t>PARA BEBER</t>
        </is>
      </c>
      <c r="F38" t="n">
        <v>4</v>
      </c>
      <c r="G38" t="n">
        <v>24</v>
      </c>
      <c r="H38" t="inlineStr">
        <is>
          <t>B</t>
        </is>
      </c>
      <c r="J38" t="inlineStr">
        <is>
          <t>8/2026</t>
        </is>
      </c>
    </row>
    <row r="39">
      <c r="A39" t="inlineStr">
        <is>
          <t>Nuv Gastrobar</t>
        </is>
      </c>
      <c r="B39" s="526" t="n">
        <v>46235</v>
      </c>
      <c r="C39" t="inlineStr">
        <is>
          <t>LATTE MACCHIATO</t>
        </is>
      </c>
      <c r="D39" t="inlineStr">
        <is>
          <t>30% FÁBRICA DE BARES - CPF</t>
        </is>
      </c>
      <c r="E39" t="inlineStr">
        <is>
          <t>PARA BEBER</t>
        </is>
      </c>
      <c r="F39" t="n">
        <v>3</v>
      </c>
      <c r="G39" t="n">
        <v>16.8</v>
      </c>
      <c r="H39" t="inlineStr">
        <is>
          <t>B</t>
        </is>
      </c>
      <c r="J39" t="inlineStr">
        <is>
          <t>8/2026</t>
        </is>
      </c>
    </row>
    <row r="40">
      <c r="A40" t="inlineStr">
        <is>
          <t>Nuv Gastrobar</t>
        </is>
      </c>
      <c r="B40" s="526" t="n">
        <v>46235</v>
      </c>
      <c r="C40" t="inlineStr">
        <is>
          <t>IOGURTE, MEL E GRANOLA</t>
        </is>
      </c>
      <c r="D40" t="inlineStr">
        <is>
          <t>30% FÁBRICA DE BARES - CPF</t>
        </is>
      </c>
      <c r="E40" t="inlineStr">
        <is>
          <t>O DESPERTAR</t>
        </is>
      </c>
      <c r="F40" t="n">
        <v>2</v>
      </c>
      <c r="G40" t="n">
        <v>27</v>
      </c>
      <c r="H40" t="inlineStr">
        <is>
          <t>B</t>
        </is>
      </c>
      <c r="J40" t="inlineStr">
        <is>
          <t>8/2026</t>
        </is>
      </c>
    </row>
    <row r="41">
      <c r="A41" t="inlineStr">
        <is>
          <t>Nuv Gastrobar</t>
        </is>
      </c>
      <c r="B41" s="526" t="n">
        <v>46235</v>
      </c>
      <c r="C41" t="inlineStr">
        <is>
          <t>COCA-COLA ZERO</t>
        </is>
      </c>
      <c r="D41" t="inlineStr">
        <is>
          <t>30% FÁBRICA DE BARES - CPF</t>
        </is>
      </c>
      <c r="E41" t="inlineStr">
        <is>
          <t>BEBIDAS</t>
        </is>
      </c>
      <c r="F41" t="n">
        <v>5</v>
      </c>
      <c r="G41" t="n">
        <v>18</v>
      </c>
      <c r="H41" t="inlineStr">
        <is>
          <t>B</t>
        </is>
      </c>
      <c r="J41" t="inlineStr">
        <is>
          <t>8/2026</t>
        </is>
      </c>
    </row>
    <row r="42">
      <c r="A42" t="inlineStr">
        <is>
          <t>Nuv Gastrobar</t>
        </is>
      </c>
      <c r="B42" s="526" t="n">
        <v>46235</v>
      </c>
      <c r="C42" t="inlineStr">
        <is>
          <t>TORTA DE CHOCOLATE</t>
        </is>
      </c>
      <c r="D42" t="inlineStr">
        <is>
          <t>30% FÁBRICA DE BARES - CPF</t>
        </is>
      </c>
      <c r="E42" t="inlineStr">
        <is>
          <t>DOCES</t>
        </is>
      </c>
      <c r="F42" t="n">
        <v>3</v>
      </c>
      <c r="G42" t="n">
        <v>28.8</v>
      </c>
      <c r="H42" t="inlineStr">
        <is>
          <t>A</t>
        </is>
      </c>
      <c r="J42" t="inlineStr">
        <is>
          <t>8/2026</t>
        </is>
      </c>
    </row>
    <row r="43">
      <c r="A43" t="inlineStr">
        <is>
          <t>Nuv Gastrobar</t>
        </is>
      </c>
      <c r="B43" s="526" t="n">
        <v>46235</v>
      </c>
      <c r="C43" t="inlineStr">
        <is>
          <t>CAFÉ COM LEITE</t>
        </is>
      </c>
      <c r="D43" t="inlineStr">
        <is>
          <t>30% FÁBRICA DE BARES - CPF</t>
        </is>
      </c>
      <c r="E43" t="inlineStr">
        <is>
          <t>PARA BEBER</t>
        </is>
      </c>
      <c r="F43" t="n">
        <v>1</v>
      </c>
      <c r="G43" t="n">
        <v>5.4</v>
      </c>
      <c r="H43" t="inlineStr">
        <is>
          <t>B</t>
        </is>
      </c>
      <c r="J43" t="inlineStr">
        <is>
          <t>8/2026</t>
        </is>
      </c>
    </row>
    <row r="44">
      <c r="A44" t="inlineStr">
        <is>
          <t>Nuv Gastrobar</t>
        </is>
      </c>
      <c r="B44" s="526" t="n">
        <v>46235</v>
      </c>
      <c r="C44" t="inlineStr">
        <is>
          <t>PÃO DE QUEIJO</t>
        </is>
      </c>
      <c r="D44" t="inlineStr">
        <is>
          <t>30% FÁBRICA DE BARES - CPF</t>
        </is>
      </c>
      <c r="E44" t="inlineStr">
        <is>
          <t>O DESPERTAR</t>
        </is>
      </c>
      <c r="F44" t="n">
        <v>13</v>
      </c>
      <c r="G44" t="n">
        <v>58.5</v>
      </c>
      <c r="H44" t="inlineStr">
        <is>
          <t>A</t>
        </is>
      </c>
      <c r="J44" t="inlineStr">
        <is>
          <t>8/2026</t>
        </is>
      </c>
    </row>
    <row r="45">
      <c r="A45" t="inlineStr">
        <is>
          <t>Nuv Gastrobar</t>
        </is>
      </c>
      <c r="B45" s="526" t="n">
        <v>46235</v>
      </c>
      <c r="C45" t="inlineStr">
        <is>
          <t>COLD BREW</t>
        </is>
      </c>
      <c r="D45" t="inlineStr">
        <is>
          <t>30% FÁBRICA DE BARES - CPF</t>
        </is>
      </c>
      <c r="E45" t="inlineStr">
        <is>
          <t>PARA BEBER</t>
        </is>
      </c>
      <c r="F45" t="n">
        <v>1</v>
      </c>
      <c r="G45" t="n">
        <v>6</v>
      </c>
      <c r="H45" t="inlineStr">
        <is>
          <t>B</t>
        </is>
      </c>
      <c r="J45" t="inlineStr">
        <is>
          <t>8/2026</t>
        </is>
      </c>
    </row>
    <row r="46">
      <c r="A46" t="inlineStr">
        <is>
          <t>Nuv Gastrobar</t>
        </is>
      </c>
      <c r="B46" s="526" t="n">
        <v>46235</v>
      </c>
      <c r="C46" t="inlineStr">
        <is>
          <t>SCHWEPPES CITRUS</t>
        </is>
      </c>
      <c r="D46" t="inlineStr">
        <is>
          <t>30% FÁBRICA DE BARES - CPF</t>
        </is>
      </c>
      <c r="E46" t="inlineStr">
        <is>
          <t>BEBIDAS</t>
        </is>
      </c>
      <c r="F46" t="n">
        <v>3</v>
      </c>
      <c r="G46" t="n">
        <v>13.5</v>
      </c>
      <c r="H46" t="inlineStr">
        <is>
          <t>B</t>
        </is>
      </c>
      <c r="J46" t="inlineStr">
        <is>
          <t>8/2026</t>
        </is>
      </c>
    </row>
    <row r="47">
      <c r="A47" t="inlineStr">
        <is>
          <t>Nuv Gastrobar</t>
        </is>
      </c>
      <c r="B47" s="526" t="n">
        <v>46235</v>
      </c>
      <c r="C47" t="inlineStr">
        <is>
          <t>DESTINO CHARDONNAY</t>
        </is>
      </c>
      <c r="D47" t="inlineStr">
        <is>
          <t>30% FÁBRICA DE BARES - CPF</t>
        </is>
      </c>
      <c r="E47" t="inlineStr">
        <is>
          <t>VINHOS</t>
        </is>
      </c>
      <c r="F47" t="n">
        <v>1</v>
      </c>
      <c r="G47" t="n">
        <v>33</v>
      </c>
      <c r="H47" t="inlineStr">
        <is>
          <t>B</t>
        </is>
      </c>
      <c r="J47" t="inlineStr">
        <is>
          <t>8/2026</t>
        </is>
      </c>
    </row>
    <row r="48">
      <c r="A48" t="inlineStr">
        <is>
          <t>Nuv Gastrobar</t>
        </is>
      </c>
      <c r="B48" s="526" t="n">
        <v>46235</v>
      </c>
      <c r="C48" t="inlineStr">
        <is>
          <t>CHEESECAKE DE FRUTAS VERMELHAS</t>
        </is>
      </c>
      <c r="D48" t="inlineStr">
        <is>
          <t>30% FÁBRICA DE BARES - CPF</t>
        </is>
      </c>
      <c r="E48" t="inlineStr">
        <is>
          <t>DOCES</t>
        </is>
      </c>
      <c r="F48" t="n">
        <v>3</v>
      </c>
      <c r="G48" t="n">
        <v>30.6</v>
      </c>
      <c r="H48" t="inlineStr">
        <is>
          <t>A</t>
        </is>
      </c>
      <c r="J48" t="inlineStr">
        <is>
          <t>8/2026</t>
        </is>
      </c>
    </row>
    <row r="49">
      <c r="A49" t="inlineStr">
        <is>
          <t>Nuv Gastrobar</t>
        </is>
      </c>
      <c r="B49" s="526" t="n">
        <v>46235</v>
      </c>
      <c r="C49" t="inlineStr">
        <is>
          <t>ARROZ DE PATO</t>
        </is>
      </c>
      <c r="D49" t="inlineStr">
        <is>
          <t>30% FÁBRICA DE BARES - CPF</t>
        </is>
      </c>
      <c r="E49" t="inlineStr">
        <is>
          <t>PRATOS PRINCIPAIS</t>
        </is>
      </c>
      <c r="F49" t="n">
        <v>8</v>
      </c>
      <c r="G49" t="n">
        <v>230.4</v>
      </c>
      <c r="H49" t="inlineStr">
        <is>
          <t>A</t>
        </is>
      </c>
      <c r="J49" t="inlineStr">
        <is>
          <t>8/2026</t>
        </is>
      </c>
    </row>
    <row r="50">
      <c r="A50" t="inlineStr">
        <is>
          <t>Nuv Gastrobar</t>
        </is>
      </c>
      <c r="B50" s="526" t="n">
        <v>46235</v>
      </c>
      <c r="C50" t="inlineStr">
        <is>
          <t>COFFEE NEGRONI</t>
        </is>
      </c>
      <c r="D50" t="inlineStr">
        <is>
          <t>30% FÁBRICA DE BARES - CPF</t>
        </is>
      </c>
      <c r="E50" t="inlineStr">
        <is>
          <t>COCKTAILS CLÁSSICOS E CONTEMPORÂNEOS</t>
        </is>
      </c>
      <c r="F50" t="n">
        <v>4</v>
      </c>
      <c r="G50" t="n">
        <v>50.4</v>
      </c>
      <c r="H50" t="inlineStr">
        <is>
          <t>B</t>
        </is>
      </c>
      <c r="J50" t="inlineStr">
        <is>
          <t>8/2026</t>
        </is>
      </c>
    </row>
    <row r="51">
      <c r="A51" t="inlineStr">
        <is>
          <t>Nuv Gastrobar</t>
        </is>
      </c>
      <c r="B51" s="526" t="n">
        <v>46235</v>
      </c>
      <c r="C51" t="inlineStr">
        <is>
          <t>CAFÉ DUPLO</t>
        </is>
      </c>
      <c r="D51" t="inlineStr">
        <is>
          <t>30% FÁBRICA DE BARES - CPF</t>
        </is>
      </c>
      <c r="E51" t="inlineStr">
        <is>
          <t>PARA BEBER</t>
        </is>
      </c>
      <c r="F51" t="n">
        <v>3</v>
      </c>
      <c r="G51" t="n">
        <v>19.8</v>
      </c>
      <c r="H51" t="inlineStr">
        <is>
          <t>B</t>
        </is>
      </c>
      <c r="J51" t="inlineStr">
        <is>
          <t>8/2026</t>
        </is>
      </c>
    </row>
    <row r="52">
      <c r="A52" t="inlineStr">
        <is>
          <t>Nuv Gastrobar</t>
        </is>
      </c>
      <c r="B52" s="526" t="n">
        <v>46235</v>
      </c>
      <c r="C52" t="inlineStr">
        <is>
          <t>STEAK TARTARE</t>
        </is>
      </c>
      <c r="D52" t="inlineStr">
        <is>
          <t>30% FÁBRICA DE BARES - CPF</t>
        </is>
      </c>
      <c r="E52" t="inlineStr">
        <is>
          <t>PRATOS PRINCIPAIS</t>
        </is>
      </c>
      <c r="F52" t="n">
        <v>7</v>
      </c>
      <c r="G52" t="n">
        <v>157.5</v>
      </c>
      <c r="H52" t="inlineStr">
        <is>
          <t>A</t>
        </is>
      </c>
      <c r="J52" t="inlineStr">
        <is>
          <t>8/2026</t>
        </is>
      </c>
    </row>
    <row r="53">
      <c r="A53" t="inlineStr">
        <is>
          <t>Nuv Gastrobar</t>
        </is>
      </c>
      <c r="B53" s="526" t="n">
        <v>46235</v>
      </c>
      <c r="C53" t="inlineStr">
        <is>
          <t>COCA-COLA</t>
        </is>
      </c>
      <c r="D53" t="inlineStr">
        <is>
          <t>30% FÁBRICA DE BARES - CPF</t>
        </is>
      </c>
      <c r="E53" t="inlineStr">
        <is>
          <t>BEBIDAS</t>
        </is>
      </c>
      <c r="F53" t="n">
        <v>6</v>
      </c>
      <c r="G53" t="n">
        <v>21.6</v>
      </c>
      <c r="H53" t="inlineStr">
        <is>
          <t>B</t>
        </is>
      </c>
      <c r="J53" t="inlineStr">
        <is>
          <t>8/2026</t>
        </is>
      </c>
    </row>
    <row r="54">
      <c r="A54" t="inlineStr">
        <is>
          <t>Nuv Gastrobar</t>
        </is>
      </c>
      <c r="B54" s="526" t="n">
        <v>46235</v>
      </c>
      <c r="C54" t="inlineStr">
        <is>
          <t>CAFÉ ESPRESSO</t>
        </is>
      </c>
      <c r="D54" t="inlineStr">
        <is>
          <t>30% FÁBRICA DE BARES - CPF</t>
        </is>
      </c>
      <c r="E54" t="inlineStr">
        <is>
          <t>PARA BEBER</t>
        </is>
      </c>
      <c r="F54" t="n">
        <v>12</v>
      </c>
      <c r="G54" t="n">
        <v>39.6</v>
      </c>
      <c r="H54" t="inlineStr">
        <is>
          <t>B</t>
        </is>
      </c>
      <c r="J54" t="inlineStr">
        <is>
          <t>8/2026</t>
        </is>
      </c>
    </row>
    <row r="55">
      <c r="A55" t="inlineStr">
        <is>
          <t>Nuv Gastrobar</t>
        </is>
      </c>
      <c r="B55" s="526" t="n">
        <v>46235</v>
      </c>
      <c r="C55" t="inlineStr">
        <is>
          <t>SUCO NATURAL DE LARANJA</t>
        </is>
      </c>
      <c r="D55" t="inlineStr">
        <is>
          <t>30% FÁBRICA DE BARES - CPF</t>
        </is>
      </c>
      <c r="E55" t="inlineStr">
        <is>
          <t>PARA BEBER</t>
        </is>
      </c>
      <c r="F55" t="n">
        <v>6</v>
      </c>
      <c r="G55" t="n">
        <v>32.4</v>
      </c>
      <c r="H55" t="inlineStr">
        <is>
          <t>B</t>
        </is>
      </c>
      <c r="J55" t="inlineStr">
        <is>
          <t>8/2026</t>
        </is>
      </c>
    </row>
    <row r="56">
      <c r="A56" t="inlineStr">
        <is>
          <t>Nuv Gastrobar</t>
        </is>
      </c>
      <c r="B56" s="526" t="n">
        <v>46235</v>
      </c>
      <c r="C56" t="inlineStr">
        <is>
          <t>QUEIJO-QUENTE ARTESANAL</t>
        </is>
      </c>
      <c r="D56" t="inlineStr">
        <is>
          <t>30% FÁBRICA DE BARES - CPF</t>
        </is>
      </c>
      <c r="E56" t="inlineStr">
        <is>
          <t>O DESPERTAR</t>
        </is>
      </c>
      <c r="F56" t="n">
        <v>2</v>
      </c>
      <c r="G56" t="n">
        <v>21</v>
      </c>
      <c r="H56" t="inlineStr">
        <is>
          <t>A</t>
        </is>
      </c>
      <c r="J56" t="inlineStr">
        <is>
          <t>8/2026</t>
        </is>
      </c>
    </row>
    <row r="57">
      <c r="A57" t="inlineStr">
        <is>
          <t>Nuv Gastrobar</t>
        </is>
      </c>
      <c r="B57" s="526" t="n">
        <v>46235</v>
      </c>
      <c r="C57" t="inlineStr">
        <is>
          <t>MATCHA BAUNILHA</t>
        </is>
      </c>
      <c r="D57" t="inlineStr">
        <is>
          <t>30% FÁBRICA DE BARES - CPF</t>
        </is>
      </c>
      <c r="E57" t="inlineStr">
        <is>
          <t>PARA BEBER</t>
        </is>
      </c>
      <c r="F57" t="n">
        <v>1</v>
      </c>
      <c r="G57" t="n">
        <v>7.2</v>
      </c>
      <c r="H57" t="inlineStr">
        <is>
          <t>B</t>
        </is>
      </c>
      <c r="J57" t="inlineStr">
        <is>
          <t>8/2026</t>
        </is>
      </c>
    </row>
    <row r="58">
      <c r="A58" t="inlineStr">
        <is>
          <t>Nuv Gastrobar</t>
        </is>
      </c>
      <c r="B58" s="526" t="n">
        <v>46235</v>
      </c>
      <c r="C58" t="inlineStr">
        <is>
          <t>AGUA MINERAL MAMBA S/GÁS</t>
        </is>
      </c>
      <c r="D58" t="inlineStr">
        <is>
          <t>30% GRUPO AVENTURA - CPF</t>
        </is>
      </c>
      <c r="E58" t="inlineStr">
        <is>
          <t>BEBIDAS</t>
        </is>
      </c>
      <c r="F58" t="n">
        <v>8</v>
      </c>
      <c r="G58" t="n">
        <v>21.6</v>
      </c>
      <c r="H58" t="inlineStr">
        <is>
          <t>B</t>
        </is>
      </c>
      <c r="J58" t="inlineStr">
        <is>
          <t>8/2026</t>
        </is>
      </c>
    </row>
    <row r="59">
      <c r="A59" t="inlineStr">
        <is>
          <t>Nuv Gastrobar</t>
        </is>
      </c>
      <c r="B59" s="526" t="n">
        <v>46235</v>
      </c>
      <c r="C59" t="inlineStr">
        <is>
          <t>CAPPUCCINO AVELÃ</t>
        </is>
      </c>
      <c r="D59" t="inlineStr">
        <is>
          <t>30% GRUPO AVENTURA - CPF</t>
        </is>
      </c>
      <c r="E59" t="inlineStr">
        <is>
          <t>PARA BEBER</t>
        </is>
      </c>
      <c r="F59" t="n">
        <v>1</v>
      </c>
      <c r="G59" t="n">
        <v>6</v>
      </c>
      <c r="H59" t="inlineStr">
        <is>
          <t>B</t>
        </is>
      </c>
      <c r="J59" t="inlineStr">
        <is>
          <t>8/2026</t>
        </is>
      </c>
    </row>
    <row r="60">
      <c r="A60" t="inlineStr">
        <is>
          <t>Nuv Gastrobar</t>
        </is>
      </c>
      <c r="B60" s="526" t="n">
        <v>46235</v>
      </c>
      <c r="C60" t="inlineStr">
        <is>
          <t>COFFEE NEGRONI</t>
        </is>
      </c>
      <c r="D60" t="inlineStr">
        <is>
          <t>30% GRUPO AVENTURA - CPF</t>
        </is>
      </c>
      <c r="E60" t="inlineStr">
        <is>
          <t>COCKTAILS CLÁSSICOS E CONTEMPORÂNEOS</t>
        </is>
      </c>
      <c r="F60" t="n">
        <v>1</v>
      </c>
      <c r="G60" t="n">
        <v>12.6</v>
      </c>
      <c r="H60" t="inlineStr">
        <is>
          <t>B</t>
        </is>
      </c>
      <c r="J60" t="inlineStr">
        <is>
          <t>8/2026</t>
        </is>
      </c>
    </row>
    <row r="61">
      <c r="A61" t="inlineStr">
        <is>
          <t>Nuv Gastrobar</t>
        </is>
      </c>
      <c r="B61" s="526" t="n">
        <v>46235</v>
      </c>
      <c r="C61" t="inlineStr">
        <is>
          <t>TAÇA DE ESPUMANTE</t>
        </is>
      </c>
      <c r="D61" t="inlineStr">
        <is>
          <t>30% GRUPO AVENTURA - CPF</t>
        </is>
      </c>
      <c r="E61" t="inlineStr">
        <is>
          <t>VINHOS</t>
        </is>
      </c>
      <c r="F61" t="n">
        <v>5</v>
      </c>
      <c r="G61" t="n">
        <v>48</v>
      </c>
      <c r="H61" t="inlineStr">
        <is>
          <t>B</t>
        </is>
      </c>
      <c r="J61" t="inlineStr">
        <is>
          <t>8/2026</t>
        </is>
      </c>
    </row>
    <row r="62">
      <c r="A62" t="inlineStr">
        <is>
          <t>Nuv Gastrobar</t>
        </is>
      </c>
      <c r="B62" s="526" t="n">
        <v>46235</v>
      </c>
      <c r="C62" t="inlineStr">
        <is>
          <t>COCA-COLA</t>
        </is>
      </c>
      <c r="D62" t="inlineStr">
        <is>
          <t>30% GRUPO AVENTURA - CPF</t>
        </is>
      </c>
      <c r="E62" t="inlineStr">
        <is>
          <t>BEBIDAS</t>
        </is>
      </c>
      <c r="F62" t="n">
        <v>2</v>
      </c>
      <c r="G62" t="n">
        <v>7.2</v>
      </c>
      <c r="H62" t="inlineStr">
        <is>
          <t>B</t>
        </is>
      </c>
      <c r="J62" t="inlineStr">
        <is>
          <t>8/2026</t>
        </is>
      </c>
    </row>
    <row r="63">
      <c r="A63" t="inlineStr">
        <is>
          <t>Nuv Gastrobar</t>
        </is>
      </c>
      <c r="B63" s="526" t="n">
        <v>46235</v>
      </c>
      <c r="C63" t="inlineStr">
        <is>
          <t>CAFÉ ESPRESSO</t>
        </is>
      </c>
      <c r="D63" t="inlineStr">
        <is>
          <t>30% GRUPO AVENTURA - CPF</t>
        </is>
      </c>
      <c r="E63" t="inlineStr">
        <is>
          <t>PARA BEBER</t>
        </is>
      </c>
      <c r="F63" t="n">
        <v>17</v>
      </c>
      <c r="G63" t="n">
        <v>56.1</v>
      </c>
      <c r="H63" t="inlineStr">
        <is>
          <t>B</t>
        </is>
      </c>
      <c r="J63" t="inlineStr">
        <is>
          <t>8/2026</t>
        </is>
      </c>
    </row>
    <row r="64">
      <c r="A64" t="inlineStr">
        <is>
          <t>Nuv Gastrobar</t>
        </is>
      </c>
      <c r="B64" s="526" t="n">
        <v>46235</v>
      </c>
      <c r="C64" t="inlineStr">
        <is>
          <t>CHEESECAKE DE FRUTAS VERMELHAS</t>
        </is>
      </c>
      <c r="D64" t="inlineStr">
        <is>
          <t>30% GRUPO AVENTURA - CPF</t>
        </is>
      </c>
      <c r="E64" t="inlineStr">
        <is>
          <t>DOCES</t>
        </is>
      </c>
      <c r="F64" t="n">
        <v>1</v>
      </c>
      <c r="G64" t="n">
        <v>10.2</v>
      </c>
      <c r="H64" t="inlineStr">
        <is>
          <t>A</t>
        </is>
      </c>
      <c r="J64" t="inlineStr">
        <is>
          <t>8/2026</t>
        </is>
      </c>
    </row>
    <row r="65">
      <c r="A65" t="inlineStr">
        <is>
          <t>Nuv Gastrobar</t>
        </is>
      </c>
      <c r="B65" s="526" t="n">
        <v>46235</v>
      </c>
      <c r="C65" t="inlineStr">
        <is>
          <t>COLD BREW</t>
        </is>
      </c>
      <c r="D65" t="inlineStr">
        <is>
          <t>30% GRUPO AVENTURA - CPF</t>
        </is>
      </c>
      <c r="E65" t="inlineStr">
        <is>
          <t>PARA BEBER</t>
        </is>
      </c>
      <c r="F65" t="n">
        <v>1</v>
      </c>
      <c r="G65" t="n">
        <v>6</v>
      </c>
      <c r="H65" t="inlineStr">
        <is>
          <t>B</t>
        </is>
      </c>
      <c r="J65" t="inlineStr">
        <is>
          <t>8/2026</t>
        </is>
      </c>
    </row>
    <row r="66">
      <c r="A66" t="inlineStr">
        <is>
          <t>Nuv Gastrobar</t>
        </is>
      </c>
      <c r="B66" s="526" t="n">
        <v>46235</v>
      </c>
      <c r="C66" t="inlineStr">
        <is>
          <t>PÃO DE QUEIJO</t>
        </is>
      </c>
      <c r="D66" t="inlineStr">
        <is>
          <t>30% GRUPO AVENTURA - CPF</t>
        </is>
      </c>
      <c r="E66" t="inlineStr">
        <is>
          <t>O DESPERTAR</t>
        </is>
      </c>
      <c r="F66" t="n">
        <v>3</v>
      </c>
      <c r="G66" t="n">
        <v>13.5</v>
      </c>
      <c r="H66" t="inlineStr">
        <is>
          <t>A</t>
        </is>
      </c>
      <c r="J66" t="inlineStr">
        <is>
          <t>8/2026</t>
        </is>
      </c>
    </row>
    <row r="67">
      <c r="A67" t="inlineStr">
        <is>
          <t>Nuv Gastrobar</t>
        </is>
      </c>
      <c r="B67" s="526" t="n">
        <v>46235</v>
      </c>
      <c r="C67" t="inlineStr">
        <is>
          <t>CAFÉ COM LEITE</t>
        </is>
      </c>
      <c r="D67" t="inlineStr">
        <is>
          <t>30% GRUPO AVENTURA - CPF</t>
        </is>
      </c>
      <c r="E67" t="inlineStr">
        <is>
          <t>PARA BEBER</t>
        </is>
      </c>
      <c r="F67" t="n">
        <v>3</v>
      </c>
      <c r="G67" t="n">
        <v>16.2</v>
      </c>
      <c r="H67" t="inlineStr">
        <is>
          <t>B</t>
        </is>
      </c>
      <c r="J67" t="inlineStr">
        <is>
          <t>8/2026</t>
        </is>
      </c>
    </row>
    <row r="68">
      <c r="A68" t="inlineStr">
        <is>
          <t>Nuv Gastrobar</t>
        </is>
      </c>
      <c r="B68" s="526" t="n">
        <v>46235</v>
      </c>
      <c r="C68" t="inlineStr">
        <is>
          <t>TORTA DE CHOCOLATE</t>
        </is>
      </c>
      <c r="D68" t="inlineStr">
        <is>
          <t>30% GRUPO AVENTURA - CPF</t>
        </is>
      </c>
      <c r="E68" t="inlineStr">
        <is>
          <t>DOCES</t>
        </is>
      </c>
      <c r="F68" t="n">
        <v>2</v>
      </c>
      <c r="G68" t="n">
        <v>19.2</v>
      </c>
      <c r="H68" t="inlineStr">
        <is>
          <t>A</t>
        </is>
      </c>
      <c r="J68" t="inlineStr">
        <is>
          <t>8/2026</t>
        </is>
      </c>
    </row>
    <row r="69">
      <c r="A69" t="inlineStr">
        <is>
          <t>Nuv Gastrobar</t>
        </is>
      </c>
      <c r="B69" s="526" t="n">
        <v>46235</v>
      </c>
      <c r="C69" t="inlineStr">
        <is>
          <t>COXINHA DA CASA</t>
        </is>
      </c>
      <c r="D69" t="inlineStr">
        <is>
          <t>30% GRUPO AVENTURA - CPF</t>
        </is>
      </c>
      <c r="E69" t="inlineStr">
        <is>
          <t>O DESPERTAR</t>
        </is>
      </c>
      <c r="F69" t="n">
        <v>1</v>
      </c>
      <c r="G69" t="n">
        <v>6.3</v>
      </c>
      <c r="H69" t="inlineStr">
        <is>
          <t>A</t>
        </is>
      </c>
      <c r="J69" t="inlineStr">
        <is>
          <t>8/2026</t>
        </is>
      </c>
    </row>
    <row r="70">
      <c r="A70" t="inlineStr">
        <is>
          <t>Nuv Gastrobar</t>
        </is>
      </c>
      <c r="B70" s="526" t="n">
        <v>46235</v>
      </c>
      <c r="C70" t="inlineStr">
        <is>
          <t>EMPADA</t>
        </is>
      </c>
      <c r="D70" t="inlineStr">
        <is>
          <t>30% GRUPO AVENTURA - CPF</t>
        </is>
      </c>
      <c r="E70" t="inlineStr">
        <is>
          <t>O DESPERTAR</t>
        </is>
      </c>
      <c r="F70" t="n">
        <v>1</v>
      </c>
      <c r="G70" t="n">
        <v>6</v>
      </c>
      <c r="H70" t="inlineStr">
        <is>
          <t>A</t>
        </is>
      </c>
      <c r="J70" t="inlineStr">
        <is>
          <t>8/2026</t>
        </is>
      </c>
    </row>
    <row r="71">
      <c r="A71" t="inlineStr">
        <is>
          <t>Nuv Gastrobar</t>
        </is>
      </c>
      <c r="B71" s="526" t="n">
        <v>46235</v>
      </c>
      <c r="C71" t="inlineStr">
        <is>
          <t>AGUA MINERAL MAMBA C/GÁS</t>
        </is>
      </c>
      <c r="D71" t="inlineStr">
        <is>
          <t>30% GRUPO AVENTURA - CPF</t>
        </is>
      </c>
      <c r="E71" t="inlineStr">
        <is>
          <t>BEBIDAS</t>
        </is>
      </c>
      <c r="F71" t="n">
        <v>10</v>
      </c>
      <c r="G71" t="n">
        <v>27</v>
      </c>
      <c r="H71" t="inlineStr">
        <is>
          <t>B</t>
        </is>
      </c>
      <c r="J71" t="inlineStr">
        <is>
          <t>8/2026</t>
        </is>
      </c>
    </row>
    <row r="72">
      <c r="A72" t="inlineStr">
        <is>
          <t>Nuv Gastrobar</t>
        </is>
      </c>
      <c r="B72" s="526" t="n">
        <v>46235</v>
      </c>
      <c r="C72" t="inlineStr">
        <is>
          <t>FANTA GUARANA ZERO</t>
        </is>
      </c>
      <c r="D72" t="inlineStr">
        <is>
          <t>30% GRUPO AVENTURA - CPF</t>
        </is>
      </c>
      <c r="E72" t="inlineStr">
        <is>
          <t>BEBIDAS</t>
        </is>
      </c>
      <c r="F72" t="n">
        <v>1</v>
      </c>
      <c r="G72" t="n">
        <v>3.6</v>
      </c>
      <c r="H72" t="inlineStr">
        <is>
          <t>B</t>
        </is>
      </c>
      <c r="J72" t="inlineStr">
        <is>
          <t>8/2026</t>
        </is>
      </c>
    </row>
    <row r="73">
      <c r="A73" t="inlineStr">
        <is>
          <t>Nuv Gastrobar</t>
        </is>
      </c>
      <c r="B73" s="526" t="n">
        <v>46235</v>
      </c>
      <c r="C73" t="inlineStr">
        <is>
          <t>CHEESEBURGER</t>
        </is>
      </c>
      <c r="D73" t="inlineStr">
        <is>
          <t>30% GRUPO AVENTURA - CPF</t>
        </is>
      </c>
      <c r="E73" t="inlineStr">
        <is>
          <t>SANDUÍCHES</t>
        </is>
      </c>
      <c r="F73" t="n">
        <v>1</v>
      </c>
      <c r="G73" t="n">
        <v>12.6</v>
      </c>
      <c r="H73" t="inlineStr">
        <is>
          <t>A</t>
        </is>
      </c>
      <c r="J73" t="inlineStr">
        <is>
          <t>8/2026</t>
        </is>
      </c>
    </row>
    <row r="74">
      <c r="A74" t="inlineStr">
        <is>
          <t>Nuv Gastrobar</t>
        </is>
      </c>
      <c r="B74" s="526" t="n">
        <v>46235</v>
      </c>
      <c r="C74" t="inlineStr">
        <is>
          <t>BATATAS NO CONE</t>
        </is>
      </c>
      <c r="D74" t="inlineStr">
        <is>
          <t>30% GRUPO AVENTURA - CPF</t>
        </is>
      </c>
      <c r="E74" t="inlineStr">
        <is>
          <t>COMIDINHAS &amp; PRATOS</t>
        </is>
      </c>
      <c r="F74" t="n">
        <v>1</v>
      </c>
      <c r="G74" t="n">
        <v>10.5</v>
      </c>
      <c r="H74" t="inlineStr">
        <is>
          <t>A</t>
        </is>
      </c>
      <c r="J74" t="inlineStr">
        <is>
          <t>8/2026</t>
        </is>
      </c>
    </row>
    <row r="75">
      <c r="A75" t="inlineStr">
        <is>
          <t>Nuv Gastrobar</t>
        </is>
      </c>
      <c r="B75" s="526" t="n">
        <v>46235</v>
      </c>
      <c r="C75" t="inlineStr">
        <is>
          <t>CAESAR SALAD</t>
        </is>
      </c>
      <c r="D75" t="inlineStr">
        <is>
          <t>30% GRUPO AVENTURA - CPF</t>
        </is>
      </c>
      <c r="E75" t="inlineStr">
        <is>
          <t>SALADAS</t>
        </is>
      </c>
      <c r="F75" t="n">
        <v>1</v>
      </c>
      <c r="G75" t="n">
        <v>13.5</v>
      </c>
      <c r="H75" t="inlineStr">
        <is>
          <t>A</t>
        </is>
      </c>
      <c r="J75" t="inlineStr">
        <is>
          <t>8/2026</t>
        </is>
      </c>
    </row>
    <row r="76">
      <c r="A76" t="inlineStr">
        <is>
          <t>Nuv Gastrobar</t>
        </is>
      </c>
      <c r="B76" s="526" t="n">
        <v>46235</v>
      </c>
      <c r="C76" t="inlineStr">
        <is>
          <t>QUEIJO-QUENTE ARTESANAL</t>
        </is>
      </c>
      <c r="D76" t="inlineStr">
        <is>
          <t>30% GRUPO AVENTURA - CPF</t>
        </is>
      </c>
      <c r="E76" t="inlineStr">
        <is>
          <t>O DESPERTAR</t>
        </is>
      </c>
      <c r="F76" t="n">
        <v>1</v>
      </c>
      <c r="G76" t="n">
        <v>10.5</v>
      </c>
      <c r="H76" t="inlineStr">
        <is>
          <t>A</t>
        </is>
      </c>
      <c r="J76" t="inlineStr">
        <is>
          <t>8/2026</t>
        </is>
      </c>
    </row>
    <row r="77">
      <c r="A77" t="inlineStr">
        <is>
          <t>Nuv Gastrobar</t>
        </is>
      </c>
      <c r="B77" s="526" t="n">
        <v>46235</v>
      </c>
      <c r="C77" t="inlineStr">
        <is>
          <t>SUCO NATURAL DE LARANJA</t>
        </is>
      </c>
      <c r="D77" t="inlineStr">
        <is>
          <t>30% GRUPO AVENTURA - CPF</t>
        </is>
      </c>
      <c r="E77" t="inlineStr">
        <is>
          <t>PARA BEBER</t>
        </is>
      </c>
      <c r="F77" t="n">
        <v>1</v>
      </c>
      <c r="G77" t="n">
        <v>5.4</v>
      </c>
      <c r="H77" t="inlineStr">
        <is>
          <t>B</t>
        </is>
      </c>
      <c r="J77" t="inlineStr">
        <is>
          <t>8/2026</t>
        </is>
      </c>
    </row>
    <row r="78">
      <c r="A78" t="inlineStr">
        <is>
          <t>Nuv Gastrobar</t>
        </is>
      </c>
      <c r="B78" s="526" t="n">
        <v>46235</v>
      </c>
      <c r="C78" t="inlineStr">
        <is>
          <t>LATTE MACCHIATO</t>
        </is>
      </c>
      <c r="D78" t="inlineStr">
        <is>
          <t>30% GRUPO AVENTURA - CPF</t>
        </is>
      </c>
      <c r="E78" t="inlineStr">
        <is>
          <t>PARA BEBER</t>
        </is>
      </c>
      <c r="F78" t="n">
        <v>1</v>
      </c>
      <c r="G78" t="n">
        <v>5.4</v>
      </c>
      <c r="H78" t="inlineStr">
        <is>
          <t>B</t>
        </is>
      </c>
      <c r="J78" t="inlineStr">
        <is>
          <t>8/2026</t>
        </is>
      </c>
    </row>
    <row r="79">
      <c r="A79" t="inlineStr">
        <is>
          <t>Nuv Gastrobar</t>
        </is>
      </c>
      <c r="B79" s="526" t="n">
        <v>46235</v>
      </c>
      <c r="C79" t="inlineStr">
        <is>
          <t>COLD BREW CITRUS</t>
        </is>
      </c>
      <c r="D79" t="inlineStr">
        <is>
          <t>30% GRUPO AVENTURA - CPF</t>
        </is>
      </c>
      <c r="E79" t="inlineStr">
        <is>
          <t>PARA BEBER</t>
        </is>
      </c>
      <c r="F79" t="n">
        <v>1</v>
      </c>
      <c r="G79" t="n">
        <v>7.2</v>
      </c>
      <c r="H79" t="inlineStr">
        <is>
          <t>B</t>
        </is>
      </c>
      <c r="J79" t="inlineStr">
        <is>
          <t>8/2026</t>
        </is>
      </c>
    </row>
    <row r="80">
      <c r="A80" t="inlineStr">
        <is>
          <t>Nuv Gastrobar</t>
        </is>
      </c>
      <c r="B80" s="526" t="n">
        <v>46235</v>
      </c>
      <c r="C80" t="inlineStr">
        <is>
          <t>COFFEE NEGRONI</t>
        </is>
      </c>
      <c r="D80" t="inlineStr">
        <is>
          <t>50% SÓCIOS - CPF</t>
        </is>
      </c>
      <c r="E80" t="inlineStr">
        <is>
          <t>COCKTAILS CLÁSSICOS E CONTEMPORÂNEOS</t>
        </is>
      </c>
      <c r="F80" t="n">
        <v>4</v>
      </c>
      <c r="G80" t="n">
        <v>84</v>
      </c>
      <c r="H80" t="inlineStr">
        <is>
          <t>B</t>
        </is>
      </c>
      <c r="J80" t="inlineStr">
        <is>
          <t>8/2026</t>
        </is>
      </c>
    </row>
    <row r="81">
      <c r="A81" t="inlineStr">
        <is>
          <t>Nuv Gastrobar</t>
        </is>
      </c>
      <c r="B81" s="526" t="n">
        <v>46235</v>
      </c>
      <c r="C81" t="inlineStr">
        <is>
          <t>PÃO DE QUEIJO</t>
        </is>
      </c>
      <c r="D81" t="inlineStr">
        <is>
          <t>50% SÓCIOS - CPF</t>
        </is>
      </c>
      <c r="E81" t="inlineStr">
        <is>
          <t>O DESPERTAR</t>
        </is>
      </c>
      <c r="F81" t="n">
        <v>3</v>
      </c>
      <c r="G81" t="n">
        <v>22.5</v>
      </c>
      <c r="H81" t="inlineStr">
        <is>
          <t>A</t>
        </is>
      </c>
      <c r="J81" t="inlineStr">
        <is>
          <t>8/2026</t>
        </is>
      </c>
    </row>
    <row r="82">
      <c r="A82" t="inlineStr">
        <is>
          <t>Nuv Gastrobar</t>
        </is>
      </c>
      <c r="B82" s="526" t="n">
        <v>46235</v>
      </c>
      <c r="C82" t="inlineStr">
        <is>
          <t>COXINHA DA CASA</t>
        </is>
      </c>
      <c r="D82" t="inlineStr">
        <is>
          <t>50% SÓCIOS - CPF</t>
        </is>
      </c>
      <c r="E82" t="inlineStr">
        <is>
          <t>O DESPERTAR</t>
        </is>
      </c>
      <c r="F82" t="n">
        <v>2</v>
      </c>
      <c r="G82" t="n">
        <v>21</v>
      </c>
      <c r="H82" t="inlineStr">
        <is>
          <t>A</t>
        </is>
      </c>
      <c r="J82" t="inlineStr">
        <is>
          <t>8/2026</t>
        </is>
      </c>
    </row>
    <row r="83">
      <c r="A83" t="inlineStr">
        <is>
          <t>Nuv Gastrobar</t>
        </is>
      </c>
      <c r="B83" s="526" t="n">
        <v>46235</v>
      </c>
      <c r="C83" t="inlineStr">
        <is>
          <t>FRANGO FRITO NO BRIOCHE</t>
        </is>
      </c>
      <c r="D83" t="inlineStr">
        <is>
          <t>50% SÓCIOS - CPF</t>
        </is>
      </c>
      <c r="E83" t="inlineStr">
        <is>
          <t>SANDUÍCHES</t>
        </is>
      </c>
      <c r="F83" t="n">
        <v>1</v>
      </c>
      <c r="G83" t="n">
        <v>20</v>
      </c>
      <c r="H83" t="inlineStr">
        <is>
          <t>A</t>
        </is>
      </c>
      <c r="J83" t="inlineStr">
        <is>
          <t>8/2026</t>
        </is>
      </c>
    </row>
    <row r="84">
      <c r="A84" t="inlineStr">
        <is>
          <t>Nuv Gastrobar</t>
        </is>
      </c>
      <c r="B84" s="526" t="n">
        <v>46235</v>
      </c>
      <c r="C84" t="inlineStr">
        <is>
          <t>HOT DOG DA CASA</t>
        </is>
      </c>
      <c r="D84" t="inlineStr">
        <is>
          <t>50% SÓCIOS - CPF</t>
        </is>
      </c>
      <c r="E84" t="inlineStr">
        <is>
          <t>SANDUÍCHES</t>
        </is>
      </c>
      <c r="F84" t="n">
        <v>1</v>
      </c>
      <c r="G84" t="n">
        <v>17.5</v>
      </c>
      <c r="H84" t="inlineStr">
        <is>
          <t>A</t>
        </is>
      </c>
      <c r="J84" t="inlineStr">
        <is>
          <t>8/2026</t>
        </is>
      </c>
    </row>
    <row r="85">
      <c r="A85" t="inlineStr">
        <is>
          <t>Nuv Gastrobar</t>
        </is>
      </c>
      <c r="B85" s="526" t="n">
        <v>46235</v>
      </c>
      <c r="C85" t="inlineStr">
        <is>
          <t>CHEESEBURGER</t>
        </is>
      </c>
      <c r="D85" t="inlineStr">
        <is>
          <t>50% SÓCIOS - CPF</t>
        </is>
      </c>
      <c r="E85" t="inlineStr">
        <is>
          <t>SANDUÍCHES</t>
        </is>
      </c>
      <c r="F85" t="n">
        <v>1</v>
      </c>
      <c r="G85" t="n">
        <v>27</v>
      </c>
      <c r="H85" t="inlineStr">
        <is>
          <t>A</t>
        </is>
      </c>
      <c r="J85" t="inlineStr">
        <is>
          <t>8/2026</t>
        </is>
      </c>
    </row>
    <row r="86">
      <c r="A86" t="inlineStr">
        <is>
          <t>Nuv Gastrobar</t>
        </is>
      </c>
      <c r="B86" s="526" t="n">
        <v>46235</v>
      </c>
      <c r="C86" t="inlineStr">
        <is>
          <t>CROISSANT COM REQUEIJÃO</t>
        </is>
      </c>
      <c r="D86" t="inlineStr">
        <is>
          <t>50% SÓCIOS - CPF</t>
        </is>
      </c>
      <c r="E86" t="inlineStr">
        <is>
          <t>O DESPERTAR</t>
        </is>
      </c>
      <c r="F86" t="n">
        <v>1</v>
      </c>
      <c r="G86" t="n">
        <v>12.5</v>
      </c>
      <c r="H86" t="inlineStr">
        <is>
          <t>A</t>
        </is>
      </c>
      <c r="J86" t="inlineStr">
        <is>
          <t>8/2026</t>
        </is>
      </c>
    </row>
    <row r="87">
      <c r="A87" t="inlineStr">
        <is>
          <t>Nuv Gastrobar</t>
        </is>
      </c>
      <c r="B87" s="526" t="n">
        <v>46235</v>
      </c>
      <c r="C87" t="inlineStr">
        <is>
          <t>AGUA MINERAL MAMBA S/GÁS</t>
        </is>
      </c>
      <c r="D87" t="inlineStr">
        <is>
          <t>50% SÓCIOS - CPF</t>
        </is>
      </c>
      <c r="E87" t="inlineStr">
        <is>
          <t>BEBIDAS</t>
        </is>
      </c>
      <c r="F87" t="n">
        <v>1</v>
      </c>
      <c r="G87" t="n">
        <v>4.5</v>
      </c>
      <c r="H87" t="inlineStr">
        <is>
          <t>B</t>
        </is>
      </c>
      <c r="J87" t="inlineStr">
        <is>
          <t>8/2026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B1:T83"/>
  <sheetViews>
    <sheetView showGridLines="0" zoomScale="80" zoomScaleNormal="80" workbookViewId="0">
      <selection activeCell="F16" sqref="F16"/>
    </sheetView>
  </sheetViews>
  <sheetFormatPr baseColWidth="8" defaultRowHeight="14.4" outlineLevelRow="1"/>
  <cols>
    <col width="3.6640625" customWidth="1" min="1" max="1"/>
    <col width="29.33203125" customWidth="1" min="2" max="2"/>
    <col width="16.6640625" bestFit="1" customWidth="1" min="3" max="3"/>
    <col width="25" bestFit="1" customWidth="1" min="4" max="4"/>
    <col width="18.77734375" bestFit="1" customWidth="1" min="5" max="5"/>
    <col width="18.33203125" bestFit="1" customWidth="1" min="6" max="6"/>
    <col width="13.6640625" bestFit="1" customWidth="1" min="7" max="19"/>
    <col width="15" bestFit="1" customWidth="1" min="20" max="20"/>
  </cols>
  <sheetData>
    <row r="1" ht="26.4" customFormat="1" customHeight="1" s="500">
      <c r="B1" s="499" t="inlineStr">
        <is>
          <t>BLUE NOTE SP</t>
        </is>
      </c>
    </row>
    <row r="3">
      <c r="B3" s="356" t="inlineStr">
        <is>
          <t>Descrição</t>
        </is>
      </c>
      <c r="C3" s="356" t="inlineStr">
        <is>
          <t>%</t>
        </is>
      </c>
      <c r="D3" s="356" t="n">
        <v>1</v>
      </c>
      <c r="E3" s="356">
        <f>D3+1</f>
        <v/>
      </c>
      <c r="F3" s="356" t="n">
        <v>3</v>
      </c>
      <c r="G3" s="356" t="inlineStr">
        <is>
          <t>1º TRI</t>
        </is>
      </c>
      <c r="H3" s="356">
        <f>F3+1</f>
        <v/>
      </c>
      <c r="I3" s="356">
        <f>H3+1</f>
        <v/>
      </c>
      <c r="J3" s="356" t="n">
        <v>6</v>
      </c>
      <c r="K3" s="356" t="inlineStr">
        <is>
          <t>2º TRI</t>
        </is>
      </c>
      <c r="L3" s="356" t="n">
        <v>7</v>
      </c>
      <c r="M3" s="356">
        <f>L3+1</f>
        <v/>
      </c>
      <c r="N3" s="356" t="n">
        <v>9</v>
      </c>
      <c r="O3" s="356" t="inlineStr">
        <is>
          <t>3º TRI</t>
        </is>
      </c>
      <c r="P3" s="356" t="n">
        <v>10</v>
      </c>
      <c r="Q3" s="356">
        <f>P3+1</f>
        <v/>
      </c>
      <c r="R3" s="356" t="n">
        <v>12</v>
      </c>
      <c r="S3" s="356" t="inlineStr">
        <is>
          <t>4º TRI</t>
        </is>
      </c>
      <c r="T3" s="356" t="inlineStr">
        <is>
          <t>Total</t>
        </is>
      </c>
    </row>
    <row r="4">
      <c r="B4" s="357" t="inlineStr">
        <is>
          <t>Receita Serviços</t>
        </is>
      </c>
      <c r="C4" s="358" t="n"/>
      <c r="D4" s="359">
        <f>SUM(D5:D8)</f>
        <v/>
      </c>
      <c r="E4" s="359">
        <f>SUM(E5:E8)</f>
        <v/>
      </c>
      <c r="F4" s="359">
        <f>SUM(F5:F8)</f>
        <v/>
      </c>
      <c r="G4" s="566">
        <f>SUM(G5:G8)</f>
        <v/>
      </c>
      <c r="H4" s="567">
        <f>SUM(H5:H8)</f>
        <v/>
      </c>
      <c r="I4" s="567">
        <f>SUM(I5:I8)</f>
        <v/>
      </c>
      <c r="J4" s="567">
        <f>SUM(J5:J8)</f>
        <v/>
      </c>
      <c r="K4" s="566">
        <f>SUM(K5:K8)</f>
        <v/>
      </c>
      <c r="L4" s="567">
        <f>SUM(L5:L8)</f>
        <v/>
      </c>
      <c r="M4" s="567">
        <f>SUM(M5:M8)</f>
        <v/>
      </c>
      <c r="N4" s="567">
        <f>SUM(N5:N8)</f>
        <v/>
      </c>
      <c r="O4" s="566">
        <f>SUM(O5:O8)</f>
        <v/>
      </c>
      <c r="P4" s="567">
        <f>SUM(P5:P8)</f>
        <v/>
      </c>
      <c r="Q4" s="567">
        <f>SUM(Q5:Q8)</f>
        <v/>
      </c>
      <c r="R4" s="567">
        <f>SUM(R5:R8)</f>
        <v/>
      </c>
      <c r="S4" s="566">
        <f>SUM(S5:S8)</f>
        <v/>
      </c>
      <c r="T4" s="568">
        <f>SUM(G4,K4,O4,S4)</f>
        <v/>
      </c>
    </row>
    <row r="5" outlineLevel="1">
      <c r="B5" s="363" t="inlineStr">
        <is>
          <t>Eventos Couvert</t>
        </is>
      </c>
      <c r="D5" s="354">
        <f>DRE!J15</f>
        <v/>
      </c>
      <c r="E5" s="354">
        <f>DRE!M15</f>
        <v/>
      </c>
      <c r="F5" s="354">
        <f>DRE!P15</f>
        <v/>
      </c>
      <c r="G5" s="569">
        <f>SUM(D5:F5)</f>
        <v/>
      </c>
      <c r="H5" s="354">
        <f>DRE!S15</f>
        <v/>
      </c>
      <c r="I5" s="354">
        <f>DRE!V15</f>
        <v/>
      </c>
      <c r="J5" s="527">
        <f>DRE!Y15</f>
        <v/>
      </c>
      <c r="K5" s="569">
        <f>SUM(H5:J5)</f>
        <v/>
      </c>
      <c r="L5" s="527">
        <f>DRE!AB15</f>
        <v/>
      </c>
      <c r="M5" s="527">
        <f>DRE!AE15</f>
        <v/>
      </c>
      <c r="N5" s="527">
        <f>DRE!AH15</f>
        <v/>
      </c>
      <c r="O5" s="569">
        <f>SUM(L5:N5)</f>
        <v/>
      </c>
      <c r="P5" s="527">
        <f>DRE!AK15</f>
        <v/>
      </c>
      <c r="Q5" s="527">
        <f>DRE!AN15</f>
        <v/>
      </c>
      <c r="R5" s="527">
        <f>DRE!AQ15</f>
        <v/>
      </c>
      <c r="S5" s="569">
        <f>SUM(P5:R5)</f>
        <v/>
      </c>
      <c r="T5" s="570">
        <f>SUM(G5,K5,O5,S5)</f>
        <v/>
      </c>
    </row>
    <row r="6" outlineLevel="1">
      <c r="B6" s="363" t="inlineStr">
        <is>
          <t>Eventos Locações</t>
        </is>
      </c>
      <c r="D6" s="354">
        <f>DRE!J16</f>
        <v/>
      </c>
      <c r="E6" s="354">
        <f>DRE!M16</f>
        <v/>
      </c>
      <c r="F6" s="354">
        <f>DRE!P16</f>
        <v/>
      </c>
      <c r="G6" s="569">
        <f>SUM(D6:F6)</f>
        <v/>
      </c>
      <c r="H6" s="354">
        <f>DRE!S16</f>
        <v/>
      </c>
      <c r="I6" s="354">
        <f>DRE!V16</f>
        <v/>
      </c>
      <c r="J6" s="527">
        <f>DRE!Y16</f>
        <v/>
      </c>
      <c r="K6" s="569">
        <f>SUM(H6:J6)</f>
        <v/>
      </c>
      <c r="L6" s="527">
        <f>DRE!AB16</f>
        <v/>
      </c>
      <c r="M6" s="527">
        <f>DRE!AE16</f>
        <v/>
      </c>
      <c r="N6" s="527">
        <f>DRE!AH16</f>
        <v/>
      </c>
      <c r="O6" s="569">
        <f>SUM(L6:N6)</f>
        <v/>
      </c>
      <c r="P6" s="527">
        <f>DRE!AK16</f>
        <v/>
      </c>
      <c r="Q6" s="527">
        <f>DRE!AN16</f>
        <v/>
      </c>
      <c r="R6" s="527">
        <f>DRE!AQ16</f>
        <v/>
      </c>
      <c r="S6" s="569">
        <f>SUM(P6:R6)</f>
        <v/>
      </c>
      <c r="T6" s="570">
        <f>SUM(G6,K6,O6,S6)</f>
        <v/>
      </c>
    </row>
    <row r="7" outlineLevel="1">
      <c r="B7" s="363" t="inlineStr">
        <is>
          <t>Eventos Rebate Fornecedores</t>
        </is>
      </c>
      <c r="D7" s="354">
        <f>DRE!J17</f>
        <v/>
      </c>
      <c r="E7" s="354">
        <f>DRE!M17</f>
        <v/>
      </c>
      <c r="F7" s="354">
        <f>DRE!P17</f>
        <v/>
      </c>
      <c r="G7" s="569">
        <f>SUM(D7:F7)</f>
        <v/>
      </c>
      <c r="H7" s="354">
        <f>DRE!S17</f>
        <v/>
      </c>
      <c r="I7" s="354">
        <f>DRE!V17</f>
        <v/>
      </c>
      <c r="J7" s="527">
        <f>DRE!Y17</f>
        <v/>
      </c>
      <c r="K7" s="569">
        <f>SUM(H7:J7)</f>
        <v/>
      </c>
      <c r="L7" s="527">
        <f>DRE!AB17</f>
        <v/>
      </c>
      <c r="M7" s="527">
        <f>DRE!AE17</f>
        <v/>
      </c>
      <c r="N7" s="527">
        <f>DRE!AH17</f>
        <v/>
      </c>
      <c r="O7" s="569">
        <f>SUM(L7:N7)</f>
        <v/>
      </c>
      <c r="P7" s="527">
        <f>DRE!AK17</f>
        <v/>
      </c>
      <c r="Q7" s="527">
        <f>DRE!AN17</f>
        <v/>
      </c>
      <c r="R7" s="527">
        <f>DRE!AQ17</f>
        <v/>
      </c>
      <c r="S7" s="569">
        <f>SUM(P7:R7)</f>
        <v/>
      </c>
      <c r="T7" s="570">
        <f>SUM(G7,K7,O7,S7)</f>
        <v/>
      </c>
    </row>
    <row r="8" outlineLevel="1">
      <c r="B8" s="363" t="inlineStr">
        <is>
          <t>Gifts</t>
        </is>
      </c>
      <c r="D8" s="354">
        <f>DRE!J12</f>
        <v/>
      </c>
      <c r="E8" s="354">
        <f>DRE!M12</f>
        <v/>
      </c>
      <c r="F8" s="354">
        <f>DRE!P12</f>
        <v/>
      </c>
      <c r="G8" s="569">
        <f>SUM(D8:F8)</f>
        <v/>
      </c>
      <c r="H8" s="354">
        <f>DRE!S12</f>
        <v/>
      </c>
      <c r="I8" s="354">
        <f>DRE!V12</f>
        <v/>
      </c>
      <c r="J8" s="527">
        <f>DRE!Y12</f>
        <v/>
      </c>
      <c r="K8" s="569">
        <f>SUM(H8:J8)</f>
        <v/>
      </c>
      <c r="L8" s="527">
        <f>DRE!AB12</f>
        <v/>
      </c>
      <c r="M8" s="527">
        <f>DRE!AE12</f>
        <v/>
      </c>
      <c r="N8" s="527">
        <f>DRE!AH12</f>
        <v/>
      </c>
      <c r="O8" s="569">
        <f>SUM(L8:N8)</f>
        <v/>
      </c>
      <c r="P8" s="527">
        <f>DRE!AK12</f>
        <v/>
      </c>
      <c r="Q8" s="527">
        <f>DRE!AN12</f>
        <v/>
      </c>
      <c r="R8" s="527">
        <f>DRE!AQ12</f>
        <v/>
      </c>
      <c r="S8" s="569">
        <f>SUM(P8:R8)</f>
        <v/>
      </c>
      <c r="T8" s="570">
        <f>SUM(G8,K8,O8,S8)</f>
        <v/>
      </c>
    </row>
    <row r="9">
      <c r="B9" s="357" t="inlineStr">
        <is>
          <t>Receita Comércio</t>
        </is>
      </c>
      <c r="C9" s="358" t="n"/>
      <c r="D9" s="359">
        <f>SUM(D10:D15)-D11</f>
        <v/>
      </c>
      <c r="E9" s="359">
        <f>SUM(E10:E15)-E11</f>
        <v/>
      </c>
      <c r="F9" s="359">
        <f>SUM(F10:F15)-F11</f>
        <v/>
      </c>
      <c r="G9" s="566">
        <f>SUM(G10:G15)-G11</f>
        <v/>
      </c>
      <c r="H9" s="567">
        <f>SUM(H10:H15)-H11</f>
        <v/>
      </c>
      <c r="I9" s="567">
        <f>SUM(I10:I15)-I11</f>
        <v/>
      </c>
      <c r="J9" s="567">
        <f>SUM(J10:J15)-J11</f>
        <v/>
      </c>
      <c r="K9" s="566">
        <f>SUM(K10:K15)-K11</f>
        <v/>
      </c>
      <c r="L9" s="567">
        <f>SUM(L10:L15)-L11</f>
        <v/>
      </c>
      <c r="M9" s="567">
        <f>SUM(M10:M15)-M11</f>
        <v/>
      </c>
      <c r="N9" s="567">
        <f>SUM(N10:N15)-N11</f>
        <v/>
      </c>
      <c r="O9" s="566">
        <f>SUM(O10:O15)-O11</f>
        <v/>
      </c>
      <c r="P9" s="567">
        <f>SUM(P10:P15)-P11</f>
        <v/>
      </c>
      <c r="Q9" s="567">
        <f>SUM(Q10:Q15)-Q11</f>
        <v/>
      </c>
      <c r="R9" s="567">
        <f>SUM(R10:R15)-R11</f>
        <v/>
      </c>
      <c r="S9" s="566">
        <f>SUM(S10:S15)-S11</f>
        <v/>
      </c>
      <c r="T9" s="568">
        <f>SUM(G9,K9,O9,S9)</f>
        <v/>
      </c>
    </row>
    <row r="10" outlineLevel="1">
      <c r="B10" s="363" t="inlineStr">
        <is>
          <t>Eventos A&amp;B</t>
        </is>
      </c>
      <c r="D10" s="354">
        <f>DRE!J14</f>
        <v/>
      </c>
      <c r="E10" s="354">
        <f>DRE!M14</f>
        <v/>
      </c>
      <c r="F10" s="354">
        <f>DRE!P14</f>
        <v/>
      </c>
      <c r="G10" s="569">
        <f>SUM(D10:F10)</f>
        <v/>
      </c>
      <c r="H10" s="354">
        <f>DRE!S14</f>
        <v/>
      </c>
      <c r="I10" s="354">
        <f>DRE!V14</f>
        <v/>
      </c>
      <c r="J10" s="527">
        <f>DRE!Y14</f>
        <v/>
      </c>
      <c r="K10" s="569">
        <f>SUM(H10:J10)</f>
        <v/>
      </c>
      <c r="L10" s="527">
        <f>DRE!AB14</f>
        <v/>
      </c>
      <c r="M10" s="527">
        <f>DRE!AE14</f>
        <v/>
      </c>
      <c r="N10" s="527">
        <f>DRE!AH14</f>
        <v/>
      </c>
      <c r="O10" s="569">
        <f>SUM(L10:N10)</f>
        <v/>
      </c>
      <c r="P10" s="527">
        <f>DRE!AK14</f>
        <v/>
      </c>
      <c r="Q10" s="527">
        <f>DRE!AN14</f>
        <v/>
      </c>
      <c r="R10" s="527">
        <f>DRE!AQ14</f>
        <v/>
      </c>
      <c r="S10" s="569">
        <f>SUM(P10:R10)</f>
        <v/>
      </c>
      <c r="T10" s="570">
        <f>SUM(G10,K10,O10,S10)</f>
        <v/>
      </c>
    </row>
    <row r="11" outlineLevel="1">
      <c r="B11" s="363" t="inlineStr">
        <is>
          <t>Serviço (Gorjeta)</t>
        </is>
      </c>
      <c r="D11" s="354">
        <f>DRE!J13</f>
        <v/>
      </c>
      <c r="E11" s="354">
        <f>DRE!M13</f>
        <v/>
      </c>
      <c r="F11" s="354">
        <f>DRE!P13</f>
        <v/>
      </c>
      <c r="G11" s="569">
        <f>SUM(D11:F11)</f>
        <v/>
      </c>
      <c r="H11" s="354">
        <f>DRE!S13</f>
        <v/>
      </c>
      <c r="I11" s="354">
        <f>DRE!V13</f>
        <v/>
      </c>
      <c r="J11" s="527">
        <f>DRE!Y13</f>
        <v/>
      </c>
      <c r="K11" s="569">
        <f>SUM(H11:J11)</f>
        <v/>
      </c>
      <c r="L11" s="527">
        <f>DRE!AB13</f>
        <v/>
      </c>
      <c r="M11" s="527">
        <f>DRE!AE13</f>
        <v/>
      </c>
      <c r="N11" s="527">
        <f>DRE!AH13</f>
        <v/>
      </c>
      <c r="O11" s="569">
        <f>SUM(L11:N11)</f>
        <v/>
      </c>
      <c r="P11" s="527">
        <f>DRE!AK13</f>
        <v/>
      </c>
      <c r="Q11" s="527">
        <f>DRE!AN13</f>
        <v/>
      </c>
      <c r="R11" s="527">
        <f>DRE!AQ13</f>
        <v/>
      </c>
      <c r="S11" s="569">
        <f>SUM(P11:R11)</f>
        <v/>
      </c>
      <c r="T11" s="570">
        <f>SUM(G11,K11,O11,S11)</f>
        <v/>
      </c>
    </row>
    <row r="12" outlineLevel="1">
      <c r="B12" s="363" t="inlineStr">
        <is>
          <t>Alimentação</t>
        </is>
      </c>
      <c r="D12" s="354">
        <f>DRE!J9</f>
        <v/>
      </c>
      <c r="E12" s="354">
        <f>DRE!M9</f>
        <v/>
      </c>
      <c r="F12" s="354">
        <f>DRE!P9</f>
        <v/>
      </c>
      <c r="G12" s="569">
        <f>SUM(D12:F12)</f>
        <v/>
      </c>
      <c r="H12" s="354">
        <f>DRE!S9</f>
        <v/>
      </c>
      <c r="I12" s="354">
        <f>DRE!V9</f>
        <v/>
      </c>
      <c r="J12" s="527">
        <f>DRE!Y9</f>
        <v/>
      </c>
      <c r="K12" s="569">
        <f>SUM(H12:J12)</f>
        <v/>
      </c>
      <c r="L12" s="527">
        <f>DRE!AB9</f>
        <v/>
      </c>
      <c r="M12" s="527">
        <f>DRE!AE9</f>
        <v/>
      </c>
      <c r="N12" s="527">
        <f>DRE!AH9</f>
        <v/>
      </c>
      <c r="O12" s="569">
        <f>SUM(L12:N12)</f>
        <v/>
      </c>
      <c r="P12" s="527">
        <f>DRE!AK9</f>
        <v/>
      </c>
      <c r="Q12" s="527">
        <f>DRE!AN9</f>
        <v/>
      </c>
      <c r="R12" s="527">
        <f>DRE!AQ9</f>
        <v/>
      </c>
      <c r="S12" s="569">
        <f>SUM(P12:R12)</f>
        <v/>
      </c>
      <c r="T12" s="570">
        <f>SUM(G12,K12,O12,S12)</f>
        <v/>
      </c>
    </row>
    <row r="13" outlineLevel="1">
      <c r="B13" s="363" t="inlineStr">
        <is>
          <t>Bebida</t>
        </is>
      </c>
      <c r="D13" s="354">
        <f>DRE!J10</f>
        <v/>
      </c>
      <c r="E13" s="354">
        <f>DRE!M10</f>
        <v/>
      </c>
      <c r="F13" s="354">
        <f>DRE!P10</f>
        <v/>
      </c>
      <c r="G13" s="569">
        <f>SUM(D13:F13)</f>
        <v/>
      </c>
      <c r="H13" s="354">
        <f>DRE!S10</f>
        <v/>
      </c>
      <c r="I13" s="354">
        <f>DRE!V10</f>
        <v/>
      </c>
      <c r="J13" s="527">
        <f>DRE!Y10</f>
        <v/>
      </c>
      <c r="K13" s="569">
        <f>SUM(H13:J13)</f>
        <v/>
      </c>
      <c r="L13" s="527">
        <f>DRE!AB10</f>
        <v/>
      </c>
      <c r="M13" s="527">
        <f>DRE!AE10</f>
        <v/>
      </c>
      <c r="N13" s="527">
        <f>DRE!AH10</f>
        <v/>
      </c>
      <c r="O13" s="569">
        <f>SUM(L13:N13)</f>
        <v/>
      </c>
      <c r="P13" s="527">
        <f>DRE!AK10</f>
        <v/>
      </c>
      <c r="Q13" s="527">
        <f>DRE!AN10</f>
        <v/>
      </c>
      <c r="R13" s="527">
        <f>DRE!AQ10</f>
        <v/>
      </c>
      <c r="S13" s="569">
        <f>SUM(P13:R13)</f>
        <v/>
      </c>
      <c r="T13" s="570">
        <f>SUM(G13,K13,O13,S13)</f>
        <v/>
      </c>
    </row>
    <row r="14" outlineLevel="1">
      <c r="B14" s="363" t="inlineStr">
        <is>
          <t>Artístico (couvert/shows)</t>
        </is>
      </c>
      <c r="D14" s="354">
        <f>DRE!J11</f>
        <v/>
      </c>
      <c r="E14" s="354">
        <f>DRE!M11</f>
        <v/>
      </c>
      <c r="F14" s="354">
        <f>DRE!P11</f>
        <v/>
      </c>
      <c r="G14" s="569">
        <f>SUM(D14:F14)</f>
        <v/>
      </c>
      <c r="H14" s="354">
        <f>DRE!S11</f>
        <v/>
      </c>
      <c r="I14" s="354">
        <f>DRE!V11</f>
        <v/>
      </c>
      <c r="J14" s="527">
        <f>DRE!Y11</f>
        <v/>
      </c>
      <c r="K14" s="569">
        <f>SUM(H14:J14)</f>
        <v/>
      </c>
      <c r="L14" s="527">
        <f>DRE!AB11</f>
        <v/>
      </c>
      <c r="M14" s="527">
        <f>DRE!AE11</f>
        <v/>
      </c>
      <c r="N14" s="527">
        <f>DRE!AH11</f>
        <v/>
      </c>
      <c r="O14" s="569">
        <f>SUM(L14:N14)</f>
        <v/>
      </c>
      <c r="P14" s="527">
        <f>DRE!AK11</f>
        <v/>
      </c>
      <c r="Q14" s="527">
        <f>DRE!AN11</f>
        <v/>
      </c>
      <c r="R14" s="527">
        <f>DRE!AQ11</f>
        <v/>
      </c>
      <c r="S14" s="569">
        <f>SUM(P14:R14)</f>
        <v/>
      </c>
      <c r="T14" s="570">
        <f>SUM(G14,K14,O14,S14)</f>
        <v/>
      </c>
    </row>
    <row r="15" outlineLevel="1">
      <c r="B15" s="363" t="inlineStr">
        <is>
          <t>Delivery</t>
        </is>
      </c>
      <c r="D15" s="354">
        <f>DRE!J18</f>
        <v/>
      </c>
      <c r="E15" s="354">
        <f>DRE!M18</f>
        <v/>
      </c>
      <c r="F15" s="354">
        <f>DRE!P18</f>
        <v/>
      </c>
      <c r="G15" s="569">
        <f>SUM(D15:F15)</f>
        <v/>
      </c>
      <c r="H15" s="354">
        <f>DRE!S18</f>
        <v/>
      </c>
      <c r="I15" s="354">
        <f>DRE!V18</f>
        <v/>
      </c>
      <c r="J15" s="527">
        <f>DRE!Y18</f>
        <v/>
      </c>
      <c r="K15" s="569">
        <f>SUM(H15:J15)</f>
        <v/>
      </c>
      <c r="L15" s="527">
        <f>DRE!AB18</f>
        <v/>
      </c>
      <c r="M15" s="527">
        <f>DRE!AE18</f>
        <v/>
      </c>
      <c r="N15" s="527">
        <f>DRE!AH18</f>
        <v/>
      </c>
      <c r="O15" s="569">
        <f>SUM(L15:N15)</f>
        <v/>
      </c>
      <c r="P15" s="527">
        <f>DRE!AK18</f>
        <v/>
      </c>
      <c r="Q15" s="527">
        <f>DRE!AN18</f>
        <v/>
      </c>
      <c r="R15" s="527">
        <f>DRE!AQ18</f>
        <v/>
      </c>
      <c r="S15" s="569">
        <f>SUM(P15:R15)</f>
        <v/>
      </c>
      <c r="T15" s="570">
        <f>SUM(G15,K15,O15,S15)</f>
        <v/>
      </c>
    </row>
    <row r="16">
      <c r="B16" s="357" t="inlineStr">
        <is>
          <t>Outras Receitas Não operacional</t>
        </is>
      </c>
      <c r="C16" s="358" t="n"/>
      <c r="D16" s="366">
        <f>DRE!J19</f>
        <v/>
      </c>
      <c r="E16" s="366">
        <f>DRE!M19</f>
        <v/>
      </c>
      <c r="F16" s="366">
        <f>DRE!P19</f>
        <v/>
      </c>
      <c r="G16" s="566">
        <f>SUM(D16:F16)</f>
        <v/>
      </c>
      <c r="H16" s="366">
        <f>DRE!S19</f>
        <v/>
      </c>
      <c r="I16" s="366">
        <f>DRE!V19</f>
        <v/>
      </c>
      <c r="J16" s="567">
        <f>DRE!Y19</f>
        <v/>
      </c>
      <c r="K16" s="569">
        <f>SUM(H16:J16)</f>
        <v/>
      </c>
      <c r="L16" s="567">
        <f>DRE!AB19</f>
        <v/>
      </c>
      <c r="M16" s="567">
        <f>DRE!AE19</f>
        <v/>
      </c>
      <c r="N16" s="567">
        <f>DRE!AH19</f>
        <v/>
      </c>
      <c r="O16" s="569">
        <f>SUM(L16:N16)</f>
        <v/>
      </c>
      <c r="P16" s="567">
        <f>DRE!AK19</f>
        <v/>
      </c>
      <c r="Q16" s="567">
        <f>DRE!AN19</f>
        <v/>
      </c>
      <c r="R16" s="567">
        <f>DRE!AQ19</f>
        <v/>
      </c>
      <c r="S16" s="569">
        <f>SUM(P16:R16)</f>
        <v/>
      </c>
      <c r="T16" s="568">
        <f>SUM(G16,K16,O16,S16)</f>
        <v/>
      </c>
    </row>
    <row r="17" ht="15" customHeight="1" thickBot="1">
      <c r="B17" s="367" t="inlineStr">
        <is>
          <t>Total receitas</t>
        </is>
      </c>
      <c r="C17" s="368" t="n"/>
      <c r="D17" s="571">
        <f>D4+D9+D16+D11</f>
        <v/>
      </c>
      <c r="E17" s="571">
        <f>E4+E9+E16+E11</f>
        <v/>
      </c>
      <c r="F17" s="571">
        <f>F4+F9+F16+F11</f>
        <v/>
      </c>
      <c r="G17" s="572">
        <f>G4+G9+G16+G11</f>
        <v/>
      </c>
      <c r="H17" s="571">
        <f>H4+H9+H16+H11</f>
        <v/>
      </c>
      <c r="I17" s="571">
        <f>I4+I9+I16+I11</f>
        <v/>
      </c>
      <c r="J17" s="571">
        <f>J4+J9+J16+J11</f>
        <v/>
      </c>
      <c r="K17" s="572">
        <f>K4+K9+K16+K11</f>
        <v/>
      </c>
      <c r="L17" s="571">
        <f>L4+L9+L16+L11</f>
        <v/>
      </c>
      <c r="M17" s="571">
        <f>M4+M9+M16+M11</f>
        <v/>
      </c>
      <c r="N17" s="571">
        <f>N4+N9+N16+N11</f>
        <v/>
      </c>
      <c r="O17" s="572">
        <f>O4+O9+O16+O11</f>
        <v/>
      </c>
      <c r="P17" s="571">
        <f>P4+P9+P16+P11</f>
        <v/>
      </c>
      <c r="Q17" s="571">
        <f>Q4+Q9+Q16+Q11</f>
        <v/>
      </c>
      <c r="R17" s="571">
        <f>R4+R9+R16+R11</f>
        <v/>
      </c>
      <c r="S17" s="572">
        <f>S4+S9+S16+S11</f>
        <v/>
      </c>
      <c r="T17" s="573">
        <f>SUM(G17,K17,O17,S17)</f>
        <v/>
      </c>
    </row>
    <row r="18">
      <c r="B18" s="358" t="n"/>
      <c r="C18" s="358" t="n"/>
      <c r="D18" s="567" t="n"/>
      <c r="E18" s="567" t="n"/>
      <c r="F18" s="567" t="n"/>
      <c r="G18" s="567" t="n"/>
      <c r="H18" s="567" t="n"/>
      <c r="I18" s="567" t="n"/>
      <c r="J18" s="567" t="n"/>
      <c r="K18" s="567" t="n"/>
      <c r="L18" s="567" t="n"/>
      <c r="M18" s="567" t="n"/>
      <c r="N18" s="567" t="n"/>
      <c r="O18" s="567" t="n"/>
      <c r="P18" s="567" t="n"/>
      <c r="Q18" s="567" t="n"/>
      <c r="R18" s="567" t="n"/>
      <c r="S18" s="567" t="n"/>
      <c r="T18" s="567" t="n"/>
    </row>
    <row r="19" ht="14.7" customHeight="1" thickBot="1">
      <c r="D19" s="527" t="n"/>
      <c r="E19" s="527" t="n"/>
      <c r="F19" s="527" t="n"/>
      <c r="G19" s="527" t="n"/>
      <c r="H19" s="527" t="n"/>
      <c r="I19" s="527" t="n"/>
      <c r="J19" s="527" t="n"/>
      <c r="K19" s="527" t="n"/>
      <c r="L19" s="527" t="n"/>
      <c r="M19" s="527" t="n"/>
      <c r="N19" s="527" t="n"/>
      <c r="O19" s="527" t="n"/>
      <c r="P19" s="527" t="n"/>
      <c r="Q19" s="527" t="n"/>
      <c r="R19" s="527" t="n"/>
      <c r="S19" s="527" t="n"/>
      <c r="T19" s="567" t="n"/>
    </row>
    <row r="20">
      <c r="B20" s="372" t="inlineStr">
        <is>
          <t>ISS</t>
        </is>
      </c>
      <c r="C20" s="373" t="n">
        <v>0.05</v>
      </c>
      <c r="D20" s="574">
        <f>D$4*$C$20</f>
        <v/>
      </c>
      <c r="E20" s="574">
        <f>E$4*$C$20</f>
        <v/>
      </c>
      <c r="F20" s="574">
        <f>F$4*$C$20</f>
        <v/>
      </c>
      <c r="G20" s="575">
        <f>G4*$C$20</f>
        <v/>
      </c>
      <c r="H20" s="574">
        <f>H$4*$C$20</f>
        <v/>
      </c>
      <c r="I20" s="574">
        <f>I$4*$C$20</f>
        <v/>
      </c>
      <c r="J20" s="574">
        <f>J$4*$C$20</f>
        <v/>
      </c>
      <c r="K20" s="575">
        <f>K4*$C$20</f>
        <v/>
      </c>
      <c r="L20" s="574">
        <f>L$4*$C$20</f>
        <v/>
      </c>
      <c r="M20" s="574">
        <f>M$4*$C$20</f>
        <v/>
      </c>
      <c r="N20" s="574">
        <f>N$4*$C$20</f>
        <v/>
      </c>
      <c r="O20" s="575">
        <f>O4*$C$20</f>
        <v/>
      </c>
      <c r="P20" s="574">
        <f>P$4*$C$20</f>
        <v/>
      </c>
      <c r="Q20" s="574">
        <f>Q$4*$C$20</f>
        <v/>
      </c>
      <c r="R20" s="574">
        <f>R$4*$C$20</f>
        <v/>
      </c>
      <c r="S20" s="575">
        <f>S4*$C$20</f>
        <v/>
      </c>
      <c r="T20" s="576">
        <f>SUM(G20,K20,O20,S20)</f>
        <v/>
      </c>
    </row>
    <row r="21">
      <c r="B21" s="363" t="inlineStr">
        <is>
          <t>PIS</t>
        </is>
      </c>
      <c r="C21" s="377" t="n">
        <v>0.0065</v>
      </c>
      <c r="D21" s="527">
        <f>(D9+D4-D23)*($C$21)</f>
        <v/>
      </c>
      <c r="E21" s="527">
        <f>(E9+E4-E23)*($C$21)</f>
        <v/>
      </c>
      <c r="F21" s="527">
        <f>(F9+F4-F23)*($C$21)</f>
        <v/>
      </c>
      <c r="G21" s="569">
        <f>(G9+G4-G23)*($C$21)</f>
        <v/>
      </c>
      <c r="H21" s="527">
        <f>(H9+H4-H23)*($C$21)</f>
        <v/>
      </c>
      <c r="I21" s="527">
        <f>(I9+I4-I23)*($C$21)</f>
        <v/>
      </c>
      <c r="J21" s="527">
        <f>(J9+J4-J23)*($C$21)</f>
        <v/>
      </c>
      <c r="K21" s="569">
        <f>(K9+K4-K23)*($C$21)</f>
        <v/>
      </c>
      <c r="L21" s="527">
        <f>(L9+L4-L23)*($C$21)</f>
        <v/>
      </c>
      <c r="M21" s="527">
        <f>(M9+M4-M23)*($C$21)</f>
        <v/>
      </c>
      <c r="N21" s="527">
        <f>(N9+N4-N23)*($C$21)</f>
        <v/>
      </c>
      <c r="O21" s="569">
        <f>(O9+O4-O23)*($C$21)</f>
        <v/>
      </c>
      <c r="P21" s="527">
        <f>(P9+P4-P23)*($C$21)</f>
        <v/>
      </c>
      <c r="Q21" s="527">
        <f>(Q9+Q4-Q23)*($C$21)</f>
        <v/>
      </c>
      <c r="R21" s="527">
        <f>(R9+R4-R23)*($C$21)</f>
        <v/>
      </c>
      <c r="S21" s="569">
        <f>(S9+S4-S23)*($C$21)</f>
        <v/>
      </c>
      <c r="T21" s="577">
        <f>SUM(G21,K21,O21,S21)</f>
        <v/>
      </c>
    </row>
    <row r="22">
      <c r="B22" s="363" t="inlineStr">
        <is>
          <t>COFINS</t>
        </is>
      </c>
      <c r="C22" s="377" t="n">
        <v>0.03</v>
      </c>
      <c r="D22" s="527">
        <f>(D9+D4-D23)*($C$22)</f>
        <v/>
      </c>
      <c r="E22" s="527">
        <f>(E9+E4-E23)*($C$22)</f>
        <v/>
      </c>
      <c r="F22" s="527">
        <f>(F9+F4-F23)*($C$22)</f>
        <v/>
      </c>
      <c r="G22" s="569">
        <f>(G9+G4-G23)*($C$22)</f>
        <v/>
      </c>
      <c r="H22" s="527">
        <f>(H9+H4-H23)*($C$22)</f>
        <v/>
      </c>
      <c r="I22" s="527">
        <f>(I9+I4-I23)*($C$22)</f>
        <v/>
      </c>
      <c r="J22" s="527">
        <f>(J9+J4-J23)*($C$22)</f>
        <v/>
      </c>
      <c r="K22" s="569">
        <f>(K9+K4-K23)*($C$22)</f>
        <v/>
      </c>
      <c r="L22" s="527">
        <f>(L9+L4-L23)*($C$22)</f>
        <v/>
      </c>
      <c r="M22" s="527">
        <f>(M9+M4-M23)*($C$22)</f>
        <v/>
      </c>
      <c r="N22" s="527">
        <f>(N9+N4-N23)*($C$22)</f>
        <v/>
      </c>
      <c r="O22" s="569">
        <f>(O9+O4-O23)*($C$22)</f>
        <v/>
      </c>
      <c r="P22" s="527">
        <f>(P9+P4-P23)*($C$22)</f>
        <v/>
      </c>
      <c r="Q22" s="527">
        <f>(Q9+Q4-Q23)*($C$22)</f>
        <v/>
      </c>
      <c r="R22" s="527">
        <f>(R9+R4-R23)*($C$22)</f>
        <v/>
      </c>
      <c r="S22" s="569">
        <f>(S9+S4-S23)*($C$22)</f>
        <v/>
      </c>
      <c r="T22" s="577">
        <f>SUM(G22,K22,O22,S22)</f>
        <v/>
      </c>
    </row>
    <row r="23" ht="15" customHeight="1" thickBot="1">
      <c r="B23" s="379" t="inlineStr">
        <is>
          <t>ICMS</t>
        </is>
      </c>
      <c r="C23" s="380" t="n">
        <v>0.04</v>
      </c>
      <c r="D23" s="578">
        <f>D9*$C$23</f>
        <v/>
      </c>
      <c r="E23" s="578">
        <f>E9*$C$23</f>
        <v/>
      </c>
      <c r="F23" s="578">
        <f>F9*$C$23</f>
        <v/>
      </c>
      <c r="G23" s="579">
        <f>G9*$C$23</f>
        <v/>
      </c>
      <c r="H23" s="578">
        <f>H9*$C$23</f>
        <v/>
      </c>
      <c r="I23" s="578">
        <f>I9*$C$23</f>
        <v/>
      </c>
      <c r="J23" s="578">
        <f>J9*$C$23</f>
        <v/>
      </c>
      <c r="K23" s="579">
        <f>K9*$C$23</f>
        <v/>
      </c>
      <c r="L23" s="578">
        <f>L9*$C$23</f>
        <v/>
      </c>
      <c r="M23" s="578">
        <f>M9*$C$23</f>
        <v/>
      </c>
      <c r="N23" s="578">
        <f>N9*$C$23</f>
        <v/>
      </c>
      <c r="O23" s="579">
        <f>O9*$C$23</f>
        <v/>
      </c>
      <c r="P23" s="578">
        <f>P9*$C$23</f>
        <v/>
      </c>
      <c r="Q23" s="578">
        <f>Q9*$C$23</f>
        <v/>
      </c>
      <c r="R23" s="578">
        <f>R9*$C$23</f>
        <v/>
      </c>
      <c r="S23" s="579">
        <f>S9*$C$23</f>
        <v/>
      </c>
      <c r="T23" s="580">
        <f>SUM(G23,K23,O23,S23)</f>
        <v/>
      </c>
    </row>
    <row r="24" ht="15" customHeight="1" thickBot="1">
      <c r="C24" s="377" t="n"/>
      <c r="D24" s="527" t="n"/>
      <c r="E24" s="527" t="n"/>
      <c r="F24" s="527" t="n"/>
      <c r="G24" s="527" t="n"/>
      <c r="H24" s="527" t="n"/>
      <c r="I24" s="527" t="n"/>
      <c r="J24" s="527" t="n"/>
      <c r="K24" s="527" t="n"/>
      <c r="L24" s="527" t="n"/>
      <c r="M24" s="527" t="n"/>
      <c r="N24" s="527" t="n"/>
      <c r="O24" s="527" t="n"/>
      <c r="P24" s="527" t="n"/>
      <c r="Q24" s="527" t="n"/>
      <c r="R24" s="527" t="n"/>
      <c r="S24" s="527" t="n"/>
      <c r="T24" s="527" t="n"/>
    </row>
    <row r="25">
      <c r="B25" s="372" t="inlineStr">
        <is>
          <t xml:space="preserve">IRPJ s/ Serviço </t>
        </is>
      </c>
      <c r="C25" s="373" t="n">
        <v>0.32</v>
      </c>
      <c r="D25" s="581">
        <f>SUM(D4)*$C$25</f>
        <v/>
      </c>
      <c r="E25" s="581">
        <f>SUM(E4)*$C$25</f>
        <v/>
      </c>
      <c r="F25" s="581">
        <f>SUM(F4)*$C$25</f>
        <v/>
      </c>
      <c r="G25" s="575">
        <f>SUM(G4)*$C$25</f>
        <v/>
      </c>
      <c r="H25" s="581">
        <f>SUM(H4)*$C$25</f>
        <v/>
      </c>
      <c r="I25" s="581">
        <f>SUM(I4)*$C$25</f>
        <v/>
      </c>
      <c r="J25" s="581">
        <f>SUM(J4)*$C$25</f>
        <v/>
      </c>
      <c r="K25" s="575">
        <f>SUM(K4)*$C$25</f>
        <v/>
      </c>
      <c r="L25" s="581">
        <f>SUM(L4)*$C$25</f>
        <v/>
      </c>
      <c r="M25" s="581">
        <f>SUM(M4)*$C$25</f>
        <v/>
      </c>
      <c r="N25" s="581">
        <f>SUM(N4)*$C$25</f>
        <v/>
      </c>
      <c r="O25" s="575">
        <f>SUM(O4)*$C$25</f>
        <v/>
      </c>
      <c r="P25" s="581">
        <f>SUM(P4)*$C$25</f>
        <v/>
      </c>
      <c r="Q25" s="581">
        <f>SUM(Q4)*$C$25</f>
        <v/>
      </c>
      <c r="R25" s="581">
        <f>SUM(R4)*$C$25</f>
        <v/>
      </c>
      <c r="S25" s="575">
        <f>SUM(S4)*$C$25</f>
        <v/>
      </c>
      <c r="T25" s="576">
        <f>SUM(G25,K25,O25,S25)</f>
        <v/>
      </c>
    </row>
    <row r="26">
      <c r="B26" s="363" t="inlineStr">
        <is>
          <t xml:space="preserve">IRPJ s/ Comercio  </t>
        </is>
      </c>
      <c r="C26" s="377" t="n">
        <v>0.08</v>
      </c>
      <c r="D26" s="567">
        <f>SUM(D9)*$C$26</f>
        <v/>
      </c>
      <c r="E26" s="567">
        <f>SUM(E9)*$C$26</f>
        <v/>
      </c>
      <c r="F26" s="567">
        <f>SUM(F9)*$C$26</f>
        <v/>
      </c>
      <c r="G26" s="569">
        <f>SUM(G9)*$C$26</f>
        <v/>
      </c>
      <c r="H26" s="567">
        <f>SUM(H9)*$C$26</f>
        <v/>
      </c>
      <c r="I26" s="567">
        <f>SUM(I9)*$C$26</f>
        <v/>
      </c>
      <c r="J26" s="567">
        <f>SUM(J9)*$C$26</f>
        <v/>
      </c>
      <c r="K26" s="569">
        <f>SUM(K9)*$C$26</f>
        <v/>
      </c>
      <c r="L26" s="567">
        <f>SUM(L9)*$C$26</f>
        <v/>
      </c>
      <c r="M26" s="567">
        <f>SUM(M9)*$C$26</f>
        <v/>
      </c>
      <c r="N26" s="567">
        <f>SUM(N9)*$C$26</f>
        <v/>
      </c>
      <c r="O26" s="569">
        <f>SUM(O9)*$C$26</f>
        <v/>
      </c>
      <c r="P26" s="567">
        <f>SUM(P9)*$C$26</f>
        <v/>
      </c>
      <c r="Q26" s="567">
        <f>SUM(Q9)*$C$26</f>
        <v/>
      </c>
      <c r="R26" s="567">
        <f>SUM(R9)*$C$26</f>
        <v/>
      </c>
      <c r="S26" s="569">
        <f>SUM(S9)*$C$26</f>
        <v/>
      </c>
      <c r="T26" s="577">
        <f>SUM(G26,K26,O26,S26)</f>
        <v/>
      </c>
    </row>
    <row r="27">
      <c r="B27" s="363" t="inlineStr">
        <is>
          <t>IRPJ Não operacional</t>
        </is>
      </c>
      <c r="C27" s="377" t="n">
        <v>1</v>
      </c>
      <c r="D27" s="567">
        <f>SUM(D16)</f>
        <v/>
      </c>
      <c r="E27" s="567">
        <f>SUM(E16)</f>
        <v/>
      </c>
      <c r="F27" s="567">
        <f>SUM(F16)</f>
        <v/>
      </c>
      <c r="G27" s="569">
        <f>SUM(G16)</f>
        <v/>
      </c>
      <c r="H27" s="567">
        <f>SUM(I16)</f>
        <v/>
      </c>
      <c r="I27" s="567">
        <f>SUM(J16)</f>
        <v/>
      </c>
      <c r="J27" s="567">
        <f>SUM(K16)</f>
        <v/>
      </c>
      <c r="K27" s="569">
        <f>SUM(K16)</f>
        <v/>
      </c>
      <c r="L27" s="567">
        <f>SUM(M16)</f>
        <v/>
      </c>
      <c r="M27" s="567">
        <f>SUM(N16)</f>
        <v/>
      </c>
      <c r="N27" s="567">
        <f>SUM(O16)</f>
        <v/>
      </c>
      <c r="O27" s="569">
        <f>SUM(O16)</f>
        <v/>
      </c>
      <c r="P27" s="567">
        <f>SUM(Q16)</f>
        <v/>
      </c>
      <c r="Q27" s="567">
        <f>SUM(R16)</f>
        <v/>
      </c>
      <c r="R27" s="567">
        <f>SUM(S16)</f>
        <v/>
      </c>
      <c r="S27" s="569">
        <f>SUM(S16)</f>
        <v/>
      </c>
      <c r="T27" s="577">
        <f>SUM(G27,K27,O27,S27)</f>
        <v/>
      </c>
    </row>
    <row r="28">
      <c r="B28" s="363" t="inlineStr">
        <is>
          <t>IRPJ Adicional</t>
        </is>
      </c>
      <c r="C28" s="377" t="n">
        <v>0.1</v>
      </c>
      <c r="D28" s="567" t="n"/>
      <c r="E28" s="567" t="n"/>
      <c r="F28" s="567" t="n"/>
      <c r="G28" s="569">
        <f>IF((G25+G26+G27)-60000&gt;=0,(G25+G26+G27-60000)*$C$28,0)</f>
        <v/>
      </c>
      <c r="H28" s="567" t="n"/>
      <c r="I28" s="567" t="n"/>
      <c r="J28" s="567" t="n"/>
      <c r="K28" s="569">
        <f>IF((K25+K26+K27)-60000&gt;=0,(K25+K26+K27-60000)*$C$28,0)</f>
        <v/>
      </c>
      <c r="L28" s="567" t="n"/>
      <c r="M28" s="567" t="n"/>
      <c r="N28" s="567" t="n"/>
      <c r="O28" s="569">
        <f>IF((O25+O26+O27)-60000&gt;=0,(O25+O26+O27-60000)*$C$28,0)</f>
        <v/>
      </c>
      <c r="P28" s="567" t="n"/>
      <c r="Q28" s="567" t="n"/>
      <c r="R28" s="567" t="n"/>
      <c r="S28" s="569">
        <f>IF((S25+S26+S27)-60000&gt;=0,(S25+S26+S27-60000)*$C$28,0)</f>
        <v/>
      </c>
      <c r="T28" s="577">
        <f>SUM(G28,K28,O28,S28)</f>
        <v/>
      </c>
    </row>
    <row r="29" ht="15" customHeight="1" thickBot="1">
      <c r="B29" s="367" t="inlineStr">
        <is>
          <t>IRPJ Total</t>
        </is>
      </c>
      <c r="C29" s="385" t="n"/>
      <c r="D29" s="571">
        <f>SUM(D25:D27)*15%+D28</f>
        <v/>
      </c>
      <c r="E29" s="571">
        <f>SUM(E25:E27)*15%+E28</f>
        <v/>
      </c>
      <c r="F29" s="571">
        <f>SUM(F25:F27)*15%+F28</f>
        <v/>
      </c>
      <c r="G29" s="579">
        <f>SUM(G25:G27)*15%+G28</f>
        <v/>
      </c>
      <c r="H29" s="571">
        <f>SUM(H25:H27)*15%+H28</f>
        <v/>
      </c>
      <c r="I29" s="571">
        <f>SUM(I25:I27)*15%+I28</f>
        <v/>
      </c>
      <c r="J29" s="571">
        <f>SUM(J25:J27)*15%+J28</f>
        <v/>
      </c>
      <c r="K29" s="579">
        <f>SUM(K25:K27)*15%+K28</f>
        <v/>
      </c>
      <c r="L29" s="571">
        <f>SUM(L25:L27)*15%+L28</f>
        <v/>
      </c>
      <c r="M29" s="571">
        <f>SUM(M25:M27)*15%+M28</f>
        <v/>
      </c>
      <c r="N29" s="571">
        <f>SUM(N25:N27)*15%+N28</f>
        <v/>
      </c>
      <c r="O29" s="579">
        <f>SUM(O25:O27)*15%+O28</f>
        <v/>
      </c>
      <c r="P29" s="571">
        <f>SUM(P25:P27)*15%+P28</f>
        <v/>
      </c>
      <c r="Q29" s="571">
        <f>SUM(Q25:Q27)*15%+Q28</f>
        <v/>
      </c>
      <c r="R29" s="571">
        <f>SUM(R25:R27)*15%+R28</f>
        <v/>
      </c>
      <c r="S29" s="579">
        <f>SUM(S25:S27)*15%+S28</f>
        <v/>
      </c>
      <c r="T29" s="573">
        <f>SUM(G29,K29,O29,S29)</f>
        <v/>
      </c>
    </row>
    <row r="30" ht="15" customHeight="1" thickBot="1">
      <c r="C30" s="377" t="n"/>
      <c r="D30" s="527" t="n"/>
      <c r="E30" s="527" t="n"/>
      <c r="F30" s="527" t="n"/>
      <c r="G30" s="527" t="n"/>
      <c r="H30" s="527" t="n"/>
      <c r="I30" s="527" t="n"/>
      <c r="J30" s="527" t="n"/>
      <c r="K30" s="527" t="n"/>
      <c r="L30" s="527" t="n"/>
      <c r="M30" s="527" t="n"/>
      <c r="N30" s="527" t="n"/>
      <c r="O30" s="527" t="n"/>
      <c r="P30" s="527" t="n"/>
      <c r="Q30" s="527" t="n"/>
      <c r="R30" s="527" t="n"/>
      <c r="S30" s="527" t="n"/>
      <c r="T30" s="527" t="n"/>
    </row>
    <row r="31">
      <c r="B31" s="372" t="inlineStr">
        <is>
          <t xml:space="preserve">CSLL s/ Serviço </t>
        </is>
      </c>
      <c r="C31" s="373" t="n">
        <v>0.32</v>
      </c>
      <c r="D31" s="581">
        <f>SUM(D4)*$C$31*9%</f>
        <v/>
      </c>
      <c r="E31" s="581">
        <f>SUM(E4)*$C$31*9%</f>
        <v/>
      </c>
      <c r="F31" s="581">
        <f>SUM(F4)*$C$31*9%</f>
        <v/>
      </c>
      <c r="G31" s="575">
        <f>SUM(G4)*$C$31*9%</f>
        <v/>
      </c>
      <c r="H31" s="581">
        <f>SUM(H4)*$C$31*9%</f>
        <v/>
      </c>
      <c r="I31" s="581">
        <f>SUM(I4)*$C$31*9%</f>
        <v/>
      </c>
      <c r="J31" s="581">
        <f>SUM(J4)*$C$31*9%</f>
        <v/>
      </c>
      <c r="K31" s="575">
        <f>SUM(K4)*$C$31*9%</f>
        <v/>
      </c>
      <c r="L31" s="581">
        <f>SUM(L4)*$C$31*9%</f>
        <v/>
      </c>
      <c r="M31" s="581">
        <f>SUM(M4)*$C$31*9%</f>
        <v/>
      </c>
      <c r="N31" s="581">
        <f>SUM(N4)*$C$31*9%</f>
        <v/>
      </c>
      <c r="O31" s="575">
        <f>SUM(O4)*$C$31*9%</f>
        <v/>
      </c>
      <c r="P31" s="581">
        <f>SUM(P4)*$C$31*9%</f>
        <v/>
      </c>
      <c r="Q31" s="581">
        <f>SUM(Q4)*$C$31*9%</f>
        <v/>
      </c>
      <c r="R31" s="581">
        <f>SUM(R4)*$C$31*9%</f>
        <v/>
      </c>
      <c r="S31" s="575">
        <f>SUM(S4)*$C$31*9%</f>
        <v/>
      </c>
      <c r="T31" s="576">
        <f>SUM(G31,K31,O31,S31)</f>
        <v/>
      </c>
    </row>
    <row r="32">
      <c r="B32" s="363" t="inlineStr">
        <is>
          <t xml:space="preserve">CSLL s/ Comercio  </t>
        </is>
      </c>
      <c r="C32" s="377" t="n">
        <v>0.12</v>
      </c>
      <c r="D32" s="567">
        <f>SUM(D9)*$C$32*9%</f>
        <v/>
      </c>
      <c r="E32" s="567">
        <f>SUM(E9)*$C$32*9%</f>
        <v/>
      </c>
      <c r="F32" s="567">
        <f>SUM(F9)*$C$32*9%</f>
        <v/>
      </c>
      <c r="G32" s="569">
        <f>SUM(G9)*$C$32*9%</f>
        <v/>
      </c>
      <c r="H32" s="567">
        <f>SUM(H9)*$C$32*9%</f>
        <v/>
      </c>
      <c r="I32" s="567">
        <f>SUM(I9)*$C$32*9%</f>
        <v/>
      </c>
      <c r="J32" s="567">
        <f>SUM(J9)*$C$32*9%</f>
        <v/>
      </c>
      <c r="K32" s="569">
        <f>SUM(K9)*$C$32*9%</f>
        <v/>
      </c>
      <c r="L32" s="567">
        <f>SUM(L9)*$C$32*9%</f>
        <v/>
      </c>
      <c r="M32" s="567">
        <f>SUM(M9)*$C$32*9%</f>
        <v/>
      </c>
      <c r="N32" s="567">
        <f>SUM(N9)*$C$32*9%</f>
        <v/>
      </c>
      <c r="O32" s="569">
        <f>SUM(O9)*$C$32*9%</f>
        <v/>
      </c>
      <c r="P32" s="567">
        <f>SUM(P9)*$C$32*9%</f>
        <v/>
      </c>
      <c r="Q32" s="567">
        <f>SUM(Q9)*$C$32*9%</f>
        <v/>
      </c>
      <c r="R32" s="567">
        <f>SUM(R9)*$C$32*9%</f>
        <v/>
      </c>
      <c r="S32" s="569">
        <f>SUM(S9)*$C$32*9%</f>
        <v/>
      </c>
      <c r="T32" s="577">
        <f>SUM(G32,K32,O32,S32)</f>
        <v/>
      </c>
    </row>
    <row r="33">
      <c r="B33" s="363" t="inlineStr">
        <is>
          <t>CSLL Não operacional</t>
        </is>
      </c>
      <c r="C33" s="377" t="n">
        <v>1</v>
      </c>
      <c r="D33" s="567">
        <f>SUM(D16
)*9%</f>
        <v/>
      </c>
      <c r="E33" s="567">
        <f>SUM(E16
)*9%</f>
        <v/>
      </c>
      <c r="F33" s="567">
        <f>SUM(
F16)*9%</f>
        <v/>
      </c>
      <c r="G33" s="569">
        <f>SUM(G16
)*9%</f>
        <v/>
      </c>
      <c r="H33" s="567">
        <f>SUM(H16
)*9%</f>
        <v/>
      </c>
      <c r="I33" s="567">
        <f>SUM(I16
)*9%</f>
        <v/>
      </c>
      <c r="J33" s="567">
        <f>SUM(
J16)*9%</f>
        <v/>
      </c>
      <c r="K33" s="569">
        <f>SUM(K16
)*9%</f>
        <v/>
      </c>
      <c r="L33" s="567">
        <f>SUM(L16
)*9%</f>
        <v/>
      </c>
      <c r="M33" s="567">
        <f>SUM(M16
)*9%</f>
        <v/>
      </c>
      <c r="N33" s="567">
        <f>SUM(
N16)*9%</f>
        <v/>
      </c>
      <c r="O33" s="569">
        <f>SUM(O16
)*9%</f>
        <v/>
      </c>
      <c r="P33" s="567">
        <f>SUM(P16
)*9%</f>
        <v/>
      </c>
      <c r="Q33" s="567">
        <f>SUM(Q16
)*9%</f>
        <v/>
      </c>
      <c r="R33" s="567">
        <f>SUM(
R16)*9%</f>
        <v/>
      </c>
      <c r="S33" s="569">
        <f>SUM(S16
)*9%</f>
        <v/>
      </c>
      <c r="T33" s="577">
        <f>SUM(G33,K33,O33,S33)</f>
        <v/>
      </c>
    </row>
    <row r="34" ht="15" customHeight="1" thickBot="1">
      <c r="B34" s="367" t="inlineStr">
        <is>
          <t>CSLL Total</t>
        </is>
      </c>
      <c r="C34" s="385" t="n"/>
      <c r="D34" s="571">
        <f>SUM(D31:D33)</f>
        <v/>
      </c>
      <c r="E34" s="571">
        <f>SUM(E31:E33)</f>
        <v/>
      </c>
      <c r="F34" s="571">
        <f>SUM(F31:F33)</f>
        <v/>
      </c>
      <c r="G34" s="579">
        <f>SUM(G31:G33)</f>
        <v/>
      </c>
      <c r="H34" s="571">
        <f>SUM(H31:H33)</f>
        <v/>
      </c>
      <c r="I34" s="571">
        <f>SUM(I31:I33)</f>
        <v/>
      </c>
      <c r="J34" s="571">
        <f>SUM(J31:J33)</f>
        <v/>
      </c>
      <c r="K34" s="579">
        <f>SUM(K31:K33)</f>
        <v/>
      </c>
      <c r="L34" s="571">
        <f>SUM(L31:L33)</f>
        <v/>
      </c>
      <c r="M34" s="571">
        <f>SUM(M31:M33)</f>
        <v/>
      </c>
      <c r="N34" s="571">
        <f>SUM(N31:N33)</f>
        <v/>
      </c>
      <c r="O34" s="579">
        <f>SUM(O31:O33)</f>
        <v/>
      </c>
      <c r="P34" s="571">
        <f>SUM(P31:P33)</f>
        <v/>
      </c>
      <c r="Q34" s="571">
        <f>SUM(Q31:Q33)</f>
        <v/>
      </c>
      <c r="R34" s="571">
        <f>SUM(R31:R33)</f>
        <v/>
      </c>
      <c r="S34" s="579">
        <f>SUM(S31:S33)</f>
        <v/>
      </c>
      <c r="T34" s="573">
        <f>SUM(T31:T33)</f>
        <v/>
      </c>
    </row>
    <row r="35" ht="15" customHeight="1" thickBot="1">
      <c r="C35" s="377" t="n"/>
      <c r="D35" s="527" t="n"/>
      <c r="E35" s="527" t="n"/>
      <c r="F35" s="527" t="n"/>
      <c r="G35" s="527" t="n"/>
      <c r="H35" s="527" t="n"/>
      <c r="I35" s="527" t="n"/>
      <c r="J35" s="527" t="n"/>
      <c r="K35" s="527" t="n"/>
      <c r="L35" s="527" t="n"/>
      <c r="M35" s="527" t="n"/>
      <c r="N35" s="527" t="n"/>
      <c r="O35" s="527" t="n"/>
      <c r="P35" s="527" t="n"/>
      <c r="Q35" s="527" t="n"/>
      <c r="R35" s="527" t="n"/>
      <c r="S35" s="527" t="n"/>
      <c r="T35" s="527" t="n"/>
    </row>
    <row r="36">
      <c r="B36" s="386" t="inlineStr">
        <is>
          <t>Vencimento mensal dia 10 (ISS)</t>
        </is>
      </c>
      <c r="C36" s="387" t="n"/>
      <c r="D36" s="582">
        <f>D20</f>
        <v/>
      </c>
      <c r="E36" s="582">
        <f>E20</f>
        <v/>
      </c>
      <c r="F36" s="582">
        <f>F20</f>
        <v/>
      </c>
      <c r="G36" s="582">
        <f>G20</f>
        <v/>
      </c>
      <c r="H36" s="582">
        <f>H20</f>
        <v/>
      </c>
      <c r="I36" s="582">
        <f>I20</f>
        <v/>
      </c>
      <c r="J36" s="582">
        <f>J20</f>
        <v/>
      </c>
      <c r="K36" s="582">
        <f>K20</f>
        <v/>
      </c>
      <c r="L36" s="582">
        <f>L20</f>
        <v/>
      </c>
      <c r="M36" s="582">
        <f>M20</f>
        <v/>
      </c>
      <c r="N36" s="582">
        <f>N20</f>
        <v/>
      </c>
      <c r="O36" s="582">
        <f>O20</f>
        <v/>
      </c>
      <c r="P36" s="582">
        <f>P20</f>
        <v/>
      </c>
      <c r="Q36" s="582">
        <f>Q20</f>
        <v/>
      </c>
      <c r="R36" s="582">
        <f>R20</f>
        <v/>
      </c>
      <c r="S36" s="582">
        <f>S20</f>
        <v/>
      </c>
      <c r="T36" s="583">
        <f>SUM(G36,K36,O36,S36)</f>
        <v/>
      </c>
    </row>
    <row r="37">
      <c r="B37" s="390" t="inlineStr">
        <is>
          <t>Vencimento mensal dia 20 (ICMS)</t>
        </is>
      </c>
      <c r="C37" s="391" t="n"/>
      <c r="D37" s="584">
        <f>D23</f>
        <v/>
      </c>
      <c r="E37" s="584">
        <f>E23</f>
        <v/>
      </c>
      <c r="F37" s="584">
        <f>F23</f>
        <v/>
      </c>
      <c r="G37" s="584">
        <f>G23</f>
        <v/>
      </c>
      <c r="H37" s="584">
        <f>H23</f>
        <v/>
      </c>
      <c r="I37" s="584">
        <f>I23</f>
        <v/>
      </c>
      <c r="J37" s="584">
        <f>J23</f>
        <v/>
      </c>
      <c r="K37" s="584">
        <f>K23</f>
        <v/>
      </c>
      <c r="L37" s="584">
        <f>L23</f>
        <v/>
      </c>
      <c r="M37" s="584">
        <f>M23</f>
        <v/>
      </c>
      <c r="N37" s="584">
        <f>N23</f>
        <v/>
      </c>
      <c r="O37" s="584">
        <f>O23</f>
        <v/>
      </c>
      <c r="P37" s="584">
        <f>P23</f>
        <v/>
      </c>
      <c r="Q37" s="584">
        <f>Q23</f>
        <v/>
      </c>
      <c r="R37" s="584">
        <f>R23</f>
        <v/>
      </c>
      <c r="S37" s="584">
        <f>S23</f>
        <v/>
      </c>
      <c r="T37" s="585">
        <f>SUM(G37,K37,O37,S37)</f>
        <v/>
      </c>
    </row>
    <row r="38">
      <c r="B38" s="390" t="inlineStr">
        <is>
          <t>Vencimento mensal dia 25 (PIS E COFINS)</t>
        </is>
      </c>
      <c r="C38" s="391" t="n"/>
      <c r="D38" s="584">
        <f>D21+D22</f>
        <v/>
      </c>
      <c r="E38" s="584">
        <f>E21+E22</f>
        <v/>
      </c>
      <c r="F38" s="584">
        <f>F21+F22</f>
        <v/>
      </c>
      <c r="G38" s="584">
        <f>G21+G22</f>
        <v/>
      </c>
      <c r="H38" s="584">
        <f>H21+H22</f>
        <v/>
      </c>
      <c r="I38" s="584">
        <f>I21+I22</f>
        <v/>
      </c>
      <c r="J38" s="584">
        <f>J21+J22</f>
        <v/>
      </c>
      <c r="K38" s="584">
        <f>K21+K22</f>
        <v/>
      </c>
      <c r="L38" s="584">
        <f>L21+L22</f>
        <v/>
      </c>
      <c r="M38" s="584">
        <f>M21+M22</f>
        <v/>
      </c>
      <c r="N38" s="584">
        <f>N21+N22</f>
        <v/>
      </c>
      <c r="O38" s="584">
        <f>O21+O22</f>
        <v/>
      </c>
      <c r="P38" s="584">
        <f>P21+P22</f>
        <v/>
      </c>
      <c r="Q38" s="584">
        <f>Q21+Q22</f>
        <v/>
      </c>
      <c r="R38" s="584">
        <f>R21+R22</f>
        <v/>
      </c>
      <c r="S38" s="584">
        <f>S21+S22</f>
        <v/>
      </c>
      <c r="T38" s="585">
        <f>SUM(G38,K38,O38,S38)</f>
        <v/>
      </c>
    </row>
    <row r="39" ht="15" customHeight="1" thickBot="1">
      <c r="B39" s="394" t="inlineStr">
        <is>
          <t>Vencimento trimestral dia 30 (IRPJ E CSLL)</t>
        </is>
      </c>
      <c r="C39" s="395" t="n"/>
      <c r="D39" s="586" t="n"/>
      <c r="E39" s="586" t="n"/>
      <c r="F39" s="586" t="n"/>
      <c r="G39" s="587">
        <f>G29+G34</f>
        <v/>
      </c>
      <c r="H39" s="586" t="n"/>
      <c r="I39" s="586" t="n"/>
      <c r="J39" s="586" t="n"/>
      <c r="K39" s="587">
        <f>K29+K34</f>
        <v/>
      </c>
      <c r="L39" s="586" t="n"/>
      <c r="M39" s="586" t="n"/>
      <c r="N39" s="586" t="n"/>
      <c r="O39" s="587">
        <f>O29+O34</f>
        <v/>
      </c>
      <c r="P39" s="586" t="n"/>
      <c r="Q39" s="586" t="n"/>
      <c r="R39" s="586" t="n"/>
      <c r="S39" s="587">
        <f>S29+S34</f>
        <v/>
      </c>
      <c r="T39" s="588">
        <f>SUM(G39,K39,O39,S39)</f>
        <v/>
      </c>
    </row>
    <row r="40">
      <c r="D40" s="527" t="n"/>
      <c r="E40" s="527" t="n"/>
      <c r="F40" s="527" t="n"/>
      <c r="G40" s="527" t="n"/>
      <c r="H40" s="527" t="n"/>
      <c r="I40" s="527" t="n"/>
      <c r="J40" s="527" t="n"/>
      <c r="K40" s="527" t="n"/>
      <c r="L40" s="527" t="n"/>
      <c r="M40" s="527" t="n"/>
      <c r="N40" s="527" t="n"/>
      <c r="O40" s="527" t="n"/>
      <c r="P40" s="527" t="n"/>
      <c r="Q40" s="527" t="n"/>
      <c r="R40" s="527" t="n"/>
      <c r="S40" s="527" t="n"/>
      <c r="T40" s="527" t="n"/>
    </row>
    <row r="41">
      <c r="D41" s="527" t="n"/>
      <c r="E41" s="527" t="n"/>
      <c r="F41" s="527" t="n"/>
      <c r="G41" s="527" t="n"/>
      <c r="H41" s="527" t="n"/>
      <c r="I41" s="527" t="n"/>
      <c r="J41" s="527" t="n"/>
      <c r="K41" s="527" t="n"/>
      <c r="L41" s="527" t="n"/>
      <c r="M41" s="527" t="n"/>
      <c r="N41" s="527" t="n"/>
      <c r="O41" s="527" t="n"/>
      <c r="P41" s="527" t="n"/>
      <c r="Q41" s="527" t="n"/>
      <c r="R41" s="527" t="n"/>
      <c r="S41" s="527" t="n"/>
      <c r="T41" s="527" t="n"/>
    </row>
    <row r="42">
      <c r="D42" s="527" t="n"/>
      <c r="E42" s="527" t="n"/>
      <c r="F42" s="527" t="n"/>
      <c r="G42" s="527" t="n"/>
      <c r="H42" s="527" t="n"/>
      <c r="I42" s="527" t="n"/>
      <c r="J42" s="527" t="n"/>
      <c r="K42" s="527" t="n"/>
      <c r="L42" s="527" t="n"/>
      <c r="M42" s="527" t="n"/>
      <c r="N42" s="527" t="n"/>
      <c r="O42" s="527" t="n"/>
      <c r="P42" s="527" t="n"/>
      <c r="Q42" s="527" t="n"/>
      <c r="R42" s="527" t="n"/>
      <c r="S42" s="527" t="n"/>
      <c r="T42" s="527" t="n"/>
    </row>
    <row r="43" ht="15" customHeight="1" thickBot="1">
      <c r="D43" s="527" t="n"/>
      <c r="E43" s="527" t="n"/>
      <c r="F43" s="527" t="n"/>
      <c r="G43" s="527" t="n"/>
      <c r="H43" s="527" t="n"/>
      <c r="I43" s="527" t="n"/>
      <c r="J43" s="527" t="n"/>
      <c r="K43" s="527" t="n"/>
      <c r="L43" s="527" t="n"/>
      <c r="M43" s="527" t="n"/>
      <c r="N43" s="527" t="n"/>
      <c r="O43" s="527" t="n"/>
      <c r="P43" s="527" t="n"/>
      <c r="Q43" s="527" t="n"/>
      <c r="R43" s="527" t="n"/>
      <c r="S43" s="527" t="n"/>
      <c r="T43" s="527" t="n"/>
    </row>
    <row r="44">
      <c r="B44" s="501" t="inlineStr">
        <is>
          <t>Simulação no Simples Nacional</t>
        </is>
      </c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3" t="n"/>
      <c r="O44" s="527" t="n"/>
      <c r="P44" s="527" t="n"/>
      <c r="Q44" s="527" t="n"/>
      <c r="R44" s="527" t="n"/>
      <c r="S44" s="527" t="n"/>
      <c r="T44" s="527" t="n"/>
    </row>
    <row r="45">
      <c r="C45" s="354" t="n"/>
      <c r="F45" s="399" t="n"/>
      <c r="G45" s="399" t="n"/>
      <c r="H45" s="399" t="n"/>
      <c r="I45" s="399" t="n"/>
      <c r="J45" s="399" t="n"/>
      <c r="K45" s="589" t="n"/>
      <c r="L45" s="589" t="n"/>
      <c r="M45" s="589" t="n"/>
      <c r="O45" s="527" t="n"/>
      <c r="P45" s="527" t="n"/>
      <c r="Q45" s="527" t="n"/>
      <c r="R45" s="527" t="n"/>
      <c r="S45" s="527" t="n"/>
      <c r="T45" s="527" t="n"/>
    </row>
    <row r="46">
      <c r="B46" s="401" t="inlineStr">
        <is>
          <t>Descrição</t>
        </is>
      </c>
      <c r="C46" s="402" t="inlineStr">
        <is>
          <t>Valor - R$</t>
        </is>
      </c>
      <c r="D46" s="401" t="inlineStr">
        <is>
          <t>Acumulado 12 meses</t>
        </is>
      </c>
      <c r="E46" s="399" t="n"/>
      <c r="F46" s="401" t="inlineStr">
        <is>
          <t>Faixa</t>
        </is>
      </c>
      <c r="G46" s="401" t="inlineStr">
        <is>
          <t>%</t>
        </is>
      </c>
      <c r="H46" s="401" t="inlineStr">
        <is>
          <t>Resultado</t>
        </is>
      </c>
      <c r="I46" s="401" t="inlineStr">
        <is>
          <t>Dedução</t>
        </is>
      </c>
      <c r="J46" s="401" t="inlineStr">
        <is>
          <t>%</t>
        </is>
      </c>
      <c r="K46" s="590" t="inlineStr">
        <is>
          <t>Valor recolhimento DAS</t>
        </is>
      </c>
      <c r="L46" s="590" t="inlineStr">
        <is>
          <t>Valor recolhimento ICMS</t>
        </is>
      </c>
      <c r="M46" s="590" t="inlineStr">
        <is>
          <t>Custo total - R$</t>
        </is>
      </c>
      <c r="N46" s="401" t="inlineStr">
        <is>
          <t>Obs</t>
        </is>
      </c>
      <c r="O46" s="527" t="n"/>
      <c r="P46" s="527" t="n"/>
      <c r="Q46" s="527" t="n"/>
      <c r="R46" s="527" t="n"/>
      <c r="S46" s="527" t="n"/>
      <c r="T46" s="527" t="n"/>
    </row>
    <row r="47">
      <c r="B47" s="404" t="n">
        <v>45658</v>
      </c>
      <c r="C47" s="405" t="n">
        <v>339729.6</v>
      </c>
      <c r="D47" s="406" t="n"/>
      <c r="E47" s="406" t="n"/>
      <c r="F47" s="406" t="n"/>
      <c r="G47" s="406" t="n"/>
      <c r="H47" s="406" t="n"/>
      <c r="I47" s="406" t="n"/>
      <c r="J47" s="406" t="n"/>
      <c r="K47" s="406" t="n"/>
      <c r="L47" s="406" t="n"/>
      <c r="M47" s="406" t="n"/>
      <c r="N47" s="406" t="n"/>
      <c r="O47" s="527" t="n"/>
      <c r="P47" s="527" t="n"/>
      <c r="Q47" s="527" t="n"/>
      <c r="R47" s="527" t="n"/>
      <c r="S47" s="527" t="n"/>
      <c r="T47" s="527" t="n"/>
    </row>
    <row r="48">
      <c r="B48" s="404" t="n">
        <v>45689</v>
      </c>
      <c r="C48" s="405" t="n">
        <v>339729.6</v>
      </c>
      <c r="D48" s="406" t="n"/>
      <c r="E48" s="406" t="n"/>
      <c r="F48" s="406" t="n"/>
      <c r="G48" s="406" t="n"/>
      <c r="H48" s="406" t="n"/>
      <c r="I48" s="406" t="n"/>
      <c r="J48" s="406" t="n"/>
      <c r="K48" s="406" t="n"/>
      <c r="L48" s="406" t="n"/>
      <c r="M48" s="406" t="n"/>
      <c r="N48" s="406" t="n"/>
      <c r="O48" s="527" t="n"/>
      <c r="P48" s="527" t="n"/>
      <c r="Q48" s="527" t="n"/>
      <c r="R48" s="527" t="n"/>
      <c r="S48" s="527" t="n"/>
      <c r="T48" s="527" t="n"/>
    </row>
    <row r="49">
      <c r="B49" s="404" t="n">
        <v>45717</v>
      </c>
      <c r="C49" s="405" t="n">
        <v>339729.6</v>
      </c>
      <c r="D49" s="406" t="n"/>
      <c r="E49" s="406" t="n"/>
      <c r="F49" s="406" t="n"/>
      <c r="G49" s="406" t="n"/>
      <c r="H49" s="406" t="n"/>
      <c r="I49" s="406" t="n"/>
      <c r="J49" s="406" t="n"/>
      <c r="K49" s="406" t="n"/>
      <c r="L49" s="406" t="n"/>
      <c r="M49" s="406" t="n"/>
      <c r="N49" s="406" t="n"/>
      <c r="O49" s="527" t="n"/>
      <c r="P49" s="527" t="n"/>
      <c r="Q49" s="527" t="n"/>
      <c r="R49" s="527" t="n"/>
      <c r="S49" s="527" t="n"/>
      <c r="T49" s="527" t="n"/>
    </row>
    <row r="50">
      <c r="B50" s="404" t="n">
        <v>45748</v>
      </c>
      <c r="C50" s="405" t="n">
        <v>339729.6</v>
      </c>
      <c r="D50" s="406" t="n"/>
      <c r="E50" s="406" t="n"/>
      <c r="F50" s="406" t="n"/>
      <c r="G50" s="406" t="n"/>
      <c r="H50" s="406" t="n"/>
      <c r="I50" s="406" t="n"/>
      <c r="J50" s="406" t="n"/>
      <c r="K50" s="406" t="n"/>
      <c r="L50" s="406" t="n"/>
      <c r="M50" s="406" t="n"/>
      <c r="N50" s="406" t="n"/>
      <c r="O50" s="527" t="n"/>
      <c r="P50" s="527" t="n"/>
      <c r="Q50" s="527" t="n"/>
      <c r="R50" s="527" t="n"/>
      <c r="S50" s="527" t="n"/>
      <c r="T50" s="527" t="n"/>
    </row>
    <row r="51">
      <c r="B51" s="404" t="n">
        <v>45778</v>
      </c>
      <c r="C51" s="405" t="n">
        <v>339729.6</v>
      </c>
      <c r="D51" s="406" t="n"/>
      <c r="E51" s="406" t="n"/>
      <c r="F51" s="406" t="n"/>
      <c r="G51" s="406" t="n"/>
      <c r="H51" s="406" t="n"/>
      <c r="I51" s="406" t="n"/>
      <c r="J51" s="406" t="n"/>
      <c r="K51" s="406" t="n"/>
      <c r="L51" s="406" t="n"/>
      <c r="M51" s="406" t="n"/>
      <c r="N51" s="406" t="n"/>
      <c r="O51" s="527" t="n"/>
      <c r="P51" s="527" t="n"/>
      <c r="Q51" s="527" t="n"/>
      <c r="R51" s="527" t="n"/>
      <c r="S51" s="527" t="n"/>
      <c r="T51" s="527" t="n"/>
    </row>
    <row r="52">
      <c r="B52" s="404" t="n">
        <v>45809</v>
      </c>
      <c r="C52" s="405" t="n">
        <v>339729.6</v>
      </c>
      <c r="D52" s="406" t="n"/>
      <c r="E52" s="406" t="n"/>
      <c r="F52" s="406" t="n"/>
      <c r="G52" s="406" t="n"/>
      <c r="H52" s="406" t="n"/>
      <c r="I52" s="406" t="n"/>
      <c r="J52" s="406" t="n"/>
      <c r="K52" s="406" t="n"/>
      <c r="L52" s="406" t="n"/>
      <c r="M52" s="406" t="n"/>
      <c r="N52" s="406" t="n"/>
      <c r="O52" s="527" t="n"/>
      <c r="P52" s="527" t="n"/>
      <c r="Q52" s="527" t="n"/>
      <c r="R52" s="527" t="n"/>
      <c r="S52" s="527" t="n"/>
      <c r="T52" s="527" t="n"/>
    </row>
    <row r="53">
      <c r="B53" s="404" t="n">
        <v>45839</v>
      </c>
      <c r="C53" s="405" t="n">
        <v>339729.6</v>
      </c>
      <c r="D53" s="406" t="n"/>
      <c r="E53" s="406" t="n"/>
      <c r="F53" s="406" t="n"/>
      <c r="G53" s="406" t="n"/>
      <c r="H53" s="406" t="n"/>
      <c r="I53" s="406" t="n"/>
      <c r="J53" s="406" t="n"/>
      <c r="K53" s="406" t="n"/>
      <c r="L53" s="406" t="n"/>
      <c r="M53" s="406" t="n"/>
      <c r="N53" s="406" t="n"/>
      <c r="O53" s="527" t="n"/>
      <c r="P53" s="527" t="n"/>
      <c r="Q53" s="527" t="n"/>
      <c r="R53" s="527" t="n"/>
      <c r="S53" s="527" t="n"/>
      <c r="T53" s="527" t="n"/>
    </row>
    <row r="54">
      <c r="B54" s="404" t="n">
        <v>45870</v>
      </c>
      <c r="C54" s="405" t="n">
        <v>339729.6</v>
      </c>
      <c r="D54" s="406" t="n"/>
      <c r="E54" s="406" t="n"/>
      <c r="F54" s="406" t="n"/>
      <c r="G54" s="406" t="n"/>
      <c r="H54" s="406" t="n"/>
      <c r="I54" s="406" t="n"/>
      <c r="J54" s="406" t="n"/>
      <c r="K54" s="406" t="n"/>
      <c r="L54" s="406" t="n"/>
      <c r="M54" s="406" t="n"/>
      <c r="N54" s="406" t="n"/>
      <c r="O54" s="527" t="n"/>
      <c r="P54" s="527" t="n"/>
      <c r="Q54" s="527" t="n"/>
      <c r="R54" s="527" t="n"/>
      <c r="S54" s="527" t="n"/>
      <c r="T54" s="527" t="n"/>
    </row>
    <row r="55">
      <c r="B55" s="404" t="n">
        <v>45901</v>
      </c>
      <c r="C55" s="405" t="n">
        <v>339729.6</v>
      </c>
      <c r="D55" s="406" t="n"/>
      <c r="E55" s="406" t="n"/>
      <c r="F55" s="406" t="n"/>
      <c r="G55" s="406" t="n"/>
      <c r="H55" s="406" t="n"/>
      <c r="I55" s="406" t="n"/>
      <c r="J55" s="406" t="n"/>
      <c r="K55" s="406" t="n"/>
      <c r="L55" s="406" t="n"/>
      <c r="M55" s="406" t="n"/>
      <c r="N55" s="406" t="n"/>
      <c r="O55" s="527" t="n"/>
      <c r="P55" s="527" t="n"/>
      <c r="Q55" s="527" t="n"/>
      <c r="R55" s="527" t="n"/>
      <c r="S55" s="527" t="n"/>
      <c r="T55" s="527" t="n"/>
    </row>
    <row r="56">
      <c r="B56" s="404" t="n">
        <v>45931</v>
      </c>
      <c r="C56" s="405" t="n">
        <v>339729.6</v>
      </c>
      <c r="D56" s="406" t="n"/>
      <c r="E56" s="406" t="n"/>
      <c r="F56" s="406" t="n"/>
      <c r="G56" s="406" t="n"/>
      <c r="H56" s="406" t="n"/>
      <c r="I56" s="406" t="n"/>
      <c r="J56" s="406" t="n"/>
      <c r="K56" s="406" t="n"/>
      <c r="L56" s="406" t="n"/>
      <c r="M56" s="406" t="n"/>
      <c r="N56" s="406" t="n"/>
      <c r="O56" s="527" t="n"/>
      <c r="P56" s="527" t="n"/>
      <c r="Q56" s="527" t="n"/>
      <c r="R56" s="527" t="n"/>
      <c r="S56" s="527" t="n"/>
      <c r="T56" s="527" t="n"/>
    </row>
    <row r="57">
      <c r="B57" s="404" t="n">
        <v>45962</v>
      </c>
      <c r="C57" s="405" t="n">
        <v>339729.6</v>
      </c>
      <c r="D57" s="406" t="n"/>
      <c r="E57" s="406" t="n"/>
      <c r="F57" s="406" t="n"/>
      <c r="G57" s="406" t="n"/>
      <c r="H57" s="406" t="n"/>
      <c r="I57" s="406" t="n"/>
      <c r="J57" s="406" t="n"/>
      <c r="K57" s="406" t="n"/>
      <c r="L57" s="406" t="n"/>
      <c r="M57" s="406" t="n"/>
      <c r="N57" s="406" t="n"/>
      <c r="O57" s="527" t="n"/>
      <c r="P57" s="527" t="n"/>
      <c r="Q57" s="527" t="n"/>
      <c r="R57" s="527" t="n"/>
      <c r="S57" s="527" t="n"/>
      <c r="T57" s="527" t="n"/>
    </row>
    <row r="58">
      <c r="B58" s="404" t="n">
        <v>45992</v>
      </c>
      <c r="C58" s="405" t="n">
        <v>339729.6</v>
      </c>
      <c r="D58" s="406" t="n"/>
      <c r="E58" s="406" t="n"/>
      <c r="F58" s="406" t="n"/>
      <c r="G58" s="406" t="n"/>
      <c r="H58" s="406" t="n"/>
      <c r="I58" s="406" t="n"/>
      <c r="J58" s="406" t="n"/>
      <c r="K58" s="406" t="n"/>
      <c r="L58" s="406" t="n"/>
      <c r="M58" s="406" t="n"/>
      <c r="N58" s="406" t="n"/>
      <c r="O58" s="527" t="n"/>
      <c r="P58" s="527" t="n"/>
      <c r="Q58" s="527" t="n"/>
      <c r="R58" s="527" t="n"/>
      <c r="S58" s="527" t="n"/>
      <c r="T58" s="527" t="n"/>
    </row>
    <row r="59">
      <c r="B59" s="407" t="n">
        <v>46023</v>
      </c>
      <c r="C59" s="408">
        <f>(DRE!J$9+DRE!J$10)*25%</f>
        <v/>
      </c>
      <c r="D59" s="409">
        <f>SUM(C47:C58)</f>
        <v/>
      </c>
      <c r="F59" s="591">
        <f>$E$81</f>
        <v/>
      </c>
      <c r="G59" s="411" t="n">
        <v>0.19</v>
      </c>
      <c r="H59" s="412">
        <f>(D59*G59)</f>
        <v/>
      </c>
      <c r="I59" s="413" t="n">
        <v>-22500</v>
      </c>
      <c r="J59" s="342">
        <f>(H59+I59)/D59</f>
        <v/>
      </c>
      <c r="K59" s="589">
        <f>C59*J59</f>
        <v/>
      </c>
      <c r="L59" s="589" t="n">
        <v>0</v>
      </c>
      <c r="M59" s="589">
        <f>K59+L59</f>
        <v/>
      </c>
      <c r="O59" s="527" t="n"/>
      <c r="P59" s="527" t="n"/>
      <c r="Q59" s="527" t="n"/>
      <c r="R59" s="527" t="n"/>
      <c r="S59" s="527" t="n"/>
      <c r="T59" s="527" t="n"/>
    </row>
    <row r="60">
      <c r="B60" s="407" t="n">
        <v>46054</v>
      </c>
      <c r="C60" s="408">
        <f>(DRE!M$9+DRE!M$10)*25%</f>
        <v/>
      </c>
      <c r="D60" s="409">
        <f>SUM(C48:C59)</f>
        <v/>
      </c>
      <c r="F60" s="591">
        <f>$E$81</f>
        <v/>
      </c>
      <c r="G60" s="411" t="n">
        <v>0.19</v>
      </c>
      <c r="H60" s="412">
        <f>(D60*G60)</f>
        <v/>
      </c>
      <c r="I60" s="413" t="n">
        <v>-22500</v>
      </c>
      <c r="J60" s="342">
        <f>(H60+I60)/D60</f>
        <v/>
      </c>
      <c r="K60" s="589">
        <f>C60*J60</f>
        <v/>
      </c>
      <c r="L60" s="589" t="n">
        <v>0</v>
      </c>
      <c r="M60" s="589">
        <f>K60+L60</f>
        <v/>
      </c>
      <c r="O60" s="527" t="n"/>
      <c r="P60" s="527" t="n"/>
      <c r="Q60" s="527" t="n"/>
      <c r="R60" s="527" t="n"/>
      <c r="S60" s="527" t="n"/>
      <c r="T60" s="527" t="n"/>
    </row>
    <row r="61">
      <c r="B61" s="407" t="n">
        <v>46082</v>
      </c>
      <c r="C61" s="408">
        <f>(DRE!P$9+DRE!P$10)*25%</f>
        <v/>
      </c>
      <c r="D61" s="409">
        <f>SUM(C49:C60)</f>
        <v/>
      </c>
      <c r="F61" s="591">
        <f>$E$81</f>
        <v/>
      </c>
      <c r="G61" s="411" t="n">
        <v>0.19</v>
      </c>
      <c r="H61" s="412">
        <f>(D61*G61)</f>
        <v/>
      </c>
      <c r="I61" s="413" t="n">
        <v>-22500</v>
      </c>
      <c r="J61" s="342">
        <f>(H61+I61)/D61</f>
        <v/>
      </c>
      <c r="K61" s="589">
        <f>C61*J61</f>
        <v/>
      </c>
      <c r="L61" s="589" t="n">
        <v>0</v>
      </c>
      <c r="M61" s="589">
        <f>K61+L61</f>
        <v/>
      </c>
      <c r="O61" s="527" t="n"/>
      <c r="P61" s="527" t="n"/>
      <c r="Q61" s="527" t="n"/>
      <c r="R61" s="527" t="n"/>
      <c r="S61" s="527" t="n"/>
      <c r="T61" s="527" t="n"/>
    </row>
    <row r="62">
      <c r="B62" s="407" t="n">
        <v>46113</v>
      </c>
      <c r="C62" s="408">
        <f>(DRE!S$9+DRE!S$10)*25%</f>
        <v/>
      </c>
      <c r="D62" s="409">
        <f>SUM(C50:C61)</f>
        <v/>
      </c>
      <c r="F62" s="591">
        <f>$E$81</f>
        <v/>
      </c>
      <c r="G62" s="411" t="n">
        <v>0.19</v>
      </c>
      <c r="H62" s="412">
        <f>(D62*G62)</f>
        <v/>
      </c>
      <c r="I62" s="413" t="n">
        <v>-22500</v>
      </c>
      <c r="J62" s="342">
        <f>(H62+I62)/D62</f>
        <v/>
      </c>
      <c r="K62" s="589">
        <f>C62*J62</f>
        <v/>
      </c>
      <c r="L62" s="589" t="n">
        <v>0</v>
      </c>
      <c r="M62" s="589">
        <f>K62+L62</f>
        <v/>
      </c>
      <c r="O62" s="527" t="n"/>
      <c r="P62" s="527" t="n"/>
      <c r="Q62" s="527" t="n"/>
      <c r="R62" s="527" t="n"/>
      <c r="S62" s="527" t="n"/>
      <c r="T62" s="527" t="n"/>
    </row>
    <row r="63">
      <c r="B63" s="407" t="n">
        <v>46143</v>
      </c>
      <c r="C63" s="408">
        <f>(DRE!V$9+DRE!V$10)*25%</f>
        <v/>
      </c>
      <c r="D63" s="409">
        <f>SUM(C51:C62)</f>
        <v/>
      </c>
      <c r="F63" s="591">
        <f>$E$81</f>
        <v/>
      </c>
      <c r="G63" s="411" t="n">
        <v>0.19</v>
      </c>
      <c r="H63" s="412">
        <f>(D63*G63)</f>
        <v/>
      </c>
      <c r="I63" s="413" t="n">
        <v>-22500</v>
      </c>
      <c r="J63" s="342">
        <f>(H63+I63)/D63</f>
        <v/>
      </c>
      <c r="K63" s="589">
        <f>C63*J63</f>
        <v/>
      </c>
      <c r="L63" s="589" t="n">
        <v>0</v>
      </c>
      <c r="M63" s="589">
        <f>K63+L63</f>
        <v/>
      </c>
      <c r="O63" s="527" t="n"/>
      <c r="P63" s="527" t="n"/>
      <c r="Q63" s="527" t="n"/>
      <c r="R63" s="527" t="n"/>
      <c r="S63" s="527" t="n"/>
      <c r="T63" s="527" t="n"/>
    </row>
    <row r="64">
      <c r="B64" s="407" t="n">
        <v>46174</v>
      </c>
      <c r="C64" s="408">
        <f>(DRE!Y$9+DRE!Y$10)*25%</f>
        <v/>
      </c>
      <c r="D64" s="409">
        <f>SUM(C52:C63)</f>
        <v/>
      </c>
      <c r="F64" s="591">
        <f>$E$81</f>
        <v/>
      </c>
      <c r="G64" s="411" t="n">
        <v>0.19</v>
      </c>
      <c r="H64" s="412">
        <f>(D64*G64)</f>
        <v/>
      </c>
      <c r="I64" s="413" t="n">
        <v>-22500</v>
      </c>
      <c r="J64" s="342">
        <f>(H64+I64)/D64</f>
        <v/>
      </c>
      <c r="K64" s="589">
        <f>C64*J64</f>
        <v/>
      </c>
      <c r="L64" s="589" t="n">
        <v>0</v>
      </c>
      <c r="M64" s="589">
        <f>K64+L64</f>
        <v/>
      </c>
      <c r="O64" s="527" t="n"/>
      <c r="P64" s="527" t="n"/>
      <c r="Q64" s="527" t="n"/>
      <c r="R64" s="527" t="n"/>
      <c r="S64" s="527" t="n"/>
      <c r="T64" s="527" t="n"/>
    </row>
    <row r="65">
      <c r="B65" s="407" t="n">
        <v>46204</v>
      </c>
      <c r="C65" s="408">
        <f>(DRE!AB$9+DRE!AB$10)*25%</f>
        <v/>
      </c>
      <c r="D65" s="409">
        <f>SUM(C53:C64)</f>
        <v/>
      </c>
      <c r="F65" s="591">
        <f>$E$81</f>
        <v/>
      </c>
      <c r="G65" s="411" t="n">
        <v>0.19</v>
      </c>
      <c r="H65" s="412">
        <f>(D65*G65)</f>
        <v/>
      </c>
      <c r="I65" s="413" t="n">
        <v>-22500</v>
      </c>
      <c r="J65" s="342">
        <f>(H65+I65)/D65</f>
        <v/>
      </c>
      <c r="K65" s="589">
        <f>C65*J65</f>
        <v/>
      </c>
      <c r="L65" s="589" t="n">
        <v>0</v>
      </c>
      <c r="M65" s="589">
        <f>K65+L65</f>
        <v/>
      </c>
      <c r="O65" s="527" t="n"/>
      <c r="P65" s="527" t="n"/>
      <c r="Q65" s="527" t="n"/>
      <c r="R65" s="527" t="n"/>
      <c r="S65" s="527" t="n"/>
      <c r="T65" s="527" t="n"/>
    </row>
    <row r="66">
      <c r="B66" s="407" t="n">
        <v>46235</v>
      </c>
      <c r="C66" s="408">
        <f>(DRE!AE$9+DRE!AE$10)*25%</f>
        <v/>
      </c>
      <c r="D66" s="409">
        <f>SUM(C54:C65)</f>
        <v/>
      </c>
      <c r="F66" s="591">
        <f>$E$81</f>
        <v/>
      </c>
      <c r="G66" s="411" t="n">
        <v>0.19</v>
      </c>
      <c r="H66" s="412">
        <f>(D66*G66)</f>
        <v/>
      </c>
      <c r="I66" s="413" t="n">
        <v>-22500</v>
      </c>
      <c r="J66" s="342">
        <f>(H66+I66)/D66</f>
        <v/>
      </c>
      <c r="K66" s="589">
        <f>C66*J66</f>
        <v/>
      </c>
      <c r="L66" s="589" t="n">
        <v>0</v>
      </c>
      <c r="M66" s="589">
        <f>K66+L66</f>
        <v/>
      </c>
      <c r="O66" s="527" t="n"/>
      <c r="P66" s="527" t="n"/>
      <c r="Q66" s="527" t="n"/>
      <c r="R66" s="527" t="n"/>
      <c r="S66" s="527" t="n"/>
      <c r="T66" s="527" t="n"/>
    </row>
    <row r="67">
      <c r="B67" s="407" t="n">
        <v>46266</v>
      </c>
      <c r="C67" s="408">
        <f>(DRE!AH$9+DRE!AH$10)*25%</f>
        <v/>
      </c>
      <c r="D67" s="409">
        <f>SUM(C55:C66)</f>
        <v/>
      </c>
      <c r="F67" s="591">
        <f>$E$81</f>
        <v/>
      </c>
      <c r="G67" s="411" t="n">
        <v>0.19</v>
      </c>
      <c r="H67" s="412">
        <f>(D67*G67)</f>
        <v/>
      </c>
      <c r="I67" s="413" t="n">
        <v>-22500</v>
      </c>
      <c r="J67" s="342">
        <f>(H67+I67)/D67</f>
        <v/>
      </c>
      <c r="K67" s="589">
        <f>C67*J67</f>
        <v/>
      </c>
      <c r="L67" s="589" t="n">
        <v>0</v>
      </c>
      <c r="M67" s="589">
        <f>K67+L67</f>
        <v/>
      </c>
      <c r="O67" s="527" t="n"/>
      <c r="P67" s="527" t="n"/>
      <c r="Q67" s="527" t="n"/>
      <c r="R67" s="527" t="n"/>
      <c r="S67" s="527" t="n"/>
      <c r="T67" s="527" t="n"/>
    </row>
    <row r="68">
      <c r="B68" s="407" t="n">
        <v>46296</v>
      </c>
      <c r="C68" s="408">
        <f>(DRE!AK$9+DRE!AK$10)*25%</f>
        <v/>
      </c>
      <c r="D68" s="409">
        <f>SUM(C56:C67)</f>
        <v/>
      </c>
      <c r="F68" s="591">
        <f>$E$81</f>
        <v/>
      </c>
      <c r="G68" s="411" t="n">
        <v>0.19</v>
      </c>
      <c r="H68" s="412">
        <f>(D68*G68)</f>
        <v/>
      </c>
      <c r="I68" s="413" t="n">
        <v>-22500</v>
      </c>
      <c r="J68" s="342">
        <f>(H68+I68)/D68</f>
        <v/>
      </c>
      <c r="K68" s="589">
        <f>C68*J68</f>
        <v/>
      </c>
      <c r="L68" s="589" t="n">
        <v>0</v>
      </c>
      <c r="M68" s="589">
        <f>K68+L68</f>
        <v/>
      </c>
      <c r="O68" s="527" t="n"/>
      <c r="P68" s="527" t="n"/>
      <c r="Q68" s="527" t="n"/>
      <c r="R68" s="527" t="n"/>
      <c r="S68" s="527" t="n"/>
      <c r="T68" s="527" t="n"/>
    </row>
    <row r="69">
      <c r="B69" s="407" t="n">
        <v>46327</v>
      </c>
      <c r="C69" s="408">
        <f>(DRE!AN$9+DRE!AN$10)*25%</f>
        <v/>
      </c>
      <c r="D69" s="409">
        <f>SUM(C57:C68)</f>
        <v/>
      </c>
      <c r="F69" s="591">
        <f>$E$81</f>
        <v/>
      </c>
      <c r="G69" s="411" t="n">
        <v>0.19</v>
      </c>
      <c r="H69" s="412">
        <f>(D69*G69)</f>
        <v/>
      </c>
      <c r="I69" s="413" t="n">
        <v>-22500</v>
      </c>
      <c r="J69" s="342">
        <f>(H69+I69)/D69</f>
        <v/>
      </c>
      <c r="K69" s="589">
        <f>C69*J69</f>
        <v/>
      </c>
      <c r="L69" s="589" t="n">
        <v>0</v>
      </c>
      <c r="M69" s="589">
        <f>K69+L69</f>
        <v/>
      </c>
      <c r="O69" s="527" t="n"/>
      <c r="P69" s="527" t="n"/>
      <c r="Q69" s="527" t="n"/>
      <c r="R69" s="527" t="n"/>
      <c r="S69" s="527" t="n"/>
      <c r="T69" s="527" t="n"/>
    </row>
    <row r="70">
      <c r="B70" s="407" t="n">
        <v>46357</v>
      </c>
      <c r="C70" s="408">
        <f>(DRE!AQ$9+DRE!AQ$10)*25%</f>
        <v/>
      </c>
      <c r="D70" s="409">
        <f>SUM(C58:C69)</f>
        <v/>
      </c>
      <c r="F70" s="591">
        <f>$E$81</f>
        <v/>
      </c>
      <c r="G70" s="411" t="n">
        <v>0.19</v>
      </c>
      <c r="H70" s="412">
        <f>(D70*G70)</f>
        <v/>
      </c>
      <c r="I70" s="413" t="n">
        <v>-22500</v>
      </c>
      <c r="J70" s="342">
        <f>(H70+I70)/D70</f>
        <v/>
      </c>
      <c r="K70" s="589">
        <f>C70*J70</f>
        <v/>
      </c>
      <c r="L70" s="589" t="n">
        <v>0</v>
      </c>
      <c r="M70" s="589">
        <f>K70+L70</f>
        <v/>
      </c>
      <c r="O70" s="527" t="n"/>
      <c r="P70" s="527" t="n"/>
      <c r="Q70" s="527" t="n"/>
      <c r="R70" s="527" t="n"/>
      <c r="S70" s="527" t="n"/>
      <c r="T70" s="527" t="n"/>
    </row>
    <row r="71">
      <c r="C71" s="359">
        <f>SUM(C59:C70)</f>
        <v/>
      </c>
      <c r="F71" s="399" t="n"/>
      <c r="G71" s="399" t="n"/>
      <c r="H71" s="399" t="n"/>
      <c r="I71" s="399" t="n"/>
      <c r="J71" s="399" t="n"/>
      <c r="K71" s="592">
        <f>SUM(K59:K70)</f>
        <v/>
      </c>
      <c r="L71" s="592" t="n">
        <v>0</v>
      </c>
      <c r="M71" s="592">
        <f>SUM(M59:M70)</f>
        <v/>
      </c>
      <c r="O71" s="527" t="n"/>
      <c r="P71" s="527" t="n"/>
      <c r="Q71" s="527" t="n"/>
      <c r="R71" s="527" t="n"/>
      <c r="S71" s="527" t="n"/>
      <c r="T71" s="527" t="n"/>
    </row>
    <row r="72">
      <c r="C72" s="354" t="n"/>
      <c r="F72" s="399" t="n"/>
      <c r="G72" s="399" t="n"/>
      <c r="H72" s="399" t="n"/>
      <c r="I72" s="399" t="n"/>
      <c r="J72" s="399" t="n"/>
      <c r="K72" s="415" t="n"/>
      <c r="L72" s="415" t="n"/>
      <c r="M72" s="416">
        <f>M71/C71</f>
        <v/>
      </c>
      <c r="N72" s="358" t="inlineStr">
        <is>
          <t>Alíquota efetiva</t>
        </is>
      </c>
      <c r="O72" s="527" t="n"/>
      <c r="P72" s="527" t="n"/>
      <c r="Q72" s="527" t="n"/>
      <c r="R72" s="527" t="n"/>
      <c r="S72" s="527" t="n"/>
      <c r="T72" s="527" t="n"/>
    </row>
    <row r="73">
      <c r="D73" s="527" t="n"/>
      <c r="E73" s="527" t="n"/>
      <c r="F73" s="527" t="n"/>
      <c r="G73" s="527" t="n"/>
      <c r="H73" s="527" t="n"/>
      <c r="I73" s="527" t="n"/>
      <c r="J73" s="527" t="n"/>
      <c r="K73" s="527" t="n"/>
      <c r="L73" s="527" t="n"/>
      <c r="M73" s="527" t="n"/>
      <c r="N73" s="527" t="n"/>
      <c r="O73" s="527" t="n"/>
      <c r="P73" s="527" t="n"/>
      <c r="Q73" s="527" t="n"/>
      <c r="R73" s="527" t="n"/>
      <c r="S73" s="527" t="n"/>
      <c r="T73" s="527" t="n"/>
    </row>
    <row r="74">
      <c r="D74" s="527" t="n"/>
      <c r="E74" s="527" t="n"/>
      <c r="F74" s="527" t="n"/>
      <c r="G74" s="527" t="n"/>
      <c r="H74" s="527" t="n"/>
      <c r="I74" s="527" t="n"/>
      <c r="J74" s="527" t="n"/>
      <c r="K74" s="527" t="n"/>
      <c r="L74" s="527" t="n"/>
      <c r="M74" s="527" t="n"/>
      <c r="N74" s="527" t="n"/>
      <c r="O74" s="527" t="n"/>
      <c r="P74" s="527" t="n"/>
      <c r="Q74" s="527" t="n"/>
      <c r="R74" s="527" t="n"/>
      <c r="S74" s="527" t="n"/>
      <c r="T74" s="527" t="n"/>
    </row>
    <row r="75">
      <c r="D75" s="527" t="n"/>
      <c r="E75" s="527" t="n"/>
      <c r="F75" s="527" t="n"/>
      <c r="G75" s="527" t="n"/>
      <c r="H75" s="527" t="n"/>
      <c r="I75" s="527" t="n"/>
      <c r="J75" s="527" t="n"/>
      <c r="K75" s="527" t="n"/>
      <c r="L75" s="527" t="n"/>
      <c r="M75" s="527" t="n"/>
      <c r="N75" s="527" t="n"/>
      <c r="O75" s="527" t="n"/>
      <c r="P75" s="527" t="n"/>
      <c r="Q75" s="527" t="n"/>
      <c r="R75" s="527" t="n"/>
      <c r="S75" s="527" t="n"/>
      <c r="T75" s="527" t="n"/>
    </row>
    <row r="76">
      <c r="B76" s="529" t="n">
        <v>0</v>
      </c>
      <c r="C76" s="593" t="n">
        <v>180000</v>
      </c>
      <c r="D76" s="418" t="n">
        <v>0.04</v>
      </c>
      <c r="E76" s="527" t="inlineStr">
        <is>
          <t>1ª</t>
        </is>
      </c>
      <c r="F76" s="527" t="n"/>
      <c r="G76" s="527" t="n"/>
      <c r="H76" s="527" t="n"/>
      <c r="I76" s="527" t="n"/>
      <c r="J76" s="527" t="n"/>
      <c r="K76" s="527" t="n"/>
      <c r="L76" s="527" t="n"/>
      <c r="M76" s="527" t="n"/>
      <c r="N76" s="527" t="n"/>
      <c r="O76" s="527" t="n"/>
      <c r="P76" s="527" t="n"/>
      <c r="Q76" s="527" t="n"/>
      <c r="R76" s="527" t="n"/>
      <c r="S76" s="527" t="n"/>
      <c r="T76" s="527" t="n"/>
    </row>
    <row r="77">
      <c r="B77" s="593" t="n">
        <v>180001</v>
      </c>
      <c r="C77" s="529" t="n">
        <v>360000</v>
      </c>
      <c r="D77" s="419" t="n">
        <v>0.073</v>
      </c>
      <c r="E77" s="527" t="inlineStr">
        <is>
          <t>2ª</t>
        </is>
      </c>
      <c r="F77" s="527" t="n"/>
      <c r="G77" s="527" t="n"/>
      <c r="H77" s="527" t="n"/>
      <c r="I77" s="527" t="n"/>
      <c r="J77" s="527" t="n"/>
      <c r="K77" s="527" t="n"/>
      <c r="L77" s="527" t="n"/>
      <c r="M77" s="527" t="n"/>
      <c r="N77" s="527" t="n"/>
      <c r="O77" s="527" t="n"/>
      <c r="P77" s="527" t="n"/>
      <c r="Q77" s="527" t="n"/>
      <c r="R77" s="527" t="n"/>
      <c r="S77" s="527" t="n"/>
      <c r="T77" s="527" t="n"/>
    </row>
    <row r="78">
      <c r="B78" s="529" t="n">
        <v>360001</v>
      </c>
      <c r="C78" s="529" t="n">
        <v>720000</v>
      </c>
      <c r="D78" s="419" t="n">
        <v>0.095</v>
      </c>
      <c r="E78" s="527" t="inlineStr">
        <is>
          <t>3ª</t>
        </is>
      </c>
      <c r="F78" s="527" t="n"/>
      <c r="G78" s="527" t="n"/>
      <c r="H78" s="527" t="n"/>
      <c r="I78" s="527" t="n"/>
      <c r="J78" s="527" t="n"/>
      <c r="K78" s="527" t="n"/>
      <c r="L78" s="527" t="n"/>
      <c r="M78" s="527" t="n"/>
      <c r="N78" s="527" t="n"/>
      <c r="O78" s="527" t="n"/>
      <c r="P78" s="527" t="n"/>
      <c r="Q78" s="527" t="n"/>
      <c r="R78" s="527" t="n"/>
      <c r="S78" s="527" t="n"/>
      <c r="T78" s="527" t="n"/>
    </row>
    <row r="79">
      <c r="B79" s="529" t="n">
        <v>720001</v>
      </c>
      <c r="C79" s="529" t="n">
        <v>1800000</v>
      </c>
      <c r="D79" s="419" t="n">
        <v>0.107</v>
      </c>
      <c r="E79" s="527" t="inlineStr">
        <is>
          <t>4ª</t>
        </is>
      </c>
      <c r="F79" s="527" t="n"/>
      <c r="G79" s="527" t="n"/>
      <c r="H79" s="527" t="n"/>
      <c r="I79" s="527" t="n"/>
      <c r="J79" s="527" t="n"/>
      <c r="K79" s="527" t="n"/>
      <c r="L79" s="527" t="n"/>
      <c r="M79" s="527" t="n"/>
      <c r="N79" s="527" t="n"/>
      <c r="O79" s="527" t="n"/>
      <c r="P79" s="527" t="n"/>
      <c r="Q79" s="527" t="n"/>
      <c r="R79" s="527" t="n"/>
      <c r="S79" s="527" t="n"/>
      <c r="T79" s="527" t="n"/>
    </row>
    <row r="80">
      <c r="B80" s="529" t="n">
        <v>1800001</v>
      </c>
      <c r="C80" s="529" t="n">
        <v>3600000</v>
      </c>
      <c r="D80" s="419" t="n">
        <v>0.143</v>
      </c>
      <c r="E80" s="527" t="inlineStr">
        <is>
          <t>5ª</t>
        </is>
      </c>
      <c r="F80" s="527" t="n"/>
      <c r="G80" s="527" t="n"/>
      <c r="H80" s="527" t="n"/>
      <c r="I80" s="527" t="n"/>
      <c r="J80" s="527" t="n"/>
      <c r="K80" s="527" t="n"/>
      <c r="L80" s="527" t="n"/>
      <c r="M80" s="527" t="n"/>
      <c r="N80" s="527" t="n"/>
      <c r="O80" s="527" t="n"/>
      <c r="P80" s="527" t="n"/>
      <c r="Q80" s="527" t="n"/>
      <c r="R80" s="527" t="n"/>
      <c r="S80" s="527" t="n"/>
      <c r="T80" s="527" t="n"/>
    </row>
    <row r="81">
      <c r="B81" s="529" t="n">
        <v>3600001</v>
      </c>
      <c r="C81" s="529" t="n">
        <v>4800001</v>
      </c>
      <c r="D81" s="420" t="n">
        <v>0.19</v>
      </c>
      <c r="E81" s="527" t="inlineStr">
        <is>
          <t>6ª</t>
        </is>
      </c>
      <c r="F81" s="527" t="n"/>
      <c r="G81" s="527" t="n"/>
      <c r="H81" s="527" t="n"/>
      <c r="I81" s="527" t="n"/>
      <c r="J81" s="527" t="n"/>
      <c r="K81" s="527" t="n"/>
      <c r="L81" s="527" t="n"/>
      <c r="M81" s="527" t="n"/>
      <c r="N81" s="527" t="n"/>
      <c r="O81" s="527" t="n"/>
      <c r="P81" s="527" t="n"/>
      <c r="Q81" s="527" t="n"/>
      <c r="R81" s="527" t="n"/>
      <c r="S81" s="527" t="n"/>
      <c r="T81" s="527" t="n"/>
    </row>
    <row r="82">
      <c r="D82" s="527" t="n"/>
      <c r="E82" s="527" t="n"/>
      <c r="F82" s="527" t="n"/>
      <c r="G82" s="527" t="n"/>
      <c r="H82" s="527" t="n"/>
      <c r="I82" s="527" t="n"/>
      <c r="J82" s="527" t="n"/>
      <c r="K82" s="527" t="n"/>
      <c r="L82" s="527" t="n"/>
      <c r="M82" s="527" t="n"/>
      <c r="N82" s="527" t="n"/>
      <c r="O82" s="527" t="n"/>
      <c r="P82" s="527" t="n"/>
      <c r="Q82" s="527" t="n"/>
      <c r="R82" s="527" t="n"/>
      <c r="S82" s="527" t="n"/>
      <c r="T82" s="527" t="n"/>
    </row>
    <row r="83">
      <c r="D83" s="527" t="n"/>
      <c r="E83" s="527" t="n"/>
      <c r="F83" s="527" t="n"/>
      <c r="G83" s="527" t="n"/>
      <c r="H83" s="527" t="n"/>
      <c r="I83" s="527" t="n"/>
      <c r="J83" s="527" t="n"/>
      <c r="K83" s="527" t="n"/>
      <c r="L83" s="527" t="n"/>
      <c r="M83" s="527" t="n"/>
      <c r="N83" s="527" t="n"/>
      <c r="O83" s="527" t="n"/>
      <c r="P83" s="527" t="n"/>
      <c r="Q83" s="527" t="n"/>
      <c r="R83" s="527" t="n"/>
      <c r="S83" s="527" t="n"/>
      <c r="T83" s="527" t="n"/>
    </row>
  </sheetData>
  <mergeCells count="2">
    <mergeCell ref="B1:T1"/>
    <mergeCell ref="B44:N44"/>
  </mergeCells>
  <pageMargins left="0.511811024" right="0.511811024" top="0.787401575" bottom="0.787401575" header="0.31496062" footer="0.3149606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ID_Despesa_ID_Parcela</t>
        </is>
      </c>
      <c r="B1" t="inlineStr">
        <is>
          <t>Empresa</t>
        </is>
      </c>
      <c r="C1" t="inlineStr">
        <is>
          <t>Fornecedor_Razao_Social</t>
        </is>
      </c>
      <c r="D1" t="inlineStr">
        <is>
          <t>Fornecedor</t>
        </is>
      </c>
      <c r="E1" t="inlineStr">
        <is>
          <t>Doc_Serie</t>
        </is>
      </c>
      <c r="F1" t="inlineStr">
        <is>
          <t>Class_Cont_1</t>
        </is>
      </c>
      <c r="G1" t="inlineStr">
        <is>
          <t>Class_Cont_2</t>
        </is>
      </c>
      <c r="H1" t="inlineStr">
        <is>
          <t>Valor_Original</t>
        </is>
      </c>
      <c r="I1" t="inlineStr">
        <is>
          <t>Parcelamento</t>
        </is>
      </c>
      <c r="J1" t="inlineStr">
        <is>
          <t>Qtd_Parcelas</t>
        </is>
      </c>
      <c r="K1" t="inlineStr">
        <is>
          <t>Num_Parcela</t>
        </is>
      </c>
      <c r="L1" t="inlineStr">
        <is>
          <t>Data_Emissao</t>
        </is>
      </c>
      <c r="M1" t="inlineStr">
        <is>
          <t>Data_Vencimento</t>
        </is>
      </c>
      <c r="N1" t="inlineStr">
        <is>
          <t>Valor_Liquido</t>
        </is>
      </c>
      <c r="O1" t="inlineStr">
        <is>
          <t>Status_Pagamento</t>
        </is>
      </c>
      <c r="P1" t="inlineStr">
        <is>
          <t>Data_Realiz_Pgto</t>
        </is>
      </c>
      <c r="Q1" t="inlineStr">
        <is>
          <t>Descricao</t>
        </is>
      </c>
      <c r="R1" t="inlineStr">
        <is>
          <t>Mes_Texto_Vencimento</t>
        </is>
      </c>
      <c r="S1" t="inlineStr">
        <is>
          <t>Mes_Texto_Pagamento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ID_Contagem</t>
        </is>
      </c>
      <c r="B1" t="inlineStr">
        <is>
          <t>ID_Loja</t>
        </is>
      </c>
      <c r="C1" t="inlineStr">
        <is>
          <t>Data_Contagem</t>
        </is>
      </c>
      <c r="D1" t="inlineStr">
        <is>
          <t>Loja</t>
        </is>
      </c>
      <c r="E1" t="inlineStr">
        <is>
          <t>ID_Insumo</t>
        </is>
      </c>
      <c r="F1" t="inlineStr">
        <is>
          <t>Insumo</t>
        </is>
      </c>
      <c r="G1" t="inlineStr">
        <is>
          <t>Quantidade</t>
        </is>
      </c>
      <c r="H1" t="inlineStr">
        <is>
          <t>Unidade_Medida</t>
        </is>
      </c>
      <c r="I1" t="inlineStr">
        <is>
          <t>Mes_Texto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tdr_ID</t>
        </is>
      </c>
      <c r="B1" t="inlineStr">
        <is>
          <t>ID_Loja</t>
        </is>
      </c>
      <c r="C1" t="inlineStr">
        <is>
          <t>Loja</t>
        </is>
      </c>
      <c r="D1" t="inlineStr">
        <is>
          <t>Fornecedor</t>
        </is>
      </c>
      <c r="E1" t="inlineStr">
        <is>
          <t>Doc_Serie</t>
        </is>
      </c>
      <c r="F1" t="inlineStr">
        <is>
          <t>Data_Emissao</t>
        </is>
      </c>
      <c r="G1" t="inlineStr">
        <is>
          <t>ID_Insumo_Nivel_5</t>
        </is>
      </c>
      <c r="H1" t="inlineStr">
        <is>
          <t>Nome_Insumo_Nivel_5</t>
        </is>
      </c>
      <c r="I1" t="inlineStr">
        <is>
          <t>Nome_Incumo_Nivel_1</t>
        </is>
      </c>
      <c r="J1" t="inlineStr">
        <is>
          <t>Quantidade</t>
        </is>
      </c>
      <c r="K1" t="inlineStr">
        <is>
          <t>Unidade_Medida</t>
        </is>
      </c>
      <c r="L1" t="inlineStr">
        <is>
          <t>Valor_Cotado</t>
        </is>
      </c>
      <c r="M1" t="inlineStr">
        <is>
          <t>Valor_Unidade_Medida</t>
        </is>
      </c>
      <c r="N1" t="inlineStr">
        <is>
          <t>Observacao</t>
        </is>
      </c>
      <c r="O1" t="inlineStr">
        <is>
          <t>Mes_Texto</t>
        </is>
      </c>
    </row>
    <row r="2">
      <c r="A2" t="n">
        <v>263880</v>
      </c>
      <c r="B2" t="n">
        <v>180</v>
      </c>
      <c r="C2" t="inlineStr">
        <is>
          <t>Nuv Gastrobar</t>
        </is>
      </c>
      <c r="D2" t="inlineStr">
        <is>
          <t xml:space="preserve">BETEL SOLUCOES EM HIGIENIZACAO LTDA </t>
        </is>
      </c>
      <c r="E2" t="inlineStr">
        <is>
          <t>1558</t>
        </is>
      </c>
      <c r="F2" s="525" t="n">
        <v>46266</v>
      </c>
      <c r="G2" t="n">
        <v>26366</v>
      </c>
      <c r="H2" t="inlineStr">
        <is>
          <t>ETIQUETA ROLO BOPP 60X40MM C/1000UN</t>
        </is>
      </c>
      <c r="I2" t="inlineStr">
        <is>
          <t>DESPESAS OPERACIONAIS</t>
        </is>
      </c>
      <c r="J2" t="n">
        <v>3</v>
      </c>
      <c r="K2" t="inlineStr">
        <is>
          <t>UN</t>
        </is>
      </c>
      <c r="L2" t="n">
        <v>224.7</v>
      </c>
      <c r="M2" t="n">
        <v>74.90000000000001</v>
      </c>
      <c r="O2" t="inlineStr">
        <is>
          <t>09/2026</t>
        </is>
      </c>
    </row>
    <row r="3">
      <c r="A3" t="n">
        <v>263559</v>
      </c>
      <c r="B3" t="n">
        <v>180</v>
      </c>
      <c r="C3" t="inlineStr">
        <is>
          <t>Nuv Gastrobar</t>
        </is>
      </c>
      <c r="D3" t="inlineStr">
        <is>
          <t>T F CIUFF HORTIFRUTI LTDA</t>
        </is>
      </c>
      <c r="E3" t="inlineStr">
        <is>
          <t>33450</t>
        </is>
      </c>
      <c r="F3" s="525" t="n">
        <v>46268</v>
      </c>
      <c r="G3" t="n">
        <v>23346</v>
      </c>
      <c r="H3" t="inlineStr">
        <is>
          <t>MANGA PALMER KG</t>
        </is>
      </c>
      <c r="I3" t="inlineStr">
        <is>
          <t>ALIMENTOS</t>
        </is>
      </c>
      <c r="J3" t="n">
        <v>1</v>
      </c>
      <c r="K3" t="inlineStr">
        <is>
          <t>KG</t>
        </is>
      </c>
      <c r="L3" t="n">
        <v>6.25</v>
      </c>
      <c r="M3" t="n">
        <v>6.25</v>
      </c>
      <c r="O3" t="inlineStr">
        <is>
          <t>09/2026</t>
        </is>
      </c>
    </row>
    <row r="4">
      <c r="A4" t="n">
        <v>263559</v>
      </c>
      <c r="B4" t="n">
        <v>180</v>
      </c>
      <c r="C4" t="inlineStr">
        <is>
          <t>Nuv Gastrobar</t>
        </is>
      </c>
      <c r="D4" t="inlineStr">
        <is>
          <t>T F CIUFF HORTIFRUTI LTDA</t>
        </is>
      </c>
      <c r="E4" t="inlineStr">
        <is>
          <t>33450</t>
        </is>
      </c>
      <c r="F4" s="525" t="n">
        <v>46268</v>
      </c>
      <c r="G4" t="n">
        <v>19621</v>
      </c>
      <c r="H4" t="inlineStr">
        <is>
          <t>CENOURA KG</t>
        </is>
      </c>
      <c r="I4" t="inlineStr">
        <is>
          <t>ALIMENTOS</t>
        </is>
      </c>
      <c r="J4" t="n">
        <v>2</v>
      </c>
      <c r="K4" t="inlineStr">
        <is>
          <t>KG</t>
        </is>
      </c>
      <c r="L4" t="n">
        <v>9.6</v>
      </c>
      <c r="M4" t="n">
        <v>4.8</v>
      </c>
      <c r="O4" t="inlineStr">
        <is>
          <t>09/2026</t>
        </is>
      </c>
    </row>
    <row r="5">
      <c r="A5" t="n">
        <v>263559</v>
      </c>
      <c r="B5" t="n">
        <v>180</v>
      </c>
      <c r="C5" t="inlineStr">
        <is>
          <t>Nuv Gastrobar</t>
        </is>
      </c>
      <c r="D5" t="inlineStr">
        <is>
          <t>T F CIUFF HORTIFRUTI LTDA</t>
        </is>
      </c>
      <c r="E5" t="inlineStr">
        <is>
          <t>33450</t>
        </is>
      </c>
      <c r="F5" s="525" t="n">
        <v>46268</v>
      </c>
      <c r="G5" t="n">
        <v>23365</v>
      </c>
      <c r="H5" t="inlineStr">
        <is>
          <t>KIWI KG</t>
        </is>
      </c>
      <c r="I5" t="inlineStr">
        <is>
          <t>ALIMENTOS</t>
        </is>
      </c>
      <c r="J5" t="n">
        <v>1</v>
      </c>
      <c r="K5" t="inlineStr">
        <is>
          <t>KG</t>
        </is>
      </c>
      <c r="L5" t="n">
        <v>27</v>
      </c>
      <c r="M5" t="n">
        <v>27</v>
      </c>
      <c r="O5" t="inlineStr">
        <is>
          <t>09/2026</t>
        </is>
      </c>
    </row>
    <row r="6">
      <c r="A6" t="n">
        <v>263559</v>
      </c>
      <c r="B6" t="n">
        <v>180</v>
      </c>
      <c r="C6" t="inlineStr">
        <is>
          <t>Nuv Gastrobar</t>
        </is>
      </c>
      <c r="D6" t="inlineStr">
        <is>
          <t>T F CIUFF HORTIFRUTI LTDA</t>
        </is>
      </c>
      <c r="E6" t="inlineStr">
        <is>
          <t>33450</t>
        </is>
      </c>
      <c r="F6" s="525" t="n">
        <v>46268</v>
      </c>
      <c r="G6" t="n">
        <v>23335</v>
      </c>
      <c r="H6" t="inlineStr">
        <is>
          <t>MORANGO KG</t>
        </is>
      </c>
      <c r="I6" t="inlineStr">
        <is>
          <t>ALIMENTOS</t>
        </is>
      </c>
      <c r="J6" t="n">
        <v>1</v>
      </c>
      <c r="K6" t="inlineStr">
        <is>
          <t>KG</t>
        </is>
      </c>
      <c r="L6" t="n">
        <v>16</v>
      </c>
      <c r="M6" t="n">
        <v>16</v>
      </c>
      <c r="O6" t="inlineStr">
        <is>
          <t>09/2026</t>
        </is>
      </c>
    </row>
    <row r="7">
      <c r="A7" t="n">
        <v>263558</v>
      </c>
      <c r="B7" t="n">
        <v>180</v>
      </c>
      <c r="C7" t="inlineStr">
        <is>
          <t>Nuv Gastrobar</t>
        </is>
      </c>
      <c r="D7" t="inlineStr">
        <is>
          <t>FG7 COMERCIO E DISTRIBUICAO DE BEBIDAS LTDA</t>
        </is>
      </c>
      <c r="E7" t="inlineStr">
        <is>
          <t>844125</t>
        </is>
      </c>
      <c r="F7" s="525" t="n">
        <v>46267</v>
      </c>
      <c r="G7" t="n">
        <v>18268</v>
      </c>
      <c r="H7" t="inlineStr">
        <is>
          <t>RUM HAVANA CLUB 3 ANOS 750ML GR</t>
        </is>
      </c>
      <c r="I7" t="inlineStr">
        <is>
          <t>BEBIDAS</t>
        </is>
      </c>
      <c r="J7" t="n">
        <v>6</v>
      </c>
      <c r="K7" t="inlineStr">
        <is>
          <t>GR</t>
        </is>
      </c>
      <c r="L7" t="n">
        <v>423.48</v>
      </c>
      <c r="M7" t="n">
        <v>70.58</v>
      </c>
      <c r="O7" t="inlineStr">
        <is>
          <t>09/2026</t>
        </is>
      </c>
    </row>
    <row r="8">
      <c r="A8" t="n">
        <v>263446</v>
      </c>
      <c r="B8" t="n">
        <v>180</v>
      </c>
      <c r="C8" t="inlineStr">
        <is>
          <t>Nuv Gastrobar</t>
        </is>
      </c>
      <c r="D8" t="inlineStr">
        <is>
          <t>SPAL INDUSTRIA BRASILEIRA DE BEBIDAS S A</t>
        </is>
      </c>
      <c r="E8" t="inlineStr">
        <is>
          <t>11406844</t>
        </is>
      </c>
      <c r="F8" s="525" t="n">
        <v>46268</v>
      </c>
      <c r="G8" t="n">
        <v>17902</v>
      </c>
      <c r="H8" t="inlineStr">
        <is>
          <t>FANTA GUARANA LATA 350ML C/6</t>
        </is>
      </c>
      <c r="I8" t="inlineStr">
        <is>
          <t>BEBIDAS</t>
        </is>
      </c>
      <c r="J8" t="n">
        <v>10</v>
      </c>
      <c r="K8" t="inlineStr">
        <is>
          <t>PC</t>
        </is>
      </c>
      <c r="L8" t="n">
        <v>180.1</v>
      </c>
      <c r="M8" t="n">
        <v>18.01</v>
      </c>
      <c r="O8" t="inlineStr">
        <is>
          <t>09/2026</t>
        </is>
      </c>
    </row>
    <row r="9">
      <c r="A9" t="n">
        <v>263431</v>
      </c>
      <c r="B9" t="n">
        <v>180</v>
      </c>
      <c r="C9" t="inlineStr">
        <is>
          <t>Nuv Gastrobar</t>
        </is>
      </c>
      <c r="D9" t="inlineStr">
        <is>
          <t>WPP COMERCIO DE CARNES LTDA</t>
        </is>
      </c>
      <c r="E9" t="inlineStr">
        <is>
          <t>81587</t>
        </is>
      </c>
      <c r="F9" s="525" t="n">
        <v>46268</v>
      </c>
      <c r="G9" t="n">
        <v>19034</v>
      </c>
      <c r="H9" t="inlineStr">
        <is>
          <t>COXA E SOBRECOXA COM OSSO E COM PELE KG</t>
        </is>
      </c>
      <c r="I9" t="inlineStr">
        <is>
          <t>ALIMENTOS</t>
        </is>
      </c>
      <c r="J9" t="n">
        <v>16</v>
      </c>
      <c r="K9" t="inlineStr">
        <is>
          <t>KG</t>
        </is>
      </c>
      <c r="L9" t="n">
        <v>156.8</v>
      </c>
      <c r="M9" t="n">
        <v>9.800000000000001</v>
      </c>
      <c r="O9" t="inlineStr">
        <is>
          <t>09/2026</t>
        </is>
      </c>
    </row>
    <row r="10">
      <c r="A10" t="n">
        <v>263429</v>
      </c>
      <c r="B10" t="n">
        <v>180</v>
      </c>
      <c r="C10" t="inlineStr">
        <is>
          <t>Nuv Gastrobar</t>
        </is>
      </c>
      <c r="D10" t="inlineStr">
        <is>
          <t>LPQBR RESTAURANTES E PADARIAS LTDA</t>
        </is>
      </c>
      <c r="E10" t="inlineStr">
        <is>
          <t>89599</t>
        </is>
      </c>
      <c r="F10" s="525" t="n">
        <v>46266</v>
      </c>
      <c r="G10" t="n">
        <v>27477</v>
      </c>
      <c r="H10" t="inlineStr">
        <is>
          <t>CROISSANT PREMIUM 70G C/ 18 UNIDADES CX</t>
        </is>
      </c>
      <c r="I10" t="inlineStr">
        <is>
          <t>ALIMENTOS</t>
        </is>
      </c>
      <c r="J10" t="n">
        <v>10</v>
      </c>
      <c r="K10" t="inlineStr">
        <is>
          <t>PC</t>
        </is>
      </c>
      <c r="L10" t="n">
        <v>1233</v>
      </c>
      <c r="M10" t="n">
        <v>123.3</v>
      </c>
      <c r="O10" t="inlineStr">
        <is>
          <t>09/2026</t>
        </is>
      </c>
    </row>
    <row r="11">
      <c r="A11" t="n">
        <v>263429</v>
      </c>
      <c r="B11" t="n">
        <v>180</v>
      </c>
      <c r="C11" t="inlineStr">
        <is>
          <t>Nuv Gastrobar</t>
        </is>
      </c>
      <c r="D11" t="inlineStr">
        <is>
          <t>LPQBR RESTAURANTES E PADARIAS LTDA</t>
        </is>
      </c>
      <c r="E11" t="inlineStr">
        <is>
          <t>89599</t>
        </is>
      </c>
      <c r="F11" s="525" t="n">
        <v>46266</v>
      </c>
      <c r="G11" t="n">
        <v>30403</v>
      </c>
      <c r="H11" t="inlineStr">
        <is>
          <t>WL RECHEIO DE CHOCOLATE KG</t>
        </is>
      </c>
      <c r="I11" t="inlineStr">
        <is>
          <t>ALIMENTOS</t>
        </is>
      </c>
      <c r="J11" t="n">
        <v>5</v>
      </c>
      <c r="K11" t="inlineStr">
        <is>
          <t>KG</t>
        </is>
      </c>
      <c r="L11" t="n">
        <v>275</v>
      </c>
      <c r="M11" t="n">
        <v>55</v>
      </c>
      <c r="O11" t="inlineStr">
        <is>
          <t>09/2026</t>
        </is>
      </c>
    </row>
    <row r="12">
      <c r="A12" t="n">
        <v>263429</v>
      </c>
      <c r="B12" t="n">
        <v>180</v>
      </c>
      <c r="C12" t="inlineStr">
        <is>
          <t>Nuv Gastrobar</t>
        </is>
      </c>
      <c r="D12" t="inlineStr">
        <is>
          <t>LPQBR RESTAURANTES E PADARIAS LTDA</t>
        </is>
      </c>
      <c r="E12" t="inlineStr">
        <is>
          <t>89599</t>
        </is>
      </c>
      <c r="F12" s="525" t="n">
        <v>46266</v>
      </c>
      <c r="G12" t="n">
        <v>30401</v>
      </c>
      <c r="H12" t="inlineStr">
        <is>
          <t>WL CHEESECAKE 950G UN</t>
        </is>
      </c>
      <c r="I12" t="inlineStr">
        <is>
          <t>ALIMENTOS</t>
        </is>
      </c>
      <c r="J12" t="n">
        <v>5</v>
      </c>
      <c r="K12" t="inlineStr">
        <is>
          <t>UNIDADE</t>
        </is>
      </c>
      <c r="L12" t="n">
        <v>475</v>
      </c>
      <c r="M12" t="n">
        <v>95</v>
      </c>
      <c r="O12" t="inlineStr">
        <is>
          <t>09/2026</t>
        </is>
      </c>
    </row>
    <row r="13">
      <c r="A13" t="n">
        <v>263429</v>
      </c>
      <c r="B13" t="n">
        <v>180</v>
      </c>
      <c r="C13" t="inlineStr">
        <is>
          <t>Nuv Gastrobar</t>
        </is>
      </c>
      <c r="D13" t="inlineStr">
        <is>
          <t>LPQBR RESTAURANTES E PADARIAS LTDA</t>
        </is>
      </c>
      <c r="E13" t="inlineStr">
        <is>
          <t>89599</t>
        </is>
      </c>
      <c r="F13" s="525" t="n">
        <v>46266</v>
      </c>
      <c r="G13" t="n">
        <v>30373</v>
      </c>
      <c r="H13" t="inlineStr">
        <is>
          <t>SHOKUPAN LPQ 600G CX C/8 UN</t>
        </is>
      </c>
      <c r="I13" t="inlineStr">
        <is>
          <t>ALIMENTOS</t>
        </is>
      </c>
      <c r="J13" t="n">
        <v>6</v>
      </c>
      <c r="K13" t="inlineStr">
        <is>
          <t>CX</t>
        </is>
      </c>
      <c r="L13" t="n">
        <v>715.5</v>
      </c>
      <c r="M13" t="n">
        <v>119.25</v>
      </c>
      <c r="O13" t="inlineStr">
        <is>
          <t>09/2026</t>
        </is>
      </c>
    </row>
    <row r="14">
      <c r="A14" t="n">
        <v>263429</v>
      </c>
      <c r="B14" t="n">
        <v>180</v>
      </c>
      <c r="C14" t="inlineStr">
        <is>
          <t>Nuv Gastrobar</t>
        </is>
      </c>
      <c r="D14" t="inlineStr">
        <is>
          <t>LPQBR RESTAURANTES E PADARIAS LTDA</t>
        </is>
      </c>
      <c r="E14" t="inlineStr">
        <is>
          <t>89599</t>
        </is>
      </c>
      <c r="F14" s="525" t="n">
        <v>46266</v>
      </c>
      <c r="G14" t="n">
        <v>30202</v>
      </c>
      <c r="H14" t="inlineStr">
        <is>
          <t>COULIS SIET PC C/250GM UN</t>
        </is>
      </c>
      <c r="I14" t="inlineStr">
        <is>
          <t>ALIMENTOS</t>
        </is>
      </c>
      <c r="J14" t="n">
        <v>2</v>
      </c>
      <c r="K14" t="inlineStr">
        <is>
          <t>UN</t>
        </is>
      </c>
      <c r="L14" t="n">
        <v>28.24</v>
      </c>
      <c r="M14" t="n">
        <v>14.12</v>
      </c>
      <c r="O14" t="inlineStr">
        <is>
          <t>09/2026</t>
        </is>
      </c>
    </row>
    <row r="15">
      <c r="A15" t="n">
        <v>263429</v>
      </c>
      <c r="B15" t="n">
        <v>180</v>
      </c>
      <c r="C15" t="inlineStr">
        <is>
          <t>Nuv Gastrobar</t>
        </is>
      </c>
      <c r="D15" t="inlineStr">
        <is>
          <t>LPQBR RESTAURANTES E PADARIAS LTDA</t>
        </is>
      </c>
      <c r="E15" t="inlineStr">
        <is>
          <t>89599</t>
        </is>
      </c>
      <c r="F15" s="525" t="n">
        <v>46266</v>
      </c>
      <c r="G15" t="n">
        <v>30374</v>
      </c>
      <c r="H15" t="inlineStr">
        <is>
          <t>PAO DE HOTDOG LPQ 60G CX C/ 24UN</t>
        </is>
      </c>
      <c r="I15" t="inlineStr">
        <is>
          <t>ALIMENTOS</t>
        </is>
      </c>
      <c r="J15" t="n">
        <v>2</v>
      </c>
      <c r="K15" t="inlineStr">
        <is>
          <t>CX</t>
        </is>
      </c>
      <c r="L15" t="n">
        <v>141.6</v>
      </c>
      <c r="M15" t="n">
        <v>70.8</v>
      </c>
      <c r="O15" t="inlineStr">
        <is>
          <t>09/2026</t>
        </is>
      </c>
    </row>
    <row r="16">
      <c r="A16" t="n">
        <v>263429</v>
      </c>
      <c r="B16" t="n">
        <v>180</v>
      </c>
      <c r="C16" t="inlineStr">
        <is>
          <t>Nuv Gastrobar</t>
        </is>
      </c>
      <c r="D16" t="inlineStr">
        <is>
          <t>LPQBR RESTAURANTES E PADARIAS LTDA</t>
        </is>
      </c>
      <c r="E16" t="inlineStr">
        <is>
          <t>89599</t>
        </is>
      </c>
      <c r="F16" s="525" t="n">
        <v>46266</v>
      </c>
      <c r="G16" t="n">
        <v>30370</v>
      </c>
      <c r="H16" t="inlineStr">
        <is>
          <t>PAO DE QUEIJO LPQ 60G (CX C/4 PCT DE 1KG) CX</t>
        </is>
      </c>
      <c r="I16" t="inlineStr">
        <is>
          <t>ALIMENTOS</t>
        </is>
      </c>
      <c r="J16" t="n">
        <v>12</v>
      </c>
      <c r="K16" t="inlineStr">
        <is>
          <t>CX</t>
        </is>
      </c>
      <c r="L16" t="n">
        <v>2040</v>
      </c>
      <c r="M16" t="n">
        <v>170</v>
      </c>
      <c r="O16" t="inlineStr">
        <is>
          <t>09/2026</t>
        </is>
      </c>
    </row>
    <row r="17">
      <c r="A17" t="n">
        <v>263429</v>
      </c>
      <c r="B17" t="n">
        <v>180</v>
      </c>
      <c r="C17" t="inlineStr">
        <is>
          <t>Nuv Gastrobar</t>
        </is>
      </c>
      <c r="D17" t="inlineStr">
        <is>
          <t>LPQBR RESTAURANTES E PADARIAS LTDA</t>
        </is>
      </c>
      <c r="E17" t="inlineStr">
        <is>
          <t>89599</t>
        </is>
      </c>
      <c r="F17" s="525" t="n">
        <v>46266</v>
      </c>
      <c r="G17" t="n">
        <v>30402</v>
      </c>
      <c r="H17" t="inlineStr">
        <is>
          <t>WL BROWNIE COM NOZES 80G CX C/ 100UN</t>
        </is>
      </c>
      <c r="I17" t="inlineStr">
        <is>
          <t>ALIMENTOS</t>
        </is>
      </c>
      <c r="J17" t="n">
        <v>1</v>
      </c>
      <c r="K17" t="inlineStr">
        <is>
          <t>CX</t>
        </is>
      </c>
      <c r="L17" t="n">
        <v>485</v>
      </c>
      <c r="M17" t="n">
        <v>485</v>
      </c>
      <c r="O17" t="inlineStr">
        <is>
          <t>09/2026</t>
        </is>
      </c>
    </row>
    <row r="18">
      <c r="A18" t="n">
        <v>263429</v>
      </c>
      <c r="B18" t="n">
        <v>180</v>
      </c>
      <c r="C18" t="inlineStr">
        <is>
          <t>Nuv Gastrobar</t>
        </is>
      </c>
      <c r="D18" t="inlineStr">
        <is>
          <t>LPQBR RESTAURANTES E PADARIAS LTDA</t>
        </is>
      </c>
      <c r="E18" t="inlineStr">
        <is>
          <t>89599</t>
        </is>
      </c>
      <c r="F18" s="525" t="n">
        <v>46266</v>
      </c>
      <c r="G18" t="n">
        <v>30375</v>
      </c>
      <c r="H18" t="inlineStr">
        <is>
          <t>PAIN AU CHOCOLAT LPQ 80G CX C/18 UN</t>
        </is>
      </c>
      <c r="I18" t="inlineStr">
        <is>
          <t>ALIMENTOS</t>
        </is>
      </c>
      <c r="J18" t="n">
        <v>5</v>
      </c>
      <c r="K18" t="inlineStr">
        <is>
          <t>CX</t>
        </is>
      </c>
      <c r="L18" t="n">
        <v>792</v>
      </c>
      <c r="M18" t="n">
        <v>158.4</v>
      </c>
      <c r="O18" t="inlineStr">
        <is>
          <t>09/2026</t>
        </is>
      </c>
    </row>
    <row r="19">
      <c r="A19" t="n">
        <v>263429</v>
      </c>
      <c r="B19" t="n">
        <v>180</v>
      </c>
      <c r="C19" t="inlineStr">
        <is>
          <t>Nuv Gastrobar</t>
        </is>
      </c>
      <c r="D19" t="inlineStr">
        <is>
          <t>LPQBR RESTAURANTES E PADARIAS LTDA</t>
        </is>
      </c>
      <c r="E19" t="inlineStr">
        <is>
          <t>89599</t>
        </is>
      </c>
      <c r="F19" s="525" t="n">
        <v>46266</v>
      </c>
      <c r="G19" t="n">
        <v>30376</v>
      </c>
      <c r="H19" t="inlineStr">
        <is>
          <t>FOLHADO DE MAÇA E CANELA LPQ 45G CX C/100 UN</t>
        </is>
      </c>
      <c r="I19" t="inlineStr">
        <is>
          <t>ALIMENTOS</t>
        </is>
      </c>
      <c r="J19" t="n">
        <v>2</v>
      </c>
      <c r="K19" t="inlineStr">
        <is>
          <t>CX</t>
        </is>
      </c>
      <c r="L19" t="n">
        <v>550</v>
      </c>
      <c r="M19" t="n">
        <v>275</v>
      </c>
      <c r="O19" t="inlineStr">
        <is>
          <t>09/2026</t>
        </is>
      </c>
    </row>
    <row r="20">
      <c r="A20" t="n">
        <v>263419</v>
      </c>
      <c r="B20" t="n">
        <v>180</v>
      </c>
      <c r="C20" t="inlineStr">
        <is>
          <t>Nuv Gastrobar</t>
        </is>
      </c>
      <c r="D20" t="inlineStr">
        <is>
          <t>TERRA BRASIL HORTI FRUTI LTDA</t>
        </is>
      </c>
      <c r="E20" t="inlineStr">
        <is>
          <t>1580876</t>
        </is>
      </c>
      <c r="F20" s="525" t="n">
        <v>46268</v>
      </c>
      <c r="G20" t="n">
        <v>26445</v>
      </c>
      <c r="H20" t="inlineStr">
        <is>
          <t>RUCULA SELVAGEM HIGIENIZADA KG</t>
        </is>
      </c>
      <c r="I20" t="inlineStr">
        <is>
          <t>ALIMENTOS</t>
        </is>
      </c>
      <c r="J20" t="n">
        <v>1</v>
      </c>
      <c r="K20" t="inlineStr">
        <is>
          <t>KG</t>
        </is>
      </c>
      <c r="L20" t="n">
        <v>83.05</v>
      </c>
      <c r="M20" t="n">
        <v>83.05</v>
      </c>
      <c r="O20" t="inlineStr">
        <is>
          <t>09/2026</t>
        </is>
      </c>
    </row>
    <row r="21">
      <c r="A21" t="n">
        <v>263419</v>
      </c>
      <c r="B21" t="n">
        <v>180</v>
      </c>
      <c r="C21" t="inlineStr">
        <is>
          <t>Nuv Gastrobar</t>
        </is>
      </c>
      <c r="D21" t="inlineStr">
        <is>
          <t>TERRA BRASIL HORTI FRUTI LTDA</t>
        </is>
      </c>
      <c r="E21" t="inlineStr">
        <is>
          <t>1580876</t>
        </is>
      </c>
      <c r="F21" s="525" t="n">
        <v>46268</v>
      </c>
      <c r="G21" t="n">
        <v>19457</v>
      </c>
      <c r="H21" t="inlineStr">
        <is>
          <t>ALFACE AMERICANA HIGIENIZADO KG</t>
        </is>
      </c>
      <c r="I21" t="inlineStr">
        <is>
          <t>ALIMENTOS</t>
        </is>
      </c>
      <c r="J21" t="n">
        <v>1</v>
      </c>
      <c r="K21" t="inlineStr">
        <is>
          <t>KG</t>
        </is>
      </c>
      <c r="L21" t="n">
        <v>25.39</v>
      </c>
      <c r="M21" t="n">
        <v>25.39</v>
      </c>
      <c r="O21" t="inlineStr">
        <is>
          <t>09/2026</t>
        </is>
      </c>
    </row>
    <row r="22">
      <c r="A22" t="n">
        <v>263419</v>
      </c>
      <c r="B22" t="n">
        <v>180</v>
      </c>
      <c r="C22" t="inlineStr">
        <is>
          <t>Nuv Gastrobar</t>
        </is>
      </c>
      <c r="D22" t="inlineStr">
        <is>
          <t>TERRA BRASIL HORTI FRUTI LTDA</t>
        </is>
      </c>
      <c r="E22" t="inlineStr">
        <is>
          <t>1580876</t>
        </is>
      </c>
      <c r="F22" s="525" t="n">
        <v>46268</v>
      </c>
      <c r="G22" t="n">
        <v>26628</v>
      </c>
      <c r="H22" t="inlineStr">
        <is>
          <t>ALFACE ROXA CRESPA HIGIENIZADA KG</t>
        </is>
      </c>
      <c r="I22" t="inlineStr">
        <is>
          <t>ALIMENTOS</t>
        </is>
      </c>
      <c r="J22" t="n">
        <v>1</v>
      </c>
      <c r="K22" t="inlineStr">
        <is>
          <t>KG</t>
        </is>
      </c>
      <c r="L22" t="n">
        <v>25.42</v>
      </c>
      <c r="M22" t="n">
        <v>25.42</v>
      </c>
      <c r="O22" t="inlineStr">
        <is>
          <t>09/2026</t>
        </is>
      </c>
    </row>
    <row r="23">
      <c r="A23" t="n">
        <v>263418</v>
      </c>
      <c r="B23" t="n">
        <v>180</v>
      </c>
      <c r="C23" t="inlineStr">
        <is>
          <t>Nuv Gastrobar</t>
        </is>
      </c>
      <c r="D23" t="inlineStr">
        <is>
          <t>PSSS LTDA</t>
        </is>
      </c>
      <c r="E23" t="inlineStr">
        <is>
          <t>791</t>
        </is>
      </c>
      <c r="F23" s="525" t="n">
        <v>46266</v>
      </c>
      <c r="G23" t="n">
        <v>17162</v>
      </c>
      <c r="H23" t="inlineStr">
        <is>
          <t>PANO MULTIUSO 28X240 C/600PANOS UM</t>
        </is>
      </c>
      <c r="I23" t="inlineStr">
        <is>
          <t>DESCARTAVEIS/HIGIENE E LIMPEZA</t>
        </is>
      </c>
      <c r="J23" t="n">
        <v>3</v>
      </c>
      <c r="K23" t="inlineStr">
        <is>
          <t>UN</t>
        </is>
      </c>
      <c r="L23" t="n">
        <v>162</v>
      </c>
      <c r="M23" t="n">
        <v>54</v>
      </c>
      <c r="O23" t="inlineStr">
        <is>
          <t>09/2026</t>
        </is>
      </c>
    </row>
    <row r="24">
      <c r="A24" t="n">
        <v>263418</v>
      </c>
      <c r="B24" t="n">
        <v>180</v>
      </c>
      <c r="C24" t="inlineStr">
        <is>
          <t>Nuv Gastrobar</t>
        </is>
      </c>
      <c r="D24" t="inlineStr">
        <is>
          <t>PSSS LTDA</t>
        </is>
      </c>
      <c r="E24" t="inlineStr">
        <is>
          <t>791</t>
        </is>
      </c>
      <c r="F24" s="525" t="n">
        <v>46266</v>
      </c>
      <c r="G24" t="n">
        <v>17418</v>
      </c>
      <c r="H24" t="inlineStr">
        <is>
          <t>PAPEL TOALHA BOBINA LUXO BIA PAPER C/6X20X200M C/6 ROLOS</t>
        </is>
      </c>
      <c r="I24" t="inlineStr">
        <is>
          <t>DESCARTAVEIS/HIGIENE E LIMPEZA</t>
        </is>
      </c>
      <c r="J24" t="n">
        <v>1</v>
      </c>
      <c r="K24" t="inlineStr">
        <is>
          <t>CX</t>
        </is>
      </c>
      <c r="L24" t="n">
        <v>58.9</v>
      </c>
      <c r="M24" t="n">
        <v>58.9</v>
      </c>
      <c r="O24" t="inlineStr">
        <is>
          <t>09/2026</t>
        </is>
      </c>
    </row>
    <row r="25">
      <c r="A25" t="n">
        <v>263418</v>
      </c>
      <c r="B25" t="n">
        <v>180</v>
      </c>
      <c r="C25" t="inlineStr">
        <is>
          <t>Nuv Gastrobar</t>
        </is>
      </c>
      <c r="D25" t="inlineStr">
        <is>
          <t>PSSS LTDA</t>
        </is>
      </c>
      <c r="E25" t="inlineStr">
        <is>
          <t>791</t>
        </is>
      </c>
      <c r="F25" s="525" t="n">
        <v>46266</v>
      </c>
      <c r="G25" t="n">
        <v>17266</v>
      </c>
      <c r="H25" t="inlineStr">
        <is>
          <t>ALCOOL 46º LIQUIDO 1L UN</t>
        </is>
      </c>
      <c r="I25" t="inlineStr">
        <is>
          <t>DESCARTAVEIS/HIGIENE E LIMPEZA</t>
        </is>
      </c>
      <c r="J25" t="n">
        <v>20</v>
      </c>
      <c r="K25" t="inlineStr">
        <is>
          <t>UN</t>
        </is>
      </c>
      <c r="L25" t="n">
        <v>104</v>
      </c>
      <c r="M25" t="n">
        <v>5.2</v>
      </c>
      <c r="O25" t="inlineStr">
        <is>
          <t>09/2026</t>
        </is>
      </c>
    </row>
    <row r="26">
      <c r="A26" t="n">
        <v>263417</v>
      </c>
      <c r="B26" t="n">
        <v>180</v>
      </c>
      <c r="C26" t="inlineStr">
        <is>
          <t>Nuv Gastrobar</t>
        </is>
      </c>
      <c r="D26" t="inlineStr">
        <is>
          <t>ONCE ROMI LTDA</t>
        </is>
      </c>
      <c r="E26" t="inlineStr">
        <is>
          <t>24279</t>
        </is>
      </c>
      <c r="F26" s="525" t="n">
        <v>46266</v>
      </c>
      <c r="G26" t="n">
        <v>19805</v>
      </c>
      <c r="H26" t="inlineStr">
        <is>
          <t>MATCHA KG</t>
        </is>
      </c>
      <c r="I26" t="inlineStr">
        <is>
          <t>ALIMENTOS</t>
        </is>
      </c>
      <c r="J26" t="n">
        <v>1</v>
      </c>
      <c r="K26" t="inlineStr">
        <is>
          <t>KG</t>
        </is>
      </c>
      <c r="L26" t="n">
        <v>1122</v>
      </c>
      <c r="M26" t="n">
        <v>1122</v>
      </c>
      <c r="O26" t="inlineStr">
        <is>
          <t>09/2026</t>
        </is>
      </c>
    </row>
    <row r="27">
      <c r="A27" t="n">
        <v>263415</v>
      </c>
      <c r="B27" t="n">
        <v>180</v>
      </c>
      <c r="C27" t="inlineStr">
        <is>
          <t>Nuv Gastrobar</t>
        </is>
      </c>
      <c r="D27" t="inlineStr">
        <is>
          <t>LPQBR RESTAURANTES E PADARIAS LTDA</t>
        </is>
      </c>
      <c r="E27" t="inlineStr">
        <is>
          <t>89645</t>
        </is>
      </c>
      <c r="F27" s="525" t="n">
        <v>46267</v>
      </c>
      <c r="G27" t="n">
        <v>28568</v>
      </c>
      <c r="H27" t="inlineStr">
        <is>
          <t>PAO DE HAMBURGUER BRIOCHE 60G UN CX C/24UN LE PAIN</t>
        </is>
      </c>
      <c r="I27" t="inlineStr">
        <is>
          <t>ALIMENTOS</t>
        </is>
      </c>
      <c r="J27" t="n">
        <v>5</v>
      </c>
      <c r="K27" t="inlineStr">
        <is>
          <t>CX</t>
        </is>
      </c>
      <c r="L27" t="n">
        <v>354</v>
      </c>
      <c r="M27" t="n">
        <v>70.8</v>
      </c>
      <c r="O27" t="inlineStr">
        <is>
          <t>09/2026</t>
        </is>
      </c>
    </row>
    <row r="28">
      <c r="A28" t="n">
        <v>263415</v>
      </c>
      <c r="B28" t="n">
        <v>180</v>
      </c>
      <c r="C28" t="inlineStr">
        <is>
          <t>Nuv Gastrobar</t>
        </is>
      </c>
      <c r="D28" t="inlineStr">
        <is>
          <t>LPQBR RESTAURANTES E PADARIAS LTDA</t>
        </is>
      </c>
      <c r="E28" t="inlineStr">
        <is>
          <t>89645</t>
        </is>
      </c>
      <c r="F28" s="525" t="n">
        <v>46267</v>
      </c>
      <c r="G28" t="n">
        <v>30370</v>
      </c>
      <c r="H28" t="inlineStr">
        <is>
          <t>PAO DE QUEIJO LPQ 60G (CX C/4 PCT DE 1KG) CX</t>
        </is>
      </c>
      <c r="I28" t="inlineStr">
        <is>
          <t>ALIMENTOS</t>
        </is>
      </c>
      <c r="J28" t="n">
        <v>6</v>
      </c>
      <c r="K28" t="inlineStr">
        <is>
          <t>CX</t>
        </is>
      </c>
      <c r="L28" t="n">
        <v>1020</v>
      </c>
      <c r="M28" t="n">
        <v>170</v>
      </c>
      <c r="O28" t="inlineStr">
        <is>
          <t>09/2026</t>
        </is>
      </c>
    </row>
    <row r="29">
      <c r="A29" t="n">
        <v>263414</v>
      </c>
      <c r="B29" t="n">
        <v>180</v>
      </c>
      <c r="C29" t="inlineStr">
        <is>
          <t>Nuv Gastrobar</t>
        </is>
      </c>
      <c r="D29" t="inlineStr">
        <is>
          <t xml:space="preserve">HNK BR INDUSTRIA DE BEBIDAS </t>
        </is>
      </c>
      <c r="E29" t="inlineStr">
        <is>
          <t>293981</t>
        </is>
      </c>
      <c r="F29" s="525" t="n">
        <v>46267</v>
      </c>
      <c r="G29" t="n">
        <v>28954</v>
      </c>
      <c r="H29" t="inlineStr">
        <is>
          <t>AGUA MINERAL COM GAS MAMBA 350ML C/12</t>
        </is>
      </c>
      <c r="I29" t="inlineStr">
        <is>
          <t>BEBIDAS</t>
        </is>
      </c>
      <c r="J29" t="n">
        <v>40</v>
      </c>
      <c r="K29" t="inlineStr">
        <is>
          <t>PC</t>
        </is>
      </c>
      <c r="L29" t="n">
        <v>1305.6</v>
      </c>
      <c r="M29" t="n">
        <v>32.64</v>
      </c>
      <c r="O29" t="inlineStr">
        <is>
          <t>09/2026</t>
        </is>
      </c>
    </row>
    <row r="30">
      <c r="A30" t="n">
        <v>263413</v>
      </c>
      <c r="B30" t="n">
        <v>180</v>
      </c>
      <c r="C30" t="inlineStr">
        <is>
          <t>Nuv Gastrobar</t>
        </is>
      </c>
      <c r="D30" t="inlineStr">
        <is>
          <t>MARIO PEDRO FELICIANO - HORTIFRUTI</t>
        </is>
      </c>
      <c r="E30" t="inlineStr">
        <is>
          <t>488188</t>
        </is>
      </c>
      <c r="F30" s="525" t="n">
        <v>46267</v>
      </c>
      <c r="G30" t="n">
        <v>19759</v>
      </c>
      <c r="H30" t="inlineStr">
        <is>
          <t>LARANJA BAHIA KG</t>
        </is>
      </c>
      <c r="I30" t="inlineStr">
        <is>
          <t>ALIMENTOS</t>
        </is>
      </c>
      <c r="J30" t="n">
        <v>10</v>
      </c>
      <c r="K30" t="inlineStr">
        <is>
          <t>KG</t>
        </is>
      </c>
      <c r="L30" t="n">
        <v>57.9</v>
      </c>
      <c r="M30" t="n">
        <v>5.79</v>
      </c>
      <c r="O30" t="inlineStr">
        <is>
          <t>09/2026</t>
        </is>
      </c>
    </row>
    <row r="31">
      <c r="A31" t="n">
        <v>263412</v>
      </c>
      <c r="B31" t="n">
        <v>180</v>
      </c>
      <c r="C31" t="inlineStr">
        <is>
          <t>Nuv Gastrobar</t>
        </is>
      </c>
      <c r="D31" t="inlineStr">
        <is>
          <t>MARIO PEDRO FELICIANO - HORTIFRUTI</t>
        </is>
      </c>
      <c r="E31" t="inlineStr">
        <is>
          <t>488418</t>
        </is>
      </c>
      <c r="F31" s="525" t="n">
        <v>46268</v>
      </c>
      <c r="G31" t="n">
        <v>19658</v>
      </c>
      <c r="H31" t="inlineStr">
        <is>
          <t>ABOBORA JAPONESA / CABOTIAN KG</t>
        </is>
      </c>
      <c r="I31" t="inlineStr">
        <is>
          <t>ALIMENTOS</t>
        </is>
      </c>
      <c r="J31" t="n">
        <v>3.1</v>
      </c>
      <c r="K31" t="inlineStr">
        <is>
          <t>KG</t>
        </is>
      </c>
      <c r="L31" t="n">
        <v>9.609999999999999</v>
      </c>
      <c r="M31" t="n">
        <v>3.1</v>
      </c>
      <c r="O31" t="inlineStr">
        <is>
          <t>09/2026</t>
        </is>
      </c>
    </row>
    <row r="32">
      <c r="A32" t="n">
        <v>263412</v>
      </c>
      <c r="B32" t="n">
        <v>180</v>
      </c>
      <c r="C32" t="inlineStr">
        <is>
          <t>Nuv Gastrobar</t>
        </is>
      </c>
      <c r="D32" t="inlineStr">
        <is>
          <t>MARIO PEDRO FELICIANO - HORTIFRUTI</t>
        </is>
      </c>
      <c r="E32" t="inlineStr">
        <is>
          <t>488418</t>
        </is>
      </c>
      <c r="F32" s="525" t="n">
        <v>46268</v>
      </c>
      <c r="G32" t="n">
        <v>19789</v>
      </c>
      <c r="H32" t="inlineStr">
        <is>
          <t>ABACATE AVOCADO KG</t>
        </is>
      </c>
      <c r="I32" t="inlineStr">
        <is>
          <t>ALIMENTOS</t>
        </is>
      </c>
      <c r="J32" t="n">
        <v>0.5</v>
      </c>
      <c r="K32" t="inlineStr">
        <is>
          <t>KG</t>
        </is>
      </c>
      <c r="L32" t="n">
        <v>5.01</v>
      </c>
      <c r="M32" t="n">
        <v>10.02</v>
      </c>
      <c r="O32" t="inlineStr">
        <is>
          <t>09/2026</t>
        </is>
      </c>
    </row>
    <row r="33">
      <c r="A33" t="n">
        <v>263412</v>
      </c>
      <c r="B33" t="n">
        <v>180</v>
      </c>
      <c r="C33" t="inlineStr">
        <is>
          <t>Nuv Gastrobar</t>
        </is>
      </c>
      <c r="D33" t="inlineStr">
        <is>
          <t>MARIO PEDRO FELICIANO - HORTIFRUTI</t>
        </is>
      </c>
      <c r="E33" t="inlineStr">
        <is>
          <t>488418</t>
        </is>
      </c>
      <c r="F33" s="525" t="n">
        <v>46268</v>
      </c>
      <c r="G33" t="n">
        <v>19632</v>
      </c>
      <c r="H33" t="inlineStr">
        <is>
          <t>BETERRABA KG</t>
        </is>
      </c>
      <c r="I33" t="inlineStr">
        <is>
          <t>ALIMENTOS</t>
        </is>
      </c>
      <c r="J33" t="n">
        <v>2</v>
      </c>
      <c r="K33" t="inlineStr">
        <is>
          <t>KG</t>
        </is>
      </c>
      <c r="L33" t="n">
        <v>5.72</v>
      </c>
      <c r="M33" t="n">
        <v>2.86</v>
      </c>
      <c r="O33" t="inlineStr">
        <is>
          <t>09/2026</t>
        </is>
      </c>
    </row>
    <row r="34">
      <c r="A34" t="n">
        <v>263411</v>
      </c>
      <c r="B34" t="n">
        <v>180</v>
      </c>
      <c r="C34" t="inlineStr">
        <is>
          <t>Nuv Gastrobar</t>
        </is>
      </c>
      <c r="D34" t="inlineStr">
        <is>
          <t>DO CHEF DISTRIBUIDORA DE ALIMENTOS LTDA</t>
        </is>
      </c>
      <c r="E34" t="inlineStr">
        <is>
          <t>4321</t>
        </is>
      </c>
      <c r="F34" s="525" t="n">
        <v>46267</v>
      </c>
      <c r="G34" t="n">
        <v>19740</v>
      </c>
      <c r="H34" t="inlineStr">
        <is>
          <t>MARACUJA AZEDO KG</t>
        </is>
      </c>
      <c r="I34" t="inlineStr">
        <is>
          <t>ALIMENTOS</t>
        </is>
      </c>
      <c r="J34" t="n">
        <v>20</v>
      </c>
      <c r="K34" t="inlineStr">
        <is>
          <t>KG</t>
        </is>
      </c>
      <c r="L34" t="n">
        <v>286</v>
      </c>
      <c r="M34" t="n">
        <v>14.3</v>
      </c>
      <c r="O34" t="inlineStr">
        <is>
          <t>09/2026</t>
        </is>
      </c>
    </row>
    <row r="35">
      <c r="A35" t="n">
        <v>263410</v>
      </c>
      <c r="B35" t="n">
        <v>180</v>
      </c>
      <c r="C35" t="inlineStr">
        <is>
          <t>Nuv Gastrobar</t>
        </is>
      </c>
      <c r="D35" t="inlineStr">
        <is>
          <t>T F CIUFF HORTIFRUTI LTDA</t>
        </is>
      </c>
      <c r="E35" t="inlineStr">
        <is>
          <t>33416</t>
        </is>
      </c>
      <c r="F35" s="525" t="n">
        <v>46267</v>
      </c>
      <c r="G35" t="n">
        <v>19751</v>
      </c>
      <c r="H35" t="inlineStr">
        <is>
          <t>LIMAO SICILIANO KG</t>
        </is>
      </c>
      <c r="I35" t="inlineStr">
        <is>
          <t>ALIMENTOS</t>
        </is>
      </c>
      <c r="J35" t="n">
        <v>10</v>
      </c>
      <c r="K35" t="inlineStr">
        <is>
          <t>KG</t>
        </is>
      </c>
      <c r="L35" t="n">
        <v>62</v>
      </c>
      <c r="M35" t="n">
        <v>6.2</v>
      </c>
      <c r="O35" t="inlineStr">
        <is>
          <t>09/2026</t>
        </is>
      </c>
    </row>
    <row r="36">
      <c r="A36" t="n">
        <v>263409</v>
      </c>
      <c r="B36" t="n">
        <v>180</v>
      </c>
      <c r="C36" t="inlineStr">
        <is>
          <t>Nuv Gastrobar</t>
        </is>
      </c>
      <c r="D36" t="inlineStr">
        <is>
          <t>ANDREIA SANTOS FREITAS DUARTE</t>
        </is>
      </c>
      <c r="E36" t="inlineStr">
        <is>
          <t>2932</t>
        </is>
      </c>
      <c r="F36" s="525" t="n">
        <v>46266</v>
      </c>
      <c r="G36" t="n">
        <v>23229</v>
      </c>
      <c r="H36" t="inlineStr">
        <is>
          <t>CHIPS DE MANDIOCA KG</t>
        </is>
      </c>
      <c r="I36" t="inlineStr">
        <is>
          <t>ALIMENTOS</t>
        </is>
      </c>
      <c r="J36" t="n">
        <v>2</v>
      </c>
      <c r="K36" t="inlineStr">
        <is>
          <t>KG</t>
        </is>
      </c>
      <c r="L36" t="n">
        <v>254</v>
      </c>
      <c r="M36" t="n">
        <v>127</v>
      </c>
      <c r="O36" t="inlineStr">
        <is>
          <t>09/2026</t>
        </is>
      </c>
    </row>
    <row r="37">
      <c r="A37" t="n">
        <v>263409</v>
      </c>
      <c r="B37" t="n">
        <v>180</v>
      </c>
      <c r="C37" t="inlineStr">
        <is>
          <t>Nuv Gastrobar</t>
        </is>
      </c>
      <c r="D37" t="inlineStr">
        <is>
          <t>ANDREIA SANTOS FREITAS DUARTE</t>
        </is>
      </c>
      <c r="E37" t="inlineStr">
        <is>
          <t>2932</t>
        </is>
      </c>
      <c r="F37" s="525" t="n">
        <v>46266</v>
      </c>
      <c r="G37" t="n">
        <v>20861</v>
      </c>
      <c r="H37" t="inlineStr">
        <is>
          <t>GEMA DE OVO PASTEURIZADA NETTO C/1KG UN</t>
        </is>
      </c>
      <c r="I37" t="inlineStr">
        <is>
          <t>ALIMENTOS</t>
        </is>
      </c>
      <c r="J37" t="n">
        <v>12</v>
      </c>
      <c r="K37" t="inlineStr">
        <is>
          <t>UN</t>
        </is>
      </c>
      <c r="L37" t="n">
        <v>560.4</v>
      </c>
      <c r="M37" t="n">
        <v>46.7</v>
      </c>
      <c r="O37" t="inlineStr">
        <is>
          <t>09/2026</t>
        </is>
      </c>
    </row>
    <row r="38">
      <c r="A38" t="n">
        <v>263408</v>
      </c>
      <c r="B38" t="n">
        <v>180</v>
      </c>
      <c r="C38" t="inlineStr">
        <is>
          <t>Nuv Gastrobar</t>
        </is>
      </c>
      <c r="D38" t="inlineStr">
        <is>
          <t>BATARD PADARIA ARTESANAL LTDA</t>
        </is>
      </c>
      <c r="E38" t="inlineStr">
        <is>
          <t>15278</t>
        </is>
      </c>
      <c r="F38" s="525" t="n">
        <v>46267</v>
      </c>
      <c r="G38" t="n">
        <v>19150</v>
      </c>
      <c r="H38" t="inlineStr">
        <is>
          <t>PAO DA CASA BATARD UN</t>
        </is>
      </c>
      <c r="I38" t="inlineStr">
        <is>
          <t>ALIMENTOS</t>
        </is>
      </c>
      <c r="J38" t="n">
        <v>20</v>
      </c>
      <c r="K38" t="inlineStr">
        <is>
          <t>UN</t>
        </is>
      </c>
      <c r="L38" t="n">
        <v>483</v>
      </c>
      <c r="M38" t="n">
        <v>24.15</v>
      </c>
      <c r="O38" t="inlineStr">
        <is>
          <t>09/2026</t>
        </is>
      </c>
    </row>
    <row r="39">
      <c r="A39" t="n">
        <v>262112</v>
      </c>
      <c r="B39" t="n">
        <v>180</v>
      </c>
      <c r="C39" t="inlineStr">
        <is>
          <t>Nuv Gastrobar</t>
        </is>
      </c>
      <c r="D39" t="inlineStr">
        <is>
          <t>REBAL COMERCIAL LTDA</t>
        </is>
      </c>
      <c r="E39" t="inlineStr">
        <is>
          <t>308146</t>
        </is>
      </c>
      <c r="F39" s="525" t="n">
        <v>46261</v>
      </c>
      <c r="G39" t="n">
        <v>30458</v>
      </c>
      <c r="H39" t="inlineStr">
        <is>
          <t>SELADORA A VACUO CAMARA AI304 220V 595 X 527 X 455MM UN</t>
        </is>
      </c>
      <c r="I39" t="inlineStr">
        <is>
          <t>UTENSILIOS</t>
        </is>
      </c>
      <c r="J39" t="n">
        <v>1</v>
      </c>
      <c r="K39" t="inlineStr">
        <is>
          <t>UN</t>
        </is>
      </c>
      <c r="L39" t="n">
        <v>15497.92</v>
      </c>
      <c r="M39" t="n">
        <v>15497.92</v>
      </c>
      <c r="O39" t="inlineStr">
        <is>
          <t>08/2026</t>
        </is>
      </c>
    </row>
    <row r="40">
      <c r="A40" t="n">
        <v>262094</v>
      </c>
      <c r="B40" t="n">
        <v>180</v>
      </c>
      <c r="C40" t="inlineStr">
        <is>
          <t>Nuv Gastrobar</t>
        </is>
      </c>
      <c r="D40" t="inlineStr">
        <is>
          <t xml:space="preserve">NOVA MIX </t>
        </is>
      </c>
      <c r="E40" t="inlineStr">
        <is>
          <t>2699290</t>
        </is>
      </c>
      <c r="F40" s="525" t="n">
        <v>46266</v>
      </c>
      <c r="G40" t="n">
        <v>20689</v>
      </c>
      <c r="H40" t="inlineStr">
        <is>
          <t>CREME DE LEITE FRESCO QUATA C/1,01LT</t>
        </is>
      </c>
      <c r="I40" t="inlineStr">
        <is>
          <t>ALIMENTOS</t>
        </is>
      </c>
      <c r="J40" t="n">
        <v>12</v>
      </c>
      <c r="K40" t="inlineStr">
        <is>
          <t>UN</t>
        </is>
      </c>
      <c r="L40" t="n">
        <v>378.6</v>
      </c>
      <c r="M40" t="n">
        <v>31.55</v>
      </c>
      <c r="O40" t="inlineStr">
        <is>
          <t>09/2026</t>
        </is>
      </c>
    </row>
    <row r="41">
      <c r="A41" t="n">
        <v>261767</v>
      </c>
      <c r="B41" t="n">
        <v>180</v>
      </c>
      <c r="C41" t="inlineStr">
        <is>
          <t>Nuv Gastrobar</t>
        </is>
      </c>
      <c r="D41" t="inlineStr">
        <is>
          <t>PSSS LTDA</t>
        </is>
      </c>
      <c r="E41" t="inlineStr">
        <is>
          <t>735</t>
        </is>
      </c>
      <c r="F41" s="525" t="n">
        <v>46260</v>
      </c>
      <c r="G41" t="n">
        <v>17504</v>
      </c>
      <c r="H41" t="inlineStr">
        <is>
          <t>LUVA LATEX G SEM TALCO C/100UN</t>
        </is>
      </c>
      <c r="I41" t="inlineStr">
        <is>
          <t>UTENSILIOS</t>
        </is>
      </c>
      <c r="J41" t="n">
        <v>3</v>
      </c>
      <c r="K41" t="inlineStr">
        <is>
          <t>UN</t>
        </is>
      </c>
      <c r="L41" t="n">
        <v>89.7</v>
      </c>
      <c r="M41" t="n">
        <v>29.9</v>
      </c>
      <c r="O41" t="inlineStr">
        <is>
          <t>08/2026</t>
        </is>
      </c>
    </row>
    <row r="42">
      <c r="A42" t="n">
        <v>261767</v>
      </c>
      <c r="B42" t="n">
        <v>180</v>
      </c>
      <c r="C42" t="inlineStr">
        <is>
          <t>Nuv Gastrobar</t>
        </is>
      </c>
      <c r="D42" t="inlineStr">
        <is>
          <t>PSSS LTDA</t>
        </is>
      </c>
      <c r="E42" t="inlineStr">
        <is>
          <t>735</t>
        </is>
      </c>
      <c r="F42" s="525" t="n">
        <v>46260</v>
      </c>
      <c r="G42" t="n">
        <v>17488</v>
      </c>
      <c r="H42" t="inlineStr">
        <is>
          <t>LUVA LATEX SEM TALCO M C/100UN</t>
        </is>
      </c>
      <c r="I42" t="inlineStr">
        <is>
          <t>DESCARTAVEIS/HIGIENE E LIMPEZA</t>
        </is>
      </c>
      <c r="J42" t="n">
        <v>2</v>
      </c>
      <c r="K42" t="inlineStr">
        <is>
          <t>CX</t>
        </is>
      </c>
      <c r="L42" t="n">
        <v>59.8</v>
      </c>
      <c r="M42" t="n">
        <v>29.9</v>
      </c>
      <c r="O42" t="inlineStr">
        <is>
          <t>08/2026</t>
        </is>
      </c>
    </row>
    <row r="43">
      <c r="A43" t="n">
        <v>261767</v>
      </c>
      <c r="B43" t="n">
        <v>180</v>
      </c>
      <c r="C43" t="inlineStr">
        <is>
          <t>Nuv Gastrobar</t>
        </is>
      </c>
      <c r="D43" t="inlineStr">
        <is>
          <t>PSSS LTDA</t>
        </is>
      </c>
      <c r="E43" t="inlineStr">
        <is>
          <t>735</t>
        </is>
      </c>
      <c r="F43" s="525" t="n">
        <v>46260</v>
      </c>
      <c r="G43" t="n">
        <v>17266</v>
      </c>
      <c r="H43" t="inlineStr">
        <is>
          <t>ALCOOL 46º LIQUIDO 1L UN</t>
        </is>
      </c>
      <c r="I43" t="inlineStr">
        <is>
          <t>DESCARTAVEIS/HIGIENE E LIMPEZA</t>
        </is>
      </c>
      <c r="J43" t="n">
        <v>24</v>
      </c>
      <c r="K43" t="inlineStr">
        <is>
          <t>UN</t>
        </is>
      </c>
      <c r="L43" t="n">
        <v>124.8</v>
      </c>
      <c r="M43" t="n">
        <v>5.2</v>
      </c>
      <c r="O43" t="inlineStr">
        <is>
          <t>08/2026</t>
        </is>
      </c>
    </row>
    <row r="44">
      <c r="A44" t="n">
        <v>261767</v>
      </c>
      <c r="B44" t="n">
        <v>180</v>
      </c>
      <c r="C44" t="inlineStr">
        <is>
          <t>Nuv Gastrobar</t>
        </is>
      </c>
      <c r="D44" t="inlineStr">
        <is>
          <t>PSSS LTDA</t>
        </is>
      </c>
      <c r="E44" t="inlineStr">
        <is>
          <t>735</t>
        </is>
      </c>
      <c r="F44" s="525" t="n">
        <v>46260</v>
      </c>
      <c r="G44" t="n">
        <v>17496</v>
      </c>
      <c r="H44" t="inlineStr">
        <is>
          <t>LUVA NITR M SEM TALCO C/100</t>
        </is>
      </c>
      <c r="I44" t="inlineStr">
        <is>
          <t>UTENSILIOS</t>
        </is>
      </c>
      <c r="J44" t="n">
        <v>2</v>
      </c>
      <c r="K44" t="inlineStr">
        <is>
          <t>CX</t>
        </is>
      </c>
      <c r="L44" t="n">
        <v>59.8</v>
      </c>
      <c r="M44" t="n">
        <v>29.9</v>
      </c>
      <c r="O44" t="inlineStr">
        <is>
          <t>08/2026</t>
        </is>
      </c>
    </row>
    <row r="45">
      <c r="A45" t="n">
        <v>261767</v>
      </c>
      <c r="B45" t="n">
        <v>180</v>
      </c>
      <c r="C45" t="inlineStr">
        <is>
          <t>Nuv Gastrobar</t>
        </is>
      </c>
      <c r="D45" t="inlineStr">
        <is>
          <t>PSSS LTDA</t>
        </is>
      </c>
      <c r="E45" t="inlineStr">
        <is>
          <t>735</t>
        </is>
      </c>
      <c r="F45" s="525" t="n">
        <v>46260</v>
      </c>
      <c r="G45" t="n">
        <v>17498</v>
      </c>
      <c r="H45" t="inlineStr">
        <is>
          <t>LUVA NITR G SEM TALCO PRETA C/100</t>
        </is>
      </c>
      <c r="I45" t="inlineStr">
        <is>
          <t>DESCARTAVEIS/HIGIENE E LIMPEZA</t>
        </is>
      </c>
      <c r="J45" t="n">
        <v>2</v>
      </c>
      <c r="K45" t="inlineStr">
        <is>
          <t>CX</t>
        </is>
      </c>
      <c r="L45" t="n">
        <v>59.8</v>
      </c>
      <c r="M45" t="n">
        <v>29.9</v>
      </c>
      <c r="O45" t="inlineStr">
        <is>
          <t>08/2026</t>
        </is>
      </c>
    </row>
    <row r="46">
      <c r="A46" t="n">
        <v>261766</v>
      </c>
      <c r="B46" t="n">
        <v>180</v>
      </c>
      <c r="C46" t="inlineStr">
        <is>
          <t>Nuv Gastrobar</t>
        </is>
      </c>
      <c r="D46" t="inlineStr">
        <is>
          <t>NESTLE BRASIL LTDA</t>
        </is>
      </c>
      <c r="E46" t="inlineStr">
        <is>
          <t>6899336</t>
        </is>
      </c>
      <c r="F46" s="525" t="n">
        <v>46245</v>
      </c>
      <c r="G46" t="n">
        <v>16974</v>
      </c>
      <c r="H46" t="inlineStr">
        <is>
          <t>CAFE NESPRESSO RISTRETTO PRO CAPSULA C/50</t>
        </is>
      </c>
      <c r="I46" t="inlineStr">
        <is>
          <t>BEBIDAS</t>
        </is>
      </c>
      <c r="J46" t="n">
        <v>80</v>
      </c>
      <c r="K46" t="inlineStr">
        <is>
          <t>CX</t>
        </is>
      </c>
      <c r="L46" t="n">
        <v>10280</v>
      </c>
      <c r="M46" t="n">
        <v>128.5</v>
      </c>
      <c r="O46" t="inlineStr">
        <is>
          <t>08/2026</t>
        </is>
      </c>
    </row>
    <row r="47">
      <c r="A47" t="n">
        <v>261763</v>
      </c>
      <c r="B47" t="n">
        <v>180</v>
      </c>
      <c r="C47" t="inlineStr">
        <is>
          <t>Nuv Gastrobar</t>
        </is>
      </c>
      <c r="D47" t="inlineStr">
        <is>
          <t>AD ZUPA COMERCIAL LTDA</t>
        </is>
      </c>
      <c r="E47" t="inlineStr">
        <is>
          <t>4403</t>
        </is>
      </c>
      <c r="F47" s="525" t="n">
        <v>46261</v>
      </c>
      <c r="G47" t="n">
        <v>28857</v>
      </c>
      <c r="H47" t="inlineStr">
        <is>
          <t>BOLACHA DE CHOPP PERSONALIZADA COM 10000 UN</t>
        </is>
      </c>
      <c r="I47" t="inlineStr">
        <is>
          <t>DESCARTAVEIS/HIGIENE E LIMPEZA</t>
        </is>
      </c>
      <c r="J47" t="n">
        <v>10</v>
      </c>
      <c r="K47" t="inlineStr">
        <is>
          <t>UN</t>
        </is>
      </c>
      <c r="L47" t="n">
        <v>2900</v>
      </c>
      <c r="M47" t="n">
        <v>290</v>
      </c>
      <c r="O47" t="inlineStr">
        <is>
          <t>08/2026</t>
        </is>
      </c>
    </row>
    <row r="48">
      <c r="A48" t="n">
        <v>261720</v>
      </c>
      <c r="B48" t="n">
        <v>180</v>
      </c>
      <c r="C48" t="inlineStr">
        <is>
          <t>Nuv Gastrobar</t>
        </is>
      </c>
      <c r="D48" t="inlineStr">
        <is>
          <t>ZAHIL IMPORTADORA LTDA</t>
        </is>
      </c>
      <c r="E48" t="inlineStr">
        <is>
          <t>276930</t>
        </is>
      </c>
      <c r="F48" s="525" t="n">
        <v>46266</v>
      </c>
      <c r="G48" t="n">
        <v>30367</v>
      </c>
      <c r="H48" t="inlineStr">
        <is>
          <t>ESPUMANTE LYS D'OR BRUT BORDEUAX 750ML UN</t>
        </is>
      </c>
      <c r="I48" t="inlineStr">
        <is>
          <t>BEBIDAS</t>
        </is>
      </c>
      <c r="J48" t="n">
        <v>13</v>
      </c>
      <c r="K48" t="inlineStr">
        <is>
          <t>UN</t>
        </is>
      </c>
      <c r="L48" t="n">
        <v>802.75</v>
      </c>
      <c r="M48" t="n">
        <v>61.75</v>
      </c>
      <c r="O48" t="inlineStr">
        <is>
          <t>09/2026</t>
        </is>
      </c>
    </row>
    <row r="49">
      <c r="A49" t="n">
        <v>261719</v>
      </c>
      <c r="B49" t="n">
        <v>180</v>
      </c>
      <c r="C49" t="inlineStr">
        <is>
          <t>Nuv Gastrobar</t>
        </is>
      </c>
      <c r="D49" t="inlineStr">
        <is>
          <t>WPP COMERCIO DE CARNES LTDA</t>
        </is>
      </c>
      <c r="E49" t="inlineStr">
        <is>
          <t>81577</t>
        </is>
      </c>
      <c r="F49" s="525" t="n">
        <v>46267</v>
      </c>
      <c r="G49" t="n">
        <v>18844</v>
      </c>
      <c r="H49" t="inlineStr">
        <is>
          <t>CONTRA FILE COM NOIX KG</t>
        </is>
      </c>
      <c r="I49" t="inlineStr">
        <is>
          <t>ALIMENTOS</t>
        </is>
      </c>
      <c r="J49" t="n">
        <v>19.1</v>
      </c>
      <c r="K49" t="inlineStr">
        <is>
          <t>KG</t>
        </is>
      </c>
      <c r="L49" t="n">
        <v>882.42</v>
      </c>
      <c r="M49" t="n">
        <v>46.2</v>
      </c>
      <c r="O49" t="inlineStr">
        <is>
          <t>09/2026</t>
        </is>
      </c>
    </row>
    <row r="50">
      <c r="A50" t="n">
        <v>261719</v>
      </c>
      <c r="B50" t="n">
        <v>180</v>
      </c>
      <c r="C50" t="inlineStr">
        <is>
          <t>Nuv Gastrobar</t>
        </is>
      </c>
      <c r="D50" t="inlineStr">
        <is>
          <t>WPP COMERCIO DE CARNES LTDA</t>
        </is>
      </c>
      <c r="E50" t="inlineStr">
        <is>
          <t>81577</t>
        </is>
      </c>
      <c r="F50" s="525" t="n">
        <v>46267</v>
      </c>
      <c r="G50" t="n">
        <v>19017</v>
      </c>
      <c r="H50" t="inlineStr">
        <is>
          <t>FILE DE FRANGO KG</t>
        </is>
      </c>
      <c r="I50" t="inlineStr">
        <is>
          <t>ALIMENTOS</t>
        </is>
      </c>
      <c r="J50" t="n">
        <v>20</v>
      </c>
      <c r="K50" t="inlineStr">
        <is>
          <t>KG</t>
        </is>
      </c>
      <c r="L50" t="n">
        <v>299.8</v>
      </c>
      <c r="M50" t="n">
        <v>14.99</v>
      </c>
      <c r="O50" t="inlineStr">
        <is>
          <t>09/2026</t>
        </is>
      </c>
    </row>
    <row r="51">
      <c r="A51" t="n">
        <v>261718</v>
      </c>
      <c r="B51" t="n">
        <v>180</v>
      </c>
      <c r="C51" t="inlineStr">
        <is>
          <t>Nuv Gastrobar</t>
        </is>
      </c>
      <c r="D51" t="inlineStr">
        <is>
          <t>WPP COMERCIO DE CARNES LTDA</t>
        </is>
      </c>
      <c r="E51" t="inlineStr">
        <is>
          <t>81547</t>
        </is>
      </c>
      <c r="F51" s="525" t="n">
        <v>46267</v>
      </c>
      <c r="G51" t="n">
        <v>25131</v>
      </c>
      <c r="H51" t="inlineStr">
        <is>
          <t>BLEND CARNE MOIDA 80% ACEM / 20% PEITO KG</t>
        </is>
      </c>
      <c r="I51" t="inlineStr">
        <is>
          <t>ALIMENTOS</t>
        </is>
      </c>
      <c r="J51" t="n">
        <v>15.5</v>
      </c>
      <c r="K51" t="inlineStr">
        <is>
          <t>KG</t>
        </is>
      </c>
      <c r="L51" t="n">
        <v>523.9</v>
      </c>
      <c r="M51" t="n">
        <v>33.8</v>
      </c>
      <c r="O51" t="inlineStr">
        <is>
          <t>09/2026</t>
        </is>
      </c>
    </row>
    <row r="52">
      <c r="A52" t="n">
        <v>261491</v>
      </c>
      <c r="B52" t="n">
        <v>180</v>
      </c>
      <c r="C52" t="inlineStr">
        <is>
          <t>Nuv Gastrobar</t>
        </is>
      </c>
      <c r="D52" t="inlineStr">
        <is>
          <t>ANDREIA SANTOS FREITAS DUARTE</t>
        </is>
      </c>
      <c r="E52" t="inlineStr">
        <is>
          <t>2920</t>
        </is>
      </c>
      <c r="F52" s="525" t="n">
        <v>46266</v>
      </c>
      <c r="G52" t="n">
        <v>17564</v>
      </c>
      <c r="H52" t="inlineStr">
        <is>
          <t>BOBINA DE PLÁSTICO FILME PVC  60CMX600M UN</t>
        </is>
      </c>
      <c r="I52" t="inlineStr">
        <is>
          <t>DESCARTAVEIS/HIGIENE E LIMPEZA</t>
        </is>
      </c>
      <c r="J52" t="n">
        <v>2</v>
      </c>
      <c r="K52" t="inlineStr">
        <is>
          <t>UN</t>
        </is>
      </c>
      <c r="L52" t="n">
        <v>249.04</v>
      </c>
      <c r="M52" t="n">
        <v>124.52</v>
      </c>
      <c r="O52" t="inlineStr">
        <is>
          <t>09/2026</t>
        </is>
      </c>
    </row>
    <row r="53">
      <c r="A53" t="n">
        <v>261491</v>
      </c>
      <c r="B53" t="n">
        <v>180</v>
      </c>
      <c r="C53" t="inlineStr">
        <is>
          <t>Nuv Gastrobar</t>
        </is>
      </c>
      <c r="D53" t="inlineStr">
        <is>
          <t>ANDREIA SANTOS FREITAS DUARTE</t>
        </is>
      </c>
      <c r="E53" t="inlineStr">
        <is>
          <t>2920</t>
        </is>
      </c>
      <c r="F53" s="525" t="n">
        <v>46266</v>
      </c>
      <c r="G53" t="n">
        <v>21665</v>
      </c>
      <c r="H53" t="inlineStr">
        <is>
          <t>SACO DE LIXO 200L PRETO REFORCADO</t>
        </is>
      </c>
      <c r="I53" t="inlineStr">
        <is>
          <t>DESCARTAVEIS/HIGIENE E LIMPEZA</t>
        </is>
      </c>
      <c r="J53" t="n">
        <v>1</v>
      </c>
      <c r="K53" t="inlineStr">
        <is>
          <t>PACOTE</t>
        </is>
      </c>
      <c r="L53" t="n">
        <v>33.1</v>
      </c>
      <c r="M53" t="n">
        <v>33.1</v>
      </c>
      <c r="O53" t="inlineStr">
        <is>
          <t>09/2026</t>
        </is>
      </c>
    </row>
    <row r="54">
      <c r="A54" t="n">
        <v>261458</v>
      </c>
      <c r="B54" t="n">
        <v>180</v>
      </c>
      <c r="C54" t="inlineStr">
        <is>
          <t>Nuv Gastrobar</t>
        </is>
      </c>
      <c r="D54" t="inlineStr">
        <is>
          <t>EMPORIO M&amp;L COMERCIO DE ALIM E BEBIDAS LTDA</t>
        </is>
      </c>
      <c r="E54" t="inlineStr">
        <is>
          <t>530692</t>
        </is>
      </c>
      <c r="F54" s="525" t="n">
        <v>46266</v>
      </c>
      <c r="G54" t="n">
        <v>23826</v>
      </c>
      <c r="H54" t="inlineStr">
        <is>
          <t>BISCOITO DE MAIZENA NESTLE TOSTINES 200G</t>
        </is>
      </c>
      <c r="I54" t="inlineStr">
        <is>
          <t>ALIMENTOS</t>
        </is>
      </c>
      <c r="J54" t="n">
        <v>10</v>
      </c>
      <c r="K54" t="inlineStr">
        <is>
          <t>UN</t>
        </is>
      </c>
      <c r="L54" t="n">
        <v>36.8</v>
      </c>
      <c r="M54" t="n">
        <v>3.68</v>
      </c>
      <c r="O54" t="inlineStr">
        <is>
          <t>09/2026</t>
        </is>
      </c>
    </row>
    <row r="55">
      <c r="A55" t="n">
        <v>261458</v>
      </c>
      <c r="B55" t="n">
        <v>180</v>
      </c>
      <c r="C55" t="inlineStr">
        <is>
          <t>Nuv Gastrobar</t>
        </is>
      </c>
      <c r="D55" t="inlineStr">
        <is>
          <t>EMPORIO M&amp;L COMERCIO DE ALIM E BEBIDAS LTDA</t>
        </is>
      </c>
      <c r="E55" t="inlineStr">
        <is>
          <t>530692</t>
        </is>
      </c>
      <c r="F55" s="525" t="n">
        <v>46266</v>
      </c>
      <c r="G55" t="n">
        <v>18395</v>
      </c>
      <c r="H55" t="inlineStr">
        <is>
          <t>CONHAQUE DOMECQ 1L GR</t>
        </is>
      </c>
      <c r="I55" t="inlineStr">
        <is>
          <t>BEBIDAS</t>
        </is>
      </c>
      <c r="J55" t="n">
        <v>2</v>
      </c>
      <c r="K55" t="inlineStr">
        <is>
          <t>GR</t>
        </is>
      </c>
      <c r="L55" t="n">
        <v>63.8</v>
      </c>
      <c r="M55" t="n">
        <v>31.9</v>
      </c>
      <c r="O55" t="inlineStr">
        <is>
          <t>09/2026</t>
        </is>
      </c>
    </row>
    <row r="56">
      <c r="A56" t="n">
        <v>261458</v>
      </c>
      <c r="B56" t="n">
        <v>180</v>
      </c>
      <c r="C56" t="inlineStr">
        <is>
          <t>Nuv Gastrobar</t>
        </is>
      </c>
      <c r="D56" t="inlineStr">
        <is>
          <t>EMPORIO M&amp;L COMERCIO DE ALIM E BEBIDAS LTDA</t>
        </is>
      </c>
      <c r="E56" t="inlineStr">
        <is>
          <t>530692</t>
        </is>
      </c>
      <c r="F56" s="525" t="n">
        <v>46266</v>
      </c>
      <c r="G56" t="n">
        <v>20136</v>
      </c>
      <c r="H56" t="inlineStr">
        <is>
          <t>MACARRAO ESPAGUETE C/ OVOS ADRIA C/500G</t>
        </is>
      </c>
      <c r="I56" t="inlineStr">
        <is>
          <t>ALIMENTOS</t>
        </is>
      </c>
      <c r="J56" t="n">
        <v>15</v>
      </c>
      <c r="K56" t="inlineStr">
        <is>
          <t>PC</t>
        </is>
      </c>
      <c r="L56" t="n">
        <v>64.5</v>
      </c>
      <c r="M56" t="n">
        <v>4.3</v>
      </c>
      <c r="O56" t="inlineStr">
        <is>
          <t>09/2026</t>
        </is>
      </c>
    </row>
    <row r="57">
      <c r="A57" t="n">
        <v>261458</v>
      </c>
      <c r="B57" t="n">
        <v>180</v>
      </c>
      <c r="C57" t="inlineStr">
        <is>
          <t>Nuv Gastrobar</t>
        </is>
      </c>
      <c r="D57" t="inlineStr">
        <is>
          <t>EMPORIO M&amp;L COMERCIO DE ALIM E BEBIDAS LTDA</t>
        </is>
      </c>
      <c r="E57" t="inlineStr">
        <is>
          <t>530692</t>
        </is>
      </c>
      <c r="F57" s="525" t="n">
        <v>46266</v>
      </c>
      <c r="G57" t="n">
        <v>19374</v>
      </c>
      <c r="H57" t="inlineStr">
        <is>
          <t>QUEIJO BRIE FORMA QUATA C/1KG UN</t>
        </is>
      </c>
      <c r="I57" t="inlineStr">
        <is>
          <t>ALIMENTOS</t>
        </is>
      </c>
      <c r="J57" t="n">
        <v>8</v>
      </c>
      <c r="K57" t="inlineStr">
        <is>
          <t>Un</t>
        </is>
      </c>
      <c r="L57" t="n">
        <v>511.2</v>
      </c>
      <c r="M57" t="n">
        <v>63.9</v>
      </c>
      <c r="O57" t="inlineStr">
        <is>
          <t>09/2026</t>
        </is>
      </c>
    </row>
    <row r="58">
      <c r="A58" t="n">
        <v>261458</v>
      </c>
      <c r="B58" t="n">
        <v>180</v>
      </c>
      <c r="C58" t="inlineStr">
        <is>
          <t>Nuv Gastrobar</t>
        </is>
      </c>
      <c r="D58" t="inlineStr">
        <is>
          <t>EMPORIO M&amp;L COMERCIO DE ALIM E BEBIDAS LTDA</t>
        </is>
      </c>
      <c r="E58" t="inlineStr">
        <is>
          <t>530692</t>
        </is>
      </c>
      <c r="F58" s="525" t="n">
        <v>46266</v>
      </c>
      <c r="G58" t="n">
        <v>19405</v>
      </c>
      <c r="H58" t="inlineStr">
        <is>
          <t>MANTEIGA S/ SAL TRES MARIAS 5KG KG UN</t>
        </is>
      </c>
      <c r="I58" t="inlineStr">
        <is>
          <t>ALIMENTOS</t>
        </is>
      </c>
      <c r="J58" t="n">
        <v>3</v>
      </c>
      <c r="K58" t="inlineStr">
        <is>
          <t>UN</t>
        </is>
      </c>
      <c r="L58" t="n">
        <v>503.7</v>
      </c>
      <c r="M58" t="n">
        <v>167.9</v>
      </c>
      <c r="O58" t="inlineStr">
        <is>
          <t>09/2026</t>
        </is>
      </c>
    </row>
    <row r="59">
      <c r="A59" t="n">
        <v>261451</v>
      </c>
      <c r="B59" t="n">
        <v>180</v>
      </c>
      <c r="C59" t="inlineStr">
        <is>
          <t>Nuv Gastrobar</t>
        </is>
      </c>
      <c r="D59" t="inlineStr">
        <is>
          <t>AROUMAR DISTRIBUIDORA DE PRODUTOS ALIMENTICIOS LTDA</t>
        </is>
      </c>
      <c r="E59" t="inlineStr">
        <is>
          <t>1081873</t>
        </is>
      </c>
      <c r="F59" s="525" t="n">
        <v>46266</v>
      </c>
      <c r="G59" t="n">
        <v>20301</v>
      </c>
      <c r="H59" t="inlineStr">
        <is>
          <t>ARROZ BRANCO TIPO 1 CAMIL C/5KG</t>
        </is>
      </c>
      <c r="I59" t="inlineStr">
        <is>
          <t>ALIMENTOS</t>
        </is>
      </c>
      <c r="J59" t="n">
        <v>20</v>
      </c>
      <c r="K59" t="inlineStr">
        <is>
          <t>PC</t>
        </is>
      </c>
      <c r="L59" t="n">
        <v>405</v>
      </c>
      <c r="M59" t="n">
        <v>20.25</v>
      </c>
      <c r="O59" t="inlineStr">
        <is>
          <t>09/2026</t>
        </is>
      </c>
    </row>
    <row r="60">
      <c r="A60" t="n">
        <v>261441</v>
      </c>
      <c r="B60" t="n">
        <v>180</v>
      </c>
      <c r="C60" t="inlineStr">
        <is>
          <t>Nuv Gastrobar</t>
        </is>
      </c>
      <c r="D60" t="inlineStr">
        <is>
          <t>TERRA BRASIL HORTI FRUTI LTDA</t>
        </is>
      </c>
      <c r="E60" t="inlineStr">
        <is>
          <t>1579324</t>
        </is>
      </c>
      <c r="F60" s="525" t="n">
        <v>46265</v>
      </c>
      <c r="G60" t="n">
        <v>23101</v>
      </c>
      <c r="H60" t="inlineStr">
        <is>
          <t>ALFACE CRESPA HIGIENIZADO KG</t>
        </is>
      </c>
      <c r="I60" t="inlineStr">
        <is>
          <t>ALIMENTOS</t>
        </is>
      </c>
      <c r="J60" t="n">
        <v>0.5</v>
      </c>
      <c r="K60" t="inlineStr">
        <is>
          <t>KG</t>
        </is>
      </c>
      <c r="L60" t="n">
        <v>20.81</v>
      </c>
      <c r="M60" t="n">
        <v>41.62</v>
      </c>
      <c r="O60" t="inlineStr">
        <is>
          <t>08/2026</t>
        </is>
      </c>
    </row>
    <row r="61">
      <c r="A61" t="n">
        <v>261441</v>
      </c>
      <c r="B61" t="n">
        <v>180</v>
      </c>
      <c r="C61" t="inlineStr">
        <is>
          <t>Nuv Gastrobar</t>
        </is>
      </c>
      <c r="D61" t="inlineStr">
        <is>
          <t>TERRA BRASIL HORTI FRUTI LTDA</t>
        </is>
      </c>
      <c r="E61" t="inlineStr">
        <is>
          <t>1579324</t>
        </is>
      </c>
      <c r="F61" s="525" t="n">
        <v>46265</v>
      </c>
      <c r="G61" t="n">
        <v>19457</v>
      </c>
      <c r="H61" t="inlineStr">
        <is>
          <t>ALFACE AMERICANA HIGIENIZADO KG</t>
        </is>
      </c>
      <c r="I61" t="inlineStr">
        <is>
          <t>ALIMENTOS</t>
        </is>
      </c>
      <c r="J61" t="n">
        <v>1</v>
      </c>
      <c r="K61" t="inlineStr">
        <is>
          <t>KG</t>
        </is>
      </c>
      <c r="L61" t="n">
        <v>25.39</v>
      </c>
      <c r="M61" t="n">
        <v>25.39</v>
      </c>
      <c r="O61" t="inlineStr">
        <is>
          <t>08/2026</t>
        </is>
      </c>
    </row>
    <row r="62">
      <c r="A62" t="n">
        <v>261441</v>
      </c>
      <c r="B62" t="n">
        <v>180</v>
      </c>
      <c r="C62" t="inlineStr">
        <is>
          <t>Nuv Gastrobar</t>
        </is>
      </c>
      <c r="D62" t="inlineStr">
        <is>
          <t>TERRA BRASIL HORTI FRUTI LTDA</t>
        </is>
      </c>
      <c r="E62" t="inlineStr">
        <is>
          <t>1579324</t>
        </is>
      </c>
      <c r="F62" s="525" t="n">
        <v>46265</v>
      </c>
      <c r="G62" t="n">
        <v>26628</v>
      </c>
      <c r="H62" t="inlineStr">
        <is>
          <t>ALFACE ROXA CRESPA HIGIENIZADA KG</t>
        </is>
      </c>
      <c r="I62" t="inlineStr">
        <is>
          <t>ALIMENTOS</t>
        </is>
      </c>
      <c r="J62" t="n">
        <v>0.5</v>
      </c>
      <c r="K62" t="inlineStr">
        <is>
          <t>KG</t>
        </is>
      </c>
      <c r="L62" t="n">
        <v>12.71</v>
      </c>
      <c r="M62" t="n">
        <v>25.42</v>
      </c>
      <c r="O62" t="inlineStr">
        <is>
          <t>08/2026</t>
        </is>
      </c>
    </row>
    <row r="63">
      <c r="A63" t="n">
        <v>261436</v>
      </c>
      <c r="B63" t="n">
        <v>180</v>
      </c>
      <c r="C63" t="inlineStr">
        <is>
          <t>Nuv Gastrobar</t>
        </is>
      </c>
      <c r="D63" t="inlineStr">
        <is>
          <t>REBAL COMERCIAL LTDA</t>
        </is>
      </c>
      <c r="E63" t="inlineStr">
        <is>
          <t>308431</t>
        </is>
      </c>
      <c r="F63" s="525" t="n">
        <v>46265</v>
      </c>
      <c r="G63" t="n">
        <v>30940</v>
      </c>
      <c r="H63" t="inlineStr">
        <is>
          <t>GARFO MESA ITAPARICA CABO PLASTICO PRETO PARA FUNCIONARIO BRINOX UN</t>
        </is>
      </c>
      <c r="I63" t="inlineStr">
        <is>
          <t>UTENSILIOS</t>
        </is>
      </c>
      <c r="J63" t="n">
        <v>20</v>
      </c>
      <c r="K63" t="inlineStr">
        <is>
          <t>UN</t>
        </is>
      </c>
      <c r="L63" t="n">
        <v>33</v>
      </c>
      <c r="M63" t="n">
        <v>1.65</v>
      </c>
      <c r="O63" t="inlineStr">
        <is>
          <t>08/2026</t>
        </is>
      </c>
    </row>
    <row r="64">
      <c r="A64" t="n">
        <v>261436</v>
      </c>
      <c r="B64" t="n">
        <v>180</v>
      </c>
      <c r="C64" t="inlineStr">
        <is>
          <t>Nuv Gastrobar</t>
        </is>
      </c>
      <c r="D64" t="inlineStr">
        <is>
          <t>REBAL COMERCIAL LTDA</t>
        </is>
      </c>
      <c r="E64" t="inlineStr">
        <is>
          <t>308431</t>
        </is>
      </c>
      <c r="F64" s="525" t="n">
        <v>46265</v>
      </c>
      <c r="G64" t="n">
        <v>30939</v>
      </c>
      <c r="H64" t="inlineStr">
        <is>
          <t>FACA CHURRASCO ITAPARICA CABO PLASTICO PRETO PARA FUNCIONARIO BRINOX UN</t>
        </is>
      </c>
      <c r="I64" t="inlineStr">
        <is>
          <t>UTENSILIOS</t>
        </is>
      </c>
      <c r="J64" t="n">
        <v>20</v>
      </c>
      <c r="K64" t="inlineStr">
        <is>
          <t>UN</t>
        </is>
      </c>
      <c r="L64" t="n">
        <v>38</v>
      </c>
      <c r="M64" t="n">
        <v>1.9</v>
      </c>
      <c r="O64" t="inlineStr">
        <is>
          <t>08/2026</t>
        </is>
      </c>
    </row>
    <row r="65">
      <c r="A65" t="n">
        <v>261436</v>
      </c>
      <c r="B65" t="n">
        <v>180</v>
      </c>
      <c r="C65" t="inlineStr">
        <is>
          <t>Nuv Gastrobar</t>
        </is>
      </c>
      <c r="D65" t="inlineStr">
        <is>
          <t>REBAL COMERCIAL LTDA</t>
        </is>
      </c>
      <c r="E65" t="inlineStr">
        <is>
          <t>308431</t>
        </is>
      </c>
      <c r="F65" s="525" t="n">
        <v>46265</v>
      </c>
      <c r="G65" t="n">
        <v>30941</v>
      </c>
      <c r="H65" t="inlineStr">
        <is>
          <t>COLHER MESA ITAPARICA CABO PLASTICO PRETO PARA FUNCIONARIO BRINOX UN</t>
        </is>
      </c>
      <c r="I65" t="inlineStr">
        <is>
          <t>UTENSILIOS</t>
        </is>
      </c>
      <c r="J65" t="n">
        <v>20</v>
      </c>
      <c r="K65" t="inlineStr">
        <is>
          <t>UN</t>
        </is>
      </c>
      <c r="L65" t="n">
        <v>33</v>
      </c>
      <c r="M65" t="n">
        <v>1.65</v>
      </c>
      <c r="O65" t="inlineStr">
        <is>
          <t>08/2026</t>
        </is>
      </c>
    </row>
    <row r="66">
      <c r="A66" t="n">
        <v>261436</v>
      </c>
      <c r="B66" t="n">
        <v>180</v>
      </c>
      <c r="C66" t="inlineStr">
        <is>
          <t>Nuv Gastrobar</t>
        </is>
      </c>
      <c r="D66" t="inlineStr">
        <is>
          <t>REBAL COMERCIAL LTDA</t>
        </is>
      </c>
      <c r="E66" t="inlineStr">
        <is>
          <t>308431</t>
        </is>
      </c>
      <c r="F66" s="525" t="n">
        <v>46265</v>
      </c>
      <c r="G66" t="n">
        <v>30938</v>
      </c>
      <c r="H66" t="inlineStr">
        <is>
          <t>PRATO RASO OPALINE 24,0CM PARA USO FUNCIONARIO NADIR UN</t>
        </is>
      </c>
      <c r="I66" t="inlineStr">
        <is>
          <t>UTENSILIOS</t>
        </is>
      </c>
      <c r="J66" t="n">
        <v>20</v>
      </c>
      <c r="K66" t="inlineStr">
        <is>
          <t>UN</t>
        </is>
      </c>
      <c r="L66" t="n">
        <v>160.8</v>
      </c>
      <c r="M66" t="n">
        <v>8.039999999999999</v>
      </c>
      <c r="O66" t="inlineStr">
        <is>
          <t>08/2026</t>
        </is>
      </c>
    </row>
    <row r="67">
      <c r="A67" t="n">
        <v>261430</v>
      </c>
      <c r="B67" t="n">
        <v>180</v>
      </c>
      <c r="C67" t="inlineStr">
        <is>
          <t>Nuv Gastrobar</t>
        </is>
      </c>
      <c r="D67" t="inlineStr">
        <is>
          <t>EMPORIO M&amp;L COMERCIO DE ALIM E BEBIDAS LTDA</t>
        </is>
      </c>
      <c r="E67" t="inlineStr">
        <is>
          <t>530399</t>
        </is>
      </c>
      <c r="F67" s="525" t="n">
        <v>46265</v>
      </c>
      <c r="G67" t="n">
        <v>20122</v>
      </c>
      <c r="H67" t="inlineStr">
        <is>
          <t>MASSA DE TAPIOCA GRANULADA YOKI C/500G</t>
        </is>
      </c>
      <c r="I67" t="inlineStr">
        <is>
          <t>ALIMENTOS</t>
        </is>
      </c>
      <c r="J67" t="n">
        <v>24</v>
      </c>
      <c r="K67" t="inlineStr">
        <is>
          <t>PC</t>
        </is>
      </c>
      <c r="L67" t="n">
        <v>384</v>
      </c>
      <c r="M67" t="n">
        <v>16</v>
      </c>
      <c r="O67" t="inlineStr">
        <is>
          <t>08/2026</t>
        </is>
      </c>
    </row>
    <row r="68">
      <c r="A68" t="n">
        <v>261415</v>
      </c>
      <c r="B68" t="n">
        <v>180</v>
      </c>
      <c r="C68" t="inlineStr">
        <is>
          <t>Nuv Gastrobar</t>
        </is>
      </c>
      <c r="D68" t="inlineStr">
        <is>
          <t>CECILIA TSUYACO ARAKI SILVA LTDA</t>
        </is>
      </c>
      <c r="E68" t="inlineStr">
        <is>
          <t>398613</t>
        </is>
      </c>
      <c r="F68" s="525" t="n">
        <v>46265</v>
      </c>
      <c r="G68" t="n">
        <v>19547</v>
      </c>
      <c r="H68" t="inlineStr">
        <is>
          <t>TOMATE CARMEN KG</t>
        </is>
      </c>
      <c r="I68" t="inlineStr">
        <is>
          <t>ALIMENTOS</t>
        </is>
      </c>
      <c r="J68" t="n">
        <v>2</v>
      </c>
      <c r="K68" t="inlineStr">
        <is>
          <t>KG</t>
        </is>
      </c>
      <c r="L68" t="n">
        <v>20.8</v>
      </c>
      <c r="M68" t="n">
        <v>10.4</v>
      </c>
      <c r="O68" t="inlineStr">
        <is>
          <t>08/2026</t>
        </is>
      </c>
    </row>
    <row r="69">
      <c r="A69" t="n">
        <v>261415</v>
      </c>
      <c r="B69" t="n">
        <v>180</v>
      </c>
      <c r="C69" t="inlineStr">
        <is>
          <t>Nuv Gastrobar</t>
        </is>
      </c>
      <c r="D69" t="inlineStr">
        <is>
          <t>CECILIA TSUYACO ARAKI SILVA LTDA</t>
        </is>
      </c>
      <c r="E69" t="inlineStr">
        <is>
          <t>398613</t>
        </is>
      </c>
      <c r="F69" s="525" t="n">
        <v>46265</v>
      </c>
      <c r="G69" t="n">
        <v>19654</v>
      </c>
      <c r="H69" t="inlineStr">
        <is>
          <t>ABOBRINHA ITALIANA GRAUDA KG</t>
        </is>
      </c>
      <c r="I69" t="inlineStr">
        <is>
          <t>ALIMENTOS</t>
        </is>
      </c>
      <c r="J69" t="n">
        <v>2</v>
      </c>
      <c r="K69" t="inlineStr">
        <is>
          <t>KG</t>
        </is>
      </c>
      <c r="L69" t="n">
        <v>5.86</v>
      </c>
      <c r="M69" t="n">
        <v>2.93</v>
      </c>
      <c r="O69" t="inlineStr">
        <is>
          <t>08/2026</t>
        </is>
      </c>
    </row>
    <row r="70">
      <c r="A70" t="n">
        <v>261415</v>
      </c>
      <c r="B70" t="n">
        <v>180</v>
      </c>
      <c r="C70" t="inlineStr">
        <is>
          <t>Nuv Gastrobar</t>
        </is>
      </c>
      <c r="D70" t="inlineStr">
        <is>
          <t>CECILIA TSUYACO ARAKI SILVA LTDA</t>
        </is>
      </c>
      <c r="E70" t="inlineStr">
        <is>
          <t>398613</t>
        </is>
      </c>
      <c r="F70" s="525" t="n">
        <v>46265</v>
      </c>
      <c r="G70" t="n">
        <v>19743</v>
      </c>
      <c r="H70" t="inlineStr">
        <is>
          <t>MACA VERDE KG</t>
        </is>
      </c>
      <c r="I70" t="inlineStr">
        <is>
          <t>ALIMENTOS</t>
        </is>
      </c>
      <c r="J70" t="n">
        <v>5</v>
      </c>
      <c r="K70" t="inlineStr">
        <is>
          <t>KG</t>
        </is>
      </c>
      <c r="L70" t="n">
        <v>55</v>
      </c>
      <c r="M70" t="n">
        <v>11</v>
      </c>
      <c r="O70" t="inlineStr">
        <is>
          <t>08/2026</t>
        </is>
      </c>
    </row>
    <row r="71">
      <c r="A71" t="n">
        <v>261415</v>
      </c>
      <c r="B71" t="n">
        <v>180</v>
      </c>
      <c r="C71" t="inlineStr">
        <is>
          <t>Nuv Gastrobar</t>
        </is>
      </c>
      <c r="D71" t="inlineStr">
        <is>
          <t>CECILIA TSUYACO ARAKI SILVA LTDA</t>
        </is>
      </c>
      <c r="E71" t="inlineStr">
        <is>
          <t>398613</t>
        </is>
      </c>
      <c r="F71" s="525" t="n">
        <v>46265</v>
      </c>
      <c r="G71" t="n">
        <v>19553</v>
      </c>
      <c r="H71" t="inlineStr">
        <is>
          <t>REPOLHO BRANCO KG</t>
        </is>
      </c>
      <c r="I71" t="inlineStr">
        <is>
          <t>ALIMENTOS</t>
        </is>
      </c>
      <c r="J71" t="n">
        <v>1</v>
      </c>
      <c r="K71" t="inlineStr">
        <is>
          <t>KG</t>
        </is>
      </c>
      <c r="L71" t="n">
        <v>4</v>
      </c>
      <c r="M71" t="n">
        <v>4</v>
      </c>
      <c r="O71" t="inlineStr">
        <is>
          <t>08/2026</t>
        </is>
      </c>
    </row>
    <row r="72">
      <c r="A72" t="n">
        <v>261415</v>
      </c>
      <c r="B72" t="n">
        <v>180</v>
      </c>
      <c r="C72" t="inlineStr">
        <is>
          <t>Nuv Gastrobar</t>
        </is>
      </c>
      <c r="D72" t="inlineStr">
        <is>
          <t>CECILIA TSUYACO ARAKI SILVA LTDA</t>
        </is>
      </c>
      <c r="E72" t="inlineStr">
        <is>
          <t>398613</t>
        </is>
      </c>
      <c r="F72" s="525" t="n">
        <v>46265</v>
      </c>
      <c r="G72" t="n">
        <v>24037</v>
      </c>
      <c r="H72" t="inlineStr">
        <is>
          <t>ALHO TRITURADO FRITO</t>
        </is>
      </c>
      <c r="I72" t="inlineStr">
        <is>
          <t>ALIMENTOS</t>
        </is>
      </c>
      <c r="J72" t="n">
        <v>1</v>
      </c>
      <c r="K72" t="inlineStr">
        <is>
          <t>KG</t>
        </is>
      </c>
      <c r="L72" t="n">
        <v>17.5</v>
      </c>
      <c r="M72" t="n">
        <v>17.5</v>
      </c>
      <c r="O72" t="inlineStr">
        <is>
          <t>08/2026</t>
        </is>
      </c>
    </row>
    <row r="73">
      <c r="A73" t="n">
        <v>261415</v>
      </c>
      <c r="B73" t="n">
        <v>180</v>
      </c>
      <c r="C73" t="inlineStr">
        <is>
          <t>Nuv Gastrobar</t>
        </is>
      </c>
      <c r="D73" t="inlineStr">
        <is>
          <t>CECILIA TSUYACO ARAKI SILVA LTDA</t>
        </is>
      </c>
      <c r="E73" t="inlineStr">
        <is>
          <t>398613</t>
        </is>
      </c>
      <c r="F73" s="525" t="n">
        <v>46265</v>
      </c>
      <c r="G73" t="n">
        <v>19480</v>
      </c>
      <c r="H73" t="inlineStr">
        <is>
          <t>HORTELA HIDROPONICA KG</t>
        </is>
      </c>
      <c r="I73" t="inlineStr">
        <is>
          <t>ALIMENTOS</t>
        </is>
      </c>
      <c r="J73" t="n">
        <v>0.25</v>
      </c>
      <c r="K73" t="inlineStr">
        <is>
          <t>KG</t>
        </is>
      </c>
      <c r="L73" t="n">
        <v>5.5</v>
      </c>
      <c r="M73" t="n">
        <v>22</v>
      </c>
      <c r="O73" t="inlineStr">
        <is>
          <t>08/2026</t>
        </is>
      </c>
    </row>
    <row r="74">
      <c r="A74" t="n">
        <v>261415</v>
      </c>
      <c r="B74" t="n">
        <v>180</v>
      </c>
      <c r="C74" t="inlineStr">
        <is>
          <t>Nuv Gastrobar</t>
        </is>
      </c>
      <c r="D74" t="inlineStr">
        <is>
          <t>CECILIA TSUYACO ARAKI SILVA LTDA</t>
        </is>
      </c>
      <c r="E74" t="inlineStr">
        <is>
          <t>398613</t>
        </is>
      </c>
      <c r="F74" s="525" t="n">
        <v>46265</v>
      </c>
      <c r="G74" t="n">
        <v>19647</v>
      </c>
      <c r="H74" t="inlineStr">
        <is>
          <t>ALHO PORO KG</t>
        </is>
      </c>
      <c r="I74" t="inlineStr">
        <is>
          <t>ALIMENTOS</t>
        </is>
      </c>
      <c r="J74" t="n">
        <v>2</v>
      </c>
      <c r="K74" t="inlineStr">
        <is>
          <t>KG</t>
        </is>
      </c>
      <c r="L74" t="n">
        <v>18</v>
      </c>
      <c r="M74" t="n">
        <v>9</v>
      </c>
      <c r="O74" t="inlineStr">
        <is>
          <t>08/2026</t>
        </is>
      </c>
    </row>
    <row r="75">
      <c r="A75" t="n">
        <v>261411</v>
      </c>
      <c r="B75" t="n">
        <v>180</v>
      </c>
      <c r="C75" t="inlineStr">
        <is>
          <t>Nuv Gastrobar</t>
        </is>
      </c>
      <c r="D75" t="inlineStr">
        <is>
          <t>DO CHEF DISTRIBUIDORA DE ALIMENTOS LTDA</t>
        </is>
      </c>
      <c r="E75" t="inlineStr">
        <is>
          <t>4215</t>
        </is>
      </c>
      <c r="F75" s="525" t="n">
        <v>46262</v>
      </c>
      <c r="G75" t="n">
        <v>23361</v>
      </c>
      <c r="H75" t="inlineStr">
        <is>
          <t>LARANJA PERA KG</t>
        </is>
      </c>
      <c r="I75" t="inlineStr">
        <is>
          <t>ALIMENTOS</t>
        </is>
      </c>
      <c r="J75" t="n">
        <v>40</v>
      </c>
      <c r="K75" t="inlineStr">
        <is>
          <t>KG</t>
        </is>
      </c>
      <c r="L75" t="n">
        <v>87.59999999999999</v>
      </c>
      <c r="M75" t="n">
        <v>2.19</v>
      </c>
      <c r="O75" t="inlineStr">
        <is>
          <t>08/2026</t>
        </is>
      </c>
    </row>
    <row r="76">
      <c r="A76" t="n">
        <v>261411</v>
      </c>
      <c r="B76" t="n">
        <v>180</v>
      </c>
      <c r="C76" t="inlineStr">
        <is>
          <t>Nuv Gastrobar</t>
        </is>
      </c>
      <c r="D76" t="inlineStr">
        <is>
          <t>DO CHEF DISTRIBUIDORA DE ALIMENTOS LTDA</t>
        </is>
      </c>
      <c r="E76" t="inlineStr">
        <is>
          <t>4215</t>
        </is>
      </c>
      <c r="F76" s="525" t="n">
        <v>46262</v>
      </c>
      <c r="G76" t="n">
        <v>23335</v>
      </c>
      <c r="H76" t="inlineStr">
        <is>
          <t>MORANGO KG</t>
        </is>
      </c>
      <c r="I76" t="inlineStr">
        <is>
          <t>ALIMENTOS</t>
        </is>
      </c>
      <c r="J76" t="n">
        <v>1</v>
      </c>
      <c r="K76" t="inlineStr">
        <is>
          <t>KG</t>
        </is>
      </c>
      <c r="L76" t="n">
        <v>19.5</v>
      </c>
      <c r="M76" t="n">
        <v>19.5</v>
      </c>
      <c r="O76" t="inlineStr">
        <is>
          <t>08/2026</t>
        </is>
      </c>
    </row>
    <row r="77">
      <c r="A77" t="n">
        <v>261407</v>
      </c>
      <c r="B77" t="n">
        <v>180</v>
      </c>
      <c r="C77" t="inlineStr">
        <is>
          <t>Nuv Gastrobar</t>
        </is>
      </c>
      <c r="D77" t="inlineStr">
        <is>
          <t>DO CHEF DISTRIBUIDORA DE ALIMENTOS LTDA</t>
        </is>
      </c>
      <c r="E77" t="inlineStr">
        <is>
          <t>4272</t>
        </is>
      </c>
      <c r="F77" s="525" t="n">
        <v>46265</v>
      </c>
      <c r="G77" t="n">
        <v>23335</v>
      </c>
      <c r="H77" t="inlineStr">
        <is>
          <t>MORANGO KG</t>
        </is>
      </c>
      <c r="I77" t="inlineStr">
        <is>
          <t>ALIMENTOS</t>
        </is>
      </c>
      <c r="J77" t="n">
        <v>1</v>
      </c>
      <c r="K77" t="inlineStr">
        <is>
          <t>KG</t>
        </is>
      </c>
      <c r="L77" t="n">
        <v>21.45</v>
      </c>
      <c r="M77" t="n">
        <v>21.45</v>
      </c>
      <c r="O77" t="inlineStr">
        <is>
          <t>08/2026</t>
        </is>
      </c>
    </row>
    <row r="78">
      <c r="A78" t="n">
        <v>261407</v>
      </c>
      <c r="B78" t="n">
        <v>180</v>
      </c>
      <c r="C78" t="inlineStr">
        <is>
          <t>Nuv Gastrobar</t>
        </is>
      </c>
      <c r="D78" t="inlineStr">
        <is>
          <t>DO CHEF DISTRIBUIDORA DE ALIMENTOS LTDA</t>
        </is>
      </c>
      <c r="E78" t="inlineStr">
        <is>
          <t>4272</t>
        </is>
      </c>
      <c r="F78" s="525" t="n">
        <v>46265</v>
      </c>
      <c r="G78" t="n">
        <v>23108</v>
      </c>
      <c r="H78" t="inlineStr">
        <is>
          <t>TOMILHO KG</t>
        </is>
      </c>
      <c r="I78" t="inlineStr">
        <is>
          <t>ALIMENTOS</t>
        </is>
      </c>
      <c r="J78" t="n">
        <v>0.2</v>
      </c>
      <c r="K78" t="inlineStr">
        <is>
          <t>KG</t>
        </is>
      </c>
      <c r="L78" t="n">
        <v>15.6</v>
      </c>
      <c r="M78" t="n">
        <v>78</v>
      </c>
      <c r="O78" t="inlineStr">
        <is>
          <t>08/2026</t>
        </is>
      </c>
    </row>
    <row r="79">
      <c r="A79" t="n">
        <v>261407</v>
      </c>
      <c r="B79" t="n">
        <v>180</v>
      </c>
      <c r="C79" t="inlineStr">
        <is>
          <t>Nuv Gastrobar</t>
        </is>
      </c>
      <c r="D79" t="inlineStr">
        <is>
          <t>DO CHEF DISTRIBUIDORA DE ALIMENTOS LTDA</t>
        </is>
      </c>
      <c r="E79" t="inlineStr">
        <is>
          <t>4272</t>
        </is>
      </c>
      <c r="F79" s="525" t="n">
        <v>46265</v>
      </c>
      <c r="G79" t="n">
        <v>24484</v>
      </c>
      <c r="H79" t="inlineStr">
        <is>
          <t>TOMATE SWEET KG</t>
        </is>
      </c>
      <c r="I79" t="inlineStr">
        <is>
          <t>ALIMENTOS</t>
        </is>
      </c>
      <c r="J79" t="n">
        <v>0.3</v>
      </c>
      <c r="K79" t="inlineStr">
        <is>
          <t>KG</t>
        </is>
      </c>
      <c r="L79" t="n">
        <v>5.85</v>
      </c>
      <c r="M79" t="n">
        <v>19.5</v>
      </c>
      <c r="O79" t="inlineStr">
        <is>
          <t>08/2026</t>
        </is>
      </c>
    </row>
    <row r="80">
      <c r="A80" t="n">
        <v>261407</v>
      </c>
      <c r="B80" t="n">
        <v>180</v>
      </c>
      <c r="C80" t="inlineStr">
        <is>
          <t>Nuv Gastrobar</t>
        </is>
      </c>
      <c r="D80" t="inlineStr">
        <is>
          <t>DO CHEF DISTRIBUIDORA DE ALIMENTOS LTDA</t>
        </is>
      </c>
      <c r="E80" t="inlineStr">
        <is>
          <t>4272</t>
        </is>
      </c>
      <c r="F80" s="525" t="n">
        <v>46265</v>
      </c>
      <c r="G80" t="n">
        <v>19621</v>
      </c>
      <c r="H80" t="inlineStr">
        <is>
          <t>CENOURA KG</t>
        </is>
      </c>
      <c r="I80" t="inlineStr">
        <is>
          <t>ALIMENTOS</t>
        </is>
      </c>
      <c r="J80" t="n">
        <v>5</v>
      </c>
      <c r="K80" t="inlineStr">
        <is>
          <t>KG</t>
        </is>
      </c>
      <c r="L80" t="n">
        <v>26</v>
      </c>
      <c r="M80" t="n">
        <v>5.2</v>
      </c>
      <c r="O80" t="inlineStr">
        <is>
          <t>08/2026</t>
        </is>
      </c>
    </row>
    <row r="81">
      <c r="A81" t="n">
        <v>261407</v>
      </c>
      <c r="B81" t="n">
        <v>180</v>
      </c>
      <c r="C81" t="inlineStr">
        <is>
          <t>Nuv Gastrobar</t>
        </is>
      </c>
      <c r="D81" t="inlineStr">
        <is>
          <t>DO CHEF DISTRIBUIDORA DE ALIMENTOS LTDA</t>
        </is>
      </c>
      <c r="E81" t="inlineStr">
        <is>
          <t>4272</t>
        </is>
      </c>
      <c r="F81" s="525" t="n">
        <v>46265</v>
      </c>
      <c r="G81" t="n">
        <v>24083</v>
      </c>
      <c r="H81" t="inlineStr">
        <is>
          <t>BATATA ASTERIX GRAUDA NOIVA KG</t>
        </is>
      </c>
      <c r="I81" t="inlineStr">
        <is>
          <t>ALIMENTOS</t>
        </is>
      </c>
      <c r="J81" t="n">
        <v>50</v>
      </c>
      <c r="K81" t="inlineStr">
        <is>
          <t>KG</t>
        </is>
      </c>
      <c r="L81" t="n">
        <v>292.5</v>
      </c>
      <c r="M81" t="n">
        <v>5.85</v>
      </c>
      <c r="O81" t="inlineStr">
        <is>
          <t>08/2026</t>
        </is>
      </c>
    </row>
    <row r="82">
      <c r="A82" t="n">
        <v>261407</v>
      </c>
      <c r="B82" t="n">
        <v>180</v>
      </c>
      <c r="C82" t="inlineStr">
        <is>
          <t>Nuv Gastrobar</t>
        </is>
      </c>
      <c r="D82" t="inlineStr">
        <is>
          <t>DO CHEF DISTRIBUIDORA DE ALIMENTOS LTDA</t>
        </is>
      </c>
      <c r="E82" t="inlineStr">
        <is>
          <t>4272</t>
        </is>
      </c>
      <c r="F82" s="525" t="n">
        <v>46265</v>
      </c>
      <c r="G82" t="n">
        <v>19485</v>
      </c>
      <c r="H82" t="inlineStr">
        <is>
          <t>ENDRO DILL KG</t>
        </is>
      </c>
      <c r="I82" t="inlineStr">
        <is>
          <t>ALIMENTOS</t>
        </is>
      </c>
      <c r="J82" t="n">
        <v>0.1</v>
      </c>
      <c r="K82" t="inlineStr">
        <is>
          <t>KG</t>
        </is>
      </c>
      <c r="L82" t="n">
        <v>6.99</v>
      </c>
      <c r="M82" t="n">
        <v>69.90000000000001</v>
      </c>
      <c r="O82" t="inlineStr">
        <is>
          <t>08/2026</t>
        </is>
      </c>
    </row>
    <row r="83">
      <c r="A83" t="n">
        <v>261399</v>
      </c>
      <c r="B83" t="n">
        <v>180</v>
      </c>
      <c r="C83" t="inlineStr">
        <is>
          <t>Nuv Gastrobar</t>
        </is>
      </c>
      <c r="D83" t="inlineStr">
        <is>
          <t>FUNGO DE QUINTAL COMÉRCIO DE ALIMENTOS - ME</t>
        </is>
      </c>
      <c r="E83" t="inlineStr">
        <is>
          <t>151252</t>
        </is>
      </c>
      <c r="F83" s="525" t="n">
        <v>46262</v>
      </c>
      <c r="G83" t="n">
        <v>19594</v>
      </c>
      <c r="H83" t="inlineStr">
        <is>
          <t>PALMITO PUPUNHA TOLETE C/400G</t>
        </is>
      </c>
      <c r="I83" t="inlineStr">
        <is>
          <t>ALIMENTOS</t>
        </is>
      </c>
      <c r="J83" t="n">
        <v>6</v>
      </c>
      <c r="K83" t="inlineStr">
        <is>
          <t>KG</t>
        </is>
      </c>
      <c r="L83" t="n">
        <v>202.98</v>
      </c>
      <c r="M83" t="n">
        <v>33.83</v>
      </c>
      <c r="O83" t="inlineStr">
        <is>
          <t>08/2026</t>
        </is>
      </c>
    </row>
    <row r="84">
      <c r="A84" t="n">
        <v>261396</v>
      </c>
      <c r="B84" t="n">
        <v>180</v>
      </c>
      <c r="C84" t="inlineStr">
        <is>
          <t>Nuv Gastrobar</t>
        </is>
      </c>
      <c r="D84" t="inlineStr">
        <is>
          <t>LPG INDUSTRIA E COMERCIO DE ALIMENTOS LTDA</t>
        </is>
      </c>
      <c r="E84" t="inlineStr">
        <is>
          <t>126563</t>
        </is>
      </c>
      <c r="F84" s="525" t="n">
        <v>46260</v>
      </c>
      <c r="G84" t="n">
        <v>29444</v>
      </c>
      <c r="H84" t="inlineStr">
        <is>
          <t>BASE SOB TORTA IND 70MM- CX C/ 64 UN</t>
        </is>
      </c>
      <c r="I84" t="inlineStr">
        <is>
          <t>ALIMENTOS</t>
        </is>
      </c>
      <c r="J84" t="n">
        <v>16</v>
      </c>
      <c r="K84" t="inlineStr">
        <is>
          <t>CX</t>
        </is>
      </c>
      <c r="L84" t="n">
        <v>1553.28</v>
      </c>
      <c r="M84" t="n">
        <v>97.08</v>
      </c>
      <c r="N84" t="inlineStr">
        <is>
          <t>PAGO À VISTA</t>
        </is>
      </c>
      <c r="O84" t="inlineStr">
        <is>
          <t>08/2026</t>
        </is>
      </c>
    </row>
    <row r="85">
      <c r="A85" t="n">
        <v>261389</v>
      </c>
      <c r="B85" t="n">
        <v>180</v>
      </c>
      <c r="C85" t="inlineStr">
        <is>
          <t>Nuv Gastrobar</t>
        </is>
      </c>
      <c r="D85" t="inlineStr">
        <is>
          <t>MARIO PEDRO FELICIANO - HORTIFRUTI</t>
        </is>
      </c>
      <c r="E85" t="inlineStr">
        <is>
          <t>487791</t>
        </is>
      </c>
      <c r="F85" s="525" t="n">
        <v>46262</v>
      </c>
      <c r="G85" t="n">
        <v>24687</v>
      </c>
      <c r="H85" t="inlineStr">
        <is>
          <t>MIRTILO CONGELADO KG</t>
        </is>
      </c>
      <c r="I85" t="inlineStr">
        <is>
          <t>ALIMENTOS</t>
        </is>
      </c>
      <c r="J85" t="n">
        <v>2</v>
      </c>
      <c r="K85" t="inlineStr">
        <is>
          <t>KG</t>
        </is>
      </c>
      <c r="L85" t="n">
        <v>85.8</v>
      </c>
      <c r="M85" t="n">
        <v>42.9</v>
      </c>
      <c r="O85" t="inlineStr">
        <is>
          <t>08/2026</t>
        </is>
      </c>
    </row>
    <row r="86">
      <c r="A86" t="n">
        <v>261389</v>
      </c>
      <c r="B86" t="n">
        <v>180</v>
      </c>
      <c r="C86" t="inlineStr">
        <is>
          <t>Nuv Gastrobar</t>
        </is>
      </c>
      <c r="D86" t="inlineStr">
        <is>
          <t>MARIO PEDRO FELICIANO - HORTIFRUTI</t>
        </is>
      </c>
      <c r="E86" t="inlineStr">
        <is>
          <t>487791</t>
        </is>
      </c>
      <c r="F86" s="525" t="n">
        <v>46262</v>
      </c>
      <c r="G86" t="n">
        <v>23359</v>
      </c>
      <c r="H86" t="inlineStr">
        <is>
          <t>LIMAO TAHITI KG</t>
        </is>
      </c>
      <c r="I86" t="inlineStr">
        <is>
          <t>ALIMENTOS</t>
        </is>
      </c>
      <c r="J86" t="n">
        <v>20</v>
      </c>
      <c r="K86" t="inlineStr">
        <is>
          <t>KG</t>
        </is>
      </c>
      <c r="L86" t="n">
        <v>155.8</v>
      </c>
      <c r="M86" t="n">
        <v>7.79</v>
      </c>
      <c r="O86" t="inlineStr">
        <is>
          <t>08/2026</t>
        </is>
      </c>
    </row>
    <row r="87">
      <c r="A87" t="n">
        <v>261389</v>
      </c>
      <c r="B87" t="n">
        <v>180</v>
      </c>
      <c r="C87" t="inlineStr">
        <is>
          <t>Nuv Gastrobar</t>
        </is>
      </c>
      <c r="D87" t="inlineStr">
        <is>
          <t>MARIO PEDRO FELICIANO - HORTIFRUTI</t>
        </is>
      </c>
      <c r="E87" t="inlineStr">
        <is>
          <t>487791</t>
        </is>
      </c>
      <c r="F87" s="525" t="n">
        <v>46262</v>
      </c>
      <c r="G87" t="n">
        <v>19547</v>
      </c>
      <c r="H87" t="inlineStr">
        <is>
          <t>TOMATE CARMEN KG</t>
        </is>
      </c>
      <c r="I87" t="inlineStr">
        <is>
          <t>ALIMENTOS</t>
        </is>
      </c>
      <c r="J87" t="n">
        <v>2</v>
      </c>
      <c r="K87" t="inlineStr">
        <is>
          <t>KG</t>
        </is>
      </c>
      <c r="L87" t="n">
        <v>17.48</v>
      </c>
      <c r="M87" t="n">
        <v>8.74</v>
      </c>
      <c r="O87" t="inlineStr">
        <is>
          <t>08/2026</t>
        </is>
      </c>
    </row>
    <row r="88">
      <c r="A88" t="n">
        <v>261389</v>
      </c>
      <c r="B88" t="n">
        <v>180</v>
      </c>
      <c r="C88" t="inlineStr">
        <is>
          <t>Nuv Gastrobar</t>
        </is>
      </c>
      <c r="D88" t="inlineStr">
        <is>
          <t>MARIO PEDRO FELICIANO - HORTIFRUTI</t>
        </is>
      </c>
      <c r="E88" t="inlineStr">
        <is>
          <t>487791</t>
        </is>
      </c>
      <c r="F88" s="525" t="n">
        <v>46262</v>
      </c>
      <c r="G88" t="n">
        <v>24385</v>
      </c>
      <c r="H88" t="inlineStr">
        <is>
          <t>MORANGO CONGELADO KG</t>
        </is>
      </c>
      <c r="I88" t="inlineStr">
        <is>
          <t>ALIMENTOS</t>
        </is>
      </c>
      <c r="J88" t="n">
        <v>1</v>
      </c>
      <c r="K88" t="inlineStr">
        <is>
          <t>KG</t>
        </is>
      </c>
      <c r="L88" t="n">
        <v>15.02</v>
      </c>
      <c r="M88" t="n">
        <v>15.02</v>
      </c>
      <c r="O88" t="inlineStr">
        <is>
          <t>08/2026</t>
        </is>
      </c>
    </row>
    <row r="89">
      <c r="A89" t="n">
        <v>261384</v>
      </c>
      <c r="B89" t="n">
        <v>180</v>
      </c>
      <c r="C89" t="inlineStr">
        <is>
          <t>Nuv Gastrobar</t>
        </is>
      </c>
      <c r="D89" t="inlineStr">
        <is>
          <t>TERRA BRASIL HORTI FRUTI LTDA</t>
        </is>
      </c>
      <c r="E89" t="inlineStr">
        <is>
          <t>1578124</t>
        </is>
      </c>
      <c r="F89" s="525" t="n">
        <v>46263</v>
      </c>
      <c r="G89" t="n">
        <v>19457</v>
      </c>
      <c r="H89" t="inlineStr">
        <is>
          <t>ALFACE AMERICANA HIGIENIZADO KG</t>
        </is>
      </c>
      <c r="I89" t="inlineStr">
        <is>
          <t>ALIMENTOS</t>
        </is>
      </c>
      <c r="J89" t="n">
        <v>2</v>
      </c>
      <c r="K89" t="inlineStr">
        <is>
          <t>KG</t>
        </is>
      </c>
      <c r="L89" t="n">
        <v>50.78</v>
      </c>
      <c r="M89" t="n">
        <v>25.39</v>
      </c>
      <c r="O89" t="inlineStr">
        <is>
          <t>08/2026</t>
        </is>
      </c>
    </row>
    <row r="90">
      <c r="A90" t="n">
        <v>261384</v>
      </c>
      <c r="B90" t="n">
        <v>180</v>
      </c>
      <c r="C90" t="inlineStr">
        <is>
          <t>Nuv Gastrobar</t>
        </is>
      </c>
      <c r="D90" t="inlineStr">
        <is>
          <t>TERRA BRASIL HORTI FRUTI LTDA</t>
        </is>
      </c>
      <c r="E90" t="inlineStr">
        <is>
          <t>1578124</t>
        </is>
      </c>
      <c r="F90" s="525" t="n">
        <v>46263</v>
      </c>
      <c r="G90" t="n">
        <v>26445</v>
      </c>
      <c r="H90" t="inlineStr">
        <is>
          <t>RUCULA SELVAGEM HIGIENIZADA KG</t>
        </is>
      </c>
      <c r="I90" t="inlineStr">
        <is>
          <t>ALIMENTOS</t>
        </is>
      </c>
      <c r="J90" t="n">
        <v>1</v>
      </c>
      <c r="K90" t="inlineStr">
        <is>
          <t>KG</t>
        </is>
      </c>
      <c r="L90" t="n">
        <v>83.05</v>
      </c>
      <c r="M90" t="n">
        <v>83.05</v>
      </c>
      <c r="O90" t="inlineStr">
        <is>
          <t>08/2026</t>
        </is>
      </c>
    </row>
    <row r="91">
      <c r="A91" t="n">
        <v>260991</v>
      </c>
      <c r="B91" t="n">
        <v>180</v>
      </c>
      <c r="C91" t="inlineStr">
        <is>
          <t>Nuv Gastrobar</t>
        </is>
      </c>
      <c r="D91" t="inlineStr">
        <is>
          <t>CECILIA TSUYACO ARAKI SILVA LTDA</t>
        </is>
      </c>
      <c r="E91" t="inlineStr">
        <is>
          <t>398471</t>
        </is>
      </c>
      <c r="F91" s="525" t="n">
        <v>46262</v>
      </c>
      <c r="G91" t="n">
        <v>19552</v>
      </c>
      <c r="H91" t="inlineStr">
        <is>
          <t>REPOLHO ROXO KG</t>
        </is>
      </c>
      <c r="I91" t="inlineStr">
        <is>
          <t>ALIMENTOS</t>
        </is>
      </c>
      <c r="J91" t="n">
        <v>0.5</v>
      </c>
      <c r="K91" t="inlineStr">
        <is>
          <t>KG</t>
        </is>
      </c>
      <c r="L91" t="n">
        <v>13.2</v>
      </c>
      <c r="M91" t="n">
        <v>26.4</v>
      </c>
      <c r="O91" t="inlineStr">
        <is>
          <t>08/2026</t>
        </is>
      </c>
    </row>
    <row r="92">
      <c r="A92" t="n">
        <v>260991</v>
      </c>
      <c r="B92" t="n">
        <v>180</v>
      </c>
      <c r="C92" t="inlineStr">
        <is>
          <t>Nuv Gastrobar</t>
        </is>
      </c>
      <c r="D92" t="inlineStr">
        <is>
          <t>CECILIA TSUYACO ARAKI SILVA LTDA</t>
        </is>
      </c>
      <c r="E92" t="inlineStr">
        <is>
          <t>398471</t>
        </is>
      </c>
      <c r="F92" s="525" t="n">
        <v>46262</v>
      </c>
      <c r="G92" t="n">
        <v>19553</v>
      </c>
      <c r="H92" t="inlineStr">
        <is>
          <t>REPOLHO BRANCO KG</t>
        </is>
      </c>
      <c r="I92" t="inlineStr">
        <is>
          <t>ALIMENTOS</t>
        </is>
      </c>
      <c r="J92" t="n">
        <v>0.5</v>
      </c>
      <c r="K92" t="inlineStr">
        <is>
          <t>KG</t>
        </is>
      </c>
      <c r="L92" t="n">
        <v>7.8</v>
      </c>
      <c r="M92" t="n">
        <v>15.6</v>
      </c>
      <c r="O92" t="inlineStr">
        <is>
          <t>08/2026</t>
        </is>
      </c>
    </row>
    <row r="93">
      <c r="A93" t="n">
        <v>260991</v>
      </c>
      <c r="B93" t="n">
        <v>180</v>
      </c>
      <c r="C93" t="inlineStr">
        <is>
          <t>Nuv Gastrobar</t>
        </is>
      </c>
      <c r="D93" t="inlineStr">
        <is>
          <t>CECILIA TSUYACO ARAKI SILVA LTDA</t>
        </is>
      </c>
      <c r="E93" t="inlineStr">
        <is>
          <t>398471</t>
        </is>
      </c>
      <c r="F93" s="525" t="n">
        <v>46262</v>
      </c>
      <c r="G93" t="n">
        <v>17024</v>
      </c>
      <c r="H93" t="inlineStr">
        <is>
          <t>MILHO VERDE KG</t>
        </is>
      </c>
      <c r="I93" t="inlineStr">
        <is>
          <t>ALIMENTOS</t>
        </is>
      </c>
      <c r="J93" t="n">
        <v>3</v>
      </c>
      <c r="K93" t="inlineStr">
        <is>
          <t>KG</t>
        </is>
      </c>
      <c r="L93" t="n">
        <v>18.9</v>
      </c>
      <c r="M93" t="n">
        <v>6.3</v>
      </c>
      <c r="O93" t="inlineStr">
        <is>
          <t>08/2026</t>
        </is>
      </c>
    </row>
    <row r="94">
      <c r="A94" t="n">
        <v>260991</v>
      </c>
      <c r="B94" t="n">
        <v>180</v>
      </c>
      <c r="C94" t="inlineStr">
        <is>
          <t>Nuv Gastrobar</t>
        </is>
      </c>
      <c r="D94" t="inlineStr">
        <is>
          <t>CECILIA TSUYACO ARAKI SILVA LTDA</t>
        </is>
      </c>
      <c r="E94" t="inlineStr">
        <is>
          <t>398471</t>
        </is>
      </c>
      <c r="F94" s="525" t="n">
        <v>46262</v>
      </c>
      <c r="G94" t="n">
        <v>19503</v>
      </c>
      <c r="H94" t="inlineStr">
        <is>
          <t>ALFACE CRESPA KG</t>
        </is>
      </c>
      <c r="I94" t="inlineStr">
        <is>
          <t>ALIMENTOS</t>
        </is>
      </c>
      <c r="J94" t="n">
        <v>1</v>
      </c>
      <c r="K94" t="inlineStr">
        <is>
          <t>KG</t>
        </is>
      </c>
      <c r="L94" t="n">
        <v>8.5</v>
      </c>
      <c r="M94" t="n">
        <v>8.5</v>
      </c>
      <c r="O94" t="inlineStr">
        <is>
          <t>08/2026</t>
        </is>
      </c>
    </row>
    <row r="95">
      <c r="A95" t="n">
        <v>260991</v>
      </c>
      <c r="B95" t="n">
        <v>180</v>
      </c>
      <c r="C95" t="inlineStr">
        <is>
          <t>Nuv Gastrobar</t>
        </is>
      </c>
      <c r="D95" t="inlineStr">
        <is>
          <t>CECILIA TSUYACO ARAKI SILVA LTDA</t>
        </is>
      </c>
      <c r="E95" t="inlineStr">
        <is>
          <t>398471</t>
        </is>
      </c>
      <c r="F95" s="525" t="n">
        <v>46262</v>
      </c>
      <c r="G95" t="n">
        <v>19682</v>
      </c>
      <c r="H95" t="inlineStr">
        <is>
          <t>MIRTILO KG</t>
        </is>
      </c>
      <c r="I95" t="inlineStr">
        <is>
          <t>ALIMENTOS</t>
        </is>
      </c>
      <c r="J95" t="n">
        <v>1</v>
      </c>
      <c r="K95" t="inlineStr">
        <is>
          <t>KG</t>
        </is>
      </c>
      <c r="L95" t="n">
        <v>100</v>
      </c>
      <c r="M95" t="n">
        <v>100</v>
      </c>
      <c r="O95" t="inlineStr">
        <is>
          <t>08/2026</t>
        </is>
      </c>
    </row>
    <row r="96">
      <c r="A96" t="n">
        <v>260991</v>
      </c>
      <c r="B96" t="n">
        <v>180</v>
      </c>
      <c r="C96" t="inlineStr">
        <is>
          <t>Nuv Gastrobar</t>
        </is>
      </c>
      <c r="D96" t="inlineStr">
        <is>
          <t>CECILIA TSUYACO ARAKI SILVA LTDA</t>
        </is>
      </c>
      <c r="E96" t="inlineStr">
        <is>
          <t>398471</t>
        </is>
      </c>
      <c r="F96" s="525" t="n">
        <v>46262</v>
      </c>
      <c r="G96" t="n">
        <v>19502</v>
      </c>
      <c r="H96" t="inlineStr">
        <is>
          <t>ALFACE CRESPA ROXA KG</t>
        </is>
      </c>
      <c r="I96" t="inlineStr">
        <is>
          <t>ALIMENTOS</t>
        </is>
      </c>
      <c r="J96" t="n">
        <v>1</v>
      </c>
      <c r="K96" t="inlineStr">
        <is>
          <t>KG</t>
        </is>
      </c>
      <c r="L96" t="n">
        <v>11.3</v>
      </c>
      <c r="M96" t="n">
        <v>11.3</v>
      </c>
      <c r="O96" t="inlineStr">
        <is>
          <t>08/2026</t>
        </is>
      </c>
    </row>
    <row r="97">
      <c r="A97" t="n">
        <v>260991</v>
      </c>
      <c r="B97" t="n">
        <v>180</v>
      </c>
      <c r="C97" t="inlineStr">
        <is>
          <t>Nuv Gastrobar</t>
        </is>
      </c>
      <c r="D97" t="inlineStr">
        <is>
          <t>CECILIA TSUYACO ARAKI SILVA LTDA</t>
        </is>
      </c>
      <c r="E97" t="inlineStr">
        <is>
          <t>398471</t>
        </is>
      </c>
      <c r="F97" s="525" t="n">
        <v>46262</v>
      </c>
      <c r="G97" t="n">
        <v>19465</v>
      </c>
      <c r="H97" t="inlineStr">
        <is>
          <t>SALSAO KG</t>
        </is>
      </c>
      <c r="I97" t="inlineStr">
        <is>
          <t>ALIMENTOS</t>
        </is>
      </c>
      <c r="J97" t="n">
        <v>3</v>
      </c>
      <c r="K97" t="inlineStr">
        <is>
          <t>KG</t>
        </is>
      </c>
      <c r="L97" t="n">
        <v>20.4</v>
      </c>
      <c r="M97" t="n">
        <v>6.8</v>
      </c>
      <c r="O97" t="inlineStr">
        <is>
          <t>08/2026</t>
        </is>
      </c>
    </row>
    <row r="98">
      <c r="A98" t="n">
        <v>260991</v>
      </c>
      <c r="B98" t="n">
        <v>180</v>
      </c>
      <c r="C98" t="inlineStr">
        <is>
          <t>Nuv Gastrobar</t>
        </is>
      </c>
      <c r="D98" t="inlineStr">
        <is>
          <t>CECILIA TSUYACO ARAKI SILVA LTDA</t>
        </is>
      </c>
      <c r="E98" t="inlineStr">
        <is>
          <t>398471</t>
        </is>
      </c>
      <c r="F98" s="525" t="n">
        <v>46262</v>
      </c>
      <c r="G98" t="n">
        <v>23095</v>
      </c>
      <c r="H98" t="inlineStr">
        <is>
          <t>OVO CAIPIRA UN</t>
        </is>
      </c>
      <c r="I98" t="inlineStr">
        <is>
          <t>ALIMENTOS</t>
        </is>
      </c>
      <c r="J98" t="n">
        <v>180</v>
      </c>
      <c r="K98" t="inlineStr">
        <is>
          <t>UN</t>
        </is>
      </c>
      <c r="L98" t="n">
        <v>156.6</v>
      </c>
      <c r="M98" t="n">
        <v>0.87</v>
      </c>
      <c r="O98" t="inlineStr">
        <is>
          <t>08/2026</t>
        </is>
      </c>
    </row>
    <row r="99">
      <c r="A99" t="n">
        <v>260929</v>
      </c>
      <c r="B99" t="n">
        <v>180</v>
      </c>
      <c r="C99" t="inlineStr">
        <is>
          <t>Nuv Gastrobar</t>
        </is>
      </c>
      <c r="D99" t="inlineStr">
        <is>
          <t xml:space="preserve">COMERCIAL IMPORTADORA E EXPORTADORA METAPUNTO LTDA </t>
        </is>
      </c>
      <c r="E99" t="inlineStr">
        <is>
          <t>47425</t>
        </is>
      </c>
      <c r="F99" s="525" t="n">
        <v>46266</v>
      </c>
      <c r="G99" t="n">
        <v>26187</v>
      </c>
      <c r="H99" t="inlineStr">
        <is>
          <t>CHOCOLATE EM GOTAS BRANCO SICAO 2,05KG UN</t>
        </is>
      </c>
      <c r="I99" t="inlineStr">
        <is>
          <t>ALIMENTOS</t>
        </is>
      </c>
      <c r="J99" t="n">
        <v>2</v>
      </c>
      <c r="K99" t="inlineStr">
        <is>
          <t>PC</t>
        </is>
      </c>
      <c r="L99" t="n">
        <v>399.98</v>
      </c>
      <c r="M99" t="n">
        <v>199.99</v>
      </c>
      <c r="O99" t="inlineStr">
        <is>
          <t>09/2026</t>
        </is>
      </c>
    </row>
    <row r="100">
      <c r="A100" t="n">
        <v>260929</v>
      </c>
      <c r="B100" t="n">
        <v>180</v>
      </c>
      <c r="C100" t="inlineStr">
        <is>
          <t>Nuv Gastrobar</t>
        </is>
      </c>
      <c r="D100" t="inlineStr">
        <is>
          <t xml:space="preserve">COMERCIAL IMPORTADORA E EXPORTADORA METAPUNTO LTDA </t>
        </is>
      </c>
      <c r="E100" t="inlineStr">
        <is>
          <t>47425</t>
        </is>
      </c>
      <c r="F100" s="525" t="n">
        <v>46266</v>
      </c>
      <c r="G100" t="n">
        <v>20941</v>
      </c>
      <c r="H100" t="inlineStr">
        <is>
          <t>CHOCOLATE EM GOTAS MEIO AMARGO SICAO C/2,05KG</t>
        </is>
      </c>
      <c r="I100" t="inlineStr">
        <is>
          <t>ALIMENTOS</t>
        </is>
      </c>
      <c r="J100" t="n">
        <v>4</v>
      </c>
      <c r="K100" t="inlineStr">
        <is>
          <t>PC</t>
        </is>
      </c>
      <c r="L100" t="n">
        <v>729.2</v>
      </c>
      <c r="M100" t="n">
        <v>182.3</v>
      </c>
      <c r="O100" t="inlineStr">
        <is>
          <t>09/2026</t>
        </is>
      </c>
    </row>
    <row r="101">
      <c r="A101" t="n">
        <v>260204</v>
      </c>
      <c r="B101" t="n">
        <v>180</v>
      </c>
      <c r="C101" t="inlineStr">
        <is>
          <t>Nuv Gastrobar</t>
        </is>
      </c>
      <c r="D101" t="inlineStr">
        <is>
          <t>TRAMONTINA SUDESTE S.A</t>
        </is>
      </c>
      <c r="E101" t="inlineStr">
        <is>
          <t>251205</t>
        </is>
      </c>
      <c r="F101" s="525" t="n">
        <v>46255</v>
      </c>
      <c r="G101" t="n">
        <v>28241</v>
      </c>
      <c r="H101" t="inlineStr">
        <is>
          <t>BOWL INOX 10L</t>
        </is>
      </c>
      <c r="I101" t="inlineStr">
        <is>
          <t>UTENSILIOS</t>
        </is>
      </c>
      <c r="J101" t="n">
        <v>2</v>
      </c>
      <c r="K101" t="inlineStr">
        <is>
          <t>UN</t>
        </is>
      </c>
      <c r="L101" t="n">
        <v>370.6</v>
      </c>
      <c r="M101" t="n">
        <v>185.3</v>
      </c>
      <c r="O101" t="inlineStr">
        <is>
          <t>08/2026</t>
        </is>
      </c>
    </row>
    <row r="102">
      <c r="A102" t="n">
        <v>260204</v>
      </c>
      <c r="B102" t="n">
        <v>180</v>
      </c>
      <c r="C102" t="inlineStr">
        <is>
          <t>Nuv Gastrobar</t>
        </is>
      </c>
      <c r="D102" t="inlineStr">
        <is>
          <t>TRAMONTINA SUDESTE S.A</t>
        </is>
      </c>
      <c r="E102" t="inlineStr">
        <is>
          <t>251205</t>
        </is>
      </c>
      <c r="F102" s="525" t="n">
        <v>46255</v>
      </c>
      <c r="G102" t="n">
        <v>30632</v>
      </c>
      <c r="H102" t="inlineStr">
        <is>
          <t>BOWL COM TAMPA TRANSPARENTE EM AÇO INOX COM CAPACIDADE DE 2,9L FREEZINOX UN</t>
        </is>
      </c>
      <c r="I102" t="inlineStr">
        <is>
          <t>UTENSILIOS</t>
        </is>
      </c>
      <c r="J102" t="n">
        <v>2</v>
      </c>
      <c r="K102" t="inlineStr">
        <is>
          <t>UN</t>
        </is>
      </c>
      <c r="L102" t="n">
        <v>231.5</v>
      </c>
      <c r="M102" t="n">
        <v>115.75</v>
      </c>
      <c r="O102" t="inlineStr">
        <is>
          <t>08/2026</t>
        </is>
      </c>
    </row>
    <row r="103">
      <c r="A103" t="n">
        <v>260204</v>
      </c>
      <c r="B103" t="n">
        <v>180</v>
      </c>
      <c r="C103" t="inlineStr">
        <is>
          <t>Nuv Gastrobar</t>
        </is>
      </c>
      <c r="D103" t="inlineStr">
        <is>
          <t>TRAMONTINA SUDESTE S.A</t>
        </is>
      </c>
      <c r="E103" t="inlineStr">
        <is>
          <t>251205</t>
        </is>
      </c>
      <c r="F103" s="525" t="n">
        <v>46255</v>
      </c>
      <c r="G103" t="n">
        <v>30628</v>
      </c>
      <c r="H103" t="inlineStr">
        <is>
          <t>BOWL COM TAMPA TRANSPARENTE EM AÇO INOX COM CAPACIDADE DE 300ML FREEZINOX UN</t>
        </is>
      </c>
      <c r="I103" t="inlineStr">
        <is>
          <t>UTENSILIOS</t>
        </is>
      </c>
      <c r="J103" t="n">
        <v>4</v>
      </c>
      <c r="K103" t="inlineStr">
        <is>
          <t>UN</t>
        </is>
      </c>
      <c r="L103" t="n">
        <v>168.52</v>
      </c>
      <c r="M103" t="n">
        <v>42.13</v>
      </c>
      <c r="O103" t="inlineStr">
        <is>
          <t>08/2026</t>
        </is>
      </c>
    </row>
    <row r="104">
      <c r="A104" t="n">
        <v>260204</v>
      </c>
      <c r="B104" t="n">
        <v>180</v>
      </c>
      <c r="C104" t="inlineStr">
        <is>
          <t>Nuv Gastrobar</t>
        </is>
      </c>
      <c r="D104" t="inlineStr">
        <is>
          <t>TRAMONTINA SUDESTE S.A</t>
        </is>
      </c>
      <c r="E104" t="inlineStr">
        <is>
          <t>251205</t>
        </is>
      </c>
      <c r="F104" s="525" t="n">
        <v>46255</v>
      </c>
      <c r="G104" t="n">
        <v>30629</v>
      </c>
      <c r="H104" t="inlineStr">
        <is>
          <t>BOWL COM TAMPA TRANSPARENTE EM AÇO INOX COM CAPACIDADE DE 800ML FREEZINOX UN</t>
        </is>
      </c>
      <c r="I104" t="inlineStr">
        <is>
          <t>UTENSILIOS</t>
        </is>
      </c>
      <c r="J104" t="n">
        <v>4</v>
      </c>
      <c r="K104" t="inlineStr">
        <is>
          <t>UN</t>
        </is>
      </c>
      <c r="L104" t="n">
        <v>187.12</v>
      </c>
      <c r="M104" t="n">
        <v>46.78</v>
      </c>
      <c r="O104" t="inlineStr">
        <is>
          <t>08/2026</t>
        </is>
      </c>
    </row>
    <row r="105">
      <c r="A105" t="n">
        <v>260204</v>
      </c>
      <c r="B105" t="n">
        <v>180</v>
      </c>
      <c r="C105" t="inlineStr">
        <is>
          <t>Nuv Gastrobar</t>
        </is>
      </c>
      <c r="D105" t="inlineStr">
        <is>
          <t>TRAMONTINA SUDESTE S.A</t>
        </is>
      </c>
      <c r="E105" t="inlineStr">
        <is>
          <t>251205</t>
        </is>
      </c>
      <c r="F105" s="525" t="n">
        <v>46255</v>
      </c>
      <c r="G105" t="n">
        <v>30631</v>
      </c>
      <c r="H105" t="inlineStr">
        <is>
          <t>BOWL COM TAMPA TRANSPARENTE EM AÇO INOX COM CAPACIDADE DE 2,2L FREEZINOX UN</t>
        </is>
      </c>
      <c r="I105" t="inlineStr">
        <is>
          <t>UTENSILIOS</t>
        </is>
      </c>
      <c r="J105" t="n">
        <v>2</v>
      </c>
      <c r="K105" t="inlineStr">
        <is>
          <t>UN</t>
        </is>
      </c>
      <c r="L105" t="n">
        <v>188.44</v>
      </c>
      <c r="M105" t="n">
        <v>94.22</v>
      </c>
      <c r="O105" t="inlineStr">
        <is>
          <t>08/2026</t>
        </is>
      </c>
    </row>
    <row r="106">
      <c r="A106" t="n">
        <v>260204</v>
      </c>
      <c r="B106" t="n">
        <v>180</v>
      </c>
      <c r="C106" t="inlineStr">
        <is>
          <t>Nuv Gastrobar</t>
        </is>
      </c>
      <c r="D106" t="inlineStr">
        <is>
          <t>TRAMONTINA SUDESTE S.A</t>
        </is>
      </c>
      <c r="E106" t="inlineStr">
        <is>
          <t>251205</t>
        </is>
      </c>
      <c r="F106" s="525" t="n">
        <v>46255</v>
      </c>
      <c r="G106" t="n">
        <v>30630</v>
      </c>
      <c r="H106" t="inlineStr">
        <is>
          <t>BOWL COM TAMPA TRANSPARENTE EM AÇO INOX COM CAPACIDADE DE 1,6L FREEZINOX UN</t>
        </is>
      </c>
      <c r="I106" t="inlineStr">
        <is>
          <t>UTENSILIOS</t>
        </is>
      </c>
      <c r="J106" t="n">
        <v>4</v>
      </c>
      <c r="K106" t="inlineStr">
        <is>
          <t>UN</t>
        </is>
      </c>
      <c r="L106" t="n">
        <v>316.76</v>
      </c>
      <c r="M106" t="n">
        <v>79.19</v>
      </c>
      <c r="O106" t="inlineStr">
        <is>
          <t>08/2026</t>
        </is>
      </c>
    </row>
    <row r="107">
      <c r="A107" t="n">
        <v>260204</v>
      </c>
      <c r="B107" t="n">
        <v>180</v>
      </c>
      <c r="C107" t="inlineStr">
        <is>
          <t>Nuv Gastrobar</t>
        </is>
      </c>
      <c r="D107" t="inlineStr">
        <is>
          <t>TRAMONTINA SUDESTE S.A</t>
        </is>
      </c>
      <c r="E107" t="inlineStr">
        <is>
          <t>251205</t>
        </is>
      </c>
      <c r="F107" s="525" t="n">
        <v>46255</v>
      </c>
      <c r="G107" t="n">
        <v>30634</v>
      </c>
      <c r="H107" t="inlineStr">
        <is>
          <t>BOWL COM TAMPA TRANSPARENTE EM AÇO INOX COM CAPACIDADE DE 5,8L FREEZINOX UN</t>
        </is>
      </c>
      <c r="I107" t="inlineStr">
        <is>
          <t>UTENSILIOS</t>
        </is>
      </c>
      <c r="J107" t="n">
        <v>2</v>
      </c>
      <c r="K107" t="inlineStr">
        <is>
          <t>UN</t>
        </is>
      </c>
      <c r="L107" t="n">
        <v>274.08</v>
      </c>
      <c r="M107" t="n">
        <v>137.04</v>
      </c>
      <c r="O107" t="inlineStr">
        <is>
          <t>08/2026</t>
        </is>
      </c>
    </row>
    <row r="108">
      <c r="A108" t="n">
        <v>260202</v>
      </c>
      <c r="B108" t="n">
        <v>180</v>
      </c>
      <c r="C108" t="inlineStr">
        <is>
          <t>Nuv Gastrobar</t>
        </is>
      </c>
      <c r="D108" t="inlineStr">
        <is>
          <t>CECILIA TSUYACO ARAKI SILVA LTDA</t>
        </is>
      </c>
      <c r="E108" t="inlineStr">
        <is>
          <t>398210</t>
        </is>
      </c>
      <c r="F108" s="525" t="n">
        <v>46259</v>
      </c>
      <c r="G108" t="n">
        <v>19654</v>
      </c>
      <c r="H108" t="inlineStr">
        <is>
          <t>ABOBRINHA ITALIANA GRAUDA KG</t>
        </is>
      </c>
      <c r="I108" t="inlineStr">
        <is>
          <t>ALIMENTOS</t>
        </is>
      </c>
      <c r="J108" t="n">
        <v>1</v>
      </c>
      <c r="K108" t="inlineStr">
        <is>
          <t>KG</t>
        </is>
      </c>
      <c r="L108" t="n">
        <v>3.1</v>
      </c>
      <c r="M108" t="n">
        <v>3.1</v>
      </c>
      <c r="O108" t="inlineStr">
        <is>
          <t>08/2026</t>
        </is>
      </c>
    </row>
    <row r="109">
      <c r="A109" t="n">
        <v>260202</v>
      </c>
      <c r="B109" t="n">
        <v>180</v>
      </c>
      <c r="C109" t="inlineStr">
        <is>
          <t>Nuv Gastrobar</t>
        </is>
      </c>
      <c r="D109" t="inlineStr">
        <is>
          <t>CECILIA TSUYACO ARAKI SILVA LTDA</t>
        </is>
      </c>
      <c r="E109" t="inlineStr">
        <is>
          <t>398210</t>
        </is>
      </c>
      <c r="F109" s="525" t="n">
        <v>46259</v>
      </c>
      <c r="G109" t="n">
        <v>19552</v>
      </c>
      <c r="H109" t="inlineStr">
        <is>
          <t>REPOLHO ROXO KG</t>
        </is>
      </c>
      <c r="I109" t="inlineStr">
        <is>
          <t>ALIMENTOS</t>
        </is>
      </c>
      <c r="J109" t="n">
        <v>1</v>
      </c>
      <c r="K109" t="inlineStr">
        <is>
          <t>KG</t>
        </is>
      </c>
      <c r="L109" t="n">
        <v>7.4</v>
      </c>
      <c r="M109" t="n">
        <v>7.4</v>
      </c>
      <c r="O109" t="inlineStr">
        <is>
          <t>08/2026</t>
        </is>
      </c>
    </row>
    <row r="110">
      <c r="A110" t="n">
        <v>260202</v>
      </c>
      <c r="B110" t="n">
        <v>180</v>
      </c>
      <c r="C110" t="inlineStr">
        <is>
          <t>Nuv Gastrobar</t>
        </is>
      </c>
      <c r="D110" t="inlineStr">
        <is>
          <t>CECILIA TSUYACO ARAKI SILVA LTDA</t>
        </is>
      </c>
      <c r="E110" t="inlineStr">
        <is>
          <t>398210</t>
        </is>
      </c>
      <c r="F110" s="525" t="n">
        <v>46259</v>
      </c>
      <c r="G110" t="n">
        <v>19617</v>
      </c>
      <c r="H110" t="inlineStr">
        <is>
          <t>COENTRO KG</t>
        </is>
      </c>
      <c r="I110" t="inlineStr">
        <is>
          <t>ALIMENTOS</t>
        </is>
      </c>
      <c r="J110" t="n">
        <v>0.5</v>
      </c>
      <c r="K110" t="inlineStr">
        <is>
          <t>KG</t>
        </is>
      </c>
      <c r="L110" t="n">
        <v>6.45</v>
      </c>
      <c r="M110" t="n">
        <v>12.9</v>
      </c>
      <c r="O110" t="inlineStr">
        <is>
          <t>08/2026</t>
        </is>
      </c>
    </row>
    <row r="111">
      <c r="A111" t="n">
        <v>260202</v>
      </c>
      <c r="B111" t="n">
        <v>180</v>
      </c>
      <c r="C111" t="inlineStr">
        <is>
          <t>Nuv Gastrobar</t>
        </is>
      </c>
      <c r="D111" t="inlineStr">
        <is>
          <t>CECILIA TSUYACO ARAKI SILVA LTDA</t>
        </is>
      </c>
      <c r="E111" t="inlineStr">
        <is>
          <t>398210</t>
        </is>
      </c>
      <c r="F111" s="525" t="n">
        <v>46259</v>
      </c>
      <c r="G111" t="n">
        <v>19488</v>
      </c>
      <c r="H111" t="inlineStr">
        <is>
          <t>CEBOLINHA KG</t>
        </is>
      </c>
      <c r="I111" t="inlineStr">
        <is>
          <t>ALIMENTOS</t>
        </is>
      </c>
      <c r="J111" t="n">
        <v>1</v>
      </c>
      <c r="K111" t="inlineStr">
        <is>
          <t>KG</t>
        </is>
      </c>
      <c r="L111" t="n">
        <v>14.8</v>
      </c>
      <c r="M111" t="n">
        <v>14.8</v>
      </c>
      <c r="O111" t="inlineStr">
        <is>
          <t>08/2026</t>
        </is>
      </c>
    </row>
    <row r="112">
      <c r="A112" t="n">
        <v>260202</v>
      </c>
      <c r="B112" t="n">
        <v>180</v>
      </c>
      <c r="C112" t="inlineStr">
        <is>
          <t>Nuv Gastrobar</t>
        </is>
      </c>
      <c r="D112" t="inlineStr">
        <is>
          <t>CECILIA TSUYACO ARAKI SILVA LTDA</t>
        </is>
      </c>
      <c r="E112" t="inlineStr">
        <is>
          <t>398210</t>
        </is>
      </c>
      <c r="F112" s="525" t="n">
        <v>46259</v>
      </c>
      <c r="G112" t="n">
        <v>23113</v>
      </c>
      <c r="H112" t="inlineStr">
        <is>
          <t>SALSA KG</t>
        </is>
      </c>
      <c r="I112" t="inlineStr">
        <is>
          <t>ALIMENTOS</t>
        </is>
      </c>
      <c r="J112" t="n">
        <v>1</v>
      </c>
      <c r="K112" t="inlineStr">
        <is>
          <t>KG</t>
        </is>
      </c>
      <c r="L112" t="n">
        <v>8.9</v>
      </c>
      <c r="M112" t="n">
        <v>8.9</v>
      </c>
      <c r="O112" t="inlineStr">
        <is>
          <t>08/2026</t>
        </is>
      </c>
    </row>
    <row r="113">
      <c r="A113" t="n">
        <v>260202</v>
      </c>
      <c r="B113" t="n">
        <v>180</v>
      </c>
      <c r="C113" t="inlineStr">
        <is>
          <t>Nuv Gastrobar</t>
        </is>
      </c>
      <c r="D113" t="inlineStr">
        <is>
          <t>CECILIA TSUYACO ARAKI SILVA LTDA</t>
        </is>
      </c>
      <c r="E113" t="inlineStr">
        <is>
          <t>398210</t>
        </is>
      </c>
      <c r="F113" s="525" t="n">
        <v>46259</v>
      </c>
      <c r="G113" t="n">
        <v>19506</v>
      </c>
      <c r="H113" t="inlineStr">
        <is>
          <t>ALECRIM KG</t>
        </is>
      </c>
      <c r="I113" t="inlineStr">
        <is>
          <t>ALIMENTOS</t>
        </is>
      </c>
      <c r="J113" t="n">
        <v>0.3</v>
      </c>
      <c r="K113" t="inlineStr">
        <is>
          <t>KG</t>
        </is>
      </c>
      <c r="L113" t="n">
        <v>18</v>
      </c>
      <c r="M113" t="n">
        <v>60</v>
      </c>
      <c r="O113" t="inlineStr">
        <is>
          <t>08/2026</t>
        </is>
      </c>
    </row>
    <row r="114">
      <c r="A114" t="n">
        <v>260202</v>
      </c>
      <c r="B114" t="n">
        <v>180</v>
      </c>
      <c r="C114" t="inlineStr">
        <is>
          <t>Nuv Gastrobar</t>
        </is>
      </c>
      <c r="D114" t="inlineStr">
        <is>
          <t>CECILIA TSUYACO ARAKI SILVA LTDA</t>
        </is>
      </c>
      <c r="E114" t="inlineStr">
        <is>
          <t>398210</t>
        </is>
      </c>
      <c r="F114" s="525" t="n">
        <v>46259</v>
      </c>
      <c r="G114" t="n">
        <v>19485</v>
      </c>
      <c r="H114" t="inlineStr">
        <is>
          <t>ENDRO DILL KG</t>
        </is>
      </c>
      <c r="I114" t="inlineStr">
        <is>
          <t>ALIMENTOS</t>
        </is>
      </c>
      <c r="J114" t="n">
        <v>0.2</v>
      </c>
      <c r="K114" t="inlineStr">
        <is>
          <t>KG</t>
        </is>
      </c>
      <c r="L114" t="n">
        <v>9.800000000000001</v>
      </c>
      <c r="M114" t="n">
        <v>49</v>
      </c>
      <c r="O114" t="inlineStr">
        <is>
          <t>08/2026</t>
        </is>
      </c>
    </row>
    <row r="115">
      <c r="A115" t="n">
        <v>260202</v>
      </c>
      <c r="B115" t="n">
        <v>180</v>
      </c>
      <c r="C115" t="inlineStr">
        <is>
          <t>Nuv Gastrobar</t>
        </is>
      </c>
      <c r="D115" t="inlineStr">
        <is>
          <t>CECILIA TSUYACO ARAKI SILVA LTDA</t>
        </is>
      </c>
      <c r="E115" t="inlineStr">
        <is>
          <t>398210</t>
        </is>
      </c>
      <c r="F115" s="525" t="n">
        <v>46259</v>
      </c>
      <c r="G115" t="n">
        <v>19682</v>
      </c>
      <c r="H115" t="inlineStr">
        <is>
          <t>MIRTILO KG</t>
        </is>
      </c>
      <c r="I115" t="inlineStr">
        <is>
          <t>ALIMENTOS</t>
        </is>
      </c>
      <c r="J115" t="n">
        <v>2</v>
      </c>
      <c r="K115" t="inlineStr">
        <is>
          <t>KG</t>
        </is>
      </c>
      <c r="L115" t="n">
        <v>200</v>
      </c>
      <c r="M115" t="n">
        <v>100</v>
      </c>
      <c r="O115" t="inlineStr">
        <is>
          <t>08/2026</t>
        </is>
      </c>
    </row>
    <row r="116">
      <c r="A116" t="n">
        <v>260201</v>
      </c>
      <c r="B116" t="n">
        <v>180</v>
      </c>
      <c r="C116" t="inlineStr">
        <is>
          <t>Nuv Gastrobar</t>
        </is>
      </c>
      <c r="D116" t="inlineStr">
        <is>
          <t>EMPORIO M&amp;L COMERCIO DE ALIM E BEBIDAS LTDA</t>
        </is>
      </c>
      <c r="E116" t="inlineStr">
        <is>
          <t>529649</t>
        </is>
      </c>
      <c r="F116" s="525" t="n">
        <v>46259</v>
      </c>
      <c r="G116" t="n">
        <v>20585</v>
      </c>
      <c r="H116" t="inlineStr">
        <is>
          <t>TOMATE SECO ARCOBELLO 2KG</t>
        </is>
      </c>
      <c r="I116" t="inlineStr">
        <is>
          <t>ALIMENTOS</t>
        </is>
      </c>
      <c r="J116" t="n">
        <v>1</v>
      </c>
      <c r="K116" t="inlineStr">
        <is>
          <t>UN</t>
        </is>
      </c>
      <c r="L116" t="n">
        <v>26.9</v>
      </c>
      <c r="M116" t="n">
        <v>26.9</v>
      </c>
      <c r="O116" t="inlineStr">
        <is>
          <t>08/2026</t>
        </is>
      </c>
    </row>
    <row r="117">
      <c r="A117" t="n">
        <v>260201</v>
      </c>
      <c r="B117" t="n">
        <v>180</v>
      </c>
      <c r="C117" t="inlineStr">
        <is>
          <t>Nuv Gastrobar</t>
        </is>
      </c>
      <c r="D117" t="inlineStr">
        <is>
          <t>EMPORIO M&amp;L COMERCIO DE ALIM E BEBIDAS LTDA</t>
        </is>
      </c>
      <c r="E117" t="inlineStr">
        <is>
          <t>529649</t>
        </is>
      </c>
      <c r="F117" s="525" t="n">
        <v>46259</v>
      </c>
      <c r="G117" t="n">
        <v>19710</v>
      </c>
      <c r="H117" t="inlineStr">
        <is>
          <t>UVA PASSA PRETA SEM SEMENTE C/1KG</t>
        </is>
      </c>
      <c r="I117" t="inlineStr">
        <is>
          <t>ALIMENTOS</t>
        </is>
      </c>
      <c r="J117" t="n">
        <v>2</v>
      </c>
      <c r="K117" t="inlineStr">
        <is>
          <t>Pc</t>
        </is>
      </c>
      <c r="L117" t="n">
        <v>33.8</v>
      </c>
      <c r="M117" t="n">
        <v>16.9</v>
      </c>
      <c r="O117" t="inlineStr">
        <is>
          <t>08/2026</t>
        </is>
      </c>
    </row>
    <row r="118">
      <c r="A118" t="n">
        <v>260201</v>
      </c>
      <c r="B118" t="n">
        <v>180</v>
      </c>
      <c r="C118" t="inlineStr">
        <is>
          <t>Nuv Gastrobar</t>
        </is>
      </c>
      <c r="D118" t="inlineStr">
        <is>
          <t>EMPORIO M&amp;L COMERCIO DE ALIM E BEBIDAS LTDA</t>
        </is>
      </c>
      <c r="E118" t="inlineStr">
        <is>
          <t>529649</t>
        </is>
      </c>
      <c r="F118" s="525" t="n">
        <v>46259</v>
      </c>
      <c r="G118" t="n">
        <v>21010</v>
      </c>
      <c r="H118" t="inlineStr">
        <is>
          <t>OLEO DE CANOLA SAUDE C/900ML UN</t>
        </is>
      </c>
      <c r="I118" t="inlineStr">
        <is>
          <t>ALIMENTOS</t>
        </is>
      </c>
      <c r="J118" t="n">
        <v>20</v>
      </c>
      <c r="K118" t="inlineStr">
        <is>
          <t>UN</t>
        </is>
      </c>
      <c r="L118" t="n">
        <v>235</v>
      </c>
      <c r="M118" t="n">
        <v>11.75</v>
      </c>
      <c r="O118" t="inlineStr">
        <is>
          <t>08/2026</t>
        </is>
      </c>
    </row>
    <row r="119">
      <c r="A119" t="n">
        <v>260201</v>
      </c>
      <c r="B119" t="n">
        <v>180</v>
      </c>
      <c r="C119" t="inlineStr">
        <is>
          <t>Nuv Gastrobar</t>
        </is>
      </c>
      <c r="D119" t="inlineStr">
        <is>
          <t>EMPORIO M&amp;L COMERCIO DE ALIM E BEBIDAS LTDA</t>
        </is>
      </c>
      <c r="E119" t="inlineStr">
        <is>
          <t>529649</t>
        </is>
      </c>
      <c r="F119" s="525" t="n">
        <v>46259</v>
      </c>
      <c r="G119" t="n">
        <v>20310</v>
      </c>
      <c r="H119" t="inlineStr">
        <is>
          <t>ARROZ ARBORIO LA PASTINA C/1KG</t>
        </is>
      </c>
      <c r="I119" t="inlineStr">
        <is>
          <t>ALIMENTOS</t>
        </is>
      </c>
      <c r="J119" t="n">
        <v>3</v>
      </c>
      <c r="K119" t="inlineStr">
        <is>
          <t>PC</t>
        </is>
      </c>
      <c r="L119" t="n">
        <v>62.85</v>
      </c>
      <c r="M119" t="n">
        <v>20.95</v>
      </c>
      <c r="O119" t="inlineStr">
        <is>
          <t>08/2026</t>
        </is>
      </c>
    </row>
    <row r="120">
      <c r="A120" t="n">
        <v>260201</v>
      </c>
      <c r="B120" t="n">
        <v>180</v>
      </c>
      <c r="C120" t="inlineStr">
        <is>
          <t>Nuv Gastrobar</t>
        </is>
      </c>
      <c r="D120" t="inlineStr">
        <is>
          <t>EMPORIO M&amp;L COMERCIO DE ALIM E BEBIDAS LTDA</t>
        </is>
      </c>
      <c r="E120" t="inlineStr">
        <is>
          <t>529649</t>
        </is>
      </c>
      <c r="F120" s="525" t="n">
        <v>46259</v>
      </c>
      <c r="G120" t="n">
        <v>19243</v>
      </c>
      <c r="H120" t="inlineStr">
        <is>
          <t>IOGURTE NATURAL VIGOR C/170G UN</t>
        </is>
      </c>
      <c r="I120" t="inlineStr">
        <is>
          <t>ALIMENTOS</t>
        </is>
      </c>
      <c r="J120" t="n">
        <v>4</v>
      </c>
      <c r="K120" t="inlineStr">
        <is>
          <t>Un</t>
        </is>
      </c>
      <c r="L120" t="n">
        <v>16.4</v>
      </c>
      <c r="M120" t="n">
        <v>4.1</v>
      </c>
      <c r="O120" t="inlineStr">
        <is>
          <t>08/2026</t>
        </is>
      </c>
    </row>
    <row r="121">
      <c r="A121" t="n">
        <v>260201</v>
      </c>
      <c r="B121" t="n">
        <v>180</v>
      </c>
      <c r="C121" t="inlineStr">
        <is>
          <t>Nuv Gastrobar</t>
        </is>
      </c>
      <c r="D121" t="inlineStr">
        <is>
          <t>EMPORIO M&amp;L COMERCIO DE ALIM E BEBIDAS LTDA</t>
        </is>
      </c>
      <c r="E121" t="inlineStr">
        <is>
          <t>529649</t>
        </is>
      </c>
      <c r="F121" s="525" t="n">
        <v>46259</v>
      </c>
      <c r="G121" t="n">
        <v>23826</v>
      </c>
      <c r="H121" t="inlineStr">
        <is>
          <t>BISCOITO DE MAIZENA NESTLE TOSTINES 200G</t>
        </is>
      </c>
      <c r="I121" t="inlineStr">
        <is>
          <t>ALIMENTOS</t>
        </is>
      </c>
      <c r="J121" t="n">
        <v>10</v>
      </c>
      <c r="K121" t="inlineStr">
        <is>
          <t>UN</t>
        </is>
      </c>
      <c r="L121" t="n">
        <v>36.8</v>
      </c>
      <c r="M121" t="n">
        <v>3.68</v>
      </c>
      <c r="O121" t="inlineStr">
        <is>
          <t>08/2026</t>
        </is>
      </c>
    </row>
    <row r="122">
      <c r="A122" t="n">
        <v>260201</v>
      </c>
      <c r="B122" t="n">
        <v>180</v>
      </c>
      <c r="C122" t="inlineStr">
        <is>
          <t>Nuv Gastrobar</t>
        </is>
      </c>
      <c r="D122" t="inlineStr">
        <is>
          <t>EMPORIO M&amp;L COMERCIO DE ALIM E BEBIDAS LTDA</t>
        </is>
      </c>
      <c r="E122" t="inlineStr">
        <is>
          <t>529649</t>
        </is>
      </c>
      <c r="F122" s="525" t="n">
        <v>46259</v>
      </c>
      <c r="G122" t="n">
        <v>20757</v>
      </c>
      <c r="H122" t="inlineStr">
        <is>
          <t>ALCAPARRA MEDIA DI SALERNO C/2KG</t>
        </is>
      </c>
      <c r="I122" t="inlineStr">
        <is>
          <t>ALIMENTOS</t>
        </is>
      </c>
      <c r="J122" t="n">
        <v>1</v>
      </c>
      <c r="K122" t="inlineStr">
        <is>
          <t>BD</t>
        </is>
      </c>
      <c r="L122" t="n">
        <v>78.90000000000001</v>
      </c>
      <c r="M122" t="n">
        <v>78.90000000000001</v>
      </c>
      <c r="O122" t="inlineStr">
        <is>
          <t>08/2026</t>
        </is>
      </c>
    </row>
    <row r="123">
      <c r="A123" t="n">
        <v>260201</v>
      </c>
      <c r="B123" t="n">
        <v>180</v>
      </c>
      <c r="C123" t="inlineStr">
        <is>
          <t>Nuv Gastrobar</t>
        </is>
      </c>
      <c r="D123" t="inlineStr">
        <is>
          <t>EMPORIO M&amp;L COMERCIO DE ALIM E BEBIDAS LTDA</t>
        </is>
      </c>
      <c r="E123" t="inlineStr">
        <is>
          <t>529649</t>
        </is>
      </c>
      <c r="F123" s="525" t="n">
        <v>46259</v>
      </c>
      <c r="G123" t="n">
        <v>20044</v>
      </c>
      <c r="H123" t="inlineStr">
        <is>
          <t>CHIMICHURRI KG</t>
        </is>
      </c>
      <c r="I123" t="inlineStr">
        <is>
          <t>ALIMENTOS</t>
        </is>
      </c>
      <c r="J123" t="n">
        <v>2</v>
      </c>
      <c r="K123" t="inlineStr">
        <is>
          <t>KG</t>
        </is>
      </c>
      <c r="L123" t="n">
        <v>41</v>
      </c>
      <c r="M123" t="n">
        <v>20.5</v>
      </c>
      <c r="O123" t="inlineStr">
        <is>
          <t>08/2026</t>
        </is>
      </c>
    </row>
    <row r="124">
      <c r="A124" t="n">
        <v>260200</v>
      </c>
      <c r="B124" t="n">
        <v>180</v>
      </c>
      <c r="C124" t="inlineStr">
        <is>
          <t>Nuv Gastrobar</t>
        </is>
      </c>
      <c r="D124" t="inlineStr">
        <is>
          <t>DO CHEF DISTRIBUIDORA DE ALIMENTOS LTDA</t>
        </is>
      </c>
      <c r="E124" t="inlineStr">
        <is>
          <t>4110</t>
        </is>
      </c>
      <c r="F124" s="525" t="n">
        <v>46259</v>
      </c>
      <c r="G124" t="n">
        <v>19752</v>
      </c>
      <c r="H124" t="inlineStr">
        <is>
          <t>LIMAO CRAVO KG</t>
        </is>
      </c>
      <c r="I124" t="inlineStr">
        <is>
          <t>ALIMENTOS</t>
        </is>
      </c>
      <c r="J124" t="n">
        <v>2</v>
      </c>
      <c r="K124" t="inlineStr">
        <is>
          <t>KG</t>
        </is>
      </c>
      <c r="L124" t="n">
        <v>16.9</v>
      </c>
      <c r="M124" t="n">
        <v>8.449999999999999</v>
      </c>
      <c r="O124" t="inlineStr">
        <is>
          <t>08/2026</t>
        </is>
      </c>
    </row>
    <row r="125">
      <c r="A125" t="n">
        <v>260200</v>
      </c>
      <c r="B125" t="n">
        <v>180</v>
      </c>
      <c r="C125" t="inlineStr">
        <is>
          <t>Nuv Gastrobar</t>
        </is>
      </c>
      <c r="D125" t="inlineStr">
        <is>
          <t>DO CHEF DISTRIBUIDORA DE ALIMENTOS LTDA</t>
        </is>
      </c>
      <c r="E125" t="inlineStr">
        <is>
          <t>4110</t>
        </is>
      </c>
      <c r="F125" s="525" t="n">
        <v>46259</v>
      </c>
      <c r="G125" t="n">
        <v>23346</v>
      </c>
      <c r="H125" t="inlineStr">
        <is>
          <t>MANGA PALMER KG</t>
        </is>
      </c>
      <c r="I125" t="inlineStr">
        <is>
          <t>ALIMENTOS</t>
        </is>
      </c>
      <c r="J125" t="n">
        <v>1.3</v>
      </c>
      <c r="K125" t="inlineStr">
        <is>
          <t>KG</t>
        </is>
      </c>
      <c r="L125" t="n">
        <v>11.32</v>
      </c>
      <c r="M125" t="n">
        <v>8.707692</v>
      </c>
      <c r="O125" t="inlineStr">
        <is>
          <t>08/2026</t>
        </is>
      </c>
    </row>
    <row r="126">
      <c r="A126" t="n">
        <v>260200</v>
      </c>
      <c r="B126" t="n">
        <v>180</v>
      </c>
      <c r="C126" t="inlineStr">
        <is>
          <t>Nuv Gastrobar</t>
        </is>
      </c>
      <c r="D126" t="inlineStr">
        <is>
          <t>DO CHEF DISTRIBUIDORA DE ALIMENTOS LTDA</t>
        </is>
      </c>
      <c r="E126" t="inlineStr">
        <is>
          <t>4110</t>
        </is>
      </c>
      <c r="F126" s="525" t="n">
        <v>46259</v>
      </c>
      <c r="G126" t="n">
        <v>19553</v>
      </c>
      <c r="H126" t="inlineStr">
        <is>
          <t>REPOLHO BRANCO KG</t>
        </is>
      </c>
      <c r="I126" t="inlineStr">
        <is>
          <t>ALIMENTOS</t>
        </is>
      </c>
      <c r="J126" t="n">
        <v>1</v>
      </c>
      <c r="K126" t="inlineStr">
        <is>
          <t>KG</t>
        </is>
      </c>
      <c r="L126" t="n">
        <v>3.97</v>
      </c>
      <c r="M126" t="n">
        <v>3.97</v>
      </c>
      <c r="O126" t="inlineStr">
        <is>
          <t>08/2026</t>
        </is>
      </c>
    </row>
    <row r="127">
      <c r="A127" t="n">
        <v>260200</v>
      </c>
      <c r="B127" t="n">
        <v>180</v>
      </c>
      <c r="C127" t="inlineStr">
        <is>
          <t>Nuv Gastrobar</t>
        </is>
      </c>
      <c r="D127" t="inlineStr">
        <is>
          <t>DO CHEF DISTRIBUIDORA DE ALIMENTOS LTDA</t>
        </is>
      </c>
      <c r="E127" t="inlineStr">
        <is>
          <t>4110</t>
        </is>
      </c>
      <c r="F127" s="525" t="n">
        <v>46259</v>
      </c>
      <c r="G127" t="n">
        <v>19621</v>
      </c>
      <c r="H127" t="inlineStr">
        <is>
          <t>CENOURA KG</t>
        </is>
      </c>
      <c r="I127" t="inlineStr">
        <is>
          <t>ALIMENTOS</t>
        </is>
      </c>
      <c r="J127" t="n">
        <v>6.3</v>
      </c>
      <c r="K127" t="inlineStr">
        <is>
          <t>KG</t>
        </is>
      </c>
      <c r="L127" t="n">
        <v>36.85</v>
      </c>
      <c r="M127" t="n">
        <v>5.849206</v>
      </c>
      <c r="O127" t="inlineStr">
        <is>
          <t>08/2026</t>
        </is>
      </c>
    </row>
    <row r="128">
      <c r="A128" t="n">
        <v>260200</v>
      </c>
      <c r="B128" t="n">
        <v>180</v>
      </c>
      <c r="C128" t="inlineStr">
        <is>
          <t>Nuv Gastrobar</t>
        </is>
      </c>
      <c r="D128" t="inlineStr">
        <is>
          <t>DO CHEF DISTRIBUIDORA DE ALIMENTOS LTDA</t>
        </is>
      </c>
      <c r="E128" t="inlineStr">
        <is>
          <t>4110</t>
        </is>
      </c>
      <c r="F128" s="525" t="n">
        <v>46259</v>
      </c>
      <c r="G128" t="n">
        <v>23335</v>
      </c>
      <c r="H128" t="inlineStr">
        <is>
          <t>MORANGO KG</t>
        </is>
      </c>
      <c r="I128" t="inlineStr">
        <is>
          <t>ALIMENTOS</t>
        </is>
      </c>
      <c r="J128" t="n">
        <v>1</v>
      </c>
      <c r="K128" t="inlineStr">
        <is>
          <t>KG</t>
        </is>
      </c>
      <c r="L128" t="n">
        <v>22.1</v>
      </c>
      <c r="M128" t="n">
        <v>22.1</v>
      </c>
      <c r="O128" t="inlineStr">
        <is>
          <t>08/2026</t>
        </is>
      </c>
    </row>
    <row r="129">
      <c r="A129" t="n">
        <v>260200</v>
      </c>
      <c r="B129" t="n">
        <v>180</v>
      </c>
      <c r="C129" t="inlineStr">
        <is>
          <t>Nuv Gastrobar</t>
        </is>
      </c>
      <c r="D129" t="inlineStr">
        <is>
          <t>DO CHEF DISTRIBUIDORA DE ALIMENTOS LTDA</t>
        </is>
      </c>
      <c r="E129" t="inlineStr">
        <is>
          <t>4110</t>
        </is>
      </c>
      <c r="F129" s="525" t="n">
        <v>46259</v>
      </c>
      <c r="G129" t="n">
        <v>19623</v>
      </c>
      <c r="H129" t="inlineStr">
        <is>
          <t>CEBOLA ROXA KG</t>
        </is>
      </c>
      <c r="I129" t="inlineStr">
        <is>
          <t>ALIMENTOS</t>
        </is>
      </c>
      <c r="J129" t="n">
        <v>2</v>
      </c>
      <c r="K129" t="inlineStr">
        <is>
          <t>KG</t>
        </is>
      </c>
      <c r="L129" t="n">
        <v>12.3</v>
      </c>
      <c r="M129" t="n">
        <v>6.15</v>
      </c>
      <c r="O129" t="inlineStr">
        <is>
          <t>08/2026</t>
        </is>
      </c>
    </row>
    <row r="130">
      <c r="A130" t="n">
        <v>260200</v>
      </c>
      <c r="B130" t="n">
        <v>180</v>
      </c>
      <c r="C130" t="inlineStr">
        <is>
          <t>Nuv Gastrobar</t>
        </is>
      </c>
      <c r="D130" t="inlineStr">
        <is>
          <t>DO CHEF DISTRIBUIDORA DE ALIMENTOS LTDA</t>
        </is>
      </c>
      <c r="E130" t="inlineStr">
        <is>
          <t>4110</t>
        </is>
      </c>
      <c r="F130" s="525" t="n">
        <v>46259</v>
      </c>
      <c r="G130" t="n">
        <v>19547</v>
      </c>
      <c r="H130" t="inlineStr">
        <is>
          <t>TOMATE CARMEN KG</t>
        </is>
      </c>
      <c r="I130" t="inlineStr">
        <is>
          <t>ALIMENTOS</t>
        </is>
      </c>
      <c r="J130" t="n">
        <v>5</v>
      </c>
      <c r="K130" t="inlineStr">
        <is>
          <t>KG</t>
        </is>
      </c>
      <c r="L130" t="n">
        <v>35.75</v>
      </c>
      <c r="M130" t="n">
        <v>7.15</v>
      </c>
      <c r="O130" t="inlineStr">
        <is>
          <t>08/2026</t>
        </is>
      </c>
    </row>
    <row r="131">
      <c r="A131" t="n">
        <v>260199</v>
      </c>
      <c r="B131" t="n">
        <v>180</v>
      </c>
      <c r="C131" t="inlineStr">
        <is>
          <t>Nuv Gastrobar</t>
        </is>
      </c>
      <c r="D131" t="inlineStr">
        <is>
          <t>TERRA BRASIL HORTI FRUTI LTDA</t>
        </is>
      </c>
      <c r="E131" t="inlineStr">
        <is>
          <t>1576815</t>
        </is>
      </c>
      <c r="F131" s="525" t="n">
        <v>46259</v>
      </c>
      <c r="G131" t="n">
        <v>26445</v>
      </c>
      <c r="H131" t="inlineStr">
        <is>
          <t>RUCULA SELVAGEM HIGIENIZADA KG</t>
        </is>
      </c>
      <c r="I131" t="inlineStr">
        <is>
          <t>ALIMENTOS</t>
        </is>
      </c>
      <c r="J131" t="n">
        <v>2</v>
      </c>
      <c r="K131" t="inlineStr">
        <is>
          <t>KG</t>
        </is>
      </c>
      <c r="L131" t="n">
        <v>101.8</v>
      </c>
      <c r="M131" t="n">
        <v>50.9</v>
      </c>
      <c r="O131" t="inlineStr">
        <is>
          <t>08/2026</t>
        </is>
      </c>
    </row>
    <row r="132">
      <c r="A132" t="n">
        <v>260199</v>
      </c>
      <c r="B132" t="n">
        <v>180</v>
      </c>
      <c r="C132" t="inlineStr">
        <is>
          <t>Nuv Gastrobar</t>
        </is>
      </c>
      <c r="D132" t="inlineStr">
        <is>
          <t>TERRA BRASIL HORTI FRUTI LTDA</t>
        </is>
      </c>
      <c r="E132" t="inlineStr">
        <is>
          <t>1576815</t>
        </is>
      </c>
      <c r="F132" s="525" t="n">
        <v>46259</v>
      </c>
      <c r="G132" t="n">
        <v>19457</v>
      </c>
      <c r="H132" t="inlineStr">
        <is>
          <t>ALFACE AMERICANA HIGIENIZADO KG</t>
        </is>
      </c>
      <c r="I132" t="inlineStr">
        <is>
          <t>ALIMENTOS</t>
        </is>
      </c>
      <c r="J132" t="n">
        <v>1</v>
      </c>
      <c r="K132" t="inlineStr">
        <is>
          <t>KG</t>
        </is>
      </c>
      <c r="L132" t="n">
        <v>25.39</v>
      </c>
      <c r="M132" t="n">
        <v>25.39</v>
      </c>
      <c r="O132" t="inlineStr">
        <is>
          <t>08/2026</t>
        </is>
      </c>
    </row>
    <row r="133">
      <c r="A133" t="n">
        <v>260198</v>
      </c>
      <c r="B133" t="n">
        <v>180</v>
      </c>
      <c r="C133" t="inlineStr">
        <is>
          <t>Nuv Gastrobar</t>
        </is>
      </c>
      <c r="D133" t="inlineStr">
        <is>
          <t xml:space="preserve">FORTE ALIMENTOS COM. IMPORTAÇÃO LTDA </t>
        </is>
      </c>
      <c r="E133" t="inlineStr">
        <is>
          <t>391399</t>
        </is>
      </c>
      <c r="F133" s="525" t="n">
        <v>46259</v>
      </c>
      <c r="G133" t="n">
        <v>19324</v>
      </c>
      <c r="H133" t="inlineStr">
        <is>
          <t>QUEIJO MUSSARELA TRES MARIAS KG</t>
        </is>
      </c>
      <c r="I133" t="inlineStr">
        <is>
          <t>ALIMENTOS</t>
        </is>
      </c>
      <c r="J133" t="n">
        <v>8</v>
      </c>
      <c r="K133" t="inlineStr">
        <is>
          <t>KG</t>
        </is>
      </c>
      <c r="L133" t="n">
        <v>347.76</v>
      </c>
      <c r="M133" t="n">
        <v>43.47</v>
      </c>
      <c r="O133" t="inlineStr">
        <is>
          <t>08/2026</t>
        </is>
      </c>
    </row>
    <row r="134">
      <c r="A134" t="n">
        <v>260198</v>
      </c>
      <c r="B134" t="n">
        <v>180</v>
      </c>
      <c r="C134" t="inlineStr">
        <is>
          <t>Nuv Gastrobar</t>
        </is>
      </c>
      <c r="D134" t="inlineStr">
        <is>
          <t xml:space="preserve">FORTE ALIMENTOS COM. IMPORTAÇÃO LTDA </t>
        </is>
      </c>
      <c r="E134" t="inlineStr">
        <is>
          <t>391399</t>
        </is>
      </c>
      <c r="F134" s="525" t="n">
        <v>46259</v>
      </c>
      <c r="G134" t="n">
        <v>20489</v>
      </c>
      <c r="H134" t="inlineStr">
        <is>
          <t>PRESUNTO COZIDO MAGRO SEARA KG</t>
        </is>
      </c>
      <c r="I134" t="inlineStr">
        <is>
          <t>ALIMENTOS</t>
        </is>
      </c>
      <c r="J134" t="n">
        <v>7</v>
      </c>
      <c r="K134" t="inlineStr">
        <is>
          <t>KG</t>
        </is>
      </c>
      <c r="L134" t="n">
        <v>157.5</v>
      </c>
      <c r="M134" t="n">
        <v>22.5</v>
      </c>
      <c r="O134" t="inlineStr">
        <is>
          <t>08/2026</t>
        </is>
      </c>
    </row>
    <row r="135">
      <c r="A135" t="n">
        <v>260184</v>
      </c>
      <c r="B135" t="n">
        <v>180</v>
      </c>
      <c r="C135" t="inlineStr">
        <is>
          <t>Nuv Gastrobar</t>
        </is>
      </c>
      <c r="D135" t="inlineStr">
        <is>
          <t>MURILLO S DUARTE COMERCIAL LTDA</t>
        </is>
      </c>
      <c r="E135" t="inlineStr">
        <is>
          <t>2760</t>
        </is>
      </c>
      <c r="F135" s="525" t="n">
        <v>46259</v>
      </c>
      <c r="G135" t="n">
        <v>20666</v>
      </c>
      <c r="H135" t="inlineStr">
        <is>
          <t>FILE DE ANCHOVA EM CONSERVA DI SALERNO 500G</t>
        </is>
      </c>
      <c r="I135" t="inlineStr">
        <is>
          <t>ALIMENTOS</t>
        </is>
      </c>
      <c r="J135" t="n">
        <v>1</v>
      </c>
      <c r="K135" t="inlineStr">
        <is>
          <t>UN</t>
        </is>
      </c>
      <c r="L135" t="n">
        <v>236.85</v>
      </c>
      <c r="M135" t="n">
        <v>236.85</v>
      </c>
      <c r="O135" t="inlineStr">
        <is>
          <t>08/2026</t>
        </is>
      </c>
    </row>
    <row r="136">
      <c r="A136" t="n">
        <v>260184</v>
      </c>
      <c r="B136" t="n">
        <v>180</v>
      </c>
      <c r="C136" t="inlineStr">
        <is>
          <t>Nuv Gastrobar</t>
        </is>
      </c>
      <c r="D136" t="inlineStr">
        <is>
          <t>MURILLO S DUARTE COMERCIAL LTDA</t>
        </is>
      </c>
      <c r="E136" t="inlineStr">
        <is>
          <t>2760</t>
        </is>
      </c>
      <c r="F136" s="525" t="n">
        <v>46259</v>
      </c>
      <c r="G136" t="n">
        <v>20190</v>
      </c>
      <c r="H136" t="inlineStr">
        <is>
          <t>AMENDOIM CRU S/ SAL S/ PELE 1KG</t>
        </is>
      </c>
      <c r="I136" t="inlineStr">
        <is>
          <t>ALIMENTOS</t>
        </is>
      </c>
      <c r="J136" t="n">
        <v>1</v>
      </c>
      <c r="K136" t="inlineStr">
        <is>
          <t>UN</t>
        </is>
      </c>
      <c r="L136" t="n">
        <v>16.9</v>
      </c>
      <c r="M136" t="n">
        <v>16.9</v>
      </c>
      <c r="O136" t="inlineStr">
        <is>
          <t>08/2026</t>
        </is>
      </c>
    </row>
    <row r="137">
      <c r="A137" t="n">
        <v>260184</v>
      </c>
      <c r="B137" t="n">
        <v>180</v>
      </c>
      <c r="C137" t="inlineStr">
        <is>
          <t>Nuv Gastrobar</t>
        </is>
      </c>
      <c r="D137" t="inlineStr">
        <is>
          <t>MURILLO S DUARTE COMERCIAL LTDA</t>
        </is>
      </c>
      <c r="E137" t="inlineStr">
        <is>
          <t>2760</t>
        </is>
      </c>
      <c r="F137" s="525" t="n">
        <v>46259</v>
      </c>
      <c r="G137" t="n">
        <v>23229</v>
      </c>
      <c r="H137" t="inlineStr">
        <is>
          <t>CHIPS DE MANDIOCA KG</t>
        </is>
      </c>
      <c r="I137" t="inlineStr">
        <is>
          <t>ALIMENTOS</t>
        </is>
      </c>
      <c r="J137" t="n">
        <v>1</v>
      </c>
      <c r="K137" t="inlineStr">
        <is>
          <t>KG</t>
        </is>
      </c>
      <c r="L137" t="n">
        <v>127</v>
      </c>
      <c r="M137" t="n">
        <v>127</v>
      </c>
      <c r="O137" t="inlineStr">
        <is>
          <t>08/2026</t>
        </is>
      </c>
    </row>
    <row r="138">
      <c r="A138" t="n">
        <v>260182</v>
      </c>
      <c r="B138" t="n">
        <v>180</v>
      </c>
      <c r="C138" t="inlineStr">
        <is>
          <t>Nuv Gastrobar</t>
        </is>
      </c>
      <c r="D138" t="inlineStr">
        <is>
          <t>DISTRIBUIDORA E IMPORTADORA IRMAOS AVELINO LTDA</t>
        </is>
      </c>
      <c r="E138" t="inlineStr">
        <is>
          <t>509743</t>
        </is>
      </c>
      <c r="F138" s="525" t="n">
        <v>46259</v>
      </c>
      <c r="G138" t="n">
        <v>20242</v>
      </c>
      <c r="H138" t="inlineStr">
        <is>
          <t>FEIJAO CARIOCA CAMIL C/2KG</t>
        </is>
      </c>
      <c r="I138" t="inlineStr">
        <is>
          <t>ALIMENTOS</t>
        </is>
      </c>
      <c r="J138" t="n">
        <v>10</v>
      </c>
      <c r="K138" t="inlineStr">
        <is>
          <t>PC</t>
        </is>
      </c>
      <c r="L138" t="n">
        <v>180</v>
      </c>
      <c r="M138" t="n">
        <v>18</v>
      </c>
      <c r="O138" t="inlineStr">
        <is>
          <t>08/2026</t>
        </is>
      </c>
    </row>
    <row r="139">
      <c r="A139" t="n">
        <v>260182</v>
      </c>
      <c r="B139" t="n">
        <v>180</v>
      </c>
      <c r="C139" t="inlineStr">
        <is>
          <t>Nuv Gastrobar</t>
        </is>
      </c>
      <c r="D139" t="inlineStr">
        <is>
          <t>DISTRIBUIDORA E IMPORTADORA IRMAOS AVELINO LTDA</t>
        </is>
      </c>
      <c r="E139" t="inlineStr">
        <is>
          <t>509743</t>
        </is>
      </c>
      <c r="F139" s="525" t="n">
        <v>46259</v>
      </c>
      <c r="G139" t="n">
        <v>19439</v>
      </c>
      <c r="H139" t="inlineStr">
        <is>
          <t>CREAM CHEESE DANUBIO C/1KG</t>
        </is>
      </c>
      <c r="I139" t="inlineStr">
        <is>
          <t>ALIMENTOS</t>
        </is>
      </c>
      <c r="J139" t="n">
        <v>6</v>
      </c>
      <c r="K139" t="inlineStr">
        <is>
          <t>PC</t>
        </is>
      </c>
      <c r="L139" t="n">
        <v>167.4</v>
      </c>
      <c r="M139" t="n">
        <v>27.9</v>
      </c>
      <c r="O139" t="inlineStr">
        <is>
          <t>08/2026</t>
        </is>
      </c>
    </row>
    <row r="140">
      <c r="A140" t="n">
        <v>260182</v>
      </c>
      <c r="B140" t="n">
        <v>180</v>
      </c>
      <c r="C140" t="inlineStr">
        <is>
          <t>Nuv Gastrobar</t>
        </is>
      </c>
      <c r="D140" t="inlineStr">
        <is>
          <t>DISTRIBUIDORA E IMPORTADORA IRMAOS AVELINO LTDA</t>
        </is>
      </c>
      <c r="E140" t="inlineStr">
        <is>
          <t>509743</t>
        </is>
      </c>
      <c r="F140" s="525" t="n">
        <v>46259</v>
      </c>
      <c r="G140" t="n">
        <v>19286</v>
      </c>
      <c r="H140" t="inlineStr">
        <is>
          <t>QUEIJO PRATO TIROLEZ KG</t>
        </is>
      </c>
      <c r="I140" t="inlineStr">
        <is>
          <t>ALIMENTOS</t>
        </is>
      </c>
      <c r="J140" t="n">
        <v>4</v>
      </c>
      <c r="K140" t="inlineStr">
        <is>
          <t>KG</t>
        </is>
      </c>
      <c r="L140" t="n">
        <v>150</v>
      </c>
      <c r="M140" t="n">
        <v>37.5</v>
      </c>
      <c r="O140" t="inlineStr">
        <is>
          <t>08/2026</t>
        </is>
      </c>
    </row>
    <row r="141">
      <c r="A141" t="n">
        <v>260182</v>
      </c>
      <c r="B141" t="n">
        <v>180</v>
      </c>
      <c r="C141" t="inlineStr">
        <is>
          <t>Nuv Gastrobar</t>
        </is>
      </c>
      <c r="D141" t="inlineStr">
        <is>
          <t>DISTRIBUIDORA E IMPORTADORA IRMAOS AVELINO LTDA</t>
        </is>
      </c>
      <c r="E141" t="inlineStr">
        <is>
          <t>509743</t>
        </is>
      </c>
      <c r="F141" s="525" t="n">
        <v>46259</v>
      </c>
      <c r="G141" t="n">
        <v>19940</v>
      </c>
      <c r="H141" t="inlineStr">
        <is>
          <t>NOZ MOSCADA EM PO KG</t>
        </is>
      </c>
      <c r="I141" t="inlineStr">
        <is>
          <t>ALIMENTOS</t>
        </is>
      </c>
      <c r="J141" t="n">
        <v>0.5</v>
      </c>
      <c r="K141" t="inlineStr">
        <is>
          <t>KG</t>
        </is>
      </c>
      <c r="L141" t="n">
        <v>10.56</v>
      </c>
      <c r="M141" t="n">
        <v>21.12</v>
      </c>
      <c r="O141" t="inlineStr">
        <is>
          <t>08/2026</t>
        </is>
      </c>
    </row>
    <row r="142">
      <c r="A142" t="n">
        <v>260182</v>
      </c>
      <c r="B142" t="n">
        <v>180</v>
      </c>
      <c r="C142" t="inlineStr">
        <is>
          <t>Nuv Gastrobar</t>
        </is>
      </c>
      <c r="D142" t="inlineStr">
        <is>
          <t>DISTRIBUIDORA E IMPORTADORA IRMAOS AVELINO LTDA</t>
        </is>
      </c>
      <c r="E142" t="inlineStr">
        <is>
          <t>509743</t>
        </is>
      </c>
      <c r="F142" s="525" t="n">
        <v>46259</v>
      </c>
      <c r="G142" t="n">
        <v>28819</v>
      </c>
      <c r="H142" t="inlineStr">
        <is>
          <t>PAO DE FORMA TRADICIONAL VISCONTI 400G CX C/10UN</t>
        </is>
      </c>
      <c r="I142" t="inlineStr">
        <is>
          <t>ALIMENTOS</t>
        </is>
      </c>
      <c r="J142" t="n">
        <v>3</v>
      </c>
      <c r="K142" t="inlineStr">
        <is>
          <t>CX</t>
        </is>
      </c>
      <c r="L142" t="n">
        <v>119.97</v>
      </c>
      <c r="M142" t="n">
        <v>39.99</v>
      </c>
      <c r="O142" t="inlineStr">
        <is>
          <t>08/2026</t>
        </is>
      </c>
    </row>
    <row r="143">
      <c r="A143" t="n">
        <v>260182</v>
      </c>
      <c r="B143" t="n">
        <v>180</v>
      </c>
      <c r="C143" t="inlineStr">
        <is>
          <t>Nuv Gastrobar</t>
        </is>
      </c>
      <c r="D143" t="inlineStr">
        <is>
          <t>DISTRIBUIDORA E IMPORTADORA IRMAOS AVELINO LTDA</t>
        </is>
      </c>
      <c r="E143" t="inlineStr">
        <is>
          <t>509743</t>
        </is>
      </c>
      <c r="F143" s="525" t="n">
        <v>46259</v>
      </c>
      <c r="G143" t="n">
        <v>25312</v>
      </c>
      <c r="H143" t="inlineStr">
        <is>
          <t xml:space="preserve">QUEIJO  REQUEIJAO TIROLEZ C/1,5KG </t>
        </is>
      </c>
      <c r="I143" t="inlineStr">
        <is>
          <t>ALIMENTOS</t>
        </is>
      </c>
      <c r="J143" t="n">
        <v>2</v>
      </c>
      <c r="K143" t="inlineStr">
        <is>
          <t>PC</t>
        </is>
      </c>
      <c r="L143" t="n">
        <v>89.98</v>
      </c>
      <c r="M143" t="n">
        <v>44.99</v>
      </c>
      <c r="O143" t="inlineStr">
        <is>
          <t>08/2026</t>
        </is>
      </c>
    </row>
    <row r="144">
      <c r="A144" t="n">
        <v>260179</v>
      </c>
      <c r="B144" t="n">
        <v>180</v>
      </c>
      <c r="C144" t="inlineStr">
        <is>
          <t>Nuv Gastrobar</t>
        </is>
      </c>
      <c r="D144" t="inlineStr">
        <is>
          <t>AROUMAR DISTRIBUIDORA DE PRODUTOS ALIMENTICIOS LTDA</t>
        </is>
      </c>
      <c r="E144" t="inlineStr">
        <is>
          <t>1080273</t>
        </is>
      </c>
      <c r="F144" s="525" t="n">
        <v>46259</v>
      </c>
      <c r="G144" t="n">
        <v>21017</v>
      </c>
      <c r="H144" t="inlineStr">
        <is>
          <t>OLEO DE ALGODAO SAUDE C/14,5KG</t>
        </is>
      </c>
      <c r="I144" t="inlineStr">
        <is>
          <t>ALIMENTOS</t>
        </is>
      </c>
      <c r="J144" t="n">
        <v>2</v>
      </c>
      <c r="K144" t="inlineStr">
        <is>
          <t>N/A</t>
        </is>
      </c>
      <c r="L144" t="n">
        <v>317.8</v>
      </c>
      <c r="M144" t="n">
        <v>158.9</v>
      </c>
      <c r="O144" t="inlineStr">
        <is>
          <t>08/2026</t>
        </is>
      </c>
    </row>
    <row r="145">
      <c r="A145" t="n">
        <v>260179</v>
      </c>
      <c r="B145" t="n">
        <v>180</v>
      </c>
      <c r="C145" t="inlineStr">
        <is>
          <t>Nuv Gastrobar</t>
        </is>
      </c>
      <c r="D145" t="inlineStr">
        <is>
          <t>AROUMAR DISTRIBUIDORA DE PRODUTOS ALIMENTICIOS LTDA</t>
        </is>
      </c>
      <c r="E145" t="inlineStr">
        <is>
          <t>1080273</t>
        </is>
      </c>
      <c r="F145" s="525" t="n">
        <v>46259</v>
      </c>
      <c r="G145" t="n">
        <v>20301</v>
      </c>
      <c r="H145" t="inlineStr">
        <is>
          <t>ARROZ BRANCO TIPO 1 CAMIL C/5KG</t>
        </is>
      </c>
      <c r="I145" t="inlineStr">
        <is>
          <t>ALIMENTOS</t>
        </is>
      </c>
      <c r="J145" t="n">
        <v>6</v>
      </c>
      <c r="K145" t="inlineStr">
        <is>
          <t>PC</t>
        </is>
      </c>
      <c r="L145" t="n">
        <v>121.5</v>
      </c>
      <c r="M145" t="n">
        <v>20.25</v>
      </c>
      <c r="O145" t="inlineStr">
        <is>
          <t>08/2026</t>
        </is>
      </c>
    </row>
    <row r="146">
      <c r="A146" t="n">
        <v>260177</v>
      </c>
      <c r="B146" t="n">
        <v>180</v>
      </c>
      <c r="C146" t="inlineStr">
        <is>
          <t>Nuv Gastrobar</t>
        </is>
      </c>
      <c r="D146" t="inlineStr">
        <is>
          <t>DO CHEF DISTRIBUIDORA DE ALIMENTOS LTDA</t>
        </is>
      </c>
      <c r="E146" t="inlineStr">
        <is>
          <t>4074</t>
        </is>
      </c>
      <c r="F146" s="525" t="n">
        <v>46258</v>
      </c>
      <c r="G146" t="n">
        <v>27518</v>
      </c>
      <c r="H146" t="inlineStr">
        <is>
          <t xml:space="preserve">SHISSO C/10 UN </t>
        </is>
      </c>
      <c r="I146" t="inlineStr">
        <is>
          <t>ALIMENTOS</t>
        </is>
      </c>
      <c r="J146" t="n">
        <v>1</v>
      </c>
      <c r="K146" t="inlineStr">
        <is>
          <t>PC</t>
        </is>
      </c>
      <c r="L146" t="n">
        <v>12</v>
      </c>
      <c r="M146" t="n">
        <v>12</v>
      </c>
      <c r="O146" t="inlineStr">
        <is>
          <t>08/2026</t>
        </is>
      </c>
    </row>
    <row r="147">
      <c r="A147" t="n">
        <v>260177</v>
      </c>
      <c r="B147" t="n">
        <v>180</v>
      </c>
      <c r="C147" t="inlineStr">
        <is>
          <t>Nuv Gastrobar</t>
        </is>
      </c>
      <c r="D147" t="inlineStr">
        <is>
          <t>DO CHEF DISTRIBUIDORA DE ALIMENTOS LTDA</t>
        </is>
      </c>
      <c r="E147" t="inlineStr">
        <is>
          <t>4074</t>
        </is>
      </c>
      <c r="F147" s="525" t="n">
        <v>46258</v>
      </c>
      <c r="G147" t="n">
        <v>23335</v>
      </c>
      <c r="H147" t="inlineStr">
        <is>
          <t>MORANGO KG</t>
        </is>
      </c>
      <c r="I147" t="inlineStr">
        <is>
          <t>ALIMENTOS</t>
        </is>
      </c>
      <c r="J147" t="n">
        <v>2</v>
      </c>
      <c r="K147" t="inlineStr">
        <is>
          <t>KG</t>
        </is>
      </c>
      <c r="L147" t="n">
        <v>44.2</v>
      </c>
      <c r="M147" t="n">
        <v>22.1</v>
      </c>
      <c r="O147" t="inlineStr">
        <is>
          <t>08/2026</t>
        </is>
      </c>
    </row>
    <row r="148">
      <c r="A148" t="n">
        <v>260177</v>
      </c>
      <c r="B148" t="n">
        <v>180</v>
      </c>
      <c r="C148" t="inlineStr">
        <is>
          <t>Nuv Gastrobar</t>
        </is>
      </c>
      <c r="D148" t="inlineStr">
        <is>
          <t>DO CHEF DISTRIBUIDORA DE ALIMENTOS LTDA</t>
        </is>
      </c>
      <c r="E148" t="inlineStr">
        <is>
          <t>4074</t>
        </is>
      </c>
      <c r="F148" s="525" t="n">
        <v>46258</v>
      </c>
      <c r="G148" t="n">
        <v>23361</v>
      </c>
      <c r="H148" t="inlineStr">
        <is>
          <t>LARANJA PERA KG</t>
        </is>
      </c>
      <c r="I148" t="inlineStr">
        <is>
          <t>ALIMENTOS</t>
        </is>
      </c>
      <c r="J148" t="n">
        <v>20</v>
      </c>
      <c r="K148" t="inlineStr">
        <is>
          <t>KG</t>
        </is>
      </c>
      <c r="L148" t="n">
        <v>49.8</v>
      </c>
      <c r="M148" t="n">
        <v>2.49</v>
      </c>
      <c r="O148" t="inlineStr">
        <is>
          <t>08/2026</t>
        </is>
      </c>
    </row>
    <row r="149">
      <c r="A149" t="n">
        <v>260177</v>
      </c>
      <c r="B149" t="n">
        <v>180</v>
      </c>
      <c r="C149" t="inlineStr">
        <is>
          <t>Nuv Gastrobar</t>
        </is>
      </c>
      <c r="D149" t="inlineStr">
        <is>
          <t>DO CHEF DISTRIBUIDORA DE ALIMENTOS LTDA</t>
        </is>
      </c>
      <c r="E149" t="inlineStr">
        <is>
          <t>4074</t>
        </is>
      </c>
      <c r="F149" s="525" t="n">
        <v>46258</v>
      </c>
      <c r="G149" t="n">
        <v>24687</v>
      </c>
      <c r="H149" t="inlineStr">
        <is>
          <t>MIRTILO CONGELADO KG</t>
        </is>
      </c>
      <c r="I149" t="inlineStr">
        <is>
          <t>ALIMENTOS</t>
        </is>
      </c>
      <c r="J149" t="n">
        <v>5</v>
      </c>
      <c r="K149" t="inlineStr">
        <is>
          <t>KG</t>
        </is>
      </c>
      <c r="L149" t="n">
        <v>240</v>
      </c>
      <c r="M149" t="n">
        <v>48</v>
      </c>
      <c r="O149" t="inlineStr">
        <is>
          <t>08/2026</t>
        </is>
      </c>
    </row>
    <row r="150">
      <c r="A150" t="n">
        <v>260176</v>
      </c>
      <c r="B150" t="n">
        <v>180</v>
      </c>
      <c r="C150" t="inlineStr">
        <is>
          <t>Nuv Gastrobar</t>
        </is>
      </c>
      <c r="D150" t="inlineStr">
        <is>
          <t>MARIO PEDRO FELICIANO - HORTIFRUTI</t>
        </is>
      </c>
      <c r="E150" t="inlineStr">
        <is>
          <t>487374</t>
        </is>
      </c>
      <c r="F150" s="525" t="n">
        <v>46259</v>
      </c>
      <c r="G150" t="n">
        <v>19632</v>
      </c>
      <c r="H150" t="inlineStr">
        <is>
          <t>BETERRABA KG</t>
        </is>
      </c>
      <c r="I150" t="inlineStr">
        <is>
          <t>ALIMENTOS</t>
        </is>
      </c>
      <c r="J150" t="n">
        <v>3</v>
      </c>
      <c r="K150" t="inlineStr">
        <is>
          <t>KG</t>
        </is>
      </c>
      <c r="L150" t="n">
        <v>9.15</v>
      </c>
      <c r="M150" t="n">
        <v>3.05</v>
      </c>
      <c r="O150" t="inlineStr">
        <is>
          <t>08/2026</t>
        </is>
      </c>
    </row>
    <row r="151">
      <c r="A151" t="n">
        <v>260176</v>
      </c>
      <c r="B151" t="n">
        <v>180</v>
      </c>
      <c r="C151" t="inlineStr">
        <is>
          <t>Nuv Gastrobar</t>
        </is>
      </c>
      <c r="D151" t="inlineStr">
        <is>
          <t>MARIO PEDRO FELICIANO - HORTIFRUTI</t>
        </is>
      </c>
      <c r="E151" t="inlineStr">
        <is>
          <t>487374</t>
        </is>
      </c>
      <c r="F151" s="525" t="n">
        <v>46259</v>
      </c>
      <c r="G151" t="n">
        <v>19743</v>
      </c>
      <c r="H151" t="inlineStr">
        <is>
          <t>MACA VERDE KG</t>
        </is>
      </c>
      <c r="I151" t="inlineStr">
        <is>
          <t>ALIMENTOS</t>
        </is>
      </c>
      <c r="J151" t="n">
        <v>5</v>
      </c>
      <c r="K151" t="inlineStr">
        <is>
          <t>KG</t>
        </is>
      </c>
      <c r="L151" t="n">
        <v>79.40000000000001</v>
      </c>
      <c r="M151" t="n">
        <v>15.88</v>
      </c>
      <c r="O151" t="inlineStr">
        <is>
          <t>08/2026</t>
        </is>
      </c>
    </row>
    <row r="152">
      <c r="A152" t="n">
        <v>260169</v>
      </c>
      <c r="B152" t="n">
        <v>180</v>
      </c>
      <c r="C152" t="inlineStr">
        <is>
          <t>Nuv Gastrobar</t>
        </is>
      </c>
      <c r="D152" t="inlineStr">
        <is>
          <t>EMPORIO M&amp;L COMERCIO DE ALIM E BEBIDAS LTDA</t>
        </is>
      </c>
      <c r="E152" t="inlineStr">
        <is>
          <t>529363</t>
        </is>
      </c>
      <c r="F152" s="525" t="n">
        <v>46258</v>
      </c>
      <c r="G152" t="n">
        <v>19291</v>
      </c>
      <c r="H152" t="inlineStr">
        <is>
          <t>QUEIJO PARMESAO CAPA PRETA KG</t>
        </is>
      </c>
      <c r="I152" t="inlineStr">
        <is>
          <t>ALIMENTOS</t>
        </is>
      </c>
      <c r="J152" t="n">
        <v>14</v>
      </c>
      <c r="K152" t="inlineStr">
        <is>
          <t>Kg</t>
        </is>
      </c>
      <c r="L152" t="n">
        <v>1051.4</v>
      </c>
      <c r="M152" t="n">
        <v>75.09999999999999</v>
      </c>
      <c r="O152" t="inlineStr">
        <is>
          <t>08/2026</t>
        </is>
      </c>
    </row>
    <row r="153">
      <c r="A153" t="n">
        <v>260169</v>
      </c>
      <c r="B153" t="n">
        <v>180</v>
      </c>
      <c r="C153" t="inlineStr">
        <is>
          <t>Nuv Gastrobar</t>
        </is>
      </c>
      <c r="D153" t="inlineStr">
        <is>
          <t>EMPORIO M&amp;L COMERCIO DE ALIM E BEBIDAS LTDA</t>
        </is>
      </c>
      <c r="E153" t="inlineStr">
        <is>
          <t>529363</t>
        </is>
      </c>
      <c r="F153" s="525" t="n">
        <v>46258</v>
      </c>
      <c r="G153" t="n">
        <v>20358</v>
      </c>
      <c r="H153" t="inlineStr">
        <is>
          <t>FARINHA PANKO ROMARIZ C/1KG</t>
        </is>
      </c>
      <c r="I153" t="inlineStr">
        <is>
          <t>ALIMENTOS</t>
        </is>
      </c>
      <c r="J153" t="n">
        <v>6</v>
      </c>
      <c r="K153" t="inlineStr">
        <is>
          <t>PC</t>
        </is>
      </c>
      <c r="L153" t="n">
        <v>91.8</v>
      </c>
      <c r="M153" t="n">
        <v>15.3</v>
      </c>
      <c r="O153" t="inlineStr">
        <is>
          <t>08/2026</t>
        </is>
      </c>
    </row>
    <row r="154">
      <c r="A154" t="n">
        <v>260169</v>
      </c>
      <c r="B154" t="n">
        <v>180</v>
      </c>
      <c r="C154" t="inlineStr">
        <is>
          <t>Nuv Gastrobar</t>
        </is>
      </c>
      <c r="D154" t="inlineStr">
        <is>
          <t>EMPORIO M&amp;L COMERCIO DE ALIM E BEBIDAS LTDA</t>
        </is>
      </c>
      <c r="E154" t="inlineStr">
        <is>
          <t>529363</t>
        </is>
      </c>
      <c r="F154" s="525" t="n">
        <v>46258</v>
      </c>
      <c r="G154" t="n">
        <v>24401</v>
      </c>
      <c r="H154" t="inlineStr">
        <is>
          <t>PAPRICA PICANTE PCT 500G UN</t>
        </is>
      </c>
      <c r="I154" t="inlineStr">
        <is>
          <t>ALIMENTOS</t>
        </is>
      </c>
      <c r="J154" t="n">
        <v>1</v>
      </c>
      <c r="K154" t="inlineStr">
        <is>
          <t>UN</t>
        </is>
      </c>
      <c r="L154" t="n">
        <v>6.2</v>
      </c>
      <c r="M154" t="n">
        <v>6.2</v>
      </c>
      <c r="O154" t="inlineStr">
        <is>
          <t>08/2026</t>
        </is>
      </c>
    </row>
    <row r="155">
      <c r="A155" t="n">
        <v>260165</v>
      </c>
      <c r="B155" t="n">
        <v>180</v>
      </c>
      <c r="C155" t="inlineStr">
        <is>
          <t>Nuv Gastrobar</t>
        </is>
      </c>
      <c r="D155" t="inlineStr">
        <is>
          <t>EMPORIO M&amp;L COMERCIO DE ALIM E BEBIDAS LTDA</t>
        </is>
      </c>
      <c r="E155" t="inlineStr">
        <is>
          <t>529117</t>
        </is>
      </c>
      <c r="F155" s="525" t="n">
        <v>46255</v>
      </c>
      <c r="G155" t="n">
        <v>19324</v>
      </c>
      <c r="H155" t="inlineStr">
        <is>
          <t>QUEIJO MUSSARELA TRES MARIAS KG</t>
        </is>
      </c>
      <c r="I155" t="inlineStr">
        <is>
          <t>ALIMENTOS</t>
        </is>
      </c>
      <c r="J155" t="n">
        <v>16</v>
      </c>
      <c r="K155" t="inlineStr">
        <is>
          <t>KG</t>
        </is>
      </c>
      <c r="L155" t="n">
        <v>703.52</v>
      </c>
      <c r="M155" t="n">
        <v>43.97</v>
      </c>
      <c r="O155" t="inlineStr">
        <is>
          <t>08/2026</t>
        </is>
      </c>
    </row>
    <row r="156">
      <c r="A156" t="n">
        <v>260165</v>
      </c>
      <c r="B156" t="n">
        <v>180</v>
      </c>
      <c r="C156" t="inlineStr">
        <is>
          <t>Nuv Gastrobar</t>
        </is>
      </c>
      <c r="D156" t="inlineStr">
        <is>
          <t>EMPORIO M&amp;L COMERCIO DE ALIM E BEBIDAS LTDA</t>
        </is>
      </c>
      <c r="E156" t="inlineStr">
        <is>
          <t>529117</t>
        </is>
      </c>
      <c r="F156" s="525" t="n">
        <v>46255</v>
      </c>
      <c r="G156" t="n">
        <v>19356</v>
      </c>
      <c r="H156" t="inlineStr">
        <is>
          <t>QUEIJO COALHO QUATA KG</t>
        </is>
      </c>
      <c r="I156" t="inlineStr">
        <is>
          <t>ALIMENTOS</t>
        </is>
      </c>
      <c r="J156" t="n">
        <v>12</v>
      </c>
      <c r="K156" t="inlineStr">
        <is>
          <t>KG</t>
        </is>
      </c>
      <c r="L156" t="n">
        <v>734.88</v>
      </c>
      <c r="M156" t="n">
        <v>61.24</v>
      </c>
      <c r="O156" t="inlineStr">
        <is>
          <t>08/2026</t>
        </is>
      </c>
    </row>
    <row r="157">
      <c r="A157" t="n">
        <v>260162</v>
      </c>
      <c r="B157" t="n">
        <v>180</v>
      </c>
      <c r="C157" t="inlineStr">
        <is>
          <t>Nuv Gastrobar</t>
        </is>
      </c>
      <c r="D157" t="inlineStr">
        <is>
          <t>CECILIA TSUYACO ARAKI SILVA LTDA</t>
        </is>
      </c>
      <c r="E157" t="inlineStr">
        <is>
          <t>398081</t>
        </is>
      </c>
      <c r="F157" s="525" t="n">
        <v>46258</v>
      </c>
      <c r="G157" t="n">
        <v>19682</v>
      </c>
      <c r="H157" t="inlineStr">
        <is>
          <t>MIRTILO KG</t>
        </is>
      </c>
      <c r="I157" t="inlineStr">
        <is>
          <t>ALIMENTOS</t>
        </is>
      </c>
      <c r="J157" t="n">
        <v>1</v>
      </c>
      <c r="K157" t="inlineStr">
        <is>
          <t>KG</t>
        </is>
      </c>
      <c r="L157" t="n">
        <v>100</v>
      </c>
      <c r="M157" t="n">
        <v>100</v>
      </c>
      <c r="O157" t="inlineStr">
        <is>
          <t>08/2026</t>
        </is>
      </c>
    </row>
    <row r="158">
      <c r="A158" t="n">
        <v>260160</v>
      </c>
      <c r="B158" t="n">
        <v>180</v>
      </c>
      <c r="C158" t="inlineStr">
        <is>
          <t>Nuv Gastrobar</t>
        </is>
      </c>
      <c r="D158" t="inlineStr">
        <is>
          <t>BATARD PADARIA ARTESANAL LTDA</t>
        </is>
      </c>
      <c r="E158" t="inlineStr">
        <is>
          <t>15202</t>
        </is>
      </c>
      <c r="F158" s="525" t="n">
        <v>46260</v>
      </c>
      <c r="G158" t="n">
        <v>19168</v>
      </c>
      <c r="H158" t="inlineStr">
        <is>
          <t>BAGUETE LEVAIN 570GR UN</t>
        </is>
      </c>
      <c r="I158" t="inlineStr">
        <is>
          <t>ALIMENTOS</t>
        </is>
      </c>
      <c r="J158" t="n">
        <v>15</v>
      </c>
      <c r="K158" t="inlineStr">
        <is>
          <t>UN</t>
        </is>
      </c>
      <c r="L158" t="n">
        <v>273</v>
      </c>
      <c r="M158" t="n">
        <v>18.2</v>
      </c>
      <c r="O158" t="inlineStr">
        <is>
          <t>08/2026</t>
        </is>
      </c>
    </row>
    <row r="159">
      <c r="A159" t="n">
        <v>260158</v>
      </c>
      <c r="B159" t="n">
        <v>180</v>
      </c>
      <c r="C159" t="inlineStr">
        <is>
          <t>Nuv Gastrobar</t>
        </is>
      </c>
      <c r="D159" t="inlineStr">
        <is>
          <t>DTK COMERCIO DE ALIMENTOS LTDA</t>
        </is>
      </c>
      <c r="E159" t="inlineStr">
        <is>
          <t>97138</t>
        </is>
      </c>
      <c r="F159" s="525" t="n">
        <v>46259</v>
      </c>
      <c r="G159" t="n">
        <v>24331</v>
      </c>
      <c r="H159" t="inlineStr">
        <is>
          <t>LINGUICA CALABRESA KG</t>
        </is>
      </c>
      <c r="I159" t="inlineStr">
        <is>
          <t>ALIMENTOS</t>
        </is>
      </c>
      <c r="J159" t="n">
        <v>5</v>
      </c>
      <c r="K159" t="inlineStr">
        <is>
          <t>KG</t>
        </is>
      </c>
      <c r="L159" t="n">
        <v>102.5</v>
      </c>
      <c r="M159" t="n">
        <v>20.5</v>
      </c>
      <c r="O159" t="inlineStr">
        <is>
          <t>08/2026</t>
        </is>
      </c>
    </row>
    <row r="160">
      <c r="A160" t="n">
        <v>260158</v>
      </c>
      <c r="B160" t="n">
        <v>180</v>
      </c>
      <c r="C160" t="inlineStr">
        <is>
          <t>Nuv Gastrobar</t>
        </is>
      </c>
      <c r="D160" t="inlineStr">
        <is>
          <t>DTK COMERCIO DE ALIMENTOS LTDA</t>
        </is>
      </c>
      <c r="E160" t="inlineStr">
        <is>
          <t>97138</t>
        </is>
      </c>
      <c r="F160" s="525" t="n">
        <v>46259</v>
      </c>
      <c r="G160" t="n">
        <v>19955</v>
      </c>
      <c r="H160" t="inlineStr">
        <is>
          <t>MOSTARDA FRANCESA DIJON BEAUFOR 1KG</t>
        </is>
      </c>
      <c r="I160" t="inlineStr">
        <is>
          <t>ALIMENTOS</t>
        </is>
      </c>
      <c r="J160" t="n">
        <v>3</v>
      </c>
      <c r="K160" t="inlineStr">
        <is>
          <t>UN</t>
        </is>
      </c>
      <c r="L160" t="n">
        <v>176.64</v>
      </c>
      <c r="M160" t="n">
        <v>58.88</v>
      </c>
      <c r="O160" t="inlineStr">
        <is>
          <t>08/2026</t>
        </is>
      </c>
    </row>
    <row r="161">
      <c r="A161" t="n">
        <v>260158</v>
      </c>
      <c r="B161" t="n">
        <v>180</v>
      </c>
      <c r="C161" t="inlineStr">
        <is>
          <t>Nuv Gastrobar</t>
        </is>
      </c>
      <c r="D161" t="inlineStr">
        <is>
          <t>DTK COMERCIO DE ALIMENTOS LTDA</t>
        </is>
      </c>
      <c r="E161" t="inlineStr">
        <is>
          <t>97138</t>
        </is>
      </c>
      <c r="F161" s="525" t="n">
        <v>46259</v>
      </c>
      <c r="G161" t="n">
        <v>20809</v>
      </c>
      <c r="H161" t="inlineStr">
        <is>
          <t>CAFE PILAO ALMOFADA 500G</t>
        </is>
      </c>
      <c r="I161" t="inlineStr">
        <is>
          <t>ALIMENTOS</t>
        </is>
      </c>
      <c r="J161" t="n">
        <v>5</v>
      </c>
      <c r="K161" t="inlineStr">
        <is>
          <t>UN</t>
        </is>
      </c>
      <c r="L161" t="n">
        <v>149.5</v>
      </c>
      <c r="M161" t="n">
        <v>29.9</v>
      </c>
      <c r="O161" t="inlineStr">
        <is>
          <t>08/2026</t>
        </is>
      </c>
    </row>
    <row r="162">
      <c r="A162" t="n">
        <v>260158</v>
      </c>
      <c r="B162" t="n">
        <v>180</v>
      </c>
      <c r="C162" t="inlineStr">
        <is>
          <t>Nuv Gastrobar</t>
        </is>
      </c>
      <c r="D162" t="inlineStr">
        <is>
          <t>DTK COMERCIO DE ALIMENTOS LTDA</t>
        </is>
      </c>
      <c r="E162" t="inlineStr">
        <is>
          <t>97138</t>
        </is>
      </c>
      <c r="F162" s="525" t="n">
        <v>46259</v>
      </c>
      <c r="G162" t="n">
        <v>20670</v>
      </c>
      <c r="H162" t="inlineStr">
        <is>
          <t>EXTRATO DE TOMATE ELEFANTE POUCH 1,7KG</t>
        </is>
      </c>
      <c r="I162" t="inlineStr">
        <is>
          <t>ALIMENTOS</t>
        </is>
      </c>
      <c r="J162" t="n">
        <v>3</v>
      </c>
      <c r="K162" t="inlineStr">
        <is>
          <t>UN</t>
        </is>
      </c>
      <c r="L162" t="n">
        <v>89.67</v>
      </c>
      <c r="M162" t="n">
        <v>29.89</v>
      </c>
      <c r="O162" t="inlineStr">
        <is>
          <t>08/2026</t>
        </is>
      </c>
    </row>
    <row r="163">
      <c r="A163" t="n">
        <v>260091</v>
      </c>
      <c r="B163" t="n">
        <v>180</v>
      </c>
      <c r="C163" t="inlineStr">
        <is>
          <t>Nuv Gastrobar</t>
        </is>
      </c>
      <c r="D163" t="inlineStr">
        <is>
          <t>RL SISTEMAS DE HIGIENE LTDA</t>
        </is>
      </c>
      <c r="E163" t="inlineStr">
        <is>
          <t>336045</t>
        </is>
      </c>
      <c r="F163" s="525" t="n">
        <v>46259</v>
      </c>
      <c r="G163" t="n">
        <v>30300</v>
      </c>
      <c r="H163" t="inlineStr">
        <is>
          <t>PAPEL TOALHA ESSENCIAL BASICO AUTO CORTE 6 ROLOS C/200M CX</t>
        </is>
      </c>
      <c r="I163" t="inlineStr">
        <is>
          <t>DESCARTAVEIS/HIGIENE E LIMPEZA</t>
        </is>
      </c>
      <c r="J163" t="n">
        <v>4</v>
      </c>
      <c r="K163" t="inlineStr">
        <is>
          <t>CX</t>
        </is>
      </c>
      <c r="L163" t="n">
        <v>611</v>
      </c>
      <c r="M163" t="n">
        <v>152.75</v>
      </c>
      <c r="O163" t="inlineStr">
        <is>
          <t>08/2026</t>
        </is>
      </c>
    </row>
    <row r="164">
      <c r="A164" t="n">
        <v>260091</v>
      </c>
      <c r="B164" t="n">
        <v>180</v>
      </c>
      <c r="C164" t="inlineStr">
        <is>
          <t>Nuv Gastrobar</t>
        </is>
      </c>
      <c r="D164" t="inlineStr">
        <is>
          <t>RL SISTEMAS DE HIGIENE LTDA</t>
        </is>
      </c>
      <c r="E164" t="inlineStr">
        <is>
          <t>336045</t>
        </is>
      </c>
      <c r="F164" s="525" t="n">
        <v>46259</v>
      </c>
      <c r="G164" t="n">
        <v>30305</v>
      </c>
      <c r="H164" t="inlineStr">
        <is>
          <t>DETERGENTE PARA LAVAR LOUÇA 5L</t>
        </is>
      </c>
      <c r="I164" t="inlineStr">
        <is>
          <t>DESCARTAVEIS/HIGIENE E LIMPEZA</t>
        </is>
      </c>
      <c r="J164" t="n">
        <v>4</v>
      </c>
      <c r="K164" t="inlineStr">
        <is>
          <t>UN</t>
        </is>
      </c>
      <c r="L164" t="n">
        <v>356</v>
      </c>
      <c r="M164" t="n">
        <v>89</v>
      </c>
      <c r="O164" t="inlineStr">
        <is>
          <t>08/2026</t>
        </is>
      </c>
    </row>
    <row r="165">
      <c r="A165" t="n">
        <v>259776</v>
      </c>
      <c r="B165" t="n">
        <v>180</v>
      </c>
      <c r="C165" t="inlineStr">
        <is>
          <t>Nuv Gastrobar</t>
        </is>
      </c>
      <c r="D165" t="inlineStr">
        <is>
          <t>LATICINIOS PIRAMIDE LTDA</t>
        </is>
      </c>
      <c r="E165" t="inlineStr">
        <is>
          <t>88247</t>
        </is>
      </c>
      <c r="F165" s="525" t="n">
        <v>46258</v>
      </c>
      <c r="G165" t="n">
        <v>28212</v>
      </c>
      <c r="H165" t="inlineStr">
        <is>
          <t>CARNE SECA COXÃO DURO DI CALLANI KG</t>
        </is>
      </c>
      <c r="I165" t="inlineStr">
        <is>
          <t>ALIMENTOS</t>
        </is>
      </c>
      <c r="J165" t="n">
        <v>5.1</v>
      </c>
      <c r="K165" t="inlineStr">
        <is>
          <t>KG</t>
        </is>
      </c>
      <c r="L165" t="n">
        <v>244.8</v>
      </c>
      <c r="M165" t="n">
        <v>48</v>
      </c>
      <c r="O165" t="inlineStr">
        <is>
          <t>08/2026</t>
        </is>
      </c>
    </row>
    <row r="166">
      <c r="A166" t="n">
        <v>259767</v>
      </c>
      <c r="B166" t="n">
        <v>180</v>
      </c>
      <c r="C166" t="inlineStr">
        <is>
          <t>Nuv Gastrobar</t>
        </is>
      </c>
      <c r="D166" t="inlineStr">
        <is>
          <t>CEPEL COMERCIO DE PAPEIS E EMBALAGENS LTDA</t>
        </is>
      </c>
      <c r="E166" t="inlineStr">
        <is>
          <t>269526</t>
        </is>
      </c>
      <c r="F166" s="525" t="n">
        <v>46247</v>
      </c>
      <c r="G166" t="n">
        <v>30227</v>
      </c>
      <c r="H166" t="inlineStr">
        <is>
          <t>GUARDANAPO PERSONALIZADO NUV GASTROBAR 33 X 33CM CX - C/ 3000 UN</t>
        </is>
      </c>
      <c r="I166" t="inlineStr">
        <is>
          <t>DESCARTAVEIS/HIGIENE E LIMPEZA</t>
        </is>
      </c>
      <c r="J166" t="n">
        <v>4</v>
      </c>
      <c r="K166" t="inlineStr">
        <is>
          <t>CX</t>
        </is>
      </c>
      <c r="L166" t="n">
        <v>2150.4</v>
      </c>
      <c r="M166" t="n">
        <v>537.6</v>
      </c>
      <c r="O166" t="inlineStr">
        <is>
          <t>08/2026</t>
        </is>
      </c>
    </row>
    <row r="167">
      <c r="A167" t="n">
        <v>259766</v>
      </c>
      <c r="B167" t="n">
        <v>180</v>
      </c>
      <c r="C167" t="inlineStr">
        <is>
          <t>Nuv Gastrobar</t>
        </is>
      </c>
      <c r="D167" t="inlineStr">
        <is>
          <t>DISLAR CENTRAL DE PRODUTOS PARA O LAR LTDA. - FILIAL</t>
        </is>
      </c>
      <c r="E167" t="inlineStr">
        <is>
          <t>15053</t>
        </is>
      </c>
      <c r="F167" s="525" t="n">
        <v>46244</v>
      </c>
      <c r="G167" t="n">
        <v>26282</v>
      </c>
      <c r="H167" t="inlineStr">
        <is>
          <t>TACA AGUA BARONE 490ML UN</t>
        </is>
      </c>
      <c r="I167" t="inlineStr">
        <is>
          <t>UTENSILIOS</t>
        </is>
      </c>
      <c r="J167" t="n">
        <v>4</v>
      </c>
      <c r="K167" t="inlineStr">
        <is>
          <t>UN</t>
        </is>
      </c>
      <c r="L167" t="n">
        <v>431.52</v>
      </c>
      <c r="M167" t="n">
        <v>107.88</v>
      </c>
      <c r="O167" t="inlineStr">
        <is>
          <t>08/2026</t>
        </is>
      </c>
    </row>
    <row r="168">
      <c r="A168" t="n">
        <v>259760</v>
      </c>
      <c r="B168" t="n">
        <v>180</v>
      </c>
      <c r="C168" t="inlineStr">
        <is>
          <t>Nuv Gastrobar</t>
        </is>
      </c>
      <c r="D168" t="inlineStr">
        <is>
          <t>Schipper Consultoria Internacional Comercio Importacao e Exportacao LTDA</t>
        </is>
      </c>
      <c r="E168" t="inlineStr">
        <is>
          <t>139795</t>
        </is>
      </c>
      <c r="F168" s="525" t="n">
        <v>46239</v>
      </c>
      <c r="G168" t="n">
        <v>30245</v>
      </c>
      <c r="H168" t="inlineStr">
        <is>
          <t>MOLHEIRA PORCELANA Ø7CM H3,5CM GRAPHITE MOSS BONNAMIX UN</t>
        </is>
      </c>
      <c r="I168" t="inlineStr">
        <is>
          <t>UTENSILIOS</t>
        </is>
      </c>
      <c r="J168" t="n">
        <v>35</v>
      </c>
      <c r="K168" t="inlineStr">
        <is>
          <t>UN</t>
        </is>
      </c>
      <c r="L168" t="n">
        <v>851.9</v>
      </c>
      <c r="M168" t="n">
        <v>24.34</v>
      </c>
      <c r="O168" t="inlineStr">
        <is>
          <t>08/2026</t>
        </is>
      </c>
    </row>
    <row r="169">
      <c r="A169" t="n">
        <v>259759</v>
      </c>
      <c r="B169" t="n">
        <v>180</v>
      </c>
      <c r="C169" t="inlineStr">
        <is>
          <t>Nuv Gastrobar</t>
        </is>
      </c>
      <c r="D169" t="inlineStr">
        <is>
          <t xml:space="preserve">NOVA MIX </t>
        </is>
      </c>
      <c r="E169" t="inlineStr">
        <is>
          <t>2694846</t>
        </is>
      </c>
      <c r="F169" s="525" t="n">
        <v>46259</v>
      </c>
      <c r="G169" t="n">
        <v>29903</v>
      </c>
      <c r="H169" t="inlineStr">
        <is>
          <t>LEITE INTEGRAL QUATA 12x1 UN</t>
        </is>
      </c>
      <c r="I169" t="inlineStr">
        <is>
          <t>ALIMENTOS</t>
        </is>
      </c>
      <c r="J169" t="n">
        <v>4</v>
      </c>
      <c r="K169" t="inlineStr">
        <is>
          <t>CX</t>
        </is>
      </c>
      <c r="L169" t="n">
        <v>271.2</v>
      </c>
      <c r="M169" t="n">
        <v>67.8</v>
      </c>
      <c r="O169" t="inlineStr">
        <is>
          <t>08/2026</t>
        </is>
      </c>
    </row>
    <row r="170">
      <c r="A170" t="n">
        <v>259436</v>
      </c>
      <c r="B170" t="n">
        <v>180</v>
      </c>
      <c r="C170" t="inlineStr">
        <is>
          <t>Nuv Gastrobar</t>
        </is>
      </c>
      <c r="D170" t="inlineStr">
        <is>
          <t>ONCE ROMI LTDA</t>
        </is>
      </c>
      <c r="E170" t="inlineStr">
        <is>
          <t>21498</t>
        </is>
      </c>
      <c r="F170" s="525" t="n">
        <v>46241</v>
      </c>
      <c r="G170" t="n">
        <v>19805</v>
      </c>
      <c r="H170" t="inlineStr">
        <is>
          <t>MATCHA KG</t>
        </is>
      </c>
      <c r="I170" t="inlineStr">
        <is>
          <t>ALIMENTOS</t>
        </is>
      </c>
      <c r="J170" t="n">
        <v>0.5</v>
      </c>
      <c r="K170" t="inlineStr">
        <is>
          <t>KG</t>
        </is>
      </c>
      <c r="L170" t="n">
        <v>561</v>
      </c>
      <c r="M170" t="n">
        <v>1122</v>
      </c>
      <c r="O170" t="inlineStr">
        <is>
          <t>08/2026</t>
        </is>
      </c>
    </row>
    <row r="171">
      <c r="A171" t="n">
        <v>259239</v>
      </c>
      <c r="B171" t="n">
        <v>180</v>
      </c>
      <c r="C171" t="inlineStr">
        <is>
          <t>Nuv Gastrobar</t>
        </is>
      </c>
      <c r="D171" t="inlineStr">
        <is>
          <t>WPP COMERCIO DE CARNES LTDA</t>
        </is>
      </c>
      <c r="E171" t="inlineStr">
        <is>
          <t>81336</t>
        </is>
      </c>
      <c r="F171" s="525" t="n">
        <v>46255</v>
      </c>
      <c r="G171" t="n">
        <v>25131</v>
      </c>
      <c r="H171" t="inlineStr">
        <is>
          <t>BLEND CARNE MOIDA 80% ACEM / 20% PEITO KG</t>
        </is>
      </c>
      <c r="I171" t="inlineStr">
        <is>
          <t>ALIMENTOS</t>
        </is>
      </c>
      <c r="J171" t="n">
        <v>10.2</v>
      </c>
      <c r="K171" t="inlineStr">
        <is>
          <t>KG</t>
        </is>
      </c>
      <c r="L171" t="n">
        <v>344.76</v>
      </c>
      <c r="M171" t="n">
        <v>33.8</v>
      </c>
      <c r="O171" t="inlineStr">
        <is>
          <t>08/2026</t>
        </is>
      </c>
    </row>
    <row r="172">
      <c r="A172" t="n">
        <v>259238</v>
      </c>
      <c r="B172" t="n">
        <v>180</v>
      </c>
      <c r="C172" t="inlineStr">
        <is>
          <t>Nuv Gastrobar</t>
        </is>
      </c>
      <c r="D172" t="inlineStr">
        <is>
          <t>WPP COMERCIO DE CARNES LTDA</t>
        </is>
      </c>
      <c r="E172" t="inlineStr">
        <is>
          <t>81275</t>
        </is>
      </c>
      <c r="F172" s="525" t="n">
        <v>46253</v>
      </c>
      <c r="G172" t="n">
        <v>19041</v>
      </c>
      <c r="H172" t="inlineStr">
        <is>
          <t>COXA E SOBRECOXA SEM OSSO E COM PELE KG</t>
        </is>
      </c>
      <c r="I172" t="inlineStr">
        <is>
          <t>ALIMENTOS</t>
        </is>
      </c>
      <c r="J172" t="n">
        <v>10.2</v>
      </c>
      <c r="K172" t="inlineStr">
        <is>
          <t>KG</t>
        </is>
      </c>
      <c r="L172" t="n">
        <v>152.9</v>
      </c>
      <c r="M172" t="n">
        <v>14.990196</v>
      </c>
      <c r="O172" t="inlineStr">
        <is>
          <t>08/2026</t>
        </is>
      </c>
    </row>
    <row r="173">
      <c r="A173" t="n">
        <v>259237</v>
      </c>
      <c r="B173" t="n">
        <v>180</v>
      </c>
      <c r="C173" t="inlineStr">
        <is>
          <t>Nuv Gastrobar</t>
        </is>
      </c>
      <c r="D173" t="inlineStr">
        <is>
          <t>TERRA BRASIL HORTI FRUTI LTDA</t>
        </is>
      </c>
      <c r="E173" t="inlineStr">
        <is>
          <t>157537</t>
        </is>
      </c>
      <c r="F173" s="525" t="n">
        <v>46256</v>
      </c>
      <c r="G173" t="n">
        <v>19453</v>
      </c>
      <c r="H173" t="inlineStr">
        <is>
          <t>RUCULA HIGIENIZADO KG</t>
        </is>
      </c>
      <c r="I173" t="inlineStr">
        <is>
          <t>ALIMENTOS</t>
        </is>
      </c>
      <c r="J173" t="n">
        <v>2</v>
      </c>
      <c r="K173" t="inlineStr">
        <is>
          <t>KG</t>
        </is>
      </c>
      <c r="L173" t="n">
        <v>101.8</v>
      </c>
      <c r="M173" t="n">
        <v>50.9</v>
      </c>
      <c r="O173" t="inlineStr">
        <is>
          <t>08/2026</t>
        </is>
      </c>
    </row>
    <row r="174">
      <c r="A174" t="n">
        <v>259236</v>
      </c>
      <c r="B174" t="n">
        <v>180</v>
      </c>
      <c r="C174" t="inlineStr">
        <is>
          <t>Nuv Gastrobar</t>
        </is>
      </c>
      <c r="D174" t="inlineStr">
        <is>
          <t xml:space="preserve">NOVA MIX </t>
        </is>
      </c>
      <c r="E174" t="inlineStr">
        <is>
          <t>2694087</t>
        </is>
      </c>
      <c r="F174" s="525" t="n">
        <v>46258</v>
      </c>
      <c r="G174" t="n">
        <v>19428</v>
      </c>
      <c r="H174" t="inlineStr">
        <is>
          <t>LEITE INTEGRAL QUATA 1L UN</t>
        </is>
      </c>
      <c r="I174" t="inlineStr">
        <is>
          <t>ALIMENTOS</t>
        </is>
      </c>
      <c r="J174" t="n">
        <v>60</v>
      </c>
      <c r="K174" t="inlineStr">
        <is>
          <t>UN</t>
        </is>
      </c>
      <c r="L174" t="n">
        <v>339</v>
      </c>
      <c r="M174" t="n">
        <v>5.65</v>
      </c>
      <c r="O174" t="inlineStr">
        <is>
          <t>08/2026</t>
        </is>
      </c>
    </row>
    <row r="175">
      <c r="A175" t="n">
        <v>259234</v>
      </c>
      <c r="B175" t="n">
        <v>180</v>
      </c>
      <c r="C175" t="inlineStr">
        <is>
          <t>Nuv Gastrobar</t>
        </is>
      </c>
      <c r="D175" t="inlineStr">
        <is>
          <t>MARIO PEDRO FELICIANO - HORTIFRUTI</t>
        </is>
      </c>
      <c r="E175" t="inlineStr">
        <is>
          <t>487031</t>
        </is>
      </c>
      <c r="F175" s="525" t="n">
        <v>46256</v>
      </c>
      <c r="G175" t="n">
        <v>19658</v>
      </c>
      <c r="H175" t="inlineStr">
        <is>
          <t>ABOBORA JAPONESA / CABOTIAN KG</t>
        </is>
      </c>
      <c r="I175" t="inlineStr">
        <is>
          <t>ALIMENTOS</t>
        </is>
      </c>
      <c r="J175" t="n">
        <v>5.7</v>
      </c>
      <c r="K175" t="inlineStr">
        <is>
          <t>KG</t>
        </is>
      </c>
      <c r="L175" t="n">
        <v>16.3</v>
      </c>
      <c r="M175" t="n">
        <v>2.859649</v>
      </c>
      <c r="O175" t="inlineStr">
        <is>
          <t>08/2026</t>
        </is>
      </c>
    </row>
    <row r="176">
      <c r="A176" t="n">
        <v>259231</v>
      </c>
      <c r="B176" t="n">
        <v>180</v>
      </c>
      <c r="C176" t="inlineStr">
        <is>
          <t>Nuv Gastrobar</t>
        </is>
      </c>
      <c r="D176" t="inlineStr">
        <is>
          <t>MARIO PEDRO FELICIANO - HORTIFRUTI</t>
        </is>
      </c>
      <c r="E176" t="inlineStr">
        <is>
          <t>486986</t>
        </is>
      </c>
      <c r="F176" s="525" t="n">
        <v>46255</v>
      </c>
      <c r="G176" t="n">
        <v>19476</v>
      </c>
      <c r="H176" t="inlineStr">
        <is>
          <t>MANJERICAO KG</t>
        </is>
      </c>
      <c r="I176" t="inlineStr">
        <is>
          <t>ALIMENTOS</t>
        </is>
      </c>
      <c r="J176" t="n">
        <v>0.3</v>
      </c>
      <c r="K176" t="inlineStr">
        <is>
          <t>KG</t>
        </is>
      </c>
      <c r="L176" t="n">
        <v>17.16</v>
      </c>
      <c r="M176" t="n">
        <v>57.2</v>
      </c>
      <c r="O176" t="inlineStr">
        <is>
          <t>08/2026</t>
        </is>
      </c>
    </row>
    <row r="177">
      <c r="A177" t="n">
        <v>259231</v>
      </c>
      <c r="B177" t="n">
        <v>180</v>
      </c>
      <c r="C177" t="inlineStr">
        <is>
          <t>Nuv Gastrobar</t>
        </is>
      </c>
      <c r="D177" t="inlineStr">
        <is>
          <t>MARIO PEDRO FELICIANO - HORTIFRUTI</t>
        </is>
      </c>
      <c r="E177" t="inlineStr">
        <is>
          <t>486986</t>
        </is>
      </c>
      <c r="F177" s="525" t="n">
        <v>46255</v>
      </c>
      <c r="G177" t="n">
        <v>19479</v>
      </c>
      <c r="H177" t="inlineStr">
        <is>
          <t>LOURO SECO KG</t>
        </is>
      </c>
      <c r="I177" t="inlineStr">
        <is>
          <t>ALIMENTOS</t>
        </is>
      </c>
      <c r="J177" t="n">
        <v>0.2</v>
      </c>
      <c r="K177" t="inlineStr">
        <is>
          <t>KG</t>
        </is>
      </c>
      <c r="L177" t="n">
        <v>17.05</v>
      </c>
      <c r="M177" t="n">
        <v>85.25</v>
      </c>
      <c r="O177" t="inlineStr">
        <is>
          <t>08/2026</t>
        </is>
      </c>
    </row>
    <row r="178">
      <c r="A178" t="n">
        <v>259230</v>
      </c>
      <c r="B178" t="n">
        <v>180</v>
      </c>
      <c r="C178" t="inlineStr">
        <is>
          <t>Nuv Gastrobar</t>
        </is>
      </c>
      <c r="D178" t="inlineStr">
        <is>
          <t>MARIO PEDRO FELICIANO - HORTIFRUTI</t>
        </is>
      </c>
      <c r="E178" t="inlineStr">
        <is>
          <t>485970</t>
        </is>
      </c>
      <c r="F178" s="525" t="n">
        <v>46246</v>
      </c>
      <c r="G178" t="n">
        <v>19594</v>
      </c>
      <c r="H178" t="inlineStr">
        <is>
          <t>PALMITO PUPUNHA TOLETE C/400G</t>
        </is>
      </c>
      <c r="I178" t="inlineStr">
        <is>
          <t>ALIMENTOS</t>
        </is>
      </c>
      <c r="J178" t="n">
        <v>1.2</v>
      </c>
      <c r="K178" t="inlineStr">
        <is>
          <t>Un</t>
        </is>
      </c>
      <c r="L178" t="n">
        <v>54.91</v>
      </c>
      <c r="M178" t="n">
        <v>45.758333</v>
      </c>
      <c r="O178" t="inlineStr">
        <is>
          <t>08/2026</t>
        </is>
      </c>
    </row>
    <row r="179">
      <c r="A179" t="n">
        <v>259229</v>
      </c>
      <c r="B179" t="n">
        <v>180</v>
      </c>
      <c r="C179" t="inlineStr">
        <is>
          <t>Nuv Gastrobar</t>
        </is>
      </c>
      <c r="D179" t="inlineStr">
        <is>
          <t>LPQBR RESTAURANTES E PADARIAS LTDA</t>
        </is>
      </c>
      <c r="E179" t="inlineStr">
        <is>
          <t>89523</t>
        </is>
      </c>
      <c r="F179" s="525" t="n">
        <v>46254</v>
      </c>
      <c r="G179" t="n">
        <v>27477</v>
      </c>
      <c r="H179" t="inlineStr">
        <is>
          <t>CROISSANT PREMIUM 70G C/ 18 UNIDADES CX</t>
        </is>
      </c>
      <c r="I179" t="inlineStr">
        <is>
          <t>ALIMENTOS</t>
        </is>
      </c>
      <c r="J179" t="n">
        <v>6</v>
      </c>
      <c r="K179" t="inlineStr">
        <is>
          <t>PC</t>
        </is>
      </c>
      <c r="L179" t="n">
        <v>739.8</v>
      </c>
      <c r="M179" t="n">
        <v>123.3</v>
      </c>
      <c r="O179" t="inlineStr">
        <is>
          <t>08/2026</t>
        </is>
      </c>
    </row>
    <row r="180">
      <c r="A180" t="n">
        <v>259229</v>
      </c>
      <c r="B180" t="n">
        <v>180</v>
      </c>
      <c r="C180" t="inlineStr">
        <is>
          <t>Nuv Gastrobar</t>
        </is>
      </c>
      <c r="D180" t="inlineStr">
        <is>
          <t>LPQBR RESTAURANTES E PADARIAS LTDA</t>
        </is>
      </c>
      <c r="E180" t="inlineStr">
        <is>
          <t>89523</t>
        </is>
      </c>
      <c r="F180" s="525" t="n">
        <v>46254</v>
      </c>
      <c r="G180" t="n">
        <v>30402</v>
      </c>
      <c r="H180" t="inlineStr">
        <is>
          <t>WL BROWNIE COM NOZES 80G CX C/ 100UN</t>
        </is>
      </c>
      <c r="I180" t="inlineStr">
        <is>
          <t>ALIMENTOS</t>
        </is>
      </c>
      <c r="J180" t="n">
        <v>5</v>
      </c>
      <c r="K180" t="inlineStr">
        <is>
          <t>CX</t>
        </is>
      </c>
      <c r="L180" t="n">
        <v>2330</v>
      </c>
      <c r="M180" t="n">
        <v>466</v>
      </c>
      <c r="O180" t="inlineStr">
        <is>
          <t>08/2026</t>
        </is>
      </c>
    </row>
    <row r="181">
      <c r="A181" t="n">
        <v>259229</v>
      </c>
      <c r="B181" t="n">
        <v>180</v>
      </c>
      <c r="C181" t="inlineStr">
        <is>
          <t>Nuv Gastrobar</t>
        </is>
      </c>
      <c r="D181" t="inlineStr">
        <is>
          <t>LPQBR RESTAURANTES E PADARIAS LTDA</t>
        </is>
      </c>
      <c r="E181" t="inlineStr">
        <is>
          <t>89523</t>
        </is>
      </c>
      <c r="F181" s="525" t="n">
        <v>46254</v>
      </c>
      <c r="G181" t="n">
        <v>30687</v>
      </c>
      <c r="H181" t="inlineStr">
        <is>
          <t>PAO CAMPANHA LPQ UN</t>
        </is>
      </c>
      <c r="I181" t="inlineStr">
        <is>
          <t>ALIMENTOS</t>
        </is>
      </c>
      <c r="J181" t="n">
        <v>10</v>
      </c>
      <c r="K181" t="inlineStr">
        <is>
          <t>UN</t>
        </is>
      </c>
      <c r="L181" t="n">
        <v>150</v>
      </c>
      <c r="M181" t="n">
        <v>15</v>
      </c>
      <c r="O181" t="inlineStr">
        <is>
          <t>08/2026</t>
        </is>
      </c>
    </row>
    <row r="182">
      <c r="A182" t="n">
        <v>259229</v>
      </c>
      <c r="B182" t="n">
        <v>180</v>
      </c>
      <c r="C182" t="inlineStr">
        <is>
          <t>Nuv Gastrobar</t>
        </is>
      </c>
      <c r="D182" t="inlineStr">
        <is>
          <t>LPQBR RESTAURANTES E PADARIAS LTDA</t>
        </is>
      </c>
      <c r="E182" t="inlineStr">
        <is>
          <t>89523</t>
        </is>
      </c>
      <c r="F182" s="525" t="n">
        <v>46254</v>
      </c>
      <c r="G182" t="n">
        <v>30374</v>
      </c>
      <c r="H182" t="inlineStr">
        <is>
          <t>PAO DE HOTDOG LPQ 60G CX C/ 24UN</t>
        </is>
      </c>
      <c r="I182" t="inlineStr">
        <is>
          <t>ALIMENTOS</t>
        </is>
      </c>
      <c r="J182" t="n">
        <v>4</v>
      </c>
      <c r="K182" t="inlineStr">
        <is>
          <t>CX</t>
        </is>
      </c>
      <c r="L182" t="n">
        <v>283.2</v>
      </c>
      <c r="M182" t="n">
        <v>70.8</v>
      </c>
      <c r="O182" t="inlineStr">
        <is>
          <t>08/2026</t>
        </is>
      </c>
    </row>
    <row r="183">
      <c r="A183" t="n">
        <v>259229</v>
      </c>
      <c r="B183" t="n">
        <v>180</v>
      </c>
      <c r="C183" t="inlineStr">
        <is>
          <t>Nuv Gastrobar</t>
        </is>
      </c>
      <c r="D183" t="inlineStr">
        <is>
          <t>LPQBR RESTAURANTES E PADARIAS LTDA</t>
        </is>
      </c>
      <c r="E183" t="inlineStr">
        <is>
          <t>89523</t>
        </is>
      </c>
      <c r="F183" s="525" t="n">
        <v>46254</v>
      </c>
      <c r="G183" t="n">
        <v>28568</v>
      </c>
      <c r="H183" t="inlineStr">
        <is>
          <t>PAO DE HAMBURGUER BRIOCHE 60G UN CX C/24UN LE PAIN</t>
        </is>
      </c>
      <c r="I183" t="inlineStr">
        <is>
          <t>ALIMENTOS</t>
        </is>
      </c>
      <c r="J183" t="n">
        <v>3</v>
      </c>
      <c r="K183" t="inlineStr">
        <is>
          <t>CX</t>
        </is>
      </c>
      <c r="L183" t="n">
        <v>212.4</v>
      </c>
      <c r="M183" t="n">
        <v>70.8</v>
      </c>
      <c r="O183" t="inlineStr">
        <is>
          <t>08/2026</t>
        </is>
      </c>
    </row>
    <row r="184">
      <c r="A184" t="n">
        <v>259229</v>
      </c>
      <c r="B184" t="n">
        <v>180</v>
      </c>
      <c r="C184" t="inlineStr">
        <is>
          <t>Nuv Gastrobar</t>
        </is>
      </c>
      <c r="D184" t="inlineStr">
        <is>
          <t>LPQBR RESTAURANTES E PADARIAS LTDA</t>
        </is>
      </c>
      <c r="E184" t="inlineStr">
        <is>
          <t>89523</t>
        </is>
      </c>
      <c r="F184" s="525" t="n">
        <v>46254</v>
      </c>
      <c r="G184" t="n">
        <v>30372</v>
      </c>
      <c r="H184" t="inlineStr">
        <is>
          <t>PAO RUSTICO INTEGRAL LPQ FATIADO 750G CX C/9 UN</t>
        </is>
      </c>
      <c r="I184" t="inlineStr">
        <is>
          <t>ALIMENTOS</t>
        </is>
      </c>
      <c r="J184" t="n">
        <v>5</v>
      </c>
      <c r="K184" t="inlineStr">
        <is>
          <t>CX</t>
        </is>
      </c>
      <c r="L184" t="n">
        <v>877.5</v>
      </c>
      <c r="M184" t="n">
        <v>175.5</v>
      </c>
      <c r="O184" t="inlineStr">
        <is>
          <t>08/2026</t>
        </is>
      </c>
    </row>
    <row r="185">
      <c r="A185" t="n">
        <v>259229</v>
      </c>
      <c r="B185" t="n">
        <v>180</v>
      </c>
      <c r="C185" t="inlineStr">
        <is>
          <t>Nuv Gastrobar</t>
        </is>
      </c>
      <c r="D185" t="inlineStr">
        <is>
          <t>LPQBR RESTAURANTES E PADARIAS LTDA</t>
        </is>
      </c>
      <c r="E185" t="inlineStr">
        <is>
          <t>89523</t>
        </is>
      </c>
      <c r="F185" s="525" t="n">
        <v>46254</v>
      </c>
      <c r="G185" t="n">
        <v>30375</v>
      </c>
      <c r="H185" t="inlineStr">
        <is>
          <t>PAIN AU CHOCOLAT LPQ 80G CX C/18 UN</t>
        </is>
      </c>
      <c r="I185" t="inlineStr">
        <is>
          <t>ALIMENTOS</t>
        </is>
      </c>
      <c r="J185" t="n">
        <v>3</v>
      </c>
      <c r="K185" t="inlineStr">
        <is>
          <t>CX</t>
        </is>
      </c>
      <c r="L185" t="n">
        <v>475.2</v>
      </c>
      <c r="M185" t="n">
        <v>158.4</v>
      </c>
      <c r="O185" t="inlineStr">
        <is>
          <t>08/2026</t>
        </is>
      </c>
    </row>
    <row r="186">
      <c r="A186" t="n">
        <v>259224</v>
      </c>
      <c r="B186" t="n">
        <v>180</v>
      </c>
      <c r="C186" t="inlineStr">
        <is>
          <t>Nuv Gastrobar</t>
        </is>
      </c>
      <c r="D186" t="inlineStr">
        <is>
          <t>ATACADISTA KINGFOOD PRODUTOS ALIMENTICIO</t>
        </is>
      </c>
      <c r="E186" t="inlineStr">
        <is>
          <t>301720</t>
        </is>
      </c>
      <c r="F186" s="525" t="n">
        <v>46252</v>
      </c>
      <c r="G186" t="n">
        <v>19714</v>
      </c>
      <c r="H186" t="inlineStr">
        <is>
          <t>UVA PASSA BRANCA SEM SEMENTE C/1KG PC</t>
        </is>
      </c>
      <c r="I186" t="inlineStr">
        <is>
          <t>ALIMENTOS</t>
        </is>
      </c>
      <c r="J186" t="n">
        <v>2</v>
      </c>
      <c r="K186" t="inlineStr">
        <is>
          <t>PC</t>
        </is>
      </c>
      <c r="L186" t="n">
        <v>69.8</v>
      </c>
      <c r="M186" t="n">
        <v>34.9</v>
      </c>
      <c r="O186" t="inlineStr">
        <is>
          <t>08/2026</t>
        </is>
      </c>
    </row>
    <row r="187">
      <c r="A187" t="n">
        <v>259224</v>
      </c>
      <c r="B187" t="n">
        <v>180</v>
      </c>
      <c r="C187" t="inlineStr">
        <is>
          <t>Nuv Gastrobar</t>
        </is>
      </c>
      <c r="D187" t="inlineStr">
        <is>
          <t>ATACADISTA KINGFOOD PRODUTOS ALIMENTICIO</t>
        </is>
      </c>
      <c r="E187" t="inlineStr">
        <is>
          <t>301720</t>
        </is>
      </c>
      <c r="F187" s="525" t="n">
        <v>46252</v>
      </c>
      <c r="G187" t="n">
        <v>27473</v>
      </c>
      <c r="H187" t="inlineStr">
        <is>
          <t>ACUCAR MASCAVO JR C/1KG</t>
        </is>
      </c>
      <c r="I187" t="inlineStr">
        <is>
          <t>ALIMENTOS</t>
        </is>
      </c>
      <c r="J187" t="n">
        <v>4</v>
      </c>
      <c r="K187" t="inlineStr">
        <is>
          <t>UN</t>
        </is>
      </c>
      <c r="L187" t="n">
        <v>27.6</v>
      </c>
      <c r="M187" t="n">
        <v>6.9</v>
      </c>
      <c r="O187" t="inlineStr">
        <is>
          <t>08/2026</t>
        </is>
      </c>
    </row>
    <row r="188">
      <c r="A188" t="n">
        <v>259224</v>
      </c>
      <c r="B188" t="n">
        <v>180</v>
      </c>
      <c r="C188" t="inlineStr">
        <is>
          <t>Nuv Gastrobar</t>
        </is>
      </c>
      <c r="D188" t="inlineStr">
        <is>
          <t>ATACADISTA KINGFOOD PRODUTOS ALIMENTICIO</t>
        </is>
      </c>
      <c r="E188" t="inlineStr">
        <is>
          <t>301720</t>
        </is>
      </c>
      <c r="F188" s="525" t="n">
        <v>46252</v>
      </c>
      <c r="G188" t="n">
        <v>24118</v>
      </c>
      <c r="H188" t="inlineStr">
        <is>
          <t>CASTANHA DE CAJU CRUA KG</t>
        </is>
      </c>
      <c r="I188" t="inlineStr">
        <is>
          <t>ALIMENTOS</t>
        </is>
      </c>
      <c r="J188" t="n">
        <v>2</v>
      </c>
      <c r="K188" t="inlineStr">
        <is>
          <t>KG</t>
        </is>
      </c>
      <c r="L188" t="n">
        <v>135.78</v>
      </c>
      <c r="M188" t="n">
        <v>67.89</v>
      </c>
      <c r="O188" t="inlineStr">
        <is>
          <t>08/2026</t>
        </is>
      </c>
    </row>
    <row r="189">
      <c r="A189" t="n">
        <v>259224</v>
      </c>
      <c r="B189" t="n">
        <v>180</v>
      </c>
      <c r="C189" t="inlineStr">
        <is>
          <t>Nuv Gastrobar</t>
        </is>
      </c>
      <c r="D189" t="inlineStr">
        <is>
          <t>ATACADISTA KINGFOOD PRODUTOS ALIMENTICIO</t>
        </is>
      </c>
      <c r="E189" t="inlineStr">
        <is>
          <t>301720</t>
        </is>
      </c>
      <c r="F189" s="525" t="n">
        <v>46252</v>
      </c>
      <c r="G189" t="n">
        <v>23648</v>
      </c>
      <c r="H189" t="inlineStr">
        <is>
          <t>CASTANHA DO PARA KG</t>
        </is>
      </c>
      <c r="I189" t="inlineStr">
        <is>
          <t>ALIMENTOS</t>
        </is>
      </c>
      <c r="J189" t="n">
        <v>1</v>
      </c>
      <c r="K189" t="inlineStr">
        <is>
          <t>KG</t>
        </is>
      </c>
      <c r="L189" t="n">
        <v>79.90000000000001</v>
      </c>
      <c r="M189" t="n">
        <v>79.90000000000001</v>
      </c>
      <c r="O189" t="inlineStr">
        <is>
          <t>08/2026</t>
        </is>
      </c>
    </row>
    <row r="190">
      <c r="A190" t="n">
        <v>259224</v>
      </c>
      <c r="B190" t="n">
        <v>180</v>
      </c>
      <c r="C190" t="inlineStr">
        <is>
          <t>Nuv Gastrobar</t>
        </is>
      </c>
      <c r="D190" t="inlineStr">
        <is>
          <t>ATACADISTA KINGFOOD PRODUTOS ALIMENTICIO</t>
        </is>
      </c>
      <c r="E190" t="inlineStr">
        <is>
          <t>301720</t>
        </is>
      </c>
      <c r="F190" s="525" t="n">
        <v>46252</v>
      </c>
      <c r="G190" t="n">
        <v>24039</v>
      </c>
      <c r="H190" t="inlineStr">
        <is>
          <t>AMENDOA INTEIRA CRUA SEM CASCA 1KG</t>
        </is>
      </c>
      <c r="I190" t="inlineStr">
        <is>
          <t>ALIMENTOS</t>
        </is>
      </c>
      <c r="J190" t="n">
        <v>2</v>
      </c>
      <c r="K190" t="inlineStr">
        <is>
          <t>Kg</t>
        </is>
      </c>
      <c r="L190" t="n">
        <v>124</v>
      </c>
      <c r="M190" t="n">
        <v>62</v>
      </c>
      <c r="O190" t="inlineStr">
        <is>
          <t>08/2026</t>
        </is>
      </c>
    </row>
    <row r="191">
      <c r="A191" t="n">
        <v>259220</v>
      </c>
      <c r="B191" t="n">
        <v>180</v>
      </c>
      <c r="C191" t="inlineStr">
        <is>
          <t>Nuv Gastrobar</t>
        </is>
      </c>
      <c r="D191" t="inlineStr">
        <is>
          <t>JR GAIOTTO ALIMENTOS LTDA</t>
        </is>
      </c>
      <c r="E191" t="inlineStr">
        <is>
          <t>103755</t>
        </is>
      </c>
      <c r="F191" s="525" t="n">
        <v>46251</v>
      </c>
      <c r="G191" t="n">
        <v>19792</v>
      </c>
      <c r="H191" t="inlineStr">
        <is>
          <t>FOLHA CAPUCHINHA 130G</t>
        </is>
      </c>
      <c r="I191" t="inlineStr">
        <is>
          <t>ALIMENTOS</t>
        </is>
      </c>
      <c r="J191" t="n">
        <v>3</v>
      </c>
      <c r="K191" t="inlineStr">
        <is>
          <t>BD</t>
        </is>
      </c>
      <c r="L191" t="n">
        <v>147.54</v>
      </c>
      <c r="M191" t="n">
        <v>49.18</v>
      </c>
      <c r="O191" t="inlineStr">
        <is>
          <t>08/2026</t>
        </is>
      </c>
    </row>
    <row r="192">
      <c r="A192" t="n">
        <v>259218</v>
      </c>
      <c r="B192" t="n">
        <v>180</v>
      </c>
      <c r="C192" t="inlineStr">
        <is>
          <t>Nuv Gastrobar</t>
        </is>
      </c>
      <c r="D192" t="inlineStr">
        <is>
          <t>DISTRIBUIDORA E IMPORTADORA IRMAOS AVELINO LTDA</t>
        </is>
      </c>
      <c r="E192" t="inlineStr">
        <is>
          <t>508859</t>
        </is>
      </c>
      <c r="F192" s="525" t="n">
        <v>46256</v>
      </c>
      <c r="G192" t="n">
        <v>23074</v>
      </c>
      <c r="H192" t="inlineStr">
        <is>
          <t>QUEIJO EMMENTAL KG</t>
        </is>
      </c>
      <c r="I192" t="inlineStr">
        <is>
          <t>ALIMENTOS</t>
        </is>
      </c>
      <c r="J192" t="n">
        <v>10.98</v>
      </c>
      <c r="K192" t="inlineStr">
        <is>
          <t>KG</t>
        </is>
      </c>
      <c r="L192" t="n">
        <v>680.76</v>
      </c>
      <c r="M192" t="n">
        <v>62</v>
      </c>
      <c r="O192" t="inlineStr">
        <is>
          <t>08/2026</t>
        </is>
      </c>
    </row>
    <row r="193">
      <c r="A193" t="n">
        <v>259216</v>
      </c>
      <c r="B193" t="n">
        <v>180</v>
      </c>
      <c r="C193" t="inlineStr">
        <is>
          <t>Nuv Gastrobar</t>
        </is>
      </c>
      <c r="D193" t="inlineStr">
        <is>
          <t>GCT COMERCIO DE PRODUTOS ALIMENTICIOS LTDA</t>
        </is>
      </c>
      <c r="E193" t="inlineStr">
        <is>
          <t>13544</t>
        </is>
      </c>
      <c r="F193" s="525" t="n">
        <v>46252</v>
      </c>
      <c r="G193" t="n">
        <v>28316</v>
      </c>
      <c r="H193" t="inlineStr">
        <is>
          <t>GELO ESFERICO C/9UN YCECODE</t>
        </is>
      </c>
      <c r="I193" t="inlineStr">
        <is>
          <t>BEBIDAS</t>
        </is>
      </c>
      <c r="J193" t="n">
        <v>1</v>
      </c>
      <c r="K193" t="inlineStr">
        <is>
          <t>PC</t>
        </is>
      </c>
      <c r="L193" t="n">
        <v>39.05</v>
      </c>
      <c r="M193" t="n">
        <v>39.05</v>
      </c>
      <c r="O193" t="inlineStr">
        <is>
          <t>08/2026</t>
        </is>
      </c>
    </row>
    <row r="194">
      <c r="A194" t="n">
        <v>259216</v>
      </c>
      <c r="B194" t="n">
        <v>180</v>
      </c>
      <c r="C194" t="inlineStr">
        <is>
          <t>Nuv Gastrobar</t>
        </is>
      </c>
      <c r="D194" t="inlineStr">
        <is>
          <t>GCT COMERCIO DE PRODUTOS ALIMENTICIOS LTDA</t>
        </is>
      </c>
      <c r="E194" t="inlineStr">
        <is>
          <t>13544</t>
        </is>
      </c>
      <c r="F194" s="525" t="n">
        <v>46252</v>
      </c>
      <c r="G194" t="n">
        <v>27340</v>
      </c>
      <c r="H194" t="inlineStr">
        <is>
          <t>GELO RETANGULO 50X65MM C/25 UN YCECODE</t>
        </is>
      </c>
      <c r="I194" t="inlineStr">
        <is>
          <t>BEBIDAS</t>
        </is>
      </c>
      <c r="J194" t="n">
        <v>5</v>
      </c>
      <c r="K194" t="inlineStr">
        <is>
          <t>PC</t>
        </is>
      </c>
      <c r="L194" t="n">
        <v>268</v>
      </c>
      <c r="M194" t="n">
        <v>53.6</v>
      </c>
      <c r="O194" t="inlineStr">
        <is>
          <t>08/2026</t>
        </is>
      </c>
    </row>
    <row r="195">
      <c r="A195" t="n">
        <v>259212</v>
      </c>
      <c r="B195" t="n">
        <v>180</v>
      </c>
      <c r="C195" t="inlineStr">
        <is>
          <t>Nuv Gastrobar</t>
        </is>
      </c>
      <c r="D195" t="inlineStr">
        <is>
          <t xml:space="preserve">FORTE ALIMENTOS COM. IMPORTAÇÃO LTDA </t>
        </is>
      </c>
      <c r="E195" t="inlineStr">
        <is>
          <t>391084</t>
        </is>
      </c>
      <c r="F195" s="525" t="n">
        <v>46258</v>
      </c>
      <c r="G195" t="n">
        <v>20501</v>
      </c>
      <c r="H195" t="inlineStr">
        <is>
          <t>LINGUICA TOSCANA AURORA KG</t>
        </is>
      </c>
      <c r="I195" t="inlineStr">
        <is>
          <t>ALIMENTOS</t>
        </is>
      </c>
      <c r="J195" t="n">
        <v>10</v>
      </c>
      <c r="K195" t="inlineStr">
        <is>
          <t>KG</t>
        </is>
      </c>
      <c r="L195" t="n">
        <v>204.8</v>
      </c>
      <c r="M195" t="n">
        <v>20.48</v>
      </c>
      <c r="O195" t="inlineStr">
        <is>
          <t>08/2026</t>
        </is>
      </c>
    </row>
    <row r="196">
      <c r="A196" t="n">
        <v>259212</v>
      </c>
      <c r="B196" t="n">
        <v>180</v>
      </c>
      <c r="C196" t="inlineStr">
        <is>
          <t>Nuv Gastrobar</t>
        </is>
      </c>
      <c r="D196" t="inlineStr">
        <is>
          <t xml:space="preserve">FORTE ALIMENTOS COM. IMPORTAÇÃO LTDA </t>
        </is>
      </c>
      <c r="E196" t="inlineStr">
        <is>
          <t>391084</t>
        </is>
      </c>
      <c r="F196" s="525" t="n">
        <v>46258</v>
      </c>
      <c r="G196" t="n">
        <v>24331</v>
      </c>
      <c r="H196" t="inlineStr">
        <is>
          <t>LINGUICA CALABRESA KG</t>
        </is>
      </c>
      <c r="I196" t="inlineStr">
        <is>
          <t>ALIMENTOS</t>
        </is>
      </c>
      <c r="J196" t="n">
        <v>5</v>
      </c>
      <c r="K196" t="inlineStr">
        <is>
          <t>KG</t>
        </is>
      </c>
      <c r="L196" t="n">
        <v>97.5</v>
      </c>
      <c r="M196" t="n">
        <v>19.5</v>
      </c>
      <c r="O196" t="inlineStr">
        <is>
          <t>08/2026</t>
        </is>
      </c>
    </row>
    <row r="197">
      <c r="A197" t="n">
        <v>259212</v>
      </c>
      <c r="B197" t="n">
        <v>180</v>
      </c>
      <c r="C197" t="inlineStr">
        <is>
          <t>Nuv Gastrobar</t>
        </is>
      </c>
      <c r="D197" t="inlineStr">
        <is>
          <t xml:space="preserve">FORTE ALIMENTOS COM. IMPORTAÇÃO LTDA </t>
        </is>
      </c>
      <c r="E197" t="inlineStr">
        <is>
          <t>391084</t>
        </is>
      </c>
      <c r="F197" s="525" t="n">
        <v>46258</v>
      </c>
      <c r="G197" t="n">
        <v>19017</v>
      </c>
      <c r="H197" t="inlineStr">
        <is>
          <t>FILE DE FRANGO KG</t>
        </is>
      </c>
      <c r="I197" t="inlineStr">
        <is>
          <t>ALIMENTOS</t>
        </is>
      </c>
      <c r="J197" t="n">
        <v>18</v>
      </c>
      <c r="K197" t="inlineStr">
        <is>
          <t>KG</t>
        </is>
      </c>
      <c r="L197" t="n">
        <v>263.7</v>
      </c>
      <c r="M197" t="n">
        <v>14.65</v>
      </c>
      <c r="O197" t="inlineStr">
        <is>
          <t>08/2026</t>
        </is>
      </c>
    </row>
    <row r="198">
      <c r="A198" t="n">
        <v>259212</v>
      </c>
      <c r="B198" t="n">
        <v>180</v>
      </c>
      <c r="C198" t="inlineStr">
        <is>
          <t>Nuv Gastrobar</t>
        </is>
      </c>
      <c r="D198" t="inlineStr">
        <is>
          <t xml:space="preserve">FORTE ALIMENTOS COM. IMPORTAÇÃO LTDA </t>
        </is>
      </c>
      <c r="E198" t="inlineStr">
        <is>
          <t>391084</t>
        </is>
      </c>
      <c r="F198" s="525" t="n">
        <v>46258</v>
      </c>
      <c r="G198" t="n">
        <v>19034</v>
      </c>
      <c r="H198" t="inlineStr">
        <is>
          <t>COXA E SOBRECOXA COM OSSO E COM PELE KG</t>
        </is>
      </c>
      <c r="I198" t="inlineStr">
        <is>
          <t>ALIMENTOS</t>
        </is>
      </c>
      <c r="J198" t="n">
        <v>20</v>
      </c>
      <c r="K198" t="inlineStr">
        <is>
          <t>KG</t>
        </is>
      </c>
      <c r="L198" t="n">
        <v>165.6</v>
      </c>
      <c r="M198" t="n">
        <v>8.279999999999999</v>
      </c>
      <c r="O198" t="inlineStr">
        <is>
          <t>08/2026</t>
        </is>
      </c>
    </row>
    <row r="199">
      <c r="A199" t="n">
        <v>259208</v>
      </c>
      <c r="B199" t="n">
        <v>180</v>
      </c>
      <c r="C199" t="inlineStr">
        <is>
          <t>Nuv Gastrobar</t>
        </is>
      </c>
      <c r="D199" t="inlineStr">
        <is>
          <t>DO CHEF DISTRIBUIDORA DE ALIMENTOS LTDA</t>
        </is>
      </c>
      <c r="E199" t="inlineStr">
        <is>
          <t>4030</t>
        </is>
      </c>
      <c r="F199" s="525" t="n">
        <v>46255</v>
      </c>
      <c r="G199" t="n">
        <v>20254</v>
      </c>
      <c r="H199" t="inlineStr">
        <is>
          <t>COCO FRESCO RALADO KG</t>
        </is>
      </c>
      <c r="I199" t="inlineStr">
        <is>
          <t>ALIMENTOS</t>
        </is>
      </c>
      <c r="J199" t="n">
        <v>3</v>
      </c>
      <c r="K199" t="inlineStr">
        <is>
          <t>KG</t>
        </is>
      </c>
      <c r="L199" t="n">
        <v>93.59999999999999</v>
      </c>
      <c r="M199" t="n">
        <v>31.2</v>
      </c>
      <c r="O199" t="inlineStr">
        <is>
          <t>08/2026</t>
        </is>
      </c>
    </row>
    <row r="200">
      <c r="A200" t="n">
        <v>259208</v>
      </c>
      <c r="B200" t="n">
        <v>180</v>
      </c>
      <c r="C200" t="inlineStr">
        <is>
          <t>Nuv Gastrobar</t>
        </is>
      </c>
      <c r="D200" t="inlineStr">
        <is>
          <t>DO CHEF DISTRIBUIDORA DE ALIMENTOS LTDA</t>
        </is>
      </c>
      <c r="E200" t="inlineStr">
        <is>
          <t>4030</t>
        </is>
      </c>
      <c r="F200" s="525" t="n">
        <v>46255</v>
      </c>
      <c r="G200" t="n">
        <v>23198</v>
      </c>
      <c r="H200" t="inlineStr">
        <is>
          <t>PIMENTAO VERMELHO KG</t>
        </is>
      </c>
      <c r="I200" t="inlineStr">
        <is>
          <t>ALIMENTOS</t>
        </is>
      </c>
      <c r="J200" t="n">
        <v>3</v>
      </c>
      <c r="K200" t="inlineStr">
        <is>
          <t>KG</t>
        </is>
      </c>
      <c r="L200" t="n">
        <v>27.3</v>
      </c>
      <c r="M200" t="n">
        <v>9.1</v>
      </c>
      <c r="O200" t="inlineStr">
        <is>
          <t>08/2026</t>
        </is>
      </c>
    </row>
    <row r="201">
      <c r="A201" t="n">
        <v>259208</v>
      </c>
      <c r="B201" t="n">
        <v>180</v>
      </c>
      <c r="C201" t="inlineStr">
        <is>
          <t>Nuv Gastrobar</t>
        </is>
      </c>
      <c r="D201" t="inlineStr">
        <is>
          <t>DO CHEF DISTRIBUIDORA DE ALIMENTOS LTDA</t>
        </is>
      </c>
      <c r="E201" t="inlineStr">
        <is>
          <t>4030</t>
        </is>
      </c>
      <c r="F201" s="525" t="n">
        <v>46255</v>
      </c>
      <c r="G201" t="n">
        <v>19654</v>
      </c>
      <c r="H201" t="inlineStr">
        <is>
          <t>ABOBRINHA ITALIANA GRAUDA KG</t>
        </is>
      </c>
      <c r="I201" t="inlineStr">
        <is>
          <t>ALIMENTOS</t>
        </is>
      </c>
      <c r="J201" t="n">
        <v>2</v>
      </c>
      <c r="K201" t="inlineStr">
        <is>
          <t>KG</t>
        </is>
      </c>
      <c r="L201" t="n">
        <v>5.2</v>
      </c>
      <c r="M201" t="n">
        <v>2.6</v>
      </c>
      <c r="O201" t="inlineStr">
        <is>
          <t>08/2026</t>
        </is>
      </c>
    </row>
    <row r="202">
      <c r="A202" t="n">
        <v>259208</v>
      </c>
      <c r="B202" t="n">
        <v>180</v>
      </c>
      <c r="C202" t="inlineStr">
        <is>
          <t>Nuv Gastrobar</t>
        </is>
      </c>
      <c r="D202" t="inlineStr">
        <is>
          <t>DO CHEF DISTRIBUIDORA DE ALIMENTOS LTDA</t>
        </is>
      </c>
      <c r="E202" t="inlineStr">
        <is>
          <t>4030</t>
        </is>
      </c>
      <c r="F202" s="525" t="n">
        <v>46255</v>
      </c>
      <c r="G202" t="n">
        <v>19623</v>
      </c>
      <c r="H202" t="inlineStr">
        <is>
          <t>CEBOLA ROXA KG</t>
        </is>
      </c>
      <c r="I202" t="inlineStr">
        <is>
          <t>ALIMENTOS</t>
        </is>
      </c>
      <c r="J202" t="n">
        <v>2</v>
      </c>
      <c r="K202" t="inlineStr">
        <is>
          <t>KG</t>
        </is>
      </c>
      <c r="L202" t="n">
        <v>11.18</v>
      </c>
      <c r="M202" t="n">
        <v>5.59</v>
      </c>
      <c r="O202" t="inlineStr">
        <is>
          <t>08/2026</t>
        </is>
      </c>
    </row>
    <row r="203">
      <c r="A203" t="n">
        <v>259208</v>
      </c>
      <c r="B203" t="n">
        <v>180</v>
      </c>
      <c r="C203" t="inlineStr">
        <is>
          <t>Nuv Gastrobar</t>
        </is>
      </c>
      <c r="D203" t="inlineStr">
        <is>
          <t>DO CHEF DISTRIBUIDORA DE ALIMENTOS LTDA</t>
        </is>
      </c>
      <c r="E203" t="inlineStr">
        <is>
          <t>4030</t>
        </is>
      </c>
      <c r="F203" s="525" t="n">
        <v>46255</v>
      </c>
      <c r="G203" t="n">
        <v>19488</v>
      </c>
      <c r="H203" t="inlineStr">
        <is>
          <t>CEBOLINHA KG</t>
        </is>
      </c>
      <c r="I203" t="inlineStr">
        <is>
          <t>ALIMENTOS</t>
        </is>
      </c>
      <c r="J203" t="n">
        <v>1.5</v>
      </c>
      <c r="K203" t="inlineStr">
        <is>
          <t>KG</t>
        </is>
      </c>
      <c r="L203" t="n">
        <v>22.27</v>
      </c>
      <c r="M203" t="n">
        <v>14.846667</v>
      </c>
      <c r="O203" t="inlineStr">
        <is>
          <t>08/2026</t>
        </is>
      </c>
    </row>
    <row r="204">
      <c r="A204" t="n">
        <v>259202</v>
      </c>
      <c r="B204" t="n">
        <v>180</v>
      </c>
      <c r="C204" t="inlineStr">
        <is>
          <t>Nuv Gastrobar</t>
        </is>
      </c>
      <c r="D204" t="inlineStr">
        <is>
          <t>MURILLO S DUARTE COMERCIAL LTDA</t>
        </is>
      </c>
      <c r="E204" t="inlineStr">
        <is>
          <t>2716</t>
        </is>
      </c>
      <c r="F204" s="525" t="n">
        <v>46252</v>
      </c>
      <c r="G204" t="n">
        <v>23642</v>
      </c>
      <c r="H204" t="inlineStr">
        <is>
          <t>COCO EM FITA KG</t>
        </is>
      </c>
      <c r="I204" t="inlineStr">
        <is>
          <t>ALIMENTOS</t>
        </is>
      </c>
      <c r="J204" t="n">
        <v>1</v>
      </c>
      <c r="K204" t="inlineStr">
        <is>
          <t>KG</t>
        </is>
      </c>
      <c r="L204" t="n">
        <v>52.9</v>
      </c>
      <c r="M204" t="n">
        <v>52.9</v>
      </c>
      <c r="O204" t="inlineStr">
        <is>
          <t>08/2026</t>
        </is>
      </c>
    </row>
    <row r="205">
      <c r="A205" t="n">
        <v>259202</v>
      </c>
      <c r="B205" t="n">
        <v>180</v>
      </c>
      <c r="C205" t="inlineStr">
        <is>
          <t>Nuv Gastrobar</t>
        </is>
      </c>
      <c r="D205" t="inlineStr">
        <is>
          <t>MURILLO S DUARTE COMERCIAL LTDA</t>
        </is>
      </c>
      <c r="E205" t="inlineStr">
        <is>
          <t>2716</t>
        </is>
      </c>
      <c r="F205" s="525" t="n">
        <v>46252</v>
      </c>
      <c r="G205" t="n">
        <v>24041</v>
      </c>
      <c r="H205" t="inlineStr">
        <is>
          <t>AMENDOIM CRU S/ PELE KG</t>
        </is>
      </c>
      <c r="I205" t="inlineStr">
        <is>
          <t>ALIMENTOS</t>
        </is>
      </c>
      <c r="J205" t="n">
        <v>1</v>
      </c>
      <c r="K205" t="inlineStr">
        <is>
          <t>KG</t>
        </is>
      </c>
      <c r="L205" t="n">
        <v>16.9</v>
      </c>
      <c r="M205" t="n">
        <v>16.9</v>
      </c>
      <c r="O205" t="inlineStr">
        <is>
          <t>08/2026</t>
        </is>
      </c>
    </row>
    <row r="206">
      <c r="A206" t="n">
        <v>259202</v>
      </c>
      <c r="B206" t="n">
        <v>180</v>
      </c>
      <c r="C206" t="inlineStr">
        <is>
          <t>Nuv Gastrobar</t>
        </is>
      </c>
      <c r="D206" t="inlineStr">
        <is>
          <t>MURILLO S DUARTE COMERCIAL LTDA</t>
        </is>
      </c>
      <c r="E206" t="inlineStr">
        <is>
          <t>2716</t>
        </is>
      </c>
      <c r="F206" s="525" t="n">
        <v>46252</v>
      </c>
      <c r="G206" t="n">
        <v>20948</v>
      </c>
      <c r="H206" t="inlineStr">
        <is>
          <t>OLEO DE COCO C/200ML UN</t>
        </is>
      </c>
      <c r="I206" t="inlineStr">
        <is>
          <t>ALIMENTOS</t>
        </is>
      </c>
      <c r="J206" t="n">
        <v>3</v>
      </c>
      <c r="K206" t="inlineStr">
        <is>
          <t>UN</t>
        </is>
      </c>
      <c r="L206" t="n">
        <v>54.6</v>
      </c>
      <c r="M206" t="n">
        <v>18.2</v>
      </c>
      <c r="O206" t="inlineStr">
        <is>
          <t>08/2026</t>
        </is>
      </c>
    </row>
    <row r="207">
      <c r="A207" t="n">
        <v>259202</v>
      </c>
      <c r="B207" t="n">
        <v>180</v>
      </c>
      <c r="C207" t="inlineStr">
        <is>
          <t>Nuv Gastrobar</t>
        </is>
      </c>
      <c r="D207" t="inlineStr">
        <is>
          <t>MURILLO S DUARTE COMERCIAL LTDA</t>
        </is>
      </c>
      <c r="E207" t="inlineStr">
        <is>
          <t>2716</t>
        </is>
      </c>
      <c r="F207" s="525" t="n">
        <v>46252</v>
      </c>
      <c r="G207" t="n">
        <v>20861</v>
      </c>
      <c r="H207" t="inlineStr">
        <is>
          <t>GEMA DE OVO PASTEURIZADA NETTO C/1KG UN</t>
        </is>
      </c>
      <c r="I207" t="inlineStr">
        <is>
          <t>ALIMENTOS</t>
        </is>
      </c>
      <c r="J207" t="n">
        <v>24</v>
      </c>
      <c r="K207" t="inlineStr">
        <is>
          <t>UN</t>
        </is>
      </c>
      <c r="L207" t="n">
        <v>1120.8</v>
      </c>
      <c r="M207" t="n">
        <v>46.7</v>
      </c>
      <c r="O207" t="inlineStr">
        <is>
          <t>08/2026</t>
        </is>
      </c>
    </row>
    <row r="208">
      <c r="A208" t="n">
        <v>259201</v>
      </c>
      <c r="B208" t="n">
        <v>180</v>
      </c>
      <c r="C208" t="inlineStr">
        <is>
          <t>Nuv Gastrobar</t>
        </is>
      </c>
      <c r="D208" t="inlineStr">
        <is>
          <t>CG FOOD´S DISTRIBUIDORA DE ALIMENTOS LTDA</t>
        </is>
      </c>
      <c r="E208" t="inlineStr">
        <is>
          <t>198944</t>
        </is>
      </c>
      <c r="F208" s="525" t="n">
        <v>46253</v>
      </c>
      <c r="G208" t="n">
        <v>20743</v>
      </c>
      <c r="H208" t="inlineStr">
        <is>
          <t>AZEITONA PRETA S/ CAROCO YGUARA 2KG</t>
        </is>
      </c>
      <c r="I208" t="inlineStr">
        <is>
          <t>ALIMENTOS</t>
        </is>
      </c>
      <c r="J208" t="n">
        <v>3</v>
      </c>
      <c r="K208" t="inlineStr">
        <is>
          <t>UN</t>
        </is>
      </c>
      <c r="L208" t="n">
        <v>215.7</v>
      </c>
      <c r="M208" t="n">
        <v>71.90000000000001</v>
      </c>
      <c r="O208" t="inlineStr">
        <is>
          <t>08/2026</t>
        </is>
      </c>
    </row>
    <row r="209">
      <c r="A209" t="n">
        <v>259201</v>
      </c>
      <c r="B209" t="n">
        <v>180</v>
      </c>
      <c r="C209" t="inlineStr">
        <is>
          <t>Nuv Gastrobar</t>
        </is>
      </c>
      <c r="D209" t="inlineStr">
        <is>
          <t>CG FOOD´S DISTRIBUIDORA DE ALIMENTOS LTDA</t>
        </is>
      </c>
      <c r="E209" t="inlineStr">
        <is>
          <t>198944</t>
        </is>
      </c>
      <c r="F209" s="525" t="n">
        <v>46253</v>
      </c>
      <c r="G209" t="n">
        <v>19902</v>
      </c>
      <c r="H209" t="inlineStr">
        <is>
          <t>SAL SACHE CISNE 1000X0,001G</t>
        </is>
      </c>
      <c r="I209" t="inlineStr">
        <is>
          <t>ALIMENTOS</t>
        </is>
      </c>
      <c r="J209" t="n">
        <v>3</v>
      </c>
      <c r="K209" t="inlineStr">
        <is>
          <t>CX</t>
        </is>
      </c>
      <c r="L209" t="n">
        <v>73.5</v>
      </c>
      <c r="M209" t="n">
        <v>24.5</v>
      </c>
      <c r="O209" t="inlineStr">
        <is>
          <t>08/2026</t>
        </is>
      </c>
    </row>
    <row r="210">
      <c r="A210" t="n">
        <v>259200</v>
      </c>
      <c r="B210" t="n">
        <v>180</v>
      </c>
      <c r="C210" t="inlineStr">
        <is>
          <t>Nuv Gastrobar</t>
        </is>
      </c>
      <c r="D210" t="inlineStr">
        <is>
          <t>CECILIA TSUYACO ARAKI SILVA LTDA</t>
        </is>
      </c>
      <c r="E210" t="inlineStr">
        <is>
          <t>397958</t>
        </is>
      </c>
      <c r="F210" s="525" t="n">
        <v>46255</v>
      </c>
      <c r="G210" t="n">
        <v>19752</v>
      </c>
      <c r="H210" t="inlineStr">
        <is>
          <t>LIMAO CRAVO KG</t>
        </is>
      </c>
      <c r="I210" t="inlineStr">
        <is>
          <t>ALIMENTOS</t>
        </is>
      </c>
      <c r="J210" t="n">
        <v>2</v>
      </c>
      <c r="K210" t="inlineStr">
        <is>
          <t>KG</t>
        </is>
      </c>
      <c r="L210" t="n">
        <v>16</v>
      </c>
      <c r="M210" t="n">
        <v>8</v>
      </c>
      <c r="O210" t="inlineStr">
        <is>
          <t>08/2026</t>
        </is>
      </c>
    </row>
    <row r="211">
      <c r="A211" t="n">
        <v>259200</v>
      </c>
      <c r="B211" t="n">
        <v>180</v>
      </c>
      <c r="C211" t="inlineStr">
        <is>
          <t>Nuv Gastrobar</t>
        </is>
      </c>
      <c r="D211" t="inlineStr">
        <is>
          <t>CECILIA TSUYACO ARAKI SILVA LTDA</t>
        </is>
      </c>
      <c r="E211" t="inlineStr">
        <is>
          <t>397958</t>
        </is>
      </c>
      <c r="F211" s="525" t="n">
        <v>46255</v>
      </c>
      <c r="G211" t="n">
        <v>19617</v>
      </c>
      <c r="H211" t="inlineStr">
        <is>
          <t>COENTRO KG</t>
        </is>
      </c>
      <c r="I211" t="inlineStr">
        <is>
          <t>ALIMENTOS</t>
        </is>
      </c>
      <c r="J211" t="n">
        <v>1.5</v>
      </c>
      <c r="K211" t="inlineStr">
        <is>
          <t>KG</t>
        </is>
      </c>
      <c r="L211" t="n">
        <v>16.5</v>
      </c>
      <c r="M211" t="n">
        <v>11</v>
      </c>
      <c r="O211" t="inlineStr">
        <is>
          <t>08/2026</t>
        </is>
      </c>
    </row>
    <row r="212">
      <c r="A212" t="n">
        <v>259200</v>
      </c>
      <c r="B212" t="n">
        <v>180</v>
      </c>
      <c r="C212" t="inlineStr">
        <is>
          <t>Nuv Gastrobar</t>
        </is>
      </c>
      <c r="D212" t="inlineStr">
        <is>
          <t>CECILIA TSUYACO ARAKI SILVA LTDA</t>
        </is>
      </c>
      <c r="E212" t="inlineStr">
        <is>
          <t>397958</t>
        </is>
      </c>
      <c r="F212" s="525" t="n">
        <v>46255</v>
      </c>
      <c r="G212" t="n">
        <v>23113</v>
      </c>
      <c r="H212" t="inlineStr">
        <is>
          <t>SALSA KG</t>
        </is>
      </c>
      <c r="I212" t="inlineStr">
        <is>
          <t>ALIMENTOS</t>
        </is>
      </c>
      <c r="J212" t="n">
        <v>1.5</v>
      </c>
      <c r="K212" t="inlineStr">
        <is>
          <t>KG</t>
        </is>
      </c>
      <c r="L212" t="n">
        <v>10.5</v>
      </c>
      <c r="M212" t="n">
        <v>7</v>
      </c>
      <c r="O212" t="inlineStr">
        <is>
          <t>08/2026</t>
        </is>
      </c>
    </row>
    <row r="213">
      <c r="A213" t="n">
        <v>259200</v>
      </c>
      <c r="B213" t="n">
        <v>180</v>
      </c>
      <c r="C213" t="inlineStr">
        <is>
          <t>Nuv Gastrobar</t>
        </is>
      </c>
      <c r="D213" t="inlineStr">
        <is>
          <t>CECILIA TSUYACO ARAKI SILVA LTDA</t>
        </is>
      </c>
      <c r="E213" t="inlineStr">
        <is>
          <t>397958</t>
        </is>
      </c>
      <c r="F213" s="525" t="n">
        <v>46255</v>
      </c>
      <c r="G213" t="n">
        <v>19480</v>
      </c>
      <c r="H213" t="inlineStr">
        <is>
          <t>HORTELA HIDROPONICA KG</t>
        </is>
      </c>
      <c r="I213" t="inlineStr">
        <is>
          <t>ALIMENTOS</t>
        </is>
      </c>
      <c r="J213" t="n">
        <v>0.1</v>
      </c>
      <c r="K213" t="inlineStr">
        <is>
          <t>KG</t>
        </is>
      </c>
      <c r="L213" t="n">
        <v>2.1</v>
      </c>
      <c r="M213" t="n">
        <v>21</v>
      </c>
      <c r="O213" t="inlineStr">
        <is>
          <t>08/2026</t>
        </is>
      </c>
    </row>
    <row r="214">
      <c r="A214" t="n">
        <v>259200</v>
      </c>
      <c r="B214" t="n">
        <v>180</v>
      </c>
      <c r="C214" t="inlineStr">
        <is>
          <t>Nuv Gastrobar</t>
        </is>
      </c>
      <c r="D214" t="inlineStr">
        <is>
          <t>CECILIA TSUYACO ARAKI SILVA LTDA</t>
        </is>
      </c>
      <c r="E214" t="inlineStr">
        <is>
          <t>397958</t>
        </is>
      </c>
      <c r="F214" s="525" t="n">
        <v>46255</v>
      </c>
      <c r="G214" t="n">
        <v>19572</v>
      </c>
      <c r="H214" t="inlineStr">
        <is>
          <t>PIMENTA DEDO DE MOCA KG</t>
        </is>
      </c>
      <c r="I214" t="inlineStr">
        <is>
          <t>ALIMENTOS</t>
        </is>
      </c>
      <c r="J214" t="n">
        <v>2</v>
      </c>
      <c r="K214" t="inlineStr">
        <is>
          <t>KG</t>
        </is>
      </c>
      <c r="L214" t="n">
        <v>32</v>
      </c>
      <c r="M214" t="n">
        <v>16</v>
      </c>
      <c r="O214" t="inlineStr">
        <is>
          <t>08/2026</t>
        </is>
      </c>
    </row>
    <row r="215">
      <c r="A215" t="n">
        <v>259200</v>
      </c>
      <c r="B215" t="n">
        <v>180</v>
      </c>
      <c r="C215" t="inlineStr">
        <is>
          <t>Nuv Gastrobar</t>
        </is>
      </c>
      <c r="D215" t="inlineStr">
        <is>
          <t>CECILIA TSUYACO ARAKI SILVA LTDA</t>
        </is>
      </c>
      <c r="E215" t="inlineStr">
        <is>
          <t>397958</t>
        </is>
      </c>
      <c r="F215" s="525" t="n">
        <v>46255</v>
      </c>
      <c r="G215" t="n">
        <v>25162</v>
      </c>
      <c r="H215" t="inlineStr">
        <is>
          <t>ESPIGA MILHO VERDE KG</t>
        </is>
      </c>
      <c r="I215" t="inlineStr">
        <is>
          <t>ALIMENTOS</t>
        </is>
      </c>
      <c r="J215" t="n">
        <v>4</v>
      </c>
      <c r="K215" t="inlineStr">
        <is>
          <t>KG</t>
        </is>
      </c>
      <c r="L215" t="n">
        <v>24</v>
      </c>
      <c r="M215" t="n">
        <v>6</v>
      </c>
      <c r="O215" t="inlineStr">
        <is>
          <t>08/2026</t>
        </is>
      </c>
    </row>
    <row r="216">
      <c r="A216" t="n">
        <v>259199</v>
      </c>
      <c r="B216" t="n">
        <v>180</v>
      </c>
      <c r="C216" t="inlineStr">
        <is>
          <t>Nuv Gastrobar</t>
        </is>
      </c>
      <c r="D216" t="inlineStr">
        <is>
          <t>CECILIA TSUYACO ARAKI SILVA LTDA</t>
        </is>
      </c>
      <c r="E216" t="inlineStr">
        <is>
          <t>396761</t>
        </is>
      </c>
      <c r="F216" s="525" t="n">
        <v>46238</v>
      </c>
      <c r="G216" t="n">
        <v>19600</v>
      </c>
      <c r="H216" t="inlineStr">
        <is>
          <t>MAXIXE KG</t>
        </is>
      </c>
      <c r="I216" t="inlineStr">
        <is>
          <t>ALIMENTOS</t>
        </is>
      </c>
      <c r="J216" t="n">
        <v>1</v>
      </c>
      <c r="K216" t="inlineStr">
        <is>
          <t>KG</t>
        </is>
      </c>
      <c r="L216" t="n">
        <v>15</v>
      </c>
      <c r="M216" t="n">
        <v>15</v>
      </c>
      <c r="O216" t="inlineStr">
        <is>
          <t>08/2026</t>
        </is>
      </c>
    </row>
    <row r="217">
      <c r="A217" t="n">
        <v>259199</v>
      </c>
      <c r="B217" t="n">
        <v>180</v>
      </c>
      <c r="C217" t="inlineStr">
        <is>
          <t>Nuv Gastrobar</t>
        </is>
      </c>
      <c r="D217" t="inlineStr">
        <is>
          <t>CECILIA TSUYACO ARAKI SILVA LTDA</t>
        </is>
      </c>
      <c r="E217" t="inlineStr">
        <is>
          <t>396761</t>
        </is>
      </c>
      <c r="F217" s="525" t="n">
        <v>46238</v>
      </c>
      <c r="G217" t="n">
        <v>25162</v>
      </c>
      <c r="H217" t="inlineStr">
        <is>
          <t>ESPIGA MILHO VERDE KG</t>
        </is>
      </c>
      <c r="I217" t="inlineStr">
        <is>
          <t>ALIMENTOS</t>
        </is>
      </c>
      <c r="J217" t="n">
        <v>2</v>
      </c>
      <c r="K217" t="inlineStr">
        <is>
          <t>KG</t>
        </is>
      </c>
      <c r="L217" t="n">
        <v>14</v>
      </c>
      <c r="M217" t="n">
        <v>7</v>
      </c>
      <c r="O217" t="inlineStr">
        <is>
          <t>08/2026</t>
        </is>
      </c>
    </row>
    <row r="218">
      <c r="A218" t="n">
        <v>259199</v>
      </c>
      <c r="B218" t="n">
        <v>180</v>
      </c>
      <c r="C218" t="inlineStr">
        <is>
          <t>Nuv Gastrobar</t>
        </is>
      </c>
      <c r="D218" t="inlineStr">
        <is>
          <t>CECILIA TSUYACO ARAKI SILVA LTDA</t>
        </is>
      </c>
      <c r="E218" t="inlineStr">
        <is>
          <t>396761</t>
        </is>
      </c>
      <c r="F218" s="525" t="n">
        <v>46238</v>
      </c>
      <c r="G218" t="n">
        <v>23385</v>
      </c>
      <c r="H218" t="inlineStr">
        <is>
          <t>CAJU KG</t>
        </is>
      </c>
      <c r="I218" t="inlineStr">
        <is>
          <t>ALIMENTOS</t>
        </is>
      </c>
      <c r="J218" t="n">
        <v>0.5</v>
      </c>
      <c r="K218" t="inlineStr">
        <is>
          <t>KG</t>
        </is>
      </c>
      <c r="L218" t="n">
        <v>18.5</v>
      </c>
      <c r="M218" t="n">
        <v>37</v>
      </c>
      <c r="O218" t="inlineStr">
        <is>
          <t>08/2026</t>
        </is>
      </c>
    </row>
    <row r="219">
      <c r="A219" t="n">
        <v>259197</v>
      </c>
      <c r="B219" t="n">
        <v>180</v>
      </c>
      <c r="C219" t="inlineStr">
        <is>
          <t>Nuv Gastrobar</t>
        </is>
      </c>
      <c r="D219" t="inlineStr">
        <is>
          <t>BATARD PADARIA ARTESANAL LTDA</t>
        </is>
      </c>
      <c r="E219" t="inlineStr">
        <is>
          <t>151166</t>
        </is>
      </c>
      <c r="F219" s="525" t="n">
        <v>46259</v>
      </c>
      <c r="G219" t="n">
        <v>19168</v>
      </c>
      <c r="H219" t="inlineStr">
        <is>
          <t>BAGUETE LEVAIN 570GR UN</t>
        </is>
      </c>
      <c r="I219" t="inlineStr">
        <is>
          <t>ALIMENTOS</t>
        </is>
      </c>
      <c r="J219" t="n">
        <v>15</v>
      </c>
      <c r="K219" t="inlineStr">
        <is>
          <t>UN</t>
        </is>
      </c>
      <c r="L219" t="n">
        <v>273</v>
      </c>
      <c r="M219" t="n">
        <v>18.2</v>
      </c>
      <c r="O219" t="inlineStr">
        <is>
          <t>08/2026</t>
        </is>
      </c>
    </row>
    <row r="220">
      <c r="A220" t="n">
        <v>258780</v>
      </c>
      <c r="B220" t="n">
        <v>180</v>
      </c>
      <c r="C220" t="inlineStr">
        <is>
          <t>Nuv Gastrobar</t>
        </is>
      </c>
      <c r="D220" t="inlineStr">
        <is>
          <t>DTK COMERCIO DE ALIMENTOS LTDA</t>
        </is>
      </c>
      <c r="E220" t="inlineStr">
        <is>
          <t>95882</t>
        </is>
      </c>
      <c r="F220" s="525" t="n">
        <v>46252</v>
      </c>
      <c r="G220" t="n">
        <v>23494</v>
      </c>
      <c r="H220" t="inlineStr">
        <is>
          <t>PIMENTA PRETA EM GRAO KG</t>
        </is>
      </c>
      <c r="I220" t="inlineStr">
        <is>
          <t>ALIMENTOS</t>
        </is>
      </c>
      <c r="J220" t="n">
        <v>2</v>
      </c>
      <c r="K220" t="inlineStr">
        <is>
          <t>KG</t>
        </is>
      </c>
      <c r="L220" t="n">
        <v>97.8</v>
      </c>
      <c r="M220" t="n">
        <v>48.9</v>
      </c>
      <c r="O220" t="inlineStr">
        <is>
          <t>08/2026</t>
        </is>
      </c>
    </row>
    <row r="221">
      <c r="A221" t="n">
        <v>258780</v>
      </c>
      <c r="B221" t="n">
        <v>180</v>
      </c>
      <c r="C221" t="inlineStr">
        <is>
          <t>Nuv Gastrobar</t>
        </is>
      </c>
      <c r="D221" t="inlineStr">
        <is>
          <t>DTK COMERCIO DE ALIMENTOS LTDA</t>
        </is>
      </c>
      <c r="E221" t="inlineStr">
        <is>
          <t>95882</t>
        </is>
      </c>
      <c r="F221" s="525" t="n">
        <v>46252</v>
      </c>
      <c r="G221" t="n">
        <v>19906</v>
      </c>
      <c r="H221" t="inlineStr">
        <is>
          <t>SAL REFINADO CISNE 10X1KG</t>
        </is>
      </c>
      <c r="I221" t="inlineStr">
        <is>
          <t>ALIMENTOS</t>
        </is>
      </c>
      <c r="J221" t="n">
        <v>1</v>
      </c>
      <c r="K221" t="inlineStr">
        <is>
          <t>PC</t>
        </is>
      </c>
      <c r="L221" t="n">
        <v>33.8</v>
      </c>
      <c r="M221" t="n">
        <v>33.8</v>
      </c>
      <c r="O221" t="inlineStr">
        <is>
          <t>08/2026</t>
        </is>
      </c>
    </row>
    <row r="222">
      <c r="A222" t="n">
        <v>258780</v>
      </c>
      <c r="B222" t="n">
        <v>180</v>
      </c>
      <c r="C222" t="inlineStr">
        <is>
          <t>Nuv Gastrobar</t>
        </is>
      </c>
      <c r="D222" t="inlineStr">
        <is>
          <t>DTK COMERCIO DE ALIMENTOS LTDA</t>
        </is>
      </c>
      <c r="E222" t="inlineStr">
        <is>
          <t>95882</t>
        </is>
      </c>
      <c r="F222" s="525" t="n">
        <v>46252</v>
      </c>
      <c r="G222" t="n">
        <v>20589</v>
      </c>
      <c r="H222" t="inlineStr">
        <is>
          <t>TOMATE SECO SAN CARLO C/2KG</t>
        </is>
      </c>
      <c r="I222" t="inlineStr">
        <is>
          <t>ALIMENTOS</t>
        </is>
      </c>
      <c r="J222" t="n">
        <v>1</v>
      </c>
      <c r="K222" t="inlineStr">
        <is>
          <t>BD</t>
        </is>
      </c>
      <c r="L222" t="n">
        <v>27.1</v>
      </c>
      <c r="M222" t="n">
        <v>27.1</v>
      </c>
      <c r="O222" t="inlineStr">
        <is>
          <t>08/2026</t>
        </is>
      </c>
    </row>
    <row r="223">
      <c r="A223" t="n">
        <v>258780</v>
      </c>
      <c r="B223" t="n">
        <v>180</v>
      </c>
      <c r="C223" t="inlineStr">
        <is>
          <t>Nuv Gastrobar</t>
        </is>
      </c>
      <c r="D223" t="inlineStr">
        <is>
          <t>DTK COMERCIO DE ALIMENTOS LTDA</t>
        </is>
      </c>
      <c r="E223" t="inlineStr">
        <is>
          <t>95882</t>
        </is>
      </c>
      <c r="F223" s="525" t="n">
        <v>46252</v>
      </c>
      <c r="G223" t="n">
        <v>20724</v>
      </c>
      <c r="H223" t="inlineStr">
        <is>
          <t>AZEITONA VERDE GORDAL 80/90 DI SALERNO C/2KG</t>
        </is>
      </c>
      <c r="I223" t="inlineStr">
        <is>
          <t>ALIMENTOS</t>
        </is>
      </c>
      <c r="J223" t="n">
        <v>1</v>
      </c>
      <c r="K223" t="inlineStr">
        <is>
          <t>BD</t>
        </is>
      </c>
      <c r="L223" t="n">
        <v>68.88</v>
      </c>
      <c r="M223" t="n">
        <v>68.88</v>
      </c>
      <c r="O223" t="inlineStr">
        <is>
          <t>08/2026</t>
        </is>
      </c>
    </row>
    <row r="224">
      <c r="A224" t="n">
        <v>258780</v>
      </c>
      <c r="B224" t="n">
        <v>180</v>
      </c>
      <c r="C224" t="inlineStr">
        <is>
          <t>Nuv Gastrobar</t>
        </is>
      </c>
      <c r="D224" t="inlineStr">
        <is>
          <t>DTK COMERCIO DE ALIMENTOS LTDA</t>
        </is>
      </c>
      <c r="E224" t="inlineStr">
        <is>
          <t>95882</t>
        </is>
      </c>
      <c r="F224" s="525" t="n">
        <v>46252</v>
      </c>
      <c r="G224" t="n">
        <v>21093</v>
      </c>
      <c r="H224" t="inlineStr">
        <is>
          <t>ACUCAR REFINADO UNIAO 1KG UN KG</t>
        </is>
      </c>
      <c r="I224" t="inlineStr">
        <is>
          <t>ALIMENTOS</t>
        </is>
      </c>
      <c r="J224" t="n">
        <v>30</v>
      </c>
      <c r="K224" t="inlineStr">
        <is>
          <t>UN</t>
        </is>
      </c>
      <c r="L224" t="n">
        <v>107.7</v>
      </c>
      <c r="M224" t="n">
        <v>3.59</v>
      </c>
      <c r="O224" t="inlineStr">
        <is>
          <t>08/2026</t>
        </is>
      </c>
    </row>
    <row r="225">
      <c r="A225" t="n">
        <v>258780</v>
      </c>
      <c r="B225" t="n">
        <v>180</v>
      </c>
      <c r="C225" t="inlineStr">
        <is>
          <t>Nuv Gastrobar</t>
        </is>
      </c>
      <c r="D225" t="inlineStr">
        <is>
          <t>DTK COMERCIO DE ALIMENTOS LTDA</t>
        </is>
      </c>
      <c r="E225" t="inlineStr">
        <is>
          <t>95882</t>
        </is>
      </c>
      <c r="F225" s="525" t="n">
        <v>46252</v>
      </c>
      <c r="G225" t="n">
        <v>20961</v>
      </c>
      <c r="H225" t="inlineStr">
        <is>
          <t>VINAGRE DE MACA CASTELO 750ML UN</t>
        </is>
      </c>
      <c r="I225" t="inlineStr">
        <is>
          <t>ALIMENTOS</t>
        </is>
      </c>
      <c r="J225" t="n">
        <v>12</v>
      </c>
      <c r="K225" t="inlineStr">
        <is>
          <t>UN</t>
        </is>
      </c>
      <c r="L225" t="n">
        <v>111</v>
      </c>
      <c r="M225" t="n">
        <v>9.25</v>
      </c>
      <c r="O225" t="inlineStr">
        <is>
          <t>08/2026</t>
        </is>
      </c>
    </row>
    <row r="226">
      <c r="A226" t="n">
        <v>258780</v>
      </c>
      <c r="B226" t="n">
        <v>180</v>
      </c>
      <c r="C226" t="inlineStr">
        <is>
          <t>Nuv Gastrobar</t>
        </is>
      </c>
      <c r="D226" t="inlineStr">
        <is>
          <t>DTK COMERCIO DE ALIMENTOS LTDA</t>
        </is>
      </c>
      <c r="E226" t="inlineStr">
        <is>
          <t>95882</t>
        </is>
      </c>
      <c r="F226" s="525" t="n">
        <v>46252</v>
      </c>
      <c r="G226" t="n">
        <v>27977</v>
      </c>
      <c r="H226" t="inlineStr">
        <is>
          <t>CHOCOLATE AMARGO GOTAS 70% CACAU NOBRE SICAO 1,01KG</t>
        </is>
      </c>
      <c r="I226" t="inlineStr">
        <is>
          <t>ALIMENTOS</t>
        </is>
      </c>
      <c r="J226" t="n">
        <v>6</v>
      </c>
      <c r="K226" t="inlineStr">
        <is>
          <t>UN</t>
        </is>
      </c>
      <c r="L226" t="n">
        <v>959.4</v>
      </c>
      <c r="M226" t="n">
        <v>159.9</v>
      </c>
      <c r="O226" t="inlineStr">
        <is>
          <t>08/2026</t>
        </is>
      </c>
    </row>
    <row r="227">
      <c r="A227" t="n">
        <v>258779</v>
      </c>
      <c r="B227" t="n">
        <v>180</v>
      </c>
      <c r="C227" t="inlineStr">
        <is>
          <t>Nuv Gastrobar</t>
        </is>
      </c>
      <c r="D227" t="inlineStr">
        <is>
          <t>PSSS LTDA</t>
        </is>
      </c>
      <c r="E227" t="inlineStr">
        <is>
          <t>709</t>
        </is>
      </c>
      <c r="F227" s="525" t="n">
        <v>46254</v>
      </c>
      <c r="G227" t="n">
        <v>21587</v>
      </c>
      <c r="H227" t="inlineStr">
        <is>
          <t>BORRIFADOR PULVERIZADOR SPRAY PLASTICO 500ML UN</t>
        </is>
      </c>
      <c r="I227" t="inlineStr">
        <is>
          <t>DESCARTAVEIS/HIGIENE E LIMPEZA</t>
        </is>
      </c>
      <c r="J227" t="n">
        <v>15</v>
      </c>
      <c r="K227" t="inlineStr">
        <is>
          <t>UN</t>
        </is>
      </c>
      <c r="L227" t="n">
        <v>97.5</v>
      </c>
      <c r="M227" t="n">
        <v>6.5</v>
      </c>
      <c r="O227" t="inlineStr">
        <is>
          <t>08/2026</t>
        </is>
      </c>
    </row>
    <row r="228">
      <c r="A228" t="n">
        <v>258778</v>
      </c>
      <c r="B228" t="n">
        <v>180</v>
      </c>
      <c r="C228" t="inlineStr">
        <is>
          <t>Nuv Gastrobar</t>
        </is>
      </c>
      <c r="D228" t="inlineStr">
        <is>
          <t>PSSS LTDA</t>
        </is>
      </c>
      <c r="E228" t="inlineStr">
        <is>
          <t>693</t>
        </is>
      </c>
      <c r="F228" s="525" t="n">
        <v>46253</v>
      </c>
      <c r="G228" t="n">
        <v>17190</v>
      </c>
      <c r="H228" t="inlineStr">
        <is>
          <t>ESPONJA FIBRACO TININDO 3M C/5 UN</t>
        </is>
      </c>
      <c r="I228" t="inlineStr">
        <is>
          <t>DESCARTAVEIS/HIGIENE E LIMPEZA</t>
        </is>
      </c>
      <c r="J228" t="n">
        <v>5</v>
      </c>
      <c r="K228" t="inlineStr">
        <is>
          <t>PC</t>
        </is>
      </c>
      <c r="L228" t="n">
        <v>50.5</v>
      </c>
      <c r="M228" t="n">
        <v>10.1</v>
      </c>
      <c r="O228" t="inlineStr">
        <is>
          <t>08/2026</t>
        </is>
      </c>
    </row>
    <row r="229">
      <c r="A229" t="n">
        <v>258778</v>
      </c>
      <c r="B229" t="n">
        <v>180</v>
      </c>
      <c r="C229" t="inlineStr">
        <is>
          <t>Nuv Gastrobar</t>
        </is>
      </c>
      <c r="D229" t="inlineStr">
        <is>
          <t>PSSS LTDA</t>
        </is>
      </c>
      <c r="E229" t="inlineStr">
        <is>
          <t>693</t>
        </is>
      </c>
      <c r="F229" s="525" t="n">
        <v>46253</v>
      </c>
      <c r="G229" t="n">
        <v>17498</v>
      </c>
      <c r="H229" t="inlineStr">
        <is>
          <t>LUVA NITR G SEM TALCO PRETA C/100</t>
        </is>
      </c>
      <c r="I229" t="inlineStr">
        <is>
          <t>DESCARTAVEIS/HIGIENE E LIMPEZA</t>
        </is>
      </c>
      <c r="J229" t="n">
        <v>3</v>
      </c>
      <c r="K229" t="inlineStr">
        <is>
          <t>CX</t>
        </is>
      </c>
      <c r="L229" t="n">
        <v>89.7</v>
      </c>
      <c r="M229" t="n">
        <v>29.9</v>
      </c>
      <c r="O229" t="inlineStr">
        <is>
          <t>08/2026</t>
        </is>
      </c>
    </row>
    <row r="230">
      <c r="A230" t="n">
        <v>258778</v>
      </c>
      <c r="B230" t="n">
        <v>180</v>
      </c>
      <c r="C230" t="inlineStr">
        <is>
          <t>Nuv Gastrobar</t>
        </is>
      </c>
      <c r="D230" t="inlineStr">
        <is>
          <t>PSSS LTDA</t>
        </is>
      </c>
      <c r="E230" t="inlineStr">
        <is>
          <t>693</t>
        </is>
      </c>
      <c r="F230" s="525" t="n">
        <v>46253</v>
      </c>
      <c r="G230" t="n">
        <v>17496</v>
      </c>
      <c r="H230" t="inlineStr">
        <is>
          <t>LUVA NITR M SEM TALCO C/100</t>
        </is>
      </c>
      <c r="I230" t="inlineStr">
        <is>
          <t>UTENSILIOS</t>
        </is>
      </c>
      <c r="J230" t="n">
        <v>3</v>
      </c>
      <c r="K230" t="inlineStr">
        <is>
          <t>CX</t>
        </is>
      </c>
      <c r="L230" t="n">
        <v>89.7</v>
      </c>
      <c r="M230" t="n">
        <v>29.9</v>
      </c>
      <c r="O230" t="inlineStr">
        <is>
          <t>08/2026</t>
        </is>
      </c>
    </row>
    <row r="231">
      <c r="A231" t="n">
        <v>258778</v>
      </c>
      <c r="B231" t="n">
        <v>180</v>
      </c>
      <c r="C231" t="inlineStr">
        <is>
          <t>Nuv Gastrobar</t>
        </is>
      </c>
      <c r="D231" t="inlineStr">
        <is>
          <t>PSSS LTDA</t>
        </is>
      </c>
      <c r="E231" t="inlineStr">
        <is>
          <t>693</t>
        </is>
      </c>
      <c r="F231" s="525" t="n">
        <v>46253</v>
      </c>
      <c r="G231" t="n">
        <v>17362</v>
      </c>
      <c r="H231" t="inlineStr">
        <is>
          <t>TOUCA NYLION PRETA C/100UN</t>
        </is>
      </c>
      <c r="I231" t="inlineStr">
        <is>
          <t>DESCARTAVEIS/HIGIENE E LIMPEZA</t>
        </is>
      </c>
      <c r="J231" t="n">
        <v>1</v>
      </c>
      <c r="K231" t="inlineStr">
        <is>
          <t>PC</t>
        </is>
      </c>
      <c r="L231" t="n">
        <v>49.97</v>
      </c>
      <c r="M231" t="n">
        <v>49.97</v>
      </c>
      <c r="O231" t="inlineStr">
        <is>
          <t>08/2026</t>
        </is>
      </c>
    </row>
    <row r="232">
      <c r="A232" t="n">
        <v>258778</v>
      </c>
      <c r="B232" t="n">
        <v>180</v>
      </c>
      <c r="C232" t="inlineStr">
        <is>
          <t>Nuv Gastrobar</t>
        </is>
      </c>
      <c r="D232" t="inlineStr">
        <is>
          <t>PSSS LTDA</t>
        </is>
      </c>
      <c r="E232" t="inlineStr">
        <is>
          <t>693</t>
        </is>
      </c>
      <c r="F232" s="525" t="n">
        <v>46253</v>
      </c>
      <c r="G232" t="n">
        <v>17405</v>
      </c>
      <c r="H232" t="inlineStr">
        <is>
          <t>SACO PLASTICO BOBINA PICOTADA ROLL 20X30 KG</t>
        </is>
      </c>
      <c r="I232" t="inlineStr">
        <is>
          <t>DESCARTAVEIS/HIGIENE E LIMPEZA</t>
        </is>
      </c>
      <c r="J232" t="n">
        <v>2</v>
      </c>
      <c r="K232" t="inlineStr">
        <is>
          <t>UN</t>
        </is>
      </c>
      <c r="L232" t="n">
        <v>28</v>
      </c>
      <c r="M232" t="n">
        <v>14</v>
      </c>
      <c r="O232" t="inlineStr">
        <is>
          <t>08/2026</t>
        </is>
      </c>
    </row>
    <row r="233">
      <c r="A233" t="n">
        <v>258778</v>
      </c>
      <c r="B233" t="n">
        <v>180</v>
      </c>
      <c r="C233" t="inlineStr">
        <is>
          <t>Nuv Gastrobar</t>
        </is>
      </c>
      <c r="D233" t="inlineStr">
        <is>
          <t>PSSS LTDA</t>
        </is>
      </c>
      <c r="E233" t="inlineStr">
        <is>
          <t>693</t>
        </is>
      </c>
      <c r="F233" s="525" t="n">
        <v>46253</v>
      </c>
      <c r="G233" t="n">
        <v>24505</v>
      </c>
      <c r="H233" t="inlineStr">
        <is>
          <t>PAPEL TOALHA SNOB 1X2 UN</t>
        </is>
      </c>
      <c r="I233" t="inlineStr">
        <is>
          <t>DESCARTAVEIS/HIGIENE E LIMPEZA</t>
        </is>
      </c>
      <c r="J233" t="n">
        <v>12</v>
      </c>
      <c r="K233" t="inlineStr">
        <is>
          <t>PC</t>
        </is>
      </c>
      <c r="L233" t="n">
        <v>59.76</v>
      </c>
      <c r="M233" t="n">
        <v>4.98</v>
      </c>
      <c r="O233" t="inlineStr">
        <is>
          <t>08/2026</t>
        </is>
      </c>
    </row>
    <row r="234">
      <c r="A234" t="n">
        <v>258778</v>
      </c>
      <c r="B234" t="n">
        <v>180</v>
      </c>
      <c r="C234" t="inlineStr">
        <is>
          <t>Nuv Gastrobar</t>
        </is>
      </c>
      <c r="D234" t="inlineStr">
        <is>
          <t>PSSS LTDA</t>
        </is>
      </c>
      <c r="E234" t="inlineStr">
        <is>
          <t>693</t>
        </is>
      </c>
      <c r="F234" s="525" t="n">
        <v>46253</v>
      </c>
      <c r="G234" t="n">
        <v>17504</v>
      </c>
      <c r="H234" t="inlineStr">
        <is>
          <t>LUVA LATEX G SEM TALCO C/100UN</t>
        </is>
      </c>
      <c r="I234" t="inlineStr">
        <is>
          <t>UTENSILIOS</t>
        </is>
      </c>
      <c r="J234" t="n">
        <v>2</v>
      </c>
      <c r="K234" t="inlineStr">
        <is>
          <t>UN</t>
        </is>
      </c>
      <c r="L234" t="n">
        <v>59.8</v>
      </c>
      <c r="M234" t="n">
        <v>29.9</v>
      </c>
      <c r="O234" t="inlineStr">
        <is>
          <t>08/2026</t>
        </is>
      </c>
    </row>
    <row r="235">
      <c r="A235" t="n">
        <v>258778</v>
      </c>
      <c r="B235" t="n">
        <v>180</v>
      </c>
      <c r="C235" t="inlineStr">
        <is>
          <t>Nuv Gastrobar</t>
        </is>
      </c>
      <c r="D235" t="inlineStr">
        <is>
          <t>PSSS LTDA</t>
        </is>
      </c>
      <c r="E235" t="inlineStr">
        <is>
          <t>693</t>
        </is>
      </c>
      <c r="F235" s="525" t="n">
        <v>46253</v>
      </c>
      <c r="G235" t="n">
        <v>17404</v>
      </c>
      <c r="H235" t="inlineStr">
        <is>
          <t>SACO PLASTICO BOBINA PICOTADA ROLL 30X40 KG</t>
        </is>
      </c>
      <c r="I235" t="inlineStr">
        <is>
          <t>DESCARTAVEIS/HIGIENE E LIMPEZA</t>
        </is>
      </c>
      <c r="J235" t="n">
        <v>2</v>
      </c>
      <c r="K235" t="inlineStr">
        <is>
          <t>UN</t>
        </is>
      </c>
      <c r="L235" t="n">
        <v>54</v>
      </c>
      <c r="M235" t="n">
        <v>27</v>
      </c>
      <c r="O235" t="inlineStr">
        <is>
          <t>08/2026</t>
        </is>
      </c>
    </row>
    <row r="236">
      <c r="A236" t="n">
        <v>258778</v>
      </c>
      <c r="B236" t="n">
        <v>180</v>
      </c>
      <c r="C236" t="inlineStr">
        <is>
          <t>Nuv Gastrobar</t>
        </is>
      </c>
      <c r="D236" t="inlineStr">
        <is>
          <t>PSSS LTDA</t>
        </is>
      </c>
      <c r="E236" t="inlineStr">
        <is>
          <t>693</t>
        </is>
      </c>
      <c r="F236" s="525" t="n">
        <v>46253</v>
      </c>
      <c r="G236" t="n">
        <v>26875</v>
      </c>
      <c r="H236" t="inlineStr">
        <is>
          <t>POTE COPOBRAS 1 LITRO COM TAMPA TRANSPARENTE C/25</t>
        </is>
      </c>
      <c r="I236" t="inlineStr">
        <is>
          <t>UTENSILIOS</t>
        </is>
      </c>
      <c r="J236" t="n">
        <v>3</v>
      </c>
      <c r="K236" t="inlineStr">
        <is>
          <t>PC</t>
        </is>
      </c>
      <c r="L236" t="n">
        <v>135</v>
      </c>
      <c r="M236" t="n">
        <v>45</v>
      </c>
      <c r="O236" t="inlineStr">
        <is>
          <t>08/2026</t>
        </is>
      </c>
    </row>
    <row r="237">
      <c r="A237" t="n">
        <v>258778</v>
      </c>
      <c r="B237" t="n">
        <v>180</v>
      </c>
      <c r="C237" t="inlineStr">
        <is>
          <t>Nuv Gastrobar</t>
        </is>
      </c>
      <c r="D237" t="inlineStr">
        <is>
          <t>PSSS LTDA</t>
        </is>
      </c>
      <c r="E237" t="inlineStr">
        <is>
          <t>693</t>
        </is>
      </c>
      <c r="F237" s="525" t="n">
        <v>46253</v>
      </c>
      <c r="G237" t="n">
        <v>17017</v>
      </c>
      <c r="H237" t="inlineStr">
        <is>
          <t>LUVA EMBORRACHADA G AMARELA UN</t>
        </is>
      </c>
      <c r="I237" t="inlineStr">
        <is>
          <t>DESCARTAVEIS/HIGIENE E LIMPEZA</t>
        </is>
      </c>
      <c r="J237" t="n">
        <v>1</v>
      </c>
      <c r="K237" t="inlineStr">
        <is>
          <t>PC</t>
        </is>
      </c>
      <c r="L237" t="n">
        <v>3</v>
      </c>
      <c r="M237" t="n">
        <v>3</v>
      </c>
      <c r="O237" t="inlineStr">
        <is>
          <t>08/2026</t>
        </is>
      </c>
    </row>
    <row r="238">
      <c r="A238" t="n">
        <v>258778</v>
      </c>
      <c r="B238" t="n">
        <v>180</v>
      </c>
      <c r="C238" t="inlineStr">
        <is>
          <t>Nuv Gastrobar</t>
        </is>
      </c>
      <c r="D238" t="inlineStr">
        <is>
          <t>PSSS LTDA</t>
        </is>
      </c>
      <c r="E238" t="inlineStr">
        <is>
          <t>693</t>
        </is>
      </c>
      <c r="F238" s="525" t="n">
        <v>46253</v>
      </c>
      <c r="G238" t="n">
        <v>17383</v>
      </c>
      <c r="H238" t="inlineStr">
        <is>
          <t>SACO PLASTICO BOBINA PICOTADA ROLL 40X60 KG</t>
        </is>
      </c>
      <c r="I238" t="inlineStr">
        <is>
          <t>DESCARTAVEIS/HIGIENE E LIMPEZA</t>
        </is>
      </c>
      <c r="J238" t="n">
        <v>1</v>
      </c>
      <c r="K238" t="inlineStr">
        <is>
          <t>UN</t>
        </is>
      </c>
      <c r="L238" t="n">
        <v>55</v>
      </c>
      <c r="M238" t="n">
        <v>55</v>
      </c>
      <c r="O238" t="inlineStr">
        <is>
          <t>08/2026</t>
        </is>
      </c>
    </row>
    <row r="239">
      <c r="A239" t="n">
        <v>258778</v>
      </c>
      <c r="B239" t="n">
        <v>180</v>
      </c>
      <c r="C239" t="inlineStr">
        <is>
          <t>Nuv Gastrobar</t>
        </is>
      </c>
      <c r="D239" t="inlineStr">
        <is>
          <t>PSSS LTDA</t>
        </is>
      </c>
      <c r="E239" t="inlineStr">
        <is>
          <t>693</t>
        </is>
      </c>
      <c r="F239" s="525" t="n">
        <v>46253</v>
      </c>
      <c r="G239" t="n">
        <v>17138</v>
      </c>
      <c r="H239" t="inlineStr">
        <is>
          <t>RODO DE PLASTICO COM CABO CONDOR 40CM UN</t>
        </is>
      </c>
      <c r="I239" t="inlineStr">
        <is>
          <t>DESCARTAVEIS/HIGIENE E LIMPEZA</t>
        </is>
      </c>
      <c r="J239" t="n">
        <v>2</v>
      </c>
      <c r="K239" t="inlineStr">
        <is>
          <t>UN</t>
        </is>
      </c>
      <c r="L239" t="n">
        <v>17.2</v>
      </c>
      <c r="M239" t="n">
        <v>8.6</v>
      </c>
      <c r="O239" t="inlineStr">
        <is>
          <t>08/2026</t>
        </is>
      </c>
    </row>
    <row r="240">
      <c r="A240" t="n">
        <v>258778</v>
      </c>
      <c r="B240" t="n">
        <v>180</v>
      </c>
      <c r="C240" t="inlineStr">
        <is>
          <t>Nuv Gastrobar</t>
        </is>
      </c>
      <c r="D240" t="inlineStr">
        <is>
          <t>PSSS LTDA</t>
        </is>
      </c>
      <c r="E240" t="inlineStr">
        <is>
          <t>693</t>
        </is>
      </c>
      <c r="F240" s="525" t="n">
        <v>46253</v>
      </c>
      <c r="G240" t="n">
        <v>17418</v>
      </c>
      <c r="H240" t="inlineStr">
        <is>
          <t>PAPEL TOALHA BOBINA LUXO BIA PAPER C/6X20X200M C/6 ROLOS</t>
        </is>
      </c>
      <c r="I240" t="inlineStr">
        <is>
          <t>DESCARTAVEIS/HIGIENE E LIMPEZA</t>
        </is>
      </c>
      <c r="J240" t="n">
        <v>4</v>
      </c>
      <c r="K240" t="inlineStr">
        <is>
          <t>CX</t>
        </is>
      </c>
      <c r="L240" t="n">
        <v>235.6</v>
      </c>
      <c r="M240" t="n">
        <v>58.9</v>
      </c>
      <c r="O240" t="inlineStr">
        <is>
          <t>08/2026</t>
        </is>
      </c>
    </row>
    <row r="241">
      <c r="A241" t="n">
        <v>258778</v>
      </c>
      <c r="B241" t="n">
        <v>180</v>
      </c>
      <c r="C241" t="inlineStr">
        <is>
          <t>Nuv Gastrobar</t>
        </is>
      </c>
      <c r="D241" t="inlineStr">
        <is>
          <t>PSSS LTDA</t>
        </is>
      </c>
      <c r="E241" t="inlineStr">
        <is>
          <t>693</t>
        </is>
      </c>
      <c r="F241" s="525" t="n">
        <v>46253</v>
      </c>
      <c r="G241" t="n">
        <v>29235</v>
      </c>
      <c r="H241" t="inlineStr">
        <is>
          <t>SACO CRISTAL 90X100 DE 10 MICRAS C/1KG UN</t>
        </is>
      </c>
      <c r="I241" t="inlineStr">
        <is>
          <t>DESCARTAVEIS/HIGIENE E LIMPEZA</t>
        </is>
      </c>
      <c r="J241" t="n">
        <v>2</v>
      </c>
      <c r="K241" t="inlineStr">
        <is>
          <t>UN</t>
        </is>
      </c>
      <c r="L241" t="n">
        <v>70</v>
      </c>
      <c r="M241" t="n">
        <v>35</v>
      </c>
      <c r="O241" t="inlineStr">
        <is>
          <t>08/2026</t>
        </is>
      </c>
    </row>
    <row r="242">
      <c r="A242" t="n">
        <v>258778</v>
      </c>
      <c r="B242" t="n">
        <v>180</v>
      </c>
      <c r="C242" t="inlineStr">
        <is>
          <t>Nuv Gastrobar</t>
        </is>
      </c>
      <c r="D242" t="inlineStr">
        <is>
          <t>PSSS LTDA</t>
        </is>
      </c>
      <c r="E242" t="inlineStr">
        <is>
          <t>693</t>
        </is>
      </c>
      <c r="F242" s="525" t="n">
        <v>46253</v>
      </c>
      <c r="G242" t="n">
        <v>17553</v>
      </c>
      <c r="H242" t="inlineStr">
        <is>
          <t>CANUDO BIODEGRADAVEL JUMBO 9MM C/2000 UN</t>
        </is>
      </c>
      <c r="I242" t="inlineStr">
        <is>
          <t>DESCARTAVEIS/HIGIENE E LIMPEZA</t>
        </is>
      </c>
      <c r="J242" t="n">
        <v>10</v>
      </c>
      <c r="K242" t="inlineStr">
        <is>
          <t>PC</t>
        </is>
      </c>
      <c r="L242" t="n">
        <v>80</v>
      </c>
      <c r="M242" t="n">
        <v>8</v>
      </c>
      <c r="O242" t="inlineStr">
        <is>
          <t>08/2026</t>
        </is>
      </c>
    </row>
    <row r="243">
      <c r="A243" t="n">
        <v>258778</v>
      </c>
      <c r="B243" t="n">
        <v>180</v>
      </c>
      <c r="C243" t="inlineStr">
        <is>
          <t>Nuv Gastrobar</t>
        </is>
      </c>
      <c r="D243" t="inlineStr">
        <is>
          <t>PSSS LTDA</t>
        </is>
      </c>
      <c r="E243" t="inlineStr">
        <is>
          <t>693</t>
        </is>
      </c>
      <c r="F243" s="525" t="n">
        <v>46253</v>
      </c>
      <c r="G243" t="n">
        <v>17119</v>
      </c>
      <c r="H243" t="inlineStr">
        <is>
          <t>VASSOURA NYLON SAO BERNARDO COM CABO UN</t>
        </is>
      </c>
      <c r="I243" t="inlineStr">
        <is>
          <t>DESCARTAVEIS/HIGIENE E LIMPEZA</t>
        </is>
      </c>
      <c r="J243" t="n">
        <v>4</v>
      </c>
      <c r="K243" t="inlineStr">
        <is>
          <t>UN</t>
        </is>
      </c>
      <c r="L243" t="n">
        <v>38.16</v>
      </c>
      <c r="M243" t="n">
        <v>9.539999999999999</v>
      </c>
      <c r="O243" t="inlineStr">
        <is>
          <t>08/2026</t>
        </is>
      </c>
    </row>
    <row r="244">
      <c r="A244" t="n">
        <v>258778</v>
      </c>
      <c r="B244" t="n">
        <v>180</v>
      </c>
      <c r="C244" t="inlineStr">
        <is>
          <t>Nuv Gastrobar</t>
        </is>
      </c>
      <c r="D244" t="inlineStr">
        <is>
          <t>PSSS LTDA</t>
        </is>
      </c>
      <c r="E244" t="inlineStr">
        <is>
          <t>693</t>
        </is>
      </c>
      <c r="F244" s="525" t="n">
        <v>46253</v>
      </c>
      <c r="G244" t="n">
        <v>28246</v>
      </c>
      <c r="H244" t="inlineStr">
        <is>
          <t>PA DE LIXO COLETORA COM CABO DE CHAPA DE ALUMINIO UN</t>
        </is>
      </c>
      <c r="I244" t="inlineStr">
        <is>
          <t>UTENSILIOS</t>
        </is>
      </c>
      <c r="J244" t="n">
        <v>2</v>
      </c>
      <c r="K244" t="inlineStr">
        <is>
          <t>UNIDADE</t>
        </is>
      </c>
      <c r="L244" t="n">
        <v>96</v>
      </c>
      <c r="M244" t="n">
        <v>48</v>
      </c>
      <c r="O244" t="inlineStr">
        <is>
          <t>08/2026</t>
        </is>
      </c>
    </row>
    <row r="245">
      <c r="A245" t="n">
        <v>258778</v>
      </c>
      <c r="B245" t="n">
        <v>180</v>
      </c>
      <c r="C245" t="inlineStr">
        <is>
          <t>Nuv Gastrobar</t>
        </is>
      </c>
      <c r="D245" t="inlineStr">
        <is>
          <t>PSSS LTDA</t>
        </is>
      </c>
      <c r="E245" t="inlineStr">
        <is>
          <t>693</t>
        </is>
      </c>
      <c r="F245" s="525" t="n">
        <v>46253</v>
      </c>
      <c r="G245" t="n">
        <v>17488</v>
      </c>
      <c r="H245" t="inlineStr">
        <is>
          <t>LUVA LATEX SEM TALCO M C/100UN</t>
        </is>
      </c>
      <c r="I245" t="inlineStr">
        <is>
          <t>DESCARTAVEIS/HIGIENE E LIMPEZA</t>
        </is>
      </c>
      <c r="J245" t="n">
        <v>2</v>
      </c>
      <c r="K245" t="inlineStr">
        <is>
          <t>CX</t>
        </is>
      </c>
      <c r="L245" t="n">
        <v>59.98</v>
      </c>
      <c r="M245" t="n">
        <v>29.99</v>
      </c>
      <c r="O245" t="inlineStr">
        <is>
          <t>08/2026</t>
        </is>
      </c>
    </row>
    <row r="246">
      <c r="A246" t="n">
        <v>258778</v>
      </c>
      <c r="B246" t="n">
        <v>180</v>
      </c>
      <c r="C246" t="inlineStr">
        <is>
          <t>Nuv Gastrobar</t>
        </is>
      </c>
      <c r="D246" t="inlineStr">
        <is>
          <t>PSSS LTDA</t>
        </is>
      </c>
      <c r="E246" t="inlineStr">
        <is>
          <t>693</t>
        </is>
      </c>
      <c r="F246" s="525" t="n">
        <v>46253</v>
      </c>
      <c r="G246" t="n">
        <v>17019</v>
      </c>
      <c r="H246" t="inlineStr">
        <is>
          <t>LUVA EMBORRACHADA M AMARELA UN</t>
        </is>
      </c>
      <c r="I246" t="inlineStr">
        <is>
          <t>DESCARTAVEIS/HIGIENE E LIMPEZA</t>
        </is>
      </c>
      <c r="J246" t="n">
        <v>1</v>
      </c>
      <c r="K246" t="inlineStr">
        <is>
          <t>UN</t>
        </is>
      </c>
      <c r="L246" t="n">
        <v>3</v>
      </c>
      <c r="M246" t="n">
        <v>3</v>
      </c>
      <c r="O246" t="inlineStr">
        <is>
          <t>08/2026</t>
        </is>
      </c>
    </row>
    <row r="247">
      <c r="A247" t="n">
        <v>258778</v>
      </c>
      <c r="B247" t="n">
        <v>180</v>
      </c>
      <c r="C247" t="inlineStr">
        <is>
          <t>Nuv Gastrobar</t>
        </is>
      </c>
      <c r="D247" t="inlineStr">
        <is>
          <t>PSSS LTDA</t>
        </is>
      </c>
      <c r="E247" t="inlineStr">
        <is>
          <t>693</t>
        </is>
      </c>
      <c r="F247" s="525" t="n">
        <v>46253</v>
      </c>
      <c r="G247" t="n">
        <v>17437</v>
      </c>
      <c r="H247" t="inlineStr">
        <is>
          <t>SACO ALVEJADO BRANCO 45X65 UN</t>
        </is>
      </c>
      <c r="I247" t="inlineStr">
        <is>
          <t>DESCARTAVEIS/HIGIENE E LIMPEZA</t>
        </is>
      </c>
      <c r="J247" t="n">
        <v>20</v>
      </c>
      <c r="K247" t="inlineStr">
        <is>
          <t>UN</t>
        </is>
      </c>
      <c r="L247" t="n">
        <v>46</v>
      </c>
      <c r="M247" t="n">
        <v>2.3</v>
      </c>
      <c r="O247" t="inlineStr">
        <is>
          <t>08/2026</t>
        </is>
      </c>
    </row>
    <row r="248">
      <c r="A248" t="n">
        <v>258778</v>
      </c>
      <c r="B248" t="n">
        <v>180</v>
      </c>
      <c r="C248" t="inlineStr">
        <is>
          <t>Nuv Gastrobar</t>
        </is>
      </c>
      <c r="D248" t="inlineStr">
        <is>
          <t>PSSS LTDA</t>
        </is>
      </c>
      <c r="E248" t="inlineStr">
        <is>
          <t>693</t>
        </is>
      </c>
      <c r="F248" s="525" t="n">
        <v>46253</v>
      </c>
      <c r="G248" t="n">
        <v>17162</v>
      </c>
      <c r="H248" t="inlineStr">
        <is>
          <t>PANO MULTIUSO 28X240 C/600PANOS UM</t>
        </is>
      </c>
      <c r="I248" t="inlineStr">
        <is>
          <t>DESCARTAVEIS/HIGIENE E LIMPEZA</t>
        </is>
      </c>
      <c r="J248" t="n">
        <v>3</v>
      </c>
      <c r="K248" t="inlineStr">
        <is>
          <t>UN</t>
        </is>
      </c>
      <c r="L248" t="n">
        <v>162</v>
      </c>
      <c r="M248" t="n">
        <v>54</v>
      </c>
      <c r="O248" t="inlineStr">
        <is>
          <t>08/2026</t>
        </is>
      </c>
    </row>
    <row r="249">
      <c r="A249" t="n">
        <v>258778</v>
      </c>
      <c r="B249" t="n">
        <v>180</v>
      </c>
      <c r="C249" t="inlineStr">
        <is>
          <t>Nuv Gastrobar</t>
        </is>
      </c>
      <c r="D249" t="inlineStr">
        <is>
          <t>PSSS LTDA</t>
        </is>
      </c>
      <c r="E249" t="inlineStr">
        <is>
          <t>693</t>
        </is>
      </c>
      <c r="F249" s="525" t="n">
        <v>46253</v>
      </c>
      <c r="G249" t="n">
        <v>17266</v>
      </c>
      <c r="H249" t="inlineStr">
        <is>
          <t>ALCOOL 46º LIQUIDO 1L UN</t>
        </is>
      </c>
      <c r="I249" t="inlineStr">
        <is>
          <t>DESCARTAVEIS/HIGIENE E LIMPEZA</t>
        </is>
      </c>
      <c r="J249" t="n">
        <v>12</v>
      </c>
      <c r="K249" t="inlineStr">
        <is>
          <t>UN</t>
        </is>
      </c>
      <c r="L249" t="n">
        <v>62.4</v>
      </c>
      <c r="M249" t="n">
        <v>5.2</v>
      </c>
      <c r="O249" t="inlineStr">
        <is>
          <t>08/2026</t>
        </is>
      </c>
    </row>
    <row r="250">
      <c r="A250" t="n">
        <v>258778</v>
      </c>
      <c r="B250" t="n">
        <v>180</v>
      </c>
      <c r="C250" t="inlineStr">
        <is>
          <t>Nuv Gastrobar</t>
        </is>
      </c>
      <c r="D250" t="inlineStr">
        <is>
          <t>PSSS LTDA</t>
        </is>
      </c>
      <c r="E250" t="inlineStr">
        <is>
          <t>693</t>
        </is>
      </c>
      <c r="F250" s="525" t="n">
        <v>46253</v>
      </c>
      <c r="G250" t="n">
        <v>17196</v>
      </c>
      <c r="H250" t="inlineStr">
        <is>
          <t xml:space="preserve">ESPONJA DUPLA FACE TININDO 3M C/10 UN </t>
        </is>
      </c>
      <c r="I250" t="inlineStr">
        <is>
          <t>DESCARTAVEIS/HIGIENE E LIMPEZA</t>
        </is>
      </c>
      <c r="J250" t="n">
        <v>5</v>
      </c>
      <c r="K250" t="inlineStr">
        <is>
          <t>PC</t>
        </is>
      </c>
      <c r="L250" t="n">
        <v>37.5</v>
      </c>
      <c r="M250" t="n">
        <v>7.5</v>
      </c>
      <c r="O250" t="inlineStr">
        <is>
          <t>08/2026</t>
        </is>
      </c>
    </row>
    <row r="251">
      <c r="A251" t="n">
        <v>258778</v>
      </c>
      <c r="B251" t="n">
        <v>180</v>
      </c>
      <c r="C251" t="inlineStr">
        <is>
          <t>Nuv Gastrobar</t>
        </is>
      </c>
      <c r="D251" t="inlineStr">
        <is>
          <t>PSSS LTDA</t>
        </is>
      </c>
      <c r="E251" t="inlineStr">
        <is>
          <t>693</t>
        </is>
      </c>
      <c r="F251" s="525" t="n">
        <v>46253</v>
      </c>
      <c r="G251" t="n">
        <v>17020</v>
      </c>
      <c r="H251" t="inlineStr">
        <is>
          <t>LUVA EMBORRACHADA P AMARELA UN</t>
        </is>
      </c>
      <c r="I251" t="inlineStr">
        <is>
          <t>UTENSILIOS</t>
        </is>
      </c>
      <c r="J251" t="n">
        <v>1</v>
      </c>
      <c r="K251" t="inlineStr">
        <is>
          <t>UN</t>
        </is>
      </c>
      <c r="L251" t="n">
        <v>3</v>
      </c>
      <c r="M251" t="n">
        <v>3</v>
      </c>
      <c r="O251" t="inlineStr">
        <is>
          <t>08/2026</t>
        </is>
      </c>
    </row>
    <row r="252">
      <c r="A252" t="n">
        <v>258776</v>
      </c>
      <c r="B252" t="n">
        <v>180</v>
      </c>
      <c r="C252" t="inlineStr">
        <is>
          <t>Nuv Gastrobar</t>
        </is>
      </c>
      <c r="D252" t="inlineStr">
        <is>
          <t>MURILLO S DUARTE COMERCIAL LTDA</t>
        </is>
      </c>
      <c r="E252" t="inlineStr">
        <is>
          <t>2705</t>
        </is>
      </c>
      <c r="F252" s="525" t="n">
        <v>46251</v>
      </c>
      <c r="G252" t="n">
        <v>21433</v>
      </c>
      <c r="H252" t="inlineStr">
        <is>
          <t xml:space="preserve">SACO CRISTAL 30X40 0,20 (PACOTE C/5KG) </t>
        </is>
      </c>
      <c r="I252" t="inlineStr">
        <is>
          <t>DESCARTAVEIS/HIGIENE E LIMPEZA</t>
        </is>
      </c>
      <c r="J252" t="n">
        <v>1</v>
      </c>
      <c r="K252" t="inlineStr">
        <is>
          <t>PC</t>
        </is>
      </c>
      <c r="L252" t="n">
        <v>162.9</v>
      </c>
      <c r="M252" t="n">
        <v>162.9</v>
      </c>
      <c r="O252" t="inlineStr">
        <is>
          <t>08/2026</t>
        </is>
      </c>
    </row>
    <row r="253">
      <c r="A253" t="n">
        <v>258776</v>
      </c>
      <c r="B253" t="n">
        <v>180</v>
      </c>
      <c r="C253" t="inlineStr">
        <is>
          <t>Nuv Gastrobar</t>
        </is>
      </c>
      <c r="D253" t="inlineStr">
        <is>
          <t>MURILLO S DUARTE COMERCIAL LTDA</t>
        </is>
      </c>
      <c r="E253" t="inlineStr">
        <is>
          <t>2705</t>
        </is>
      </c>
      <c r="F253" s="525" t="n">
        <v>46251</v>
      </c>
      <c r="G253" t="n">
        <v>17564</v>
      </c>
      <c r="H253" t="inlineStr">
        <is>
          <t>BOBINA DE PLÁSTICO FILME PVC  60CMX600M UN</t>
        </is>
      </c>
      <c r="I253" t="inlineStr">
        <is>
          <t>DESCARTAVEIS/HIGIENE E LIMPEZA</t>
        </is>
      </c>
      <c r="J253" t="n">
        <v>2</v>
      </c>
      <c r="K253" t="inlineStr">
        <is>
          <t>UN</t>
        </is>
      </c>
      <c r="L253" t="n">
        <v>249.04</v>
      </c>
      <c r="M253" t="n">
        <v>124.52</v>
      </c>
      <c r="O253" t="inlineStr">
        <is>
          <t>08/2026</t>
        </is>
      </c>
    </row>
    <row r="254">
      <c r="A254" t="n">
        <v>258776</v>
      </c>
      <c r="B254" t="n">
        <v>180</v>
      </c>
      <c r="C254" t="inlineStr">
        <is>
          <t>Nuv Gastrobar</t>
        </is>
      </c>
      <c r="D254" t="inlineStr">
        <is>
          <t>MURILLO S DUARTE COMERCIAL LTDA</t>
        </is>
      </c>
      <c r="E254" t="inlineStr">
        <is>
          <t>2705</t>
        </is>
      </c>
      <c r="F254" s="525" t="n">
        <v>46251</v>
      </c>
      <c r="G254" t="n">
        <v>21423</v>
      </c>
      <c r="H254" t="inlineStr">
        <is>
          <t>SACO DE LIXO 100L BL PRETO GROSSO 95X120 4K UN</t>
        </is>
      </c>
      <c r="I254" t="inlineStr">
        <is>
          <t>DESCARTAVEIS/HIGIENE E LIMPEZA</t>
        </is>
      </c>
      <c r="J254" t="n">
        <v>5</v>
      </c>
      <c r="K254" t="inlineStr">
        <is>
          <t>PACOTE</t>
        </is>
      </c>
      <c r="L254" t="n">
        <v>165.5</v>
      </c>
      <c r="M254" t="n">
        <v>33.1</v>
      </c>
      <c r="O254" t="inlineStr">
        <is>
          <t>08/2026</t>
        </is>
      </c>
    </row>
    <row r="255">
      <c r="A255" t="n">
        <v>258776</v>
      </c>
      <c r="B255" t="n">
        <v>180</v>
      </c>
      <c r="C255" t="inlineStr">
        <is>
          <t>Nuv Gastrobar</t>
        </is>
      </c>
      <c r="D255" t="inlineStr">
        <is>
          <t>MURILLO S DUARTE COMERCIAL LTDA</t>
        </is>
      </c>
      <c r="E255" t="inlineStr">
        <is>
          <t>2705</t>
        </is>
      </c>
      <c r="F255" s="525" t="n">
        <v>46251</v>
      </c>
      <c r="G255" t="n">
        <v>21432</v>
      </c>
      <c r="H255" t="inlineStr">
        <is>
          <t>SACO CRISTAL 20X30 (PACOTE C/5KG)</t>
        </is>
      </c>
      <c r="I255" t="inlineStr">
        <is>
          <t>DESCARTAVEIS/HIGIENE E LIMPEZA</t>
        </is>
      </c>
      <c r="J255" t="n">
        <v>1</v>
      </c>
      <c r="K255" t="inlineStr">
        <is>
          <t>PC</t>
        </is>
      </c>
      <c r="L255" t="n">
        <v>162.9</v>
      </c>
      <c r="M255" t="n">
        <v>162.9</v>
      </c>
      <c r="O255" t="inlineStr">
        <is>
          <t>08/2026</t>
        </is>
      </c>
    </row>
    <row r="256">
      <c r="A256" t="n">
        <v>258775</v>
      </c>
      <c r="B256" t="n">
        <v>180</v>
      </c>
      <c r="C256" t="inlineStr">
        <is>
          <t>Nuv Gastrobar</t>
        </is>
      </c>
      <c r="D256" t="inlineStr">
        <is>
          <t>MARIO PEDRO FELICIANO - HORTIFRUTI</t>
        </is>
      </c>
      <c r="E256" t="inlineStr">
        <is>
          <t>486432</t>
        </is>
      </c>
      <c r="F256" s="525" t="n">
        <v>46251</v>
      </c>
      <c r="G256" t="n">
        <v>27518</v>
      </c>
      <c r="H256" t="inlineStr">
        <is>
          <t xml:space="preserve">SHISSO C/10 UN </t>
        </is>
      </c>
      <c r="I256" t="inlineStr">
        <is>
          <t>ALIMENTOS</t>
        </is>
      </c>
      <c r="J256" t="n">
        <v>1</v>
      </c>
      <c r="K256" t="inlineStr">
        <is>
          <t>PC</t>
        </is>
      </c>
      <c r="L256" t="n">
        <v>8.35</v>
      </c>
      <c r="M256" t="n">
        <v>8.35</v>
      </c>
      <c r="O256" t="inlineStr">
        <is>
          <t>08/2026</t>
        </is>
      </c>
    </row>
    <row r="257">
      <c r="A257" t="n">
        <v>258775</v>
      </c>
      <c r="B257" t="n">
        <v>180</v>
      </c>
      <c r="C257" t="inlineStr">
        <is>
          <t>Nuv Gastrobar</t>
        </is>
      </c>
      <c r="D257" t="inlineStr">
        <is>
          <t>MARIO PEDRO FELICIANO - HORTIFRUTI</t>
        </is>
      </c>
      <c r="E257" t="inlineStr">
        <is>
          <t>486432</t>
        </is>
      </c>
      <c r="F257" s="525" t="n">
        <v>46251</v>
      </c>
      <c r="G257" t="n">
        <v>23359</v>
      </c>
      <c r="H257" t="inlineStr">
        <is>
          <t>LIMAO TAHITI KG</t>
        </is>
      </c>
      <c r="I257" t="inlineStr">
        <is>
          <t>ALIMENTOS</t>
        </is>
      </c>
      <c r="J257" t="n">
        <v>20</v>
      </c>
      <c r="K257" t="inlineStr">
        <is>
          <t>KG</t>
        </is>
      </c>
      <c r="L257" t="n">
        <v>104.4</v>
      </c>
      <c r="M257" t="n">
        <v>5.22</v>
      </c>
      <c r="O257" t="inlineStr">
        <is>
          <t>08/2026</t>
        </is>
      </c>
    </row>
    <row r="258">
      <c r="A258" t="n">
        <v>258775</v>
      </c>
      <c r="B258" t="n">
        <v>180</v>
      </c>
      <c r="C258" t="inlineStr">
        <is>
          <t>Nuv Gastrobar</t>
        </is>
      </c>
      <c r="D258" t="inlineStr">
        <is>
          <t>MARIO PEDRO FELICIANO - HORTIFRUTI</t>
        </is>
      </c>
      <c r="E258" t="inlineStr">
        <is>
          <t>486432</t>
        </is>
      </c>
      <c r="F258" s="525" t="n">
        <v>46251</v>
      </c>
      <c r="G258" t="n">
        <v>19759</v>
      </c>
      <c r="H258" t="inlineStr">
        <is>
          <t>LARANJA BAHIA KG</t>
        </is>
      </c>
      <c r="I258" t="inlineStr">
        <is>
          <t>ALIMENTOS</t>
        </is>
      </c>
      <c r="J258" t="n">
        <v>20</v>
      </c>
      <c r="K258" t="inlineStr">
        <is>
          <t>KG</t>
        </is>
      </c>
      <c r="L258" t="n">
        <v>115.8</v>
      </c>
      <c r="M258" t="n">
        <v>5.79</v>
      </c>
      <c r="O258" t="inlineStr">
        <is>
          <t>08/2026</t>
        </is>
      </c>
    </row>
    <row r="259">
      <c r="A259" t="n">
        <v>258773</v>
      </c>
      <c r="B259" t="n">
        <v>180</v>
      </c>
      <c r="C259" t="inlineStr">
        <is>
          <t>Nuv Gastrobar</t>
        </is>
      </c>
      <c r="D259" t="inlineStr">
        <is>
          <t>DTK COMERCIO DE ALIMENTOS LTDA</t>
        </is>
      </c>
      <c r="E259" t="inlineStr">
        <is>
          <t>95883</t>
        </is>
      </c>
      <c r="F259" s="525" t="n">
        <v>46252</v>
      </c>
      <c r="G259" t="n">
        <v>19955</v>
      </c>
      <c r="H259" t="inlineStr">
        <is>
          <t>MOSTARDA FRANCESA DIJON BEAUFOR 1KG</t>
        </is>
      </c>
      <c r="I259" t="inlineStr">
        <is>
          <t>ALIMENTOS</t>
        </is>
      </c>
      <c r="J259" t="n">
        <v>2</v>
      </c>
      <c r="K259" t="inlineStr">
        <is>
          <t>UN</t>
        </is>
      </c>
      <c r="L259" t="n">
        <v>117.18</v>
      </c>
      <c r="M259" t="n">
        <v>58.59</v>
      </c>
      <c r="O259" t="inlineStr">
        <is>
          <t>08/2026</t>
        </is>
      </c>
    </row>
    <row r="260">
      <c r="A260" t="n">
        <v>258773</v>
      </c>
      <c r="B260" t="n">
        <v>180</v>
      </c>
      <c r="C260" t="inlineStr">
        <is>
          <t>Nuv Gastrobar</t>
        </is>
      </c>
      <c r="D260" t="inlineStr">
        <is>
          <t>DTK COMERCIO DE ALIMENTOS LTDA</t>
        </is>
      </c>
      <c r="E260" t="inlineStr">
        <is>
          <t>95883</t>
        </is>
      </c>
      <c r="F260" s="525" t="n">
        <v>46252</v>
      </c>
      <c r="G260" t="n">
        <v>20358</v>
      </c>
      <c r="H260" t="inlineStr">
        <is>
          <t>FARINHA PANKO ROMARIZ C/1KG</t>
        </is>
      </c>
      <c r="I260" t="inlineStr">
        <is>
          <t>ALIMENTOS</t>
        </is>
      </c>
      <c r="J260" t="n">
        <v>15</v>
      </c>
      <c r="K260" t="inlineStr">
        <is>
          <t>PC</t>
        </is>
      </c>
      <c r="L260" t="n">
        <v>213.75</v>
      </c>
      <c r="M260" t="n">
        <v>14.25</v>
      </c>
      <c r="O260" t="inlineStr">
        <is>
          <t>08/2026</t>
        </is>
      </c>
    </row>
    <row r="261">
      <c r="A261" t="n">
        <v>258773</v>
      </c>
      <c r="B261" t="n">
        <v>180</v>
      </c>
      <c r="C261" t="inlineStr">
        <is>
          <t>Nuv Gastrobar</t>
        </is>
      </c>
      <c r="D261" t="inlineStr">
        <is>
          <t>DTK COMERCIO DE ALIMENTOS LTDA</t>
        </is>
      </c>
      <c r="E261" t="inlineStr">
        <is>
          <t>95883</t>
        </is>
      </c>
      <c r="F261" s="525" t="n">
        <v>46252</v>
      </c>
      <c r="G261" t="n">
        <v>20672</v>
      </c>
      <c r="H261" t="inlineStr">
        <is>
          <t>EXTRATO DE TOMATE ELEFANTE C/1,7KG</t>
        </is>
      </c>
      <c r="I261" t="inlineStr">
        <is>
          <t>ALIMENTOS</t>
        </is>
      </c>
      <c r="J261" t="n">
        <v>1</v>
      </c>
      <c r="K261" t="inlineStr">
        <is>
          <t>PC</t>
        </is>
      </c>
      <c r="L261" t="n">
        <v>29.55</v>
      </c>
      <c r="M261" t="n">
        <v>29.55</v>
      </c>
      <c r="O261" t="inlineStr">
        <is>
          <t>08/2026</t>
        </is>
      </c>
    </row>
    <row r="262">
      <c r="A262" t="n">
        <v>258773</v>
      </c>
      <c r="B262" t="n">
        <v>180</v>
      </c>
      <c r="C262" t="inlineStr">
        <is>
          <t>Nuv Gastrobar</t>
        </is>
      </c>
      <c r="D262" t="inlineStr">
        <is>
          <t>DTK COMERCIO DE ALIMENTOS LTDA</t>
        </is>
      </c>
      <c r="E262" t="inlineStr">
        <is>
          <t>95883</t>
        </is>
      </c>
      <c r="F262" s="525" t="n">
        <v>46252</v>
      </c>
      <c r="G262" t="n">
        <v>20213</v>
      </c>
      <c r="H262" t="inlineStr">
        <is>
          <t>GRAO DE BICO CAMIL C/2KG</t>
        </is>
      </c>
      <c r="I262" t="inlineStr">
        <is>
          <t>ALIMENTOS</t>
        </is>
      </c>
      <c r="J262" t="n">
        <v>4</v>
      </c>
      <c r="K262" t="inlineStr">
        <is>
          <t>Pc</t>
        </is>
      </c>
      <c r="L262" t="n">
        <v>126.4</v>
      </c>
      <c r="M262" t="n">
        <v>31.6</v>
      </c>
      <c r="O262" t="inlineStr">
        <is>
          <t>08/2026</t>
        </is>
      </c>
    </row>
    <row r="263">
      <c r="A263" t="n">
        <v>258773</v>
      </c>
      <c r="B263" t="n">
        <v>180</v>
      </c>
      <c r="C263" t="inlineStr">
        <is>
          <t>Nuv Gastrobar</t>
        </is>
      </c>
      <c r="D263" t="inlineStr">
        <is>
          <t>DTK COMERCIO DE ALIMENTOS LTDA</t>
        </is>
      </c>
      <c r="E263" t="inlineStr">
        <is>
          <t>95883</t>
        </is>
      </c>
      <c r="F263" s="525" t="n">
        <v>46252</v>
      </c>
      <c r="G263" t="n">
        <v>20653</v>
      </c>
      <c r="H263" t="inlineStr">
        <is>
          <t>LEITE DE COCO SOCOCO C/1L UN</t>
        </is>
      </c>
      <c r="I263" t="inlineStr">
        <is>
          <t>ALIMENTOS</t>
        </is>
      </c>
      <c r="J263" t="n">
        <v>15</v>
      </c>
      <c r="K263" t="inlineStr">
        <is>
          <t>UN</t>
        </is>
      </c>
      <c r="L263" t="n">
        <v>389.4</v>
      </c>
      <c r="M263" t="n">
        <v>25.96</v>
      </c>
      <c r="O263" t="inlineStr">
        <is>
          <t>08/2026</t>
        </is>
      </c>
    </row>
    <row r="264">
      <c r="A264" t="n">
        <v>258768</v>
      </c>
      <c r="B264" t="n">
        <v>180</v>
      </c>
      <c r="C264" t="inlineStr">
        <is>
          <t>Nuv Gastrobar</t>
        </is>
      </c>
      <c r="D264" t="inlineStr">
        <is>
          <t>DTK COMERCIO DE ALIMENTOS LTDA</t>
        </is>
      </c>
      <c r="E264" t="inlineStr">
        <is>
          <t>95932</t>
        </is>
      </c>
      <c r="F264" s="525" t="n">
        <v>46252</v>
      </c>
      <c r="G264" t="n">
        <v>19911</v>
      </c>
      <c r="H264" t="inlineStr">
        <is>
          <t>SAL REFINADO LEBRE C/1KG</t>
        </is>
      </c>
      <c r="I264" t="inlineStr">
        <is>
          <t>ALIMENTOS</t>
        </is>
      </c>
      <c r="J264" t="n">
        <v>10</v>
      </c>
      <c r="K264" t="inlineStr">
        <is>
          <t>UN</t>
        </is>
      </c>
      <c r="L264" t="n">
        <v>31.9</v>
      </c>
      <c r="M264" t="n">
        <v>3.19</v>
      </c>
      <c r="O264" t="inlineStr">
        <is>
          <t>08/2026</t>
        </is>
      </c>
    </row>
    <row r="265">
      <c r="A265" t="n">
        <v>258768</v>
      </c>
      <c r="B265" t="n">
        <v>180</v>
      </c>
      <c r="C265" t="inlineStr">
        <is>
          <t>Nuv Gastrobar</t>
        </is>
      </c>
      <c r="D265" t="inlineStr">
        <is>
          <t>DTK COMERCIO DE ALIMENTOS LTDA</t>
        </is>
      </c>
      <c r="E265" t="inlineStr">
        <is>
          <t>95932</t>
        </is>
      </c>
      <c r="F265" s="525" t="n">
        <v>46252</v>
      </c>
      <c r="G265" t="n">
        <v>20961</v>
      </c>
      <c r="H265" t="inlineStr">
        <is>
          <t>VINAGRE DE MACA CASTELO 750ML UN</t>
        </is>
      </c>
      <c r="I265" t="inlineStr">
        <is>
          <t>ALIMENTOS</t>
        </is>
      </c>
      <c r="J265" t="n">
        <v>12</v>
      </c>
      <c r="K265" t="inlineStr">
        <is>
          <t>UN</t>
        </is>
      </c>
      <c r="L265" t="n">
        <v>102</v>
      </c>
      <c r="M265" t="n">
        <v>8.5</v>
      </c>
      <c r="O265" t="inlineStr">
        <is>
          <t>08/2026</t>
        </is>
      </c>
    </row>
    <row r="266">
      <c r="A266" t="n">
        <v>258768</v>
      </c>
      <c r="B266" t="n">
        <v>180</v>
      </c>
      <c r="C266" t="inlineStr">
        <is>
          <t>Nuv Gastrobar</t>
        </is>
      </c>
      <c r="D266" t="inlineStr">
        <is>
          <t>DTK COMERCIO DE ALIMENTOS LTDA</t>
        </is>
      </c>
      <c r="E266" t="inlineStr">
        <is>
          <t>95932</t>
        </is>
      </c>
      <c r="F266" s="525" t="n">
        <v>46252</v>
      </c>
      <c r="G266" t="n">
        <v>20029</v>
      </c>
      <c r="H266" t="inlineStr">
        <is>
          <t>ESSENCIA DE BAUNILHA CEPERA 500ML</t>
        </is>
      </c>
      <c r="I266" t="inlineStr">
        <is>
          <t>ALIMENTOS</t>
        </is>
      </c>
      <c r="J266" t="n">
        <v>1</v>
      </c>
      <c r="K266" t="inlineStr">
        <is>
          <t>UN</t>
        </is>
      </c>
      <c r="L266" t="n">
        <v>16.28</v>
      </c>
      <c r="M266" t="n">
        <v>16.28</v>
      </c>
      <c r="O266" t="inlineStr">
        <is>
          <t>08/2026</t>
        </is>
      </c>
    </row>
    <row r="267">
      <c r="A267" t="n">
        <v>258768</v>
      </c>
      <c r="B267" t="n">
        <v>180</v>
      </c>
      <c r="C267" t="inlineStr">
        <is>
          <t>Nuv Gastrobar</t>
        </is>
      </c>
      <c r="D267" t="inlineStr">
        <is>
          <t>DTK COMERCIO DE ALIMENTOS LTDA</t>
        </is>
      </c>
      <c r="E267" t="inlineStr">
        <is>
          <t>95932</t>
        </is>
      </c>
      <c r="F267" s="525" t="n">
        <v>46252</v>
      </c>
      <c r="G267" t="n">
        <v>20570</v>
      </c>
      <c r="H267" t="inlineStr">
        <is>
          <t>PEPINO EM CONSERVA CAMPO BELO C/2KG</t>
        </is>
      </c>
      <c r="I267" t="inlineStr">
        <is>
          <t>ALIMENTOS</t>
        </is>
      </c>
      <c r="J267" t="n">
        <v>2</v>
      </c>
      <c r="K267" t="inlineStr">
        <is>
          <t>BD</t>
        </is>
      </c>
      <c r="L267" t="n">
        <v>65</v>
      </c>
      <c r="M267" t="n">
        <v>32.5</v>
      </c>
      <c r="O267" t="inlineStr">
        <is>
          <t>08/2026</t>
        </is>
      </c>
    </row>
    <row r="268">
      <c r="A268" t="n">
        <v>258768</v>
      </c>
      <c r="B268" t="n">
        <v>180</v>
      </c>
      <c r="C268" t="inlineStr">
        <is>
          <t>Nuv Gastrobar</t>
        </is>
      </c>
      <c r="D268" t="inlineStr">
        <is>
          <t>DTK COMERCIO DE ALIMENTOS LTDA</t>
        </is>
      </c>
      <c r="E268" t="inlineStr">
        <is>
          <t>95932</t>
        </is>
      </c>
      <c r="F268" s="525" t="n">
        <v>46252</v>
      </c>
      <c r="G268" t="n">
        <v>21010</v>
      </c>
      <c r="H268" t="inlineStr">
        <is>
          <t>OLEO DE CANOLA SAUDE C/900ML UN</t>
        </is>
      </c>
      <c r="I268" t="inlineStr">
        <is>
          <t>ALIMENTOS</t>
        </is>
      </c>
      <c r="J268" t="n">
        <v>20</v>
      </c>
      <c r="K268" t="inlineStr">
        <is>
          <t>UN</t>
        </is>
      </c>
      <c r="L268" t="n">
        <v>254.2</v>
      </c>
      <c r="M268" t="n">
        <v>12.71</v>
      </c>
      <c r="O268" t="inlineStr">
        <is>
          <t>08/2026</t>
        </is>
      </c>
    </row>
    <row r="269">
      <c r="A269" t="n">
        <v>258768</v>
      </c>
      <c r="B269" t="n">
        <v>180</v>
      </c>
      <c r="C269" t="inlineStr">
        <is>
          <t>Nuv Gastrobar</t>
        </is>
      </c>
      <c r="D269" t="inlineStr">
        <is>
          <t>DTK COMERCIO DE ALIMENTOS LTDA</t>
        </is>
      </c>
      <c r="E269" t="inlineStr">
        <is>
          <t>95932</t>
        </is>
      </c>
      <c r="F269" s="525" t="n">
        <v>46252</v>
      </c>
      <c r="G269" t="n">
        <v>26388</v>
      </c>
      <c r="H269" t="inlineStr">
        <is>
          <t>MACARRAO RIGATONE GRANO DURO Nº17 DIVELLA C/500G</t>
        </is>
      </c>
      <c r="I269" t="inlineStr">
        <is>
          <t>ALIMENTOS</t>
        </is>
      </c>
      <c r="J269" t="n">
        <v>5</v>
      </c>
      <c r="K269" t="inlineStr">
        <is>
          <t>PC</t>
        </is>
      </c>
      <c r="L269" t="n">
        <v>43.65</v>
      </c>
      <c r="M269" t="n">
        <v>8.73</v>
      </c>
      <c r="O269" t="inlineStr">
        <is>
          <t>08/2026</t>
        </is>
      </c>
    </row>
    <row r="270">
      <c r="A270" t="n">
        <v>258768</v>
      </c>
      <c r="B270" t="n">
        <v>180</v>
      </c>
      <c r="C270" t="inlineStr">
        <is>
          <t>Nuv Gastrobar</t>
        </is>
      </c>
      <c r="D270" t="inlineStr">
        <is>
          <t>DTK COMERCIO DE ALIMENTOS LTDA</t>
        </is>
      </c>
      <c r="E270" t="inlineStr">
        <is>
          <t>95932</t>
        </is>
      </c>
      <c r="F270" s="525" t="n">
        <v>46252</v>
      </c>
      <c r="G270" t="n">
        <v>20724</v>
      </c>
      <c r="H270" t="inlineStr">
        <is>
          <t>AZEITONA VERDE GORDAL 80/90 DI SALERNO C/2KG</t>
        </is>
      </c>
      <c r="I270" t="inlineStr">
        <is>
          <t>ALIMENTOS</t>
        </is>
      </c>
      <c r="J270" t="n">
        <v>1</v>
      </c>
      <c r="K270" t="inlineStr">
        <is>
          <t>BD</t>
        </is>
      </c>
      <c r="L270" t="n">
        <v>68.88</v>
      </c>
      <c r="M270" t="n">
        <v>68.88</v>
      </c>
      <c r="O270" t="inlineStr">
        <is>
          <t>08/2026</t>
        </is>
      </c>
    </row>
    <row r="271">
      <c r="A271" t="n">
        <v>258766</v>
      </c>
      <c r="B271" t="n">
        <v>180</v>
      </c>
      <c r="C271" t="inlineStr">
        <is>
          <t>Nuv Gastrobar</t>
        </is>
      </c>
      <c r="D271" t="inlineStr">
        <is>
          <t>DO CHEF DISTRIBUIDORA DE ALIMENTOS LTDA</t>
        </is>
      </c>
      <c r="E271" t="inlineStr">
        <is>
          <t>3925</t>
        </is>
      </c>
      <c r="F271" s="525" t="n">
        <v>46251</v>
      </c>
      <c r="G271" t="n">
        <v>29247</v>
      </c>
      <c r="H271" t="inlineStr">
        <is>
          <t>LARANJA PERA GRAUDA SELECIONADA KG</t>
        </is>
      </c>
      <c r="I271" t="inlineStr">
        <is>
          <t>ALIMENTOS</t>
        </is>
      </c>
      <c r="J271" t="n">
        <v>35</v>
      </c>
      <c r="K271" t="inlineStr">
        <is>
          <t>KG</t>
        </is>
      </c>
      <c r="L271" t="n">
        <v>99.75</v>
      </c>
      <c r="M271" t="n">
        <v>2.85</v>
      </c>
      <c r="O271" t="inlineStr">
        <is>
          <t>08/2026</t>
        </is>
      </c>
    </row>
    <row r="272">
      <c r="A272" t="n">
        <v>258766</v>
      </c>
      <c r="B272" t="n">
        <v>180</v>
      </c>
      <c r="C272" t="inlineStr">
        <is>
          <t>Nuv Gastrobar</t>
        </is>
      </c>
      <c r="D272" t="inlineStr">
        <is>
          <t>DO CHEF DISTRIBUIDORA DE ALIMENTOS LTDA</t>
        </is>
      </c>
      <c r="E272" t="inlineStr">
        <is>
          <t>3925</t>
        </is>
      </c>
      <c r="F272" s="525" t="n">
        <v>46251</v>
      </c>
      <c r="G272" t="n">
        <v>23335</v>
      </c>
      <c r="H272" t="inlineStr">
        <is>
          <t>MORANGO KG</t>
        </is>
      </c>
      <c r="I272" t="inlineStr">
        <is>
          <t>ALIMENTOS</t>
        </is>
      </c>
      <c r="J272" t="n">
        <v>3</v>
      </c>
      <c r="K272" t="inlineStr">
        <is>
          <t>KG</t>
        </is>
      </c>
      <c r="L272" t="n">
        <v>74.09999999999999</v>
      </c>
      <c r="M272" t="n">
        <v>24.7</v>
      </c>
      <c r="O272" t="inlineStr">
        <is>
          <t>08/2026</t>
        </is>
      </c>
    </row>
    <row r="273">
      <c r="A273" t="n">
        <v>258766</v>
      </c>
      <c r="B273" t="n">
        <v>180</v>
      </c>
      <c r="C273" t="inlineStr">
        <is>
          <t>Nuv Gastrobar</t>
        </is>
      </c>
      <c r="D273" t="inlineStr">
        <is>
          <t>DO CHEF DISTRIBUIDORA DE ALIMENTOS LTDA</t>
        </is>
      </c>
      <c r="E273" t="inlineStr">
        <is>
          <t>3925</t>
        </is>
      </c>
      <c r="F273" s="525" t="n">
        <v>46251</v>
      </c>
      <c r="G273" t="n">
        <v>19682</v>
      </c>
      <c r="H273" t="inlineStr">
        <is>
          <t>MIRTILO KG</t>
        </is>
      </c>
      <c r="I273" t="inlineStr">
        <is>
          <t>ALIMENTOS</t>
        </is>
      </c>
      <c r="J273" t="n">
        <v>2</v>
      </c>
      <c r="K273" t="inlineStr">
        <is>
          <t>KG</t>
        </is>
      </c>
      <c r="L273" t="n">
        <v>240</v>
      </c>
      <c r="M273" t="n">
        <v>120</v>
      </c>
      <c r="O273" t="inlineStr">
        <is>
          <t>08/2026</t>
        </is>
      </c>
    </row>
    <row r="274">
      <c r="A274" t="n">
        <v>258766</v>
      </c>
      <c r="B274" t="n">
        <v>180</v>
      </c>
      <c r="C274" t="inlineStr">
        <is>
          <t>Nuv Gastrobar</t>
        </is>
      </c>
      <c r="D274" t="inlineStr">
        <is>
          <t>DO CHEF DISTRIBUIDORA DE ALIMENTOS LTDA</t>
        </is>
      </c>
      <c r="E274" t="inlineStr">
        <is>
          <t>3925</t>
        </is>
      </c>
      <c r="F274" s="525" t="n">
        <v>46251</v>
      </c>
      <c r="G274" t="n">
        <v>19663</v>
      </c>
      <c r="H274" t="inlineStr">
        <is>
          <t>POLPA DE MARACUJA KG</t>
        </is>
      </c>
      <c r="I274" t="inlineStr">
        <is>
          <t>ALIMENTOS</t>
        </is>
      </c>
      <c r="J274" t="n">
        <v>0.5</v>
      </c>
      <c r="K274" t="inlineStr">
        <is>
          <t>KG</t>
        </is>
      </c>
      <c r="L274" t="n">
        <v>38</v>
      </c>
      <c r="M274" t="n">
        <v>76</v>
      </c>
      <c r="O274" t="inlineStr">
        <is>
          <t>08/2026</t>
        </is>
      </c>
    </row>
    <row r="275">
      <c r="A275" t="n">
        <v>258765</v>
      </c>
      <c r="B275" t="n">
        <v>180</v>
      </c>
      <c r="C275" t="inlineStr">
        <is>
          <t>Nuv Gastrobar</t>
        </is>
      </c>
      <c r="D275" t="inlineStr">
        <is>
          <t>EMPORIO M&amp;L COMERCIO DE ALIM E BEBIDAS LTDA</t>
        </is>
      </c>
      <c r="E275" t="inlineStr">
        <is>
          <t>528721</t>
        </is>
      </c>
      <c r="F275" s="525" t="n">
        <v>46252</v>
      </c>
      <c r="G275" t="n">
        <v>18984</v>
      </c>
      <c r="H275" t="inlineStr">
        <is>
          <t>PEITO DE PERU DEFUMADO SEARA KG</t>
        </is>
      </c>
      <c r="I275" t="inlineStr">
        <is>
          <t>ALIMENTOS</t>
        </is>
      </c>
      <c r="J275" t="n">
        <v>2</v>
      </c>
      <c r="K275" t="inlineStr">
        <is>
          <t>Kg</t>
        </is>
      </c>
      <c r="L275" t="n">
        <v>136.4</v>
      </c>
      <c r="M275" t="n">
        <v>68.2</v>
      </c>
      <c r="O275" t="inlineStr">
        <is>
          <t>08/2026</t>
        </is>
      </c>
    </row>
    <row r="276">
      <c r="A276" t="n">
        <v>258765</v>
      </c>
      <c r="B276" t="n">
        <v>180</v>
      </c>
      <c r="C276" t="inlineStr">
        <is>
          <t>Nuv Gastrobar</t>
        </is>
      </c>
      <c r="D276" t="inlineStr">
        <is>
          <t>EMPORIO M&amp;L COMERCIO DE ALIM E BEBIDAS LTDA</t>
        </is>
      </c>
      <c r="E276" t="inlineStr">
        <is>
          <t>528721</t>
        </is>
      </c>
      <c r="F276" s="525" t="n">
        <v>46252</v>
      </c>
      <c r="G276" t="n">
        <v>19306</v>
      </c>
      <c r="H276" t="inlineStr">
        <is>
          <t>QUEIJO MUSSARELA FIOR CEREJA YEMA 330G</t>
        </is>
      </c>
      <c r="I276" t="inlineStr">
        <is>
          <t>ALIMENTOS</t>
        </is>
      </c>
      <c r="J276" t="n">
        <v>10</v>
      </c>
      <c r="K276" t="inlineStr">
        <is>
          <t>Pc</t>
        </is>
      </c>
      <c r="L276" t="n">
        <v>184</v>
      </c>
      <c r="M276" t="n">
        <v>18.4</v>
      </c>
      <c r="O276" t="inlineStr">
        <is>
          <t>08/2026</t>
        </is>
      </c>
    </row>
    <row r="277">
      <c r="A277" t="n">
        <v>258765</v>
      </c>
      <c r="B277" t="n">
        <v>180</v>
      </c>
      <c r="C277" t="inlineStr">
        <is>
          <t>Nuv Gastrobar</t>
        </is>
      </c>
      <c r="D277" t="inlineStr">
        <is>
          <t>EMPORIO M&amp;L COMERCIO DE ALIM E BEBIDAS LTDA</t>
        </is>
      </c>
      <c r="E277" t="inlineStr">
        <is>
          <t>528721</t>
        </is>
      </c>
      <c r="F277" s="525" t="n">
        <v>46252</v>
      </c>
      <c r="G277" t="n">
        <v>23312</v>
      </c>
      <c r="H277" t="inlineStr">
        <is>
          <t>AVELA SEM CASCA</t>
        </is>
      </c>
      <c r="I277" t="inlineStr">
        <is>
          <t>ALIMENTOS</t>
        </is>
      </c>
      <c r="J277" t="n">
        <v>1</v>
      </c>
      <c r="K277" t="inlineStr">
        <is>
          <t>KG</t>
        </is>
      </c>
      <c r="L277" t="n">
        <v>87.90000000000001</v>
      </c>
      <c r="M277" t="n">
        <v>87.90000000000001</v>
      </c>
      <c r="O277" t="inlineStr">
        <is>
          <t>08/2026</t>
        </is>
      </c>
    </row>
    <row r="278">
      <c r="A278" t="n">
        <v>258765</v>
      </c>
      <c r="B278" t="n">
        <v>180</v>
      </c>
      <c r="C278" t="inlineStr">
        <is>
          <t>Nuv Gastrobar</t>
        </is>
      </c>
      <c r="D278" t="inlineStr">
        <is>
          <t>EMPORIO M&amp;L COMERCIO DE ALIM E BEBIDAS LTDA</t>
        </is>
      </c>
      <c r="E278" t="inlineStr">
        <is>
          <t>528721</t>
        </is>
      </c>
      <c r="F278" s="525" t="n">
        <v>46252</v>
      </c>
      <c r="G278" t="n">
        <v>19187</v>
      </c>
      <c r="H278" t="inlineStr">
        <is>
          <t>QUEIJO MEIA CURA C/500G KG</t>
        </is>
      </c>
      <c r="I278" t="inlineStr">
        <is>
          <t>ALIMENTOS</t>
        </is>
      </c>
      <c r="J278" t="n">
        <v>6</v>
      </c>
      <c r="K278" t="inlineStr">
        <is>
          <t>Kg</t>
        </is>
      </c>
      <c r="L278" t="n">
        <v>440.46</v>
      </c>
      <c r="M278" t="n">
        <v>73.41</v>
      </c>
      <c r="O278" t="inlineStr">
        <is>
          <t>08/2026</t>
        </is>
      </c>
    </row>
    <row r="279">
      <c r="A279" t="n">
        <v>258765</v>
      </c>
      <c r="B279" t="n">
        <v>180</v>
      </c>
      <c r="C279" t="inlineStr">
        <is>
          <t>Nuv Gastrobar</t>
        </is>
      </c>
      <c r="D279" t="inlineStr">
        <is>
          <t>EMPORIO M&amp;L COMERCIO DE ALIM E BEBIDAS LTDA</t>
        </is>
      </c>
      <c r="E279" t="inlineStr">
        <is>
          <t>528721</t>
        </is>
      </c>
      <c r="F279" s="525" t="n">
        <v>46252</v>
      </c>
      <c r="G279" t="n">
        <v>20954</v>
      </c>
      <c r="H279" t="inlineStr">
        <is>
          <t>VINHO TINTO SECO PICCOLI 4,6L</t>
        </is>
      </c>
      <c r="I279" t="inlineStr">
        <is>
          <t>ALIMENTOS</t>
        </is>
      </c>
      <c r="J279" t="n">
        <v>2</v>
      </c>
      <c r="K279" t="inlineStr">
        <is>
          <t>GR</t>
        </is>
      </c>
      <c r="L279" t="n">
        <v>97.8</v>
      </c>
      <c r="M279" t="n">
        <v>48.9</v>
      </c>
      <c r="O279" t="inlineStr">
        <is>
          <t>08/2026</t>
        </is>
      </c>
    </row>
    <row r="280">
      <c r="A280" t="n">
        <v>258765</v>
      </c>
      <c r="B280" t="n">
        <v>180</v>
      </c>
      <c r="C280" t="inlineStr">
        <is>
          <t>Nuv Gastrobar</t>
        </is>
      </c>
      <c r="D280" t="inlineStr">
        <is>
          <t>EMPORIO M&amp;L COMERCIO DE ALIM E BEBIDAS LTDA</t>
        </is>
      </c>
      <c r="E280" t="inlineStr">
        <is>
          <t>528721</t>
        </is>
      </c>
      <c r="F280" s="525" t="n">
        <v>46252</v>
      </c>
      <c r="G280" t="n">
        <v>17800</v>
      </c>
      <c r="H280" t="inlineStr">
        <is>
          <t>VINHO BRANCO ALMADEN RIESLING 750ML GR</t>
        </is>
      </c>
      <c r="I280" t="inlineStr">
        <is>
          <t>BEBIDAS</t>
        </is>
      </c>
      <c r="J280" t="n">
        <v>6</v>
      </c>
      <c r="K280" t="inlineStr">
        <is>
          <t>Gr</t>
        </is>
      </c>
      <c r="L280" t="n">
        <v>159</v>
      </c>
      <c r="M280" t="n">
        <v>26.5</v>
      </c>
      <c r="O280" t="inlineStr">
        <is>
          <t>08/2026</t>
        </is>
      </c>
    </row>
    <row r="281">
      <c r="A281" t="n">
        <v>258765</v>
      </c>
      <c r="B281" t="n">
        <v>180</v>
      </c>
      <c r="C281" t="inlineStr">
        <is>
          <t>Nuv Gastrobar</t>
        </is>
      </c>
      <c r="D281" t="inlineStr">
        <is>
          <t>EMPORIO M&amp;L COMERCIO DE ALIM E BEBIDAS LTDA</t>
        </is>
      </c>
      <c r="E281" t="inlineStr">
        <is>
          <t>528721</t>
        </is>
      </c>
      <c r="F281" s="525" t="n">
        <v>46252</v>
      </c>
      <c r="G281" t="n">
        <v>20174</v>
      </c>
      <c r="H281" t="inlineStr">
        <is>
          <t>SEMENTE DE GIRASSOL SEM CASCA KG</t>
        </is>
      </c>
      <c r="I281" t="inlineStr">
        <is>
          <t>ALIMENTOS</t>
        </is>
      </c>
      <c r="J281" t="n">
        <v>1</v>
      </c>
      <c r="K281" t="inlineStr">
        <is>
          <t>KG</t>
        </is>
      </c>
      <c r="L281" t="n">
        <v>17.5</v>
      </c>
      <c r="M281" t="n">
        <v>17.5</v>
      </c>
      <c r="O281" t="inlineStr">
        <is>
          <t>08/2026</t>
        </is>
      </c>
    </row>
    <row r="282">
      <c r="A282" t="n">
        <v>258765</v>
      </c>
      <c r="B282" t="n">
        <v>180</v>
      </c>
      <c r="C282" t="inlineStr">
        <is>
          <t>Nuv Gastrobar</t>
        </is>
      </c>
      <c r="D282" t="inlineStr">
        <is>
          <t>EMPORIO M&amp;L COMERCIO DE ALIM E BEBIDAS LTDA</t>
        </is>
      </c>
      <c r="E282" t="inlineStr">
        <is>
          <t>528721</t>
        </is>
      </c>
      <c r="F282" s="525" t="n">
        <v>46252</v>
      </c>
      <c r="G282" t="n">
        <v>20757</v>
      </c>
      <c r="H282" t="inlineStr">
        <is>
          <t>ALCAPARRA MEDIA DI SALERNO C/2KG</t>
        </is>
      </c>
      <c r="I282" t="inlineStr">
        <is>
          <t>ALIMENTOS</t>
        </is>
      </c>
      <c r="J282" t="n">
        <v>1</v>
      </c>
      <c r="K282" t="inlineStr">
        <is>
          <t>BD</t>
        </is>
      </c>
      <c r="L282" t="n">
        <v>78.90000000000001</v>
      </c>
      <c r="M282" t="n">
        <v>78.90000000000001</v>
      </c>
      <c r="O282" t="inlineStr">
        <is>
          <t>08/2026</t>
        </is>
      </c>
    </row>
    <row r="283">
      <c r="A283" t="n">
        <v>258764</v>
      </c>
      <c r="B283" t="n">
        <v>180</v>
      </c>
      <c r="C283" t="inlineStr">
        <is>
          <t>Nuv Gastrobar</t>
        </is>
      </c>
      <c r="D283" t="inlineStr">
        <is>
          <t>EMPORIO M&amp;L COMERCIO DE ALIM E BEBIDAS LTDA</t>
        </is>
      </c>
      <c r="E283" t="inlineStr">
        <is>
          <t>528442</t>
        </is>
      </c>
      <c r="F283" s="525" t="n">
        <v>46251</v>
      </c>
      <c r="G283" t="n">
        <v>20689</v>
      </c>
      <c r="H283" t="inlineStr">
        <is>
          <t>CREME DE LEITE FRESCO QUATA C/1,01LT</t>
        </is>
      </c>
      <c r="I283" t="inlineStr">
        <is>
          <t>ALIMENTOS</t>
        </is>
      </c>
      <c r="J283" t="n">
        <v>24</v>
      </c>
      <c r="K283" t="inlineStr">
        <is>
          <t>UN</t>
        </is>
      </c>
      <c r="L283" t="n">
        <v>767.76</v>
      </c>
      <c r="M283" t="n">
        <v>31.99</v>
      </c>
      <c r="O283" t="inlineStr">
        <is>
          <t>08/2026</t>
        </is>
      </c>
    </row>
    <row r="284">
      <c r="A284" t="n">
        <v>258764</v>
      </c>
      <c r="B284" t="n">
        <v>180</v>
      </c>
      <c r="C284" t="inlineStr">
        <is>
          <t>Nuv Gastrobar</t>
        </is>
      </c>
      <c r="D284" t="inlineStr">
        <is>
          <t>EMPORIO M&amp;L COMERCIO DE ALIM E BEBIDAS LTDA</t>
        </is>
      </c>
      <c r="E284" t="inlineStr">
        <is>
          <t>528442</t>
        </is>
      </c>
      <c r="F284" s="525" t="n">
        <v>46251</v>
      </c>
      <c r="G284" t="n">
        <v>20887</v>
      </c>
      <c r="H284" t="inlineStr">
        <is>
          <t>MEL PURO FLORA NECTAR C/1KG</t>
        </is>
      </c>
      <c r="I284" t="inlineStr">
        <is>
          <t>ALIMENTOS</t>
        </is>
      </c>
      <c r="J284" t="n">
        <v>2</v>
      </c>
      <c r="K284" t="inlineStr">
        <is>
          <t>PT</t>
        </is>
      </c>
      <c r="L284" t="n">
        <v>73.8</v>
      </c>
      <c r="M284" t="n">
        <v>36.9</v>
      </c>
      <c r="O284" t="inlineStr">
        <is>
          <t>08/2026</t>
        </is>
      </c>
    </row>
    <row r="285">
      <c r="A285" t="n">
        <v>258763</v>
      </c>
      <c r="B285" t="n">
        <v>180</v>
      </c>
      <c r="C285" t="inlineStr">
        <is>
          <t>Nuv Gastrobar</t>
        </is>
      </c>
      <c r="D285" t="inlineStr">
        <is>
          <t>CG FOOD´S DISTRIBUIDORA DE ALIMENTOS LTDA</t>
        </is>
      </c>
      <c r="E285" t="inlineStr">
        <is>
          <t>198805</t>
        </is>
      </c>
      <c r="F285" s="525" t="n">
        <v>46252</v>
      </c>
      <c r="G285" t="n">
        <v>29160</v>
      </c>
      <c r="H285" t="inlineStr">
        <is>
          <t>PRESUNTO PARMA FATIADO C/100G UN</t>
        </is>
      </c>
      <c r="I285" t="inlineStr">
        <is>
          <t>ALIMENTOS</t>
        </is>
      </c>
      <c r="J285" t="n">
        <v>30</v>
      </c>
      <c r="K285" t="inlineStr">
        <is>
          <t>UN</t>
        </is>
      </c>
      <c r="L285" t="n">
        <v>624</v>
      </c>
      <c r="M285" t="n">
        <v>20.8</v>
      </c>
      <c r="O285" t="inlineStr">
        <is>
          <t>08/2026</t>
        </is>
      </c>
    </row>
    <row r="286">
      <c r="A286" t="n">
        <v>258761</v>
      </c>
      <c r="B286" t="n">
        <v>180</v>
      </c>
      <c r="C286" t="inlineStr">
        <is>
          <t>Nuv Gastrobar</t>
        </is>
      </c>
      <c r="D286" t="inlineStr">
        <is>
          <t xml:space="preserve">COMERCIAL IMPORTADORA E EXPORTADORA METAPUNTO LTDA </t>
        </is>
      </c>
      <c r="E286" t="inlineStr">
        <is>
          <t>47037</t>
        </is>
      </c>
      <c r="F286" s="525" t="n">
        <v>46252</v>
      </c>
      <c r="G286" t="n">
        <v>20941</v>
      </c>
      <c r="H286" t="inlineStr">
        <is>
          <t>CHOCOLATE EM GOTAS MEIO AMARGO SICAO C/2,05KG</t>
        </is>
      </c>
      <c r="I286" t="inlineStr">
        <is>
          <t>ALIMENTOS</t>
        </is>
      </c>
      <c r="J286" t="n">
        <v>3</v>
      </c>
      <c r="K286" t="inlineStr">
        <is>
          <t>PC</t>
        </is>
      </c>
      <c r="L286" t="n">
        <v>546.9</v>
      </c>
      <c r="M286" t="n">
        <v>182.3</v>
      </c>
      <c r="O286" t="inlineStr">
        <is>
          <t>08/2026</t>
        </is>
      </c>
    </row>
    <row r="287">
      <c r="A287" t="n">
        <v>258760</v>
      </c>
      <c r="B287" t="n">
        <v>180</v>
      </c>
      <c r="C287" t="inlineStr">
        <is>
          <t>Nuv Gastrobar</t>
        </is>
      </c>
      <c r="D287" t="inlineStr">
        <is>
          <t>CECILIA TSUYACO ARAKI SILVA LTDA</t>
        </is>
      </c>
      <c r="E287" t="inlineStr">
        <is>
          <t>397692</t>
        </is>
      </c>
      <c r="F287" s="525" t="n">
        <v>46252</v>
      </c>
      <c r="G287" t="n">
        <v>19617</v>
      </c>
      <c r="H287" t="inlineStr">
        <is>
          <t>COENTRO KG</t>
        </is>
      </c>
      <c r="I287" t="inlineStr">
        <is>
          <t>ALIMENTOS</t>
        </is>
      </c>
      <c r="J287" t="n">
        <v>0.5</v>
      </c>
      <c r="K287" t="inlineStr">
        <is>
          <t>KG</t>
        </is>
      </c>
      <c r="L287" t="n">
        <v>6</v>
      </c>
      <c r="M287" t="n">
        <v>12</v>
      </c>
      <c r="O287" t="inlineStr">
        <is>
          <t>08/2026</t>
        </is>
      </c>
    </row>
    <row r="288">
      <c r="A288" t="n">
        <v>258760</v>
      </c>
      <c r="B288" t="n">
        <v>180</v>
      </c>
      <c r="C288" t="inlineStr">
        <is>
          <t>Nuv Gastrobar</t>
        </is>
      </c>
      <c r="D288" t="inlineStr">
        <is>
          <t>CECILIA TSUYACO ARAKI SILVA LTDA</t>
        </is>
      </c>
      <c r="E288" t="inlineStr">
        <is>
          <t>397692</t>
        </is>
      </c>
      <c r="F288" s="525" t="n">
        <v>46252</v>
      </c>
      <c r="G288" t="n">
        <v>19682</v>
      </c>
      <c r="H288" t="inlineStr">
        <is>
          <t>MIRTILO KG</t>
        </is>
      </c>
      <c r="I288" t="inlineStr">
        <is>
          <t>ALIMENTOS</t>
        </is>
      </c>
      <c r="J288" t="n">
        <v>0.3</v>
      </c>
      <c r="K288" t="inlineStr">
        <is>
          <t>KG</t>
        </is>
      </c>
      <c r="L288" t="n">
        <v>36</v>
      </c>
      <c r="M288" t="n">
        <v>120</v>
      </c>
      <c r="O288" t="inlineStr">
        <is>
          <t>08/2026</t>
        </is>
      </c>
    </row>
    <row r="289">
      <c r="A289" t="n">
        <v>258760</v>
      </c>
      <c r="B289" t="n">
        <v>180</v>
      </c>
      <c r="C289" t="inlineStr">
        <is>
          <t>Nuv Gastrobar</t>
        </is>
      </c>
      <c r="D289" t="inlineStr">
        <is>
          <t>CECILIA TSUYACO ARAKI SILVA LTDA</t>
        </is>
      </c>
      <c r="E289" t="inlineStr">
        <is>
          <t>397692</t>
        </is>
      </c>
      <c r="F289" s="525" t="n">
        <v>46252</v>
      </c>
      <c r="G289" t="n">
        <v>19488</v>
      </c>
      <c r="H289" t="inlineStr">
        <is>
          <t>CEBOLINHA KG</t>
        </is>
      </c>
      <c r="I289" t="inlineStr">
        <is>
          <t>ALIMENTOS</t>
        </is>
      </c>
      <c r="J289" t="n">
        <v>1</v>
      </c>
      <c r="K289" t="inlineStr">
        <is>
          <t>KG</t>
        </is>
      </c>
      <c r="L289" t="n">
        <v>12</v>
      </c>
      <c r="M289" t="n">
        <v>12</v>
      </c>
      <c r="O289" t="inlineStr">
        <is>
          <t>08/2026</t>
        </is>
      </c>
    </row>
    <row r="290">
      <c r="A290" t="n">
        <v>258760</v>
      </c>
      <c r="B290" t="n">
        <v>180</v>
      </c>
      <c r="C290" t="inlineStr">
        <is>
          <t>Nuv Gastrobar</t>
        </is>
      </c>
      <c r="D290" t="inlineStr">
        <is>
          <t>CECILIA TSUYACO ARAKI SILVA LTDA</t>
        </is>
      </c>
      <c r="E290" t="inlineStr">
        <is>
          <t>397692</t>
        </is>
      </c>
      <c r="F290" s="525" t="n">
        <v>46252</v>
      </c>
      <c r="G290" t="n">
        <v>19465</v>
      </c>
      <c r="H290" t="inlineStr">
        <is>
          <t>SALSAO KG</t>
        </is>
      </c>
      <c r="I290" t="inlineStr">
        <is>
          <t>ALIMENTOS</t>
        </is>
      </c>
      <c r="J290" t="n">
        <v>3</v>
      </c>
      <c r="K290" t="inlineStr">
        <is>
          <t>KG</t>
        </is>
      </c>
      <c r="L290" t="n">
        <v>18.6</v>
      </c>
      <c r="M290" t="n">
        <v>6.2</v>
      </c>
      <c r="O290" t="inlineStr">
        <is>
          <t>08/2026</t>
        </is>
      </c>
    </row>
    <row r="291">
      <c r="A291" t="n">
        <v>258734</v>
      </c>
      <c r="B291" t="n">
        <v>180</v>
      </c>
      <c r="C291" t="inlineStr">
        <is>
          <t>Nuv Gastrobar</t>
        </is>
      </c>
      <c r="D291" t="inlineStr">
        <is>
          <t>BRASALIMENT IND E COMERCIO DE CARNES LTD</t>
        </is>
      </c>
      <c r="E291" t="inlineStr">
        <is>
          <t>716561</t>
        </is>
      </c>
      <c r="F291" s="525" t="n">
        <v>46252</v>
      </c>
      <c r="G291" t="n">
        <v>23718</v>
      </c>
      <c r="H291" t="inlineStr">
        <is>
          <t>SALSICHA TIPO FRANKFURT KG</t>
        </is>
      </c>
      <c r="I291" t="inlineStr">
        <is>
          <t>ALIMENTOS</t>
        </is>
      </c>
      <c r="J291" t="n">
        <v>3.96</v>
      </c>
      <c r="K291" t="inlineStr">
        <is>
          <t>KG</t>
        </is>
      </c>
      <c r="L291" t="n">
        <v>177.01</v>
      </c>
      <c r="M291" t="n">
        <v>44.699495</v>
      </c>
      <c r="O291" t="inlineStr">
        <is>
          <t>08/2026</t>
        </is>
      </c>
    </row>
    <row r="292">
      <c r="A292" t="n">
        <v>258732</v>
      </c>
      <c r="B292" t="n">
        <v>180</v>
      </c>
      <c r="C292" t="inlineStr">
        <is>
          <t>Nuv Gastrobar</t>
        </is>
      </c>
      <c r="D292" t="inlineStr">
        <is>
          <t>CECILIA TSUYACO ARAKI SILVA LTDA</t>
        </is>
      </c>
      <c r="E292" t="inlineStr">
        <is>
          <t>397584</t>
        </is>
      </c>
      <c r="F292" s="525" t="n">
        <v>46251</v>
      </c>
      <c r="G292" t="n">
        <v>19751</v>
      </c>
      <c r="H292" t="inlineStr">
        <is>
          <t>LIMAO SICILIANO KG</t>
        </is>
      </c>
      <c r="I292" t="inlineStr">
        <is>
          <t>ALIMENTOS</t>
        </is>
      </c>
      <c r="J292" t="n">
        <v>10</v>
      </c>
      <c r="K292" t="inlineStr">
        <is>
          <t>KG</t>
        </is>
      </c>
      <c r="L292" t="n">
        <v>80</v>
      </c>
      <c r="M292" t="n">
        <v>8</v>
      </c>
      <c r="O292" t="inlineStr">
        <is>
          <t>08/2026</t>
        </is>
      </c>
    </row>
    <row r="293">
      <c r="A293" t="n">
        <v>258732</v>
      </c>
      <c r="B293" t="n">
        <v>180</v>
      </c>
      <c r="C293" t="inlineStr">
        <is>
          <t>Nuv Gastrobar</t>
        </is>
      </c>
      <c r="D293" t="inlineStr">
        <is>
          <t>CECILIA TSUYACO ARAKI SILVA LTDA</t>
        </is>
      </c>
      <c r="E293" t="inlineStr">
        <is>
          <t>397584</t>
        </is>
      </c>
      <c r="F293" s="525" t="n">
        <v>46251</v>
      </c>
      <c r="G293" t="n">
        <v>19607</v>
      </c>
      <c r="H293" t="inlineStr">
        <is>
          <t>GENGIBRE KG</t>
        </is>
      </c>
      <c r="I293" t="inlineStr">
        <is>
          <t>ALIMENTOS</t>
        </is>
      </c>
      <c r="J293" t="n">
        <v>2</v>
      </c>
      <c r="K293" t="inlineStr">
        <is>
          <t>KG</t>
        </is>
      </c>
      <c r="L293" t="n">
        <v>15</v>
      </c>
      <c r="M293" t="n">
        <v>7.5</v>
      </c>
      <c r="O293" t="inlineStr">
        <is>
          <t>08/2026</t>
        </is>
      </c>
    </row>
    <row r="294">
      <c r="A294" t="n">
        <v>258725</v>
      </c>
      <c r="B294" t="n">
        <v>180</v>
      </c>
      <c r="C294" t="inlineStr">
        <is>
          <t>Nuv Gastrobar</t>
        </is>
      </c>
      <c r="D294" t="inlineStr">
        <is>
          <t>DISTRIBUIDORA E IMPORTADORA IRMAOS AVELINO LTDA</t>
        </is>
      </c>
      <c r="E294" t="inlineStr">
        <is>
          <t>507919</t>
        </is>
      </c>
      <c r="F294" s="525" t="n">
        <v>46253</v>
      </c>
      <c r="G294" t="n">
        <v>24438</v>
      </c>
      <c r="H294" t="inlineStr">
        <is>
          <t>QUEIJO GOUDA KG</t>
        </is>
      </c>
      <c r="I294" t="inlineStr">
        <is>
          <t>ALIMENTOS</t>
        </is>
      </c>
      <c r="J294" t="n">
        <v>15</v>
      </c>
      <c r="K294" t="inlineStr">
        <is>
          <t>KG</t>
        </is>
      </c>
      <c r="L294" t="n">
        <v>1109.1</v>
      </c>
      <c r="M294" t="n">
        <v>73.94</v>
      </c>
      <c r="O294" t="inlineStr">
        <is>
          <t>08/2026</t>
        </is>
      </c>
    </row>
    <row r="295">
      <c r="A295" t="n">
        <v>258725</v>
      </c>
      <c r="B295" t="n">
        <v>180</v>
      </c>
      <c r="C295" t="inlineStr">
        <is>
          <t>Nuv Gastrobar</t>
        </is>
      </c>
      <c r="D295" t="inlineStr">
        <is>
          <t>DISTRIBUIDORA E IMPORTADORA IRMAOS AVELINO LTDA</t>
        </is>
      </c>
      <c r="E295" t="inlineStr">
        <is>
          <t>507919</t>
        </is>
      </c>
      <c r="F295" s="525" t="n">
        <v>46253</v>
      </c>
      <c r="G295" t="n">
        <v>23074</v>
      </c>
      <c r="H295" t="inlineStr">
        <is>
          <t>QUEIJO EMMENTAL KG</t>
        </is>
      </c>
      <c r="I295" t="inlineStr">
        <is>
          <t>ALIMENTOS</t>
        </is>
      </c>
      <c r="J295" t="n">
        <v>6</v>
      </c>
      <c r="K295" t="inlineStr">
        <is>
          <t>KG</t>
        </is>
      </c>
      <c r="L295" t="n">
        <v>673.3200000000001</v>
      </c>
      <c r="M295" t="n">
        <v>112.22</v>
      </c>
      <c r="O295" t="inlineStr">
        <is>
          <t>08/2026</t>
        </is>
      </c>
    </row>
    <row r="296">
      <c r="A296" t="n">
        <v>258725</v>
      </c>
      <c r="B296" t="n">
        <v>180</v>
      </c>
      <c r="C296" t="inlineStr">
        <is>
          <t>Nuv Gastrobar</t>
        </is>
      </c>
      <c r="D296" t="inlineStr">
        <is>
          <t>DISTRIBUIDORA E IMPORTADORA IRMAOS AVELINO LTDA</t>
        </is>
      </c>
      <c r="E296" t="inlineStr">
        <is>
          <t>507919</t>
        </is>
      </c>
      <c r="F296" s="525" t="n">
        <v>46253</v>
      </c>
      <c r="G296" t="n">
        <v>25312</v>
      </c>
      <c r="H296" t="inlineStr">
        <is>
          <t xml:space="preserve">QUEIJO  REQUEIJAO TIROLEZ C/1,5KG </t>
        </is>
      </c>
      <c r="I296" t="inlineStr">
        <is>
          <t>ALIMENTOS</t>
        </is>
      </c>
      <c r="J296" t="n">
        <v>4</v>
      </c>
      <c r="K296" t="inlineStr">
        <is>
          <t>PC</t>
        </is>
      </c>
      <c r="L296" t="n">
        <v>179.96</v>
      </c>
      <c r="M296" t="n">
        <v>44.99</v>
      </c>
      <c r="O296" t="inlineStr">
        <is>
          <t>08/2026</t>
        </is>
      </c>
    </row>
    <row r="297">
      <c r="A297" t="n">
        <v>258725</v>
      </c>
      <c r="B297" t="n">
        <v>180</v>
      </c>
      <c r="C297" t="inlineStr">
        <is>
          <t>Nuv Gastrobar</t>
        </is>
      </c>
      <c r="D297" t="inlineStr">
        <is>
          <t>DISTRIBUIDORA E IMPORTADORA IRMAOS AVELINO LTDA</t>
        </is>
      </c>
      <c r="E297" t="inlineStr">
        <is>
          <t>507919</t>
        </is>
      </c>
      <c r="F297" s="525" t="n">
        <v>46253</v>
      </c>
      <c r="G297" t="n">
        <v>24040</v>
      </c>
      <c r="H297" t="inlineStr">
        <is>
          <t>AMENDOA LAMINADA KG</t>
        </is>
      </c>
      <c r="I297" t="inlineStr">
        <is>
          <t>ALIMENTOS</t>
        </is>
      </c>
      <c r="J297" t="n">
        <v>1</v>
      </c>
      <c r="K297" t="inlineStr">
        <is>
          <t>KG</t>
        </is>
      </c>
      <c r="L297" t="n">
        <v>72.98999999999999</v>
      </c>
      <c r="M297" t="n">
        <v>72.98999999999999</v>
      </c>
      <c r="O297" t="inlineStr">
        <is>
          <t>08/2026</t>
        </is>
      </c>
    </row>
    <row r="298">
      <c r="A298" t="n">
        <v>258725</v>
      </c>
      <c r="B298" t="n">
        <v>180</v>
      </c>
      <c r="C298" t="inlineStr">
        <is>
          <t>Nuv Gastrobar</t>
        </is>
      </c>
      <c r="D298" t="inlineStr">
        <is>
          <t>DISTRIBUIDORA E IMPORTADORA IRMAOS AVELINO LTDA</t>
        </is>
      </c>
      <c r="E298" t="inlineStr">
        <is>
          <t>507919</t>
        </is>
      </c>
      <c r="F298" s="525" t="n">
        <v>46253</v>
      </c>
      <c r="G298" t="n">
        <v>30006</v>
      </c>
      <c r="H298" t="inlineStr">
        <is>
          <t>MANTEIGA SEM SAL TIROLEZ 5KG UN</t>
        </is>
      </c>
      <c r="I298" t="inlineStr">
        <is>
          <t>ALIMENTOS</t>
        </is>
      </c>
      <c r="J298" t="n">
        <v>2</v>
      </c>
      <c r="K298" t="inlineStr">
        <is>
          <t>UN</t>
        </is>
      </c>
      <c r="L298" t="n">
        <v>311.98</v>
      </c>
      <c r="M298" t="n">
        <v>155.99</v>
      </c>
      <c r="O298" t="inlineStr">
        <is>
          <t>08/2026</t>
        </is>
      </c>
    </row>
    <row r="299">
      <c r="A299" t="n">
        <v>258724</v>
      </c>
      <c r="B299" t="n">
        <v>180</v>
      </c>
      <c r="C299" t="inlineStr">
        <is>
          <t>Nuv Gastrobar</t>
        </is>
      </c>
      <c r="D299" t="inlineStr">
        <is>
          <t>AROUMAR DISTRIBUIDORA DE PRODUTOS ALIMENTICIOS LTDA</t>
        </is>
      </c>
      <c r="E299" t="inlineStr">
        <is>
          <t>1078945</t>
        </is>
      </c>
      <c r="F299" s="525" t="n">
        <v>46252</v>
      </c>
      <c r="G299" t="n">
        <v>21017</v>
      </c>
      <c r="H299" t="inlineStr">
        <is>
          <t>OLEO DE ALGODAO SAUDE C/14,5KG</t>
        </is>
      </c>
      <c r="I299" t="inlineStr">
        <is>
          <t>ALIMENTOS</t>
        </is>
      </c>
      <c r="J299" t="n">
        <v>4</v>
      </c>
      <c r="K299" t="inlineStr">
        <is>
          <t>BALDE</t>
        </is>
      </c>
      <c r="L299" t="n">
        <v>635.6</v>
      </c>
      <c r="M299" t="n">
        <v>158.9</v>
      </c>
      <c r="O299" t="inlineStr">
        <is>
          <t>08/2026</t>
        </is>
      </c>
    </row>
    <row r="300">
      <c r="A300" t="n">
        <v>258462</v>
      </c>
      <c r="B300" t="n">
        <v>180</v>
      </c>
      <c r="C300" t="inlineStr">
        <is>
          <t>Nuv Gastrobar</t>
        </is>
      </c>
      <c r="D300" t="inlineStr">
        <is>
          <t>RL SISTEMAS DE HIGIENE LTDA</t>
        </is>
      </c>
      <c r="E300" t="inlineStr">
        <is>
          <t>335699</t>
        </is>
      </c>
      <c r="F300" s="525" t="n">
        <v>46252</v>
      </c>
      <c r="G300" t="n">
        <v>30302</v>
      </c>
      <c r="H300" t="inlineStr">
        <is>
          <t>ALCOOL REFIL 600ML UN</t>
        </is>
      </c>
      <c r="I300" t="inlineStr">
        <is>
          <t>DESCARTAVEIS/HIGIENE E LIMPEZA</t>
        </is>
      </c>
      <c r="J300" t="n">
        <v>1</v>
      </c>
      <c r="K300" t="inlineStr">
        <is>
          <t>UN</t>
        </is>
      </c>
      <c r="L300" t="n">
        <v>36.15</v>
      </c>
      <c r="M300" t="n">
        <v>36.15</v>
      </c>
      <c r="O300" t="inlineStr">
        <is>
          <t>08/2026</t>
        </is>
      </c>
    </row>
    <row r="301">
      <c r="A301" t="n">
        <v>258462</v>
      </c>
      <c r="B301" t="n">
        <v>180</v>
      </c>
      <c r="C301" t="inlineStr">
        <is>
          <t>Nuv Gastrobar</t>
        </is>
      </c>
      <c r="D301" t="inlineStr">
        <is>
          <t>RL SISTEMAS DE HIGIENE LTDA</t>
        </is>
      </c>
      <c r="E301" t="inlineStr">
        <is>
          <t>335699</t>
        </is>
      </c>
      <c r="F301" s="525" t="n">
        <v>46252</v>
      </c>
      <c r="G301" t="n">
        <v>30303</v>
      </c>
      <c r="H301" t="inlineStr">
        <is>
          <t>SABONETE COZINHA SPRAY 6 UNIDADES C/600ML CX</t>
        </is>
      </c>
      <c r="I301" t="inlineStr">
        <is>
          <t>DESCARTAVEIS/HIGIENE E LIMPEZA</t>
        </is>
      </c>
      <c r="J301" t="n">
        <v>1</v>
      </c>
      <c r="K301" t="inlineStr">
        <is>
          <t>CX</t>
        </is>
      </c>
      <c r="L301" t="n">
        <v>35.04</v>
      </c>
      <c r="M301" t="n">
        <v>35.04</v>
      </c>
      <c r="O301" t="inlineStr">
        <is>
          <t>08/2026</t>
        </is>
      </c>
    </row>
    <row r="302">
      <c r="A302" t="n">
        <v>258462</v>
      </c>
      <c r="B302" t="n">
        <v>180</v>
      </c>
      <c r="C302" t="inlineStr">
        <is>
          <t>Nuv Gastrobar</t>
        </is>
      </c>
      <c r="D302" t="inlineStr">
        <is>
          <t>RL SISTEMAS DE HIGIENE LTDA</t>
        </is>
      </c>
      <c r="E302" t="inlineStr">
        <is>
          <t>335699</t>
        </is>
      </c>
      <c r="F302" s="525" t="n">
        <v>46252</v>
      </c>
      <c r="G302" t="n">
        <v>30307</v>
      </c>
      <c r="H302" t="inlineStr">
        <is>
          <t>DESINFETANTE PARA FLV 5L</t>
        </is>
      </c>
      <c r="I302" t="inlineStr">
        <is>
          <t>DESCARTAVEIS/HIGIENE E LIMPEZA</t>
        </is>
      </c>
      <c r="J302" t="n">
        <v>1</v>
      </c>
      <c r="K302" t="inlineStr">
        <is>
          <t>UN</t>
        </is>
      </c>
      <c r="L302" t="n">
        <v>70.91</v>
      </c>
      <c r="M302" t="n">
        <v>70.91</v>
      </c>
      <c r="O302" t="inlineStr">
        <is>
          <t>08/2026</t>
        </is>
      </c>
    </row>
    <row r="303">
      <c r="A303" t="n">
        <v>258462</v>
      </c>
      <c r="B303" t="n">
        <v>180</v>
      </c>
      <c r="C303" t="inlineStr">
        <is>
          <t>Nuv Gastrobar</t>
        </is>
      </c>
      <c r="D303" t="inlineStr">
        <is>
          <t>RL SISTEMAS DE HIGIENE LTDA</t>
        </is>
      </c>
      <c r="E303" t="inlineStr">
        <is>
          <t>335699</t>
        </is>
      </c>
      <c r="F303" s="525" t="n">
        <v>46252</v>
      </c>
      <c r="G303" t="n">
        <v>30311</v>
      </c>
      <c r="H303" t="inlineStr">
        <is>
          <t>DETERGENTE MAQUINA DE LAVAR LOUÇA 5L</t>
        </is>
      </c>
      <c r="I303" t="inlineStr">
        <is>
          <t>DESCARTAVEIS/HIGIENE E LIMPEZA</t>
        </is>
      </c>
      <c r="J303" t="n">
        <v>1</v>
      </c>
      <c r="K303" t="inlineStr">
        <is>
          <t>UN</t>
        </is>
      </c>
      <c r="L303" t="n">
        <v>91.91</v>
      </c>
      <c r="M303" t="n">
        <v>91.91</v>
      </c>
      <c r="O303" t="inlineStr">
        <is>
          <t>08/2026</t>
        </is>
      </c>
    </row>
    <row r="304">
      <c r="A304" t="n">
        <v>258462</v>
      </c>
      <c r="B304" t="n">
        <v>180</v>
      </c>
      <c r="C304" t="inlineStr">
        <is>
          <t>Nuv Gastrobar</t>
        </is>
      </c>
      <c r="D304" t="inlineStr">
        <is>
          <t>RL SISTEMAS DE HIGIENE LTDA</t>
        </is>
      </c>
      <c r="E304" t="inlineStr">
        <is>
          <t>335699</t>
        </is>
      </c>
      <c r="F304" s="525" t="n">
        <v>46252</v>
      </c>
      <c r="G304" t="n">
        <v>30308</v>
      </c>
      <c r="H304" t="inlineStr">
        <is>
          <t>DESINFETANTE PARA LAVAR COZINHA E SALAO 5L</t>
        </is>
      </c>
      <c r="I304" t="inlineStr">
        <is>
          <t>DESCARTAVEIS/HIGIENE E LIMPEZA</t>
        </is>
      </c>
      <c r="J304" t="n">
        <v>1</v>
      </c>
      <c r="K304" t="inlineStr">
        <is>
          <t>UN</t>
        </is>
      </c>
      <c r="L304" t="n">
        <v>91.53</v>
      </c>
      <c r="M304" t="n">
        <v>91.53</v>
      </c>
      <c r="O304" t="inlineStr">
        <is>
          <t>08/2026</t>
        </is>
      </c>
    </row>
    <row r="305">
      <c r="A305" t="n">
        <v>258462</v>
      </c>
      <c r="B305" t="n">
        <v>180</v>
      </c>
      <c r="C305" t="inlineStr">
        <is>
          <t>Nuv Gastrobar</t>
        </is>
      </c>
      <c r="D305" t="inlineStr">
        <is>
          <t>RL SISTEMAS DE HIGIENE LTDA</t>
        </is>
      </c>
      <c r="E305" t="inlineStr">
        <is>
          <t>335699</t>
        </is>
      </c>
      <c r="F305" s="525" t="n">
        <v>46252</v>
      </c>
      <c r="G305" t="n">
        <v>30305</v>
      </c>
      <c r="H305" t="inlineStr">
        <is>
          <t>DETERGENTE PARA LAVAR LOUÇA 5L</t>
        </is>
      </c>
      <c r="I305" t="inlineStr">
        <is>
          <t>DESCARTAVEIS/HIGIENE E LIMPEZA</t>
        </is>
      </c>
      <c r="J305" t="n">
        <v>4</v>
      </c>
      <c r="K305" t="inlineStr">
        <is>
          <t>UN</t>
        </is>
      </c>
      <c r="L305" t="n">
        <v>356</v>
      </c>
      <c r="M305" t="n">
        <v>89</v>
      </c>
      <c r="O305" t="inlineStr">
        <is>
          <t>08/2026</t>
        </is>
      </c>
    </row>
    <row r="306">
      <c r="A306" t="n">
        <v>258462</v>
      </c>
      <c r="B306" t="n">
        <v>180</v>
      </c>
      <c r="C306" t="inlineStr">
        <is>
          <t>Nuv Gastrobar</t>
        </is>
      </c>
      <c r="D306" t="inlineStr">
        <is>
          <t>RL SISTEMAS DE HIGIENE LTDA</t>
        </is>
      </c>
      <c r="E306" t="inlineStr">
        <is>
          <t>335699</t>
        </is>
      </c>
      <c r="F306" s="525" t="n">
        <v>46252</v>
      </c>
      <c r="G306" t="n">
        <v>30309</v>
      </c>
      <c r="H306" t="inlineStr">
        <is>
          <t>DESINFETANTE CLORADO 5L</t>
        </is>
      </c>
      <c r="I306" t="inlineStr">
        <is>
          <t>DESCARTAVEIS/HIGIENE E LIMPEZA</t>
        </is>
      </c>
      <c r="J306" t="n">
        <v>2</v>
      </c>
      <c r="K306" t="inlineStr">
        <is>
          <t>UN</t>
        </is>
      </c>
      <c r="L306" t="n">
        <v>212.18</v>
      </c>
      <c r="M306" t="n">
        <v>106.09</v>
      </c>
      <c r="O306" t="inlineStr">
        <is>
          <t>08/2026</t>
        </is>
      </c>
    </row>
    <row r="307">
      <c r="A307" t="n">
        <v>258462</v>
      </c>
      <c r="B307" t="n">
        <v>180</v>
      </c>
      <c r="C307" t="inlineStr">
        <is>
          <t>Nuv Gastrobar</t>
        </is>
      </c>
      <c r="D307" t="inlineStr">
        <is>
          <t>RL SISTEMAS DE HIGIENE LTDA</t>
        </is>
      </c>
      <c r="E307" t="inlineStr">
        <is>
          <t>335699</t>
        </is>
      </c>
      <c r="F307" s="525" t="n">
        <v>46252</v>
      </c>
      <c r="G307" t="n">
        <v>30312</v>
      </c>
      <c r="H307" t="inlineStr">
        <is>
          <t>SECANTE MAQUINA DE LAVAR LOUÇA 5L</t>
        </is>
      </c>
      <c r="I307" t="inlineStr">
        <is>
          <t>DESCARTAVEIS/HIGIENE E LIMPEZA</t>
        </is>
      </c>
      <c r="J307" t="n">
        <v>1</v>
      </c>
      <c r="K307" t="inlineStr">
        <is>
          <t>UN</t>
        </is>
      </c>
      <c r="L307" t="n">
        <v>118.19</v>
      </c>
      <c r="M307" t="n">
        <v>118.19</v>
      </c>
      <c r="O307" t="inlineStr">
        <is>
          <t>08/2026</t>
        </is>
      </c>
    </row>
    <row r="308">
      <c r="A308" t="n">
        <v>257818</v>
      </c>
      <c r="B308" t="n">
        <v>180</v>
      </c>
      <c r="C308" t="inlineStr">
        <is>
          <t>Nuv Gastrobar</t>
        </is>
      </c>
      <c r="D308" t="inlineStr">
        <is>
          <t>ZAHIL IMPORTADORA LTDA</t>
        </is>
      </c>
      <c r="E308" t="inlineStr">
        <is>
          <t>275979</t>
        </is>
      </c>
      <c r="F308" s="525" t="n">
        <v>46251</v>
      </c>
      <c r="G308" t="n">
        <v>26034</v>
      </c>
      <c r="H308" t="inlineStr">
        <is>
          <t>VINHO BRANCO RUTINI LA RURAL DESTINO CHARDONNAY MENDOZA ARGENTINA 750ML</t>
        </is>
      </c>
      <c r="I308" t="inlineStr">
        <is>
          <t>BEBIDAS</t>
        </is>
      </c>
      <c r="J308" t="n">
        <v>6</v>
      </c>
      <c r="K308" t="inlineStr">
        <is>
          <t>GR</t>
        </is>
      </c>
      <c r="L308" t="n">
        <v>303.18</v>
      </c>
      <c r="M308" t="n">
        <v>50.53</v>
      </c>
      <c r="O308" t="inlineStr">
        <is>
          <t>08/2026</t>
        </is>
      </c>
    </row>
    <row r="309">
      <c r="A309" t="n">
        <v>257818</v>
      </c>
      <c r="B309" t="n">
        <v>180</v>
      </c>
      <c r="C309" t="inlineStr">
        <is>
          <t>Nuv Gastrobar</t>
        </is>
      </c>
      <c r="D309" t="inlineStr">
        <is>
          <t>ZAHIL IMPORTADORA LTDA</t>
        </is>
      </c>
      <c r="E309" t="inlineStr">
        <is>
          <t>275979</t>
        </is>
      </c>
      <c r="F309" s="525" t="n">
        <v>46251</v>
      </c>
      <c r="G309" t="n">
        <v>30367</v>
      </c>
      <c r="H309" t="inlineStr">
        <is>
          <t>ESPUMANTE LYS D'OR BRUT BORDEUAX 750ML UN</t>
        </is>
      </c>
      <c r="I309" t="inlineStr">
        <is>
          <t>BEBIDAS</t>
        </is>
      </c>
      <c r="J309" t="n">
        <v>6</v>
      </c>
      <c r="K309" t="inlineStr">
        <is>
          <t>UN</t>
        </is>
      </c>
      <c r="L309" t="n">
        <v>407.22</v>
      </c>
      <c r="M309" t="n">
        <v>67.87</v>
      </c>
      <c r="O309" t="inlineStr">
        <is>
          <t>08/2026</t>
        </is>
      </c>
    </row>
    <row r="310">
      <c r="A310" t="n">
        <v>257818</v>
      </c>
      <c r="B310" t="n">
        <v>180</v>
      </c>
      <c r="C310" t="inlineStr">
        <is>
          <t>Nuv Gastrobar</t>
        </is>
      </c>
      <c r="D310" t="inlineStr">
        <is>
          <t>ZAHIL IMPORTADORA LTDA</t>
        </is>
      </c>
      <c r="E310" t="inlineStr">
        <is>
          <t>275979</t>
        </is>
      </c>
      <c r="F310" s="525" t="n">
        <v>46251</v>
      </c>
      <c r="G310" t="n">
        <v>26038</v>
      </c>
      <c r="H310" t="inlineStr">
        <is>
          <t>VINHO ROSE DESTINO MALBEC LA RURAL ARGENTINA 750ML</t>
        </is>
      </c>
      <c r="I310" t="inlineStr">
        <is>
          <t>BEBIDAS</t>
        </is>
      </c>
      <c r="J310" t="n">
        <v>6</v>
      </c>
      <c r="K310" t="inlineStr">
        <is>
          <t>GR</t>
        </is>
      </c>
      <c r="L310" t="n">
        <v>303.18</v>
      </c>
      <c r="M310" t="n">
        <v>50.53</v>
      </c>
      <c r="O310" t="inlineStr">
        <is>
          <t>08/2026</t>
        </is>
      </c>
    </row>
    <row r="311">
      <c r="A311" t="n">
        <v>257815</v>
      </c>
      <c r="B311" t="n">
        <v>180</v>
      </c>
      <c r="C311" t="inlineStr">
        <is>
          <t>Nuv Gastrobar</t>
        </is>
      </c>
      <c r="D311" t="inlineStr">
        <is>
          <t>A CASA DO PRODUTOR LTDA</t>
        </is>
      </c>
      <c r="E311" t="inlineStr">
        <is>
          <t>24086</t>
        </is>
      </c>
      <c r="F311" s="525" t="n">
        <v>46253</v>
      </c>
      <c r="G311" t="n">
        <v>27398</v>
      </c>
      <c r="H311" t="inlineStr">
        <is>
          <t>COALHADA SECA DE OVELHA RIMA 200G</t>
        </is>
      </c>
      <c r="I311" t="inlineStr">
        <is>
          <t>ALIMENTOS</t>
        </is>
      </c>
      <c r="J311" t="n">
        <v>5</v>
      </c>
      <c r="K311" t="inlineStr">
        <is>
          <t>UN</t>
        </is>
      </c>
      <c r="L311" t="n">
        <v>205</v>
      </c>
      <c r="M311" t="n">
        <v>41</v>
      </c>
      <c r="O311" t="inlineStr">
        <is>
          <t>08/2026</t>
        </is>
      </c>
    </row>
    <row r="312">
      <c r="A312" t="n">
        <v>257810</v>
      </c>
      <c r="B312" t="n">
        <v>180</v>
      </c>
      <c r="C312" t="inlineStr">
        <is>
          <t>Nuv Gastrobar</t>
        </is>
      </c>
      <c r="D312" t="inlineStr">
        <is>
          <t>PIRAMIDES COMERCIO DE AGUAS MINEIRAIS E BEBIDAS EM GERAL LTDA</t>
        </is>
      </c>
      <c r="E312" t="inlineStr">
        <is>
          <t>177191</t>
        </is>
      </c>
      <c r="F312" s="525" t="n">
        <v>46248</v>
      </c>
      <c r="G312" t="n">
        <v>17958</v>
      </c>
      <c r="H312" t="inlineStr">
        <is>
          <t>AGUA MINERAL SEM GAS LINDOIA PREMIUM  310ML C/12</t>
        </is>
      </c>
      <c r="I312" t="inlineStr">
        <is>
          <t>BEBIDAS</t>
        </is>
      </c>
      <c r="J312" t="n">
        <v>100</v>
      </c>
      <c r="K312" t="inlineStr">
        <is>
          <t>CX</t>
        </is>
      </c>
      <c r="L312" t="n">
        <v>1748</v>
      </c>
      <c r="M312" t="n">
        <v>17.48</v>
      </c>
      <c r="O312" t="inlineStr">
        <is>
          <t>08/2026</t>
        </is>
      </c>
    </row>
    <row r="313">
      <c r="A313" t="n">
        <v>257810</v>
      </c>
      <c r="B313" t="n">
        <v>180</v>
      </c>
      <c r="C313" t="inlineStr">
        <is>
          <t>Nuv Gastrobar</t>
        </is>
      </c>
      <c r="D313" t="inlineStr">
        <is>
          <t>PIRAMIDES COMERCIO DE AGUAS MINEIRAIS E BEBIDAS EM GERAL LTDA</t>
        </is>
      </c>
      <c r="E313" t="inlineStr">
        <is>
          <t>177191</t>
        </is>
      </c>
      <c r="F313" s="525" t="n">
        <v>46248</v>
      </c>
      <c r="G313" t="n">
        <v>17950</v>
      </c>
      <c r="H313" t="inlineStr">
        <is>
          <t>AGUA MINERAL COM GAS LINDOIA PREMIUM 310ML C/12 PC</t>
        </is>
      </c>
      <c r="I313" t="inlineStr">
        <is>
          <t>BEBIDAS</t>
        </is>
      </c>
      <c r="J313" t="n">
        <v>60</v>
      </c>
      <c r="K313" t="inlineStr">
        <is>
          <t>CX</t>
        </is>
      </c>
      <c r="L313" t="n">
        <v>1096.8</v>
      </c>
      <c r="M313" t="n">
        <v>18.28</v>
      </c>
      <c r="O313" t="inlineStr">
        <is>
          <t>08/2026</t>
        </is>
      </c>
    </row>
    <row r="314">
      <c r="A314" t="n">
        <v>257810</v>
      </c>
      <c r="B314" t="n">
        <v>180</v>
      </c>
      <c r="C314" t="inlineStr">
        <is>
          <t>Nuv Gastrobar</t>
        </is>
      </c>
      <c r="D314" t="inlineStr">
        <is>
          <t>PIRAMIDES COMERCIO DE AGUAS MINEIRAIS E BEBIDAS EM GERAL LTDA</t>
        </is>
      </c>
      <c r="E314" t="inlineStr">
        <is>
          <t>177191</t>
        </is>
      </c>
      <c r="F314" s="525" t="n">
        <v>46248</v>
      </c>
      <c r="G314" t="n">
        <v>17987</v>
      </c>
      <c r="H314" t="inlineStr">
        <is>
          <t>SCHWEPPES TONICA SEM ACUCARES LATA 350ML C/6</t>
        </is>
      </c>
      <c r="I314" t="inlineStr">
        <is>
          <t>BEBIDAS</t>
        </is>
      </c>
      <c r="J314" t="n">
        <v>30</v>
      </c>
      <c r="K314" t="inlineStr">
        <is>
          <t>CX</t>
        </is>
      </c>
      <c r="L314" t="n">
        <v>684.6</v>
      </c>
      <c r="M314" t="n">
        <v>22.82</v>
      </c>
      <c r="O314" t="inlineStr">
        <is>
          <t>08/2026</t>
        </is>
      </c>
    </row>
    <row r="315">
      <c r="A315" t="n">
        <v>257810</v>
      </c>
      <c r="B315" t="n">
        <v>180</v>
      </c>
      <c r="C315" t="inlineStr">
        <is>
          <t>Nuv Gastrobar</t>
        </is>
      </c>
      <c r="D315" t="inlineStr">
        <is>
          <t>PIRAMIDES COMERCIO DE AGUAS MINEIRAIS E BEBIDAS EM GERAL LTDA</t>
        </is>
      </c>
      <c r="E315" t="inlineStr">
        <is>
          <t>177191</t>
        </is>
      </c>
      <c r="F315" s="525" t="n">
        <v>46248</v>
      </c>
      <c r="G315" t="n">
        <v>17907</v>
      </c>
      <c r="H315" t="inlineStr">
        <is>
          <t>SCHWEPPES CITRUS LATA 350ML C/6</t>
        </is>
      </c>
      <c r="I315" t="inlineStr">
        <is>
          <t>BEBIDAS</t>
        </is>
      </c>
      <c r="J315" t="n">
        <v>30</v>
      </c>
      <c r="K315" t="inlineStr">
        <is>
          <t>CX</t>
        </is>
      </c>
      <c r="L315" t="n">
        <v>904.5</v>
      </c>
      <c r="M315" t="n">
        <v>30.15</v>
      </c>
      <c r="O315" t="inlineStr">
        <is>
          <t>08/2026</t>
        </is>
      </c>
    </row>
    <row r="316">
      <c r="A316" t="n">
        <v>257810</v>
      </c>
      <c r="B316" t="n">
        <v>180</v>
      </c>
      <c r="C316" t="inlineStr">
        <is>
          <t>Nuv Gastrobar</t>
        </is>
      </c>
      <c r="D316" t="inlineStr">
        <is>
          <t>PIRAMIDES COMERCIO DE AGUAS MINEIRAIS E BEBIDAS EM GERAL LTDA</t>
        </is>
      </c>
      <c r="E316" t="inlineStr">
        <is>
          <t>177191</t>
        </is>
      </c>
      <c r="F316" s="525" t="n">
        <v>46248</v>
      </c>
      <c r="G316" t="n">
        <v>17885</v>
      </c>
      <c r="H316" t="inlineStr">
        <is>
          <t>COCA-COLA ZERO LATA 350ML C/12UN</t>
        </is>
      </c>
      <c r="I316" t="inlineStr">
        <is>
          <t>BEBIDAS</t>
        </is>
      </c>
      <c r="J316" t="n">
        <v>80</v>
      </c>
      <c r="K316" t="inlineStr">
        <is>
          <t>CX</t>
        </is>
      </c>
      <c r="L316" t="n">
        <v>3580.8</v>
      </c>
      <c r="M316" t="n">
        <v>44.76</v>
      </c>
      <c r="O316" t="inlineStr">
        <is>
          <t>08/2026</t>
        </is>
      </c>
    </row>
    <row r="317">
      <c r="A317" t="n">
        <v>257810</v>
      </c>
      <c r="B317" t="n">
        <v>180</v>
      </c>
      <c r="C317" t="inlineStr">
        <is>
          <t>Nuv Gastrobar</t>
        </is>
      </c>
      <c r="D317" t="inlineStr">
        <is>
          <t>PIRAMIDES COMERCIO DE AGUAS MINEIRAIS E BEBIDAS EM GERAL LTDA</t>
        </is>
      </c>
      <c r="E317" t="inlineStr">
        <is>
          <t>177191</t>
        </is>
      </c>
      <c r="F317" s="525" t="n">
        <v>46248</v>
      </c>
      <c r="G317" t="n">
        <v>17988</v>
      </c>
      <c r="H317" t="inlineStr">
        <is>
          <t>SCHWEPPES TONICA LATA 350ML C/6 PC</t>
        </is>
      </c>
      <c r="I317" t="inlineStr">
        <is>
          <t>BEBIDAS</t>
        </is>
      </c>
      <c r="J317" t="n">
        <v>50</v>
      </c>
      <c r="K317" t="inlineStr">
        <is>
          <t>CX</t>
        </is>
      </c>
      <c r="L317" t="n">
        <v>1141</v>
      </c>
      <c r="M317" t="n">
        <v>22.82</v>
      </c>
      <c r="O317" t="inlineStr">
        <is>
          <t>08/2026</t>
        </is>
      </c>
    </row>
    <row r="318">
      <c r="A318" t="n">
        <v>257810</v>
      </c>
      <c r="B318" t="n">
        <v>180</v>
      </c>
      <c r="C318" t="inlineStr">
        <is>
          <t>Nuv Gastrobar</t>
        </is>
      </c>
      <c r="D318" t="inlineStr">
        <is>
          <t>PIRAMIDES COMERCIO DE AGUAS MINEIRAIS E BEBIDAS EM GERAL LTDA</t>
        </is>
      </c>
      <c r="E318" t="inlineStr">
        <is>
          <t>177191</t>
        </is>
      </c>
      <c r="F318" s="525" t="n">
        <v>46248</v>
      </c>
      <c r="G318" t="n">
        <v>17888</v>
      </c>
      <c r="H318" t="inlineStr">
        <is>
          <t>COCA-COLA PET 2L C/6</t>
        </is>
      </c>
      <c r="I318" t="inlineStr">
        <is>
          <t>BEBIDAS</t>
        </is>
      </c>
      <c r="J318" t="n">
        <v>6</v>
      </c>
      <c r="K318" t="inlineStr">
        <is>
          <t>CX</t>
        </is>
      </c>
      <c r="L318" t="n">
        <v>453.36</v>
      </c>
      <c r="M318" t="n">
        <v>75.56</v>
      </c>
      <c r="O318" t="inlineStr">
        <is>
          <t>08/2026</t>
        </is>
      </c>
    </row>
    <row r="319">
      <c r="A319" t="n">
        <v>257810</v>
      </c>
      <c r="B319" t="n">
        <v>180</v>
      </c>
      <c r="C319" t="inlineStr">
        <is>
          <t>Nuv Gastrobar</t>
        </is>
      </c>
      <c r="D319" t="inlineStr">
        <is>
          <t>PIRAMIDES COMERCIO DE AGUAS MINEIRAIS E BEBIDAS EM GERAL LTDA</t>
        </is>
      </c>
      <c r="E319" t="inlineStr">
        <is>
          <t>177191</t>
        </is>
      </c>
      <c r="F319" s="525" t="n">
        <v>46248</v>
      </c>
      <c r="G319" t="n">
        <v>17893</v>
      </c>
      <c r="H319" t="inlineStr">
        <is>
          <t>COCA-COLA LATA 350ML C/12UN</t>
        </is>
      </c>
      <c r="I319" t="inlineStr">
        <is>
          <t>BEBIDAS</t>
        </is>
      </c>
      <c r="J319" t="n">
        <v>60</v>
      </c>
      <c r="K319" t="inlineStr">
        <is>
          <t>CX</t>
        </is>
      </c>
      <c r="L319" t="n">
        <v>2685.6</v>
      </c>
      <c r="M319" t="n">
        <v>44.76</v>
      </c>
      <c r="O319" t="inlineStr">
        <is>
          <t>08/2026</t>
        </is>
      </c>
    </row>
    <row r="320">
      <c r="A320" t="n">
        <v>257810</v>
      </c>
      <c r="B320" t="n">
        <v>180</v>
      </c>
      <c r="C320" t="inlineStr">
        <is>
          <t>Nuv Gastrobar</t>
        </is>
      </c>
      <c r="D320" t="inlineStr">
        <is>
          <t>PIRAMIDES COMERCIO DE AGUAS MINEIRAIS E BEBIDAS EM GERAL LTDA</t>
        </is>
      </c>
      <c r="E320" t="inlineStr">
        <is>
          <t>177191</t>
        </is>
      </c>
      <c r="F320" s="525" t="n">
        <v>46248</v>
      </c>
      <c r="G320" t="n">
        <v>17889</v>
      </c>
      <c r="H320" t="inlineStr">
        <is>
          <t>COCA-COLA ZERO PET 2L C/6</t>
        </is>
      </c>
      <c r="I320" t="inlineStr">
        <is>
          <t>BEBIDAS</t>
        </is>
      </c>
      <c r="J320" t="n">
        <v>6</v>
      </c>
      <c r="K320" t="inlineStr">
        <is>
          <t>CX</t>
        </is>
      </c>
      <c r="L320" t="n">
        <v>461.76</v>
      </c>
      <c r="M320" t="n">
        <v>76.95999999999999</v>
      </c>
      <c r="O320" t="inlineStr">
        <is>
          <t>08/2026</t>
        </is>
      </c>
    </row>
    <row r="321">
      <c r="A321" t="n">
        <v>257681</v>
      </c>
      <c r="B321" t="n">
        <v>180</v>
      </c>
      <c r="C321" t="inlineStr">
        <is>
          <t>Nuv Gastrobar</t>
        </is>
      </c>
      <c r="D321" t="inlineStr">
        <is>
          <t>TERRA BRASIL HORTI FRUTI LTDA</t>
        </is>
      </c>
      <c r="E321" t="inlineStr">
        <is>
          <t>1572552</t>
        </is>
      </c>
      <c r="F321" s="525" t="n">
        <v>46249</v>
      </c>
      <c r="G321" t="n">
        <v>23101</v>
      </c>
      <c r="H321" t="inlineStr">
        <is>
          <t>ALFACE CRESPA HIGIENIZADO KG</t>
        </is>
      </c>
      <c r="I321" t="inlineStr">
        <is>
          <t>ALIMENTOS</t>
        </is>
      </c>
      <c r="J321" t="n">
        <v>2</v>
      </c>
      <c r="K321" t="inlineStr">
        <is>
          <t>KG</t>
        </is>
      </c>
      <c r="L321" t="n">
        <v>50.84</v>
      </c>
      <c r="M321" t="n">
        <v>25.42</v>
      </c>
      <c r="O321" t="inlineStr">
        <is>
          <t>08/2026</t>
        </is>
      </c>
    </row>
    <row r="322">
      <c r="A322" t="n">
        <v>257681</v>
      </c>
      <c r="B322" t="n">
        <v>180</v>
      </c>
      <c r="C322" t="inlineStr">
        <is>
          <t>Nuv Gastrobar</t>
        </is>
      </c>
      <c r="D322" t="inlineStr">
        <is>
          <t>TERRA BRASIL HORTI FRUTI LTDA</t>
        </is>
      </c>
      <c r="E322" t="inlineStr">
        <is>
          <t>1572552</t>
        </is>
      </c>
      <c r="F322" s="525" t="n">
        <v>46249</v>
      </c>
      <c r="G322" t="n">
        <v>19457</v>
      </c>
      <c r="H322" t="inlineStr">
        <is>
          <t>ALFACE AMERICANA HIGIENIZADO KG</t>
        </is>
      </c>
      <c r="I322" t="inlineStr">
        <is>
          <t>ALIMENTOS</t>
        </is>
      </c>
      <c r="J322" t="n">
        <v>2</v>
      </c>
      <c r="K322" t="inlineStr">
        <is>
          <t>KG</t>
        </is>
      </c>
      <c r="L322" t="n">
        <v>50.78</v>
      </c>
      <c r="M322" t="n">
        <v>25.39</v>
      </c>
      <c r="O322" t="inlineStr">
        <is>
          <t>08/2026</t>
        </is>
      </c>
    </row>
    <row r="323">
      <c r="A323" t="n">
        <v>257681</v>
      </c>
      <c r="B323" t="n">
        <v>180</v>
      </c>
      <c r="C323" t="inlineStr">
        <is>
          <t>Nuv Gastrobar</t>
        </is>
      </c>
      <c r="D323" t="inlineStr">
        <is>
          <t>TERRA BRASIL HORTI FRUTI LTDA</t>
        </is>
      </c>
      <c r="E323" t="inlineStr">
        <is>
          <t>1572552</t>
        </is>
      </c>
      <c r="F323" s="525" t="n">
        <v>46249</v>
      </c>
      <c r="G323" t="n">
        <v>26628</v>
      </c>
      <c r="H323" t="inlineStr">
        <is>
          <t>ALFACE ROXA CRESPA HIGIENIZADA KG</t>
        </is>
      </c>
      <c r="I323" t="inlineStr">
        <is>
          <t>ALIMENTOS</t>
        </is>
      </c>
      <c r="J323" t="n">
        <v>2</v>
      </c>
      <c r="K323" t="inlineStr">
        <is>
          <t>KG</t>
        </is>
      </c>
      <c r="L323" t="n">
        <v>83.22</v>
      </c>
      <c r="M323" t="n">
        <v>41.61</v>
      </c>
      <c r="O323" t="inlineStr">
        <is>
          <t>08/2026</t>
        </is>
      </c>
    </row>
    <row r="324">
      <c r="A324" t="n">
        <v>257680</v>
      </c>
      <c r="B324" t="n">
        <v>180</v>
      </c>
      <c r="C324" t="inlineStr">
        <is>
          <t>Nuv Gastrobar</t>
        </is>
      </c>
      <c r="D324" t="inlineStr">
        <is>
          <t>PSSS LTDA</t>
        </is>
      </c>
      <c r="E324" t="inlineStr">
        <is>
          <t>648</t>
        </is>
      </c>
      <c r="F324" s="525" t="n">
        <v>46247</v>
      </c>
      <c r="G324" t="n">
        <v>17383</v>
      </c>
      <c r="H324" t="inlineStr">
        <is>
          <t>SACO PLASTICO BOBINA PICOTADA ROLL 40X60 KG</t>
        </is>
      </c>
      <c r="I324" t="inlineStr">
        <is>
          <t>DESCARTAVEIS/HIGIENE E LIMPEZA</t>
        </is>
      </c>
      <c r="J324" t="n">
        <v>1</v>
      </c>
      <c r="K324" t="inlineStr">
        <is>
          <t>UN</t>
        </is>
      </c>
      <c r="L324" t="n">
        <v>55</v>
      </c>
      <c r="M324" t="n">
        <v>55</v>
      </c>
      <c r="O324" t="inlineStr">
        <is>
          <t>08/2026</t>
        </is>
      </c>
    </row>
    <row r="325">
      <c r="A325" t="n">
        <v>257680</v>
      </c>
      <c r="B325" t="n">
        <v>180</v>
      </c>
      <c r="C325" t="inlineStr">
        <is>
          <t>Nuv Gastrobar</t>
        </is>
      </c>
      <c r="D325" t="inlineStr">
        <is>
          <t>PSSS LTDA</t>
        </is>
      </c>
      <c r="E325" t="inlineStr">
        <is>
          <t>648</t>
        </is>
      </c>
      <c r="F325" s="525" t="n">
        <v>46247</v>
      </c>
      <c r="G325" t="n">
        <v>17405</v>
      </c>
      <c r="H325" t="inlineStr">
        <is>
          <t>SACO PLASTICO BOBINA PICOTADA ROLL 20X30 KG</t>
        </is>
      </c>
      <c r="I325" t="inlineStr">
        <is>
          <t>DESCARTAVEIS/HIGIENE E LIMPEZA</t>
        </is>
      </c>
      <c r="J325" t="n">
        <v>1</v>
      </c>
      <c r="K325" t="inlineStr">
        <is>
          <t>UN</t>
        </is>
      </c>
      <c r="L325" t="n">
        <v>14.3</v>
      </c>
      <c r="M325" t="n">
        <v>14.3</v>
      </c>
      <c r="O325" t="inlineStr">
        <is>
          <t>08/2026</t>
        </is>
      </c>
    </row>
    <row r="326">
      <c r="A326" t="n">
        <v>257680</v>
      </c>
      <c r="B326" t="n">
        <v>180</v>
      </c>
      <c r="C326" t="inlineStr">
        <is>
          <t>Nuv Gastrobar</t>
        </is>
      </c>
      <c r="D326" t="inlineStr">
        <is>
          <t>PSSS LTDA</t>
        </is>
      </c>
      <c r="E326" t="inlineStr">
        <is>
          <t>648</t>
        </is>
      </c>
      <c r="F326" s="525" t="n">
        <v>46247</v>
      </c>
      <c r="G326" t="n">
        <v>17488</v>
      </c>
      <c r="H326" t="inlineStr">
        <is>
          <t>LUVA LATEX SEM TALCO M C/100UN</t>
        </is>
      </c>
      <c r="I326" t="inlineStr">
        <is>
          <t>DESCARTAVEIS/HIGIENE E LIMPEZA</t>
        </is>
      </c>
      <c r="J326" t="n">
        <v>2</v>
      </c>
      <c r="K326" t="inlineStr">
        <is>
          <t>CX</t>
        </is>
      </c>
      <c r="L326" t="n">
        <v>59.8</v>
      </c>
      <c r="M326" t="n">
        <v>29.9</v>
      </c>
      <c r="O326" t="inlineStr">
        <is>
          <t>08/2026</t>
        </is>
      </c>
    </row>
    <row r="327">
      <c r="A327" t="n">
        <v>257680</v>
      </c>
      <c r="B327" t="n">
        <v>180</v>
      </c>
      <c r="C327" t="inlineStr">
        <is>
          <t>Nuv Gastrobar</t>
        </is>
      </c>
      <c r="D327" t="inlineStr">
        <is>
          <t>PSSS LTDA</t>
        </is>
      </c>
      <c r="E327" t="inlineStr">
        <is>
          <t>648</t>
        </is>
      </c>
      <c r="F327" s="525" t="n">
        <v>46247</v>
      </c>
      <c r="G327" t="n">
        <v>17532</v>
      </c>
      <c r="H327" t="inlineStr">
        <is>
          <t>COPO DESCARTAVEL KEROCOPO 200ML C/25X100</t>
        </is>
      </c>
      <c r="I327" t="inlineStr">
        <is>
          <t>DESCARTAVEIS/HIGIENE E LIMPEZA</t>
        </is>
      </c>
      <c r="J327" t="n">
        <v>1</v>
      </c>
      <c r="K327" t="inlineStr">
        <is>
          <t>CX</t>
        </is>
      </c>
      <c r="L327" t="n">
        <v>98</v>
      </c>
      <c r="M327" t="n">
        <v>98</v>
      </c>
      <c r="O327" t="inlineStr">
        <is>
          <t>08/2026</t>
        </is>
      </c>
    </row>
    <row r="328">
      <c r="A328" t="n">
        <v>257680</v>
      </c>
      <c r="B328" t="n">
        <v>180</v>
      </c>
      <c r="C328" t="inlineStr">
        <is>
          <t>Nuv Gastrobar</t>
        </is>
      </c>
      <c r="D328" t="inlineStr">
        <is>
          <t>PSSS LTDA</t>
        </is>
      </c>
      <c r="E328" t="inlineStr">
        <is>
          <t>648</t>
        </is>
      </c>
      <c r="F328" s="525" t="n">
        <v>46247</v>
      </c>
      <c r="G328" t="n">
        <v>17362</v>
      </c>
      <c r="H328" t="inlineStr">
        <is>
          <t>TOUCA NYLION PRETA C/100UN</t>
        </is>
      </c>
      <c r="I328" t="inlineStr">
        <is>
          <t>DESCARTAVEIS/HIGIENE E LIMPEZA</t>
        </is>
      </c>
      <c r="J328" t="n">
        <v>4</v>
      </c>
      <c r="K328" t="inlineStr">
        <is>
          <t>PC</t>
        </is>
      </c>
      <c r="L328" t="n">
        <v>199.88</v>
      </c>
      <c r="M328" t="n">
        <v>49.97</v>
      </c>
      <c r="O328" t="inlineStr">
        <is>
          <t>08/2026</t>
        </is>
      </c>
    </row>
    <row r="329">
      <c r="A329" t="n">
        <v>257680</v>
      </c>
      <c r="B329" t="n">
        <v>180</v>
      </c>
      <c r="C329" t="inlineStr">
        <is>
          <t>Nuv Gastrobar</t>
        </is>
      </c>
      <c r="D329" t="inlineStr">
        <is>
          <t>PSSS LTDA</t>
        </is>
      </c>
      <c r="E329" t="inlineStr">
        <is>
          <t>648</t>
        </is>
      </c>
      <c r="F329" s="525" t="n">
        <v>46247</v>
      </c>
      <c r="G329" t="n">
        <v>17496</v>
      </c>
      <c r="H329" t="inlineStr">
        <is>
          <t>LUVA NITR M SEM TALCO C/100</t>
        </is>
      </c>
      <c r="I329" t="inlineStr">
        <is>
          <t>UTENSILIOS</t>
        </is>
      </c>
      <c r="J329" t="n">
        <v>2</v>
      </c>
      <c r="K329" t="inlineStr">
        <is>
          <t>CX</t>
        </is>
      </c>
      <c r="L329" t="n">
        <v>59.8</v>
      </c>
      <c r="M329" t="n">
        <v>29.9</v>
      </c>
      <c r="O329" t="inlineStr">
        <is>
          <t>08/2026</t>
        </is>
      </c>
    </row>
    <row r="330">
      <c r="A330" t="n">
        <v>257680</v>
      </c>
      <c r="B330" t="n">
        <v>180</v>
      </c>
      <c r="C330" t="inlineStr">
        <is>
          <t>Nuv Gastrobar</t>
        </is>
      </c>
      <c r="D330" t="inlineStr">
        <is>
          <t>PSSS LTDA</t>
        </is>
      </c>
      <c r="E330" t="inlineStr">
        <is>
          <t>648</t>
        </is>
      </c>
      <c r="F330" s="525" t="n">
        <v>46247</v>
      </c>
      <c r="G330" t="n">
        <v>17138</v>
      </c>
      <c r="H330" t="inlineStr">
        <is>
          <t>RODO DE PLASTICO COM CABO CONDOR 40CM UN</t>
        </is>
      </c>
      <c r="I330" t="inlineStr">
        <is>
          <t>DESCARTAVEIS/HIGIENE E LIMPEZA</t>
        </is>
      </c>
      <c r="J330" t="n">
        <v>3</v>
      </c>
      <c r="K330" t="inlineStr">
        <is>
          <t>UN</t>
        </is>
      </c>
      <c r="L330" t="n">
        <v>160.8</v>
      </c>
      <c r="M330" t="n">
        <v>53.6</v>
      </c>
      <c r="O330" t="inlineStr">
        <is>
          <t>08/2026</t>
        </is>
      </c>
    </row>
    <row r="331">
      <c r="A331" t="n">
        <v>257680</v>
      </c>
      <c r="B331" t="n">
        <v>180</v>
      </c>
      <c r="C331" t="inlineStr">
        <is>
          <t>Nuv Gastrobar</t>
        </is>
      </c>
      <c r="D331" t="inlineStr">
        <is>
          <t>PSSS LTDA</t>
        </is>
      </c>
      <c r="E331" t="inlineStr">
        <is>
          <t>648</t>
        </is>
      </c>
      <c r="F331" s="525" t="n">
        <v>46247</v>
      </c>
      <c r="G331" t="n">
        <v>17017</v>
      </c>
      <c r="H331" t="inlineStr">
        <is>
          <t>LUVA EMBORRACHADA G AMARELA UN</t>
        </is>
      </c>
      <c r="I331" t="inlineStr">
        <is>
          <t>DESCARTAVEIS/HIGIENE E LIMPEZA</t>
        </is>
      </c>
      <c r="J331" t="n">
        <v>3</v>
      </c>
      <c r="K331" t="inlineStr">
        <is>
          <t>PC</t>
        </is>
      </c>
      <c r="L331" t="n">
        <v>9</v>
      </c>
      <c r="M331" t="n">
        <v>3</v>
      </c>
      <c r="O331" t="inlineStr">
        <is>
          <t>08/2026</t>
        </is>
      </c>
    </row>
    <row r="332">
      <c r="A332" t="n">
        <v>257680</v>
      </c>
      <c r="B332" t="n">
        <v>180</v>
      </c>
      <c r="C332" t="inlineStr">
        <is>
          <t>Nuv Gastrobar</t>
        </is>
      </c>
      <c r="D332" t="inlineStr">
        <is>
          <t>PSSS LTDA</t>
        </is>
      </c>
      <c r="E332" t="inlineStr">
        <is>
          <t>648</t>
        </is>
      </c>
      <c r="F332" s="525" t="n">
        <v>46247</v>
      </c>
      <c r="G332" t="n">
        <v>17504</v>
      </c>
      <c r="H332" t="inlineStr">
        <is>
          <t>LUVA LATEX G SEM TALCO C/100UN</t>
        </is>
      </c>
      <c r="I332" t="inlineStr">
        <is>
          <t>UTENSILIOS</t>
        </is>
      </c>
      <c r="J332" t="n">
        <v>2</v>
      </c>
      <c r="K332" t="inlineStr">
        <is>
          <t>UN</t>
        </is>
      </c>
      <c r="L332" t="n">
        <v>59.8</v>
      </c>
      <c r="M332" t="n">
        <v>29.9</v>
      </c>
      <c r="O332" t="inlineStr">
        <is>
          <t>08/2026</t>
        </is>
      </c>
    </row>
    <row r="333">
      <c r="A333" t="n">
        <v>257680</v>
      </c>
      <c r="B333" t="n">
        <v>180</v>
      </c>
      <c r="C333" t="inlineStr">
        <is>
          <t>Nuv Gastrobar</t>
        </is>
      </c>
      <c r="D333" t="inlineStr">
        <is>
          <t>PSSS LTDA</t>
        </is>
      </c>
      <c r="E333" t="inlineStr">
        <is>
          <t>648</t>
        </is>
      </c>
      <c r="F333" s="525" t="n">
        <v>46247</v>
      </c>
      <c r="G333" t="n">
        <v>17190</v>
      </c>
      <c r="H333" t="inlineStr">
        <is>
          <t>ESPONJA FIBRACO TININDO 3M C/5 UN</t>
        </is>
      </c>
      <c r="I333" t="inlineStr">
        <is>
          <t>DESCARTAVEIS/HIGIENE E LIMPEZA</t>
        </is>
      </c>
      <c r="J333" t="n">
        <v>5</v>
      </c>
      <c r="K333" t="inlineStr">
        <is>
          <t>PC</t>
        </is>
      </c>
      <c r="L333" t="n">
        <v>50.5</v>
      </c>
      <c r="M333" t="n">
        <v>10.1</v>
      </c>
      <c r="O333" t="inlineStr">
        <is>
          <t>08/2026</t>
        </is>
      </c>
    </row>
    <row r="334">
      <c r="A334" t="n">
        <v>257680</v>
      </c>
      <c r="B334" t="n">
        <v>180</v>
      </c>
      <c r="C334" t="inlineStr">
        <is>
          <t>Nuv Gastrobar</t>
        </is>
      </c>
      <c r="D334" t="inlineStr">
        <is>
          <t>PSSS LTDA</t>
        </is>
      </c>
      <c r="E334" t="inlineStr">
        <is>
          <t>648</t>
        </is>
      </c>
      <c r="F334" s="525" t="n">
        <v>46247</v>
      </c>
      <c r="G334" t="n">
        <v>29235</v>
      </c>
      <c r="H334" t="inlineStr">
        <is>
          <t>SACO CRISTAL 90X100 DE 10 MICRAS C/1KG UN</t>
        </is>
      </c>
      <c r="I334" t="inlineStr">
        <is>
          <t>DESCARTAVEIS/HIGIENE E LIMPEZA</t>
        </is>
      </c>
      <c r="J334" t="n">
        <v>1</v>
      </c>
      <c r="K334" t="inlineStr">
        <is>
          <t>UN</t>
        </is>
      </c>
      <c r="L334" t="n">
        <v>45</v>
      </c>
      <c r="M334" t="n">
        <v>45</v>
      </c>
      <c r="O334" t="inlineStr">
        <is>
          <t>08/2026</t>
        </is>
      </c>
    </row>
    <row r="335">
      <c r="A335" t="n">
        <v>257680</v>
      </c>
      <c r="B335" t="n">
        <v>180</v>
      </c>
      <c r="C335" t="inlineStr">
        <is>
          <t>Nuv Gastrobar</t>
        </is>
      </c>
      <c r="D335" t="inlineStr">
        <is>
          <t>PSSS LTDA</t>
        </is>
      </c>
      <c r="E335" t="inlineStr">
        <is>
          <t>648</t>
        </is>
      </c>
      <c r="F335" s="525" t="n">
        <v>46247</v>
      </c>
      <c r="G335" t="n">
        <v>17409</v>
      </c>
      <c r="H335" t="inlineStr">
        <is>
          <t>SACO CONFEITEIRO G HMVM 47X26CM C/50 UN</t>
        </is>
      </c>
      <c r="I335" t="inlineStr">
        <is>
          <t>DESCARTAVEIS/HIGIENE E LIMPEZA</t>
        </is>
      </c>
      <c r="J335" t="n">
        <v>1</v>
      </c>
      <c r="K335" t="inlineStr">
        <is>
          <t>PC</t>
        </is>
      </c>
      <c r="L335" t="n">
        <v>45</v>
      </c>
      <c r="M335" t="n">
        <v>45</v>
      </c>
      <c r="O335" t="inlineStr">
        <is>
          <t>08/2026</t>
        </is>
      </c>
    </row>
    <row r="336">
      <c r="A336" t="n">
        <v>257680</v>
      </c>
      <c r="B336" t="n">
        <v>180</v>
      </c>
      <c r="C336" t="inlineStr">
        <is>
          <t>Nuv Gastrobar</t>
        </is>
      </c>
      <c r="D336" t="inlineStr">
        <is>
          <t>PSSS LTDA</t>
        </is>
      </c>
      <c r="E336" t="inlineStr">
        <is>
          <t>648</t>
        </is>
      </c>
      <c r="F336" s="525" t="n">
        <v>46247</v>
      </c>
      <c r="G336" t="n">
        <v>17196</v>
      </c>
      <c r="H336" t="inlineStr">
        <is>
          <t xml:space="preserve">ESPONJA DUPLA FACE TININDO 3M C/10 UN </t>
        </is>
      </c>
      <c r="I336" t="inlineStr">
        <is>
          <t>DESCARTAVEIS/HIGIENE E LIMPEZA</t>
        </is>
      </c>
      <c r="J336" t="n">
        <v>5</v>
      </c>
      <c r="K336" t="inlineStr">
        <is>
          <t>PC</t>
        </is>
      </c>
      <c r="L336" t="n">
        <v>37.5</v>
      </c>
      <c r="M336" t="n">
        <v>7.5</v>
      </c>
      <c r="O336" t="inlineStr">
        <is>
          <t>08/2026</t>
        </is>
      </c>
    </row>
    <row r="337">
      <c r="A337" t="n">
        <v>257680</v>
      </c>
      <c r="B337" t="n">
        <v>180</v>
      </c>
      <c r="C337" t="inlineStr">
        <is>
          <t>Nuv Gastrobar</t>
        </is>
      </c>
      <c r="D337" t="inlineStr">
        <is>
          <t>PSSS LTDA</t>
        </is>
      </c>
      <c r="E337" t="inlineStr">
        <is>
          <t>648</t>
        </is>
      </c>
      <c r="F337" s="525" t="n">
        <v>46247</v>
      </c>
      <c r="G337" t="n">
        <v>17498</v>
      </c>
      <c r="H337" t="inlineStr">
        <is>
          <t>LUVA NITR G SEM TALCO PRETA C/100</t>
        </is>
      </c>
      <c r="I337" t="inlineStr">
        <is>
          <t>DESCARTAVEIS/HIGIENE E LIMPEZA</t>
        </is>
      </c>
      <c r="J337" t="n">
        <v>2</v>
      </c>
      <c r="K337" t="inlineStr">
        <is>
          <t>CX</t>
        </is>
      </c>
      <c r="L337" t="n">
        <v>59.8</v>
      </c>
      <c r="M337" t="n">
        <v>29.9</v>
      </c>
      <c r="O337" t="inlineStr">
        <is>
          <t>08/2026</t>
        </is>
      </c>
    </row>
    <row r="338">
      <c r="A338" t="n">
        <v>257680</v>
      </c>
      <c r="B338" t="n">
        <v>180</v>
      </c>
      <c r="C338" t="inlineStr">
        <is>
          <t>Nuv Gastrobar</t>
        </is>
      </c>
      <c r="D338" t="inlineStr">
        <is>
          <t>PSSS LTDA</t>
        </is>
      </c>
      <c r="E338" t="inlineStr">
        <is>
          <t>648</t>
        </is>
      </c>
      <c r="F338" s="525" t="n">
        <v>46247</v>
      </c>
      <c r="G338" t="n">
        <v>26875</v>
      </c>
      <c r="H338" t="inlineStr">
        <is>
          <t>POTE COPOBRAS 1 LITRO COM TAMPA TRANSPARENTE C/25</t>
        </is>
      </c>
      <c r="I338" t="inlineStr">
        <is>
          <t>UTENSILIOS</t>
        </is>
      </c>
      <c r="J338" t="n">
        <v>4</v>
      </c>
      <c r="K338" t="inlineStr">
        <is>
          <t>PC</t>
        </is>
      </c>
      <c r="L338" t="n">
        <v>180</v>
      </c>
      <c r="M338" t="n">
        <v>45</v>
      </c>
      <c r="O338" t="inlineStr">
        <is>
          <t>08/2026</t>
        </is>
      </c>
    </row>
    <row r="339">
      <c r="A339" t="n">
        <v>257680</v>
      </c>
      <c r="B339" t="n">
        <v>180</v>
      </c>
      <c r="C339" t="inlineStr">
        <is>
          <t>Nuv Gastrobar</t>
        </is>
      </c>
      <c r="D339" t="inlineStr">
        <is>
          <t>PSSS LTDA</t>
        </is>
      </c>
      <c r="E339" t="inlineStr">
        <is>
          <t>648</t>
        </is>
      </c>
      <c r="F339" s="525" t="n">
        <v>46247</v>
      </c>
      <c r="G339" t="n">
        <v>17019</v>
      </c>
      <c r="H339" t="inlineStr">
        <is>
          <t>LUVA EMBORRACHADA M AMARELA UN</t>
        </is>
      </c>
      <c r="I339" t="inlineStr">
        <is>
          <t>DESCARTAVEIS/HIGIENE E LIMPEZA</t>
        </is>
      </c>
      <c r="J339" t="n">
        <v>3</v>
      </c>
      <c r="K339" t="inlineStr">
        <is>
          <t>UN</t>
        </is>
      </c>
      <c r="L339" t="n">
        <v>9</v>
      </c>
      <c r="M339" t="n">
        <v>3</v>
      </c>
      <c r="O339" t="inlineStr">
        <is>
          <t>08/2026</t>
        </is>
      </c>
    </row>
    <row r="340">
      <c r="A340" t="n">
        <v>257680</v>
      </c>
      <c r="B340" t="n">
        <v>180</v>
      </c>
      <c r="C340" t="inlineStr">
        <is>
          <t>Nuv Gastrobar</t>
        </is>
      </c>
      <c r="D340" t="inlineStr">
        <is>
          <t>PSSS LTDA</t>
        </is>
      </c>
      <c r="E340" t="inlineStr">
        <is>
          <t>648</t>
        </is>
      </c>
      <c r="F340" s="525" t="n">
        <v>46247</v>
      </c>
      <c r="G340" t="n">
        <v>17266</v>
      </c>
      <c r="H340" t="inlineStr">
        <is>
          <t>ALCOOL 46º LIQUIDO 1L UN</t>
        </is>
      </c>
      <c r="I340" t="inlineStr">
        <is>
          <t>DESCARTAVEIS/HIGIENE E LIMPEZA</t>
        </is>
      </c>
      <c r="J340" t="n">
        <v>24</v>
      </c>
      <c r="K340" t="inlineStr">
        <is>
          <t>UN</t>
        </is>
      </c>
      <c r="L340" t="n">
        <v>124.8</v>
      </c>
      <c r="M340" t="n">
        <v>5.2</v>
      </c>
      <c r="O340" t="inlineStr">
        <is>
          <t>08/2026</t>
        </is>
      </c>
    </row>
    <row r="341">
      <c r="A341" t="n">
        <v>257680</v>
      </c>
      <c r="B341" t="n">
        <v>180</v>
      </c>
      <c r="C341" t="inlineStr">
        <is>
          <t>Nuv Gastrobar</t>
        </is>
      </c>
      <c r="D341" t="inlineStr">
        <is>
          <t>PSSS LTDA</t>
        </is>
      </c>
      <c r="E341" t="inlineStr">
        <is>
          <t>648</t>
        </is>
      </c>
      <c r="F341" s="525" t="n">
        <v>46247</v>
      </c>
      <c r="G341" t="n">
        <v>17404</v>
      </c>
      <c r="H341" t="inlineStr">
        <is>
          <t>SACO PLASTICO BOBINA PICOTADA ROLL 30X40 KG</t>
        </is>
      </c>
      <c r="I341" t="inlineStr">
        <is>
          <t>DESCARTAVEIS/HIGIENE E LIMPEZA</t>
        </is>
      </c>
      <c r="J341" t="n">
        <v>1</v>
      </c>
      <c r="K341" t="inlineStr">
        <is>
          <t>UN</t>
        </is>
      </c>
      <c r="L341" t="n">
        <v>27</v>
      </c>
      <c r="M341" t="n">
        <v>27</v>
      </c>
      <c r="O341" t="inlineStr">
        <is>
          <t>08/2026</t>
        </is>
      </c>
    </row>
    <row r="342">
      <c r="A342" t="n">
        <v>257680</v>
      </c>
      <c r="B342" t="n">
        <v>180</v>
      </c>
      <c r="C342" t="inlineStr">
        <is>
          <t>Nuv Gastrobar</t>
        </is>
      </c>
      <c r="D342" t="inlineStr">
        <is>
          <t>PSSS LTDA</t>
        </is>
      </c>
      <c r="E342" t="inlineStr">
        <is>
          <t>648</t>
        </is>
      </c>
      <c r="F342" s="525" t="n">
        <v>46247</v>
      </c>
      <c r="G342" t="n">
        <v>17437</v>
      </c>
      <c r="H342" t="inlineStr">
        <is>
          <t>SACO ALVEJADO BRANCO 45X65 UN</t>
        </is>
      </c>
      <c r="I342" t="inlineStr">
        <is>
          <t>DESCARTAVEIS/HIGIENE E LIMPEZA</t>
        </is>
      </c>
      <c r="J342" t="n">
        <v>10</v>
      </c>
      <c r="K342" t="inlineStr">
        <is>
          <t>UN</t>
        </is>
      </c>
      <c r="L342" t="n">
        <v>23</v>
      </c>
      <c r="M342" t="n">
        <v>2.3</v>
      </c>
      <c r="O342" t="inlineStr">
        <is>
          <t>08/2026</t>
        </is>
      </c>
    </row>
    <row r="343">
      <c r="A343" t="n">
        <v>257680</v>
      </c>
      <c r="B343" t="n">
        <v>180</v>
      </c>
      <c r="C343" t="inlineStr">
        <is>
          <t>Nuv Gastrobar</t>
        </is>
      </c>
      <c r="D343" t="inlineStr">
        <is>
          <t>PSSS LTDA</t>
        </is>
      </c>
      <c r="E343" t="inlineStr">
        <is>
          <t>648</t>
        </is>
      </c>
      <c r="F343" s="525" t="n">
        <v>46247</v>
      </c>
      <c r="G343" t="n">
        <v>17162</v>
      </c>
      <c r="H343" t="inlineStr">
        <is>
          <t>PANO MULTIUSO 28X240 C/600PANOS UM</t>
        </is>
      </c>
      <c r="I343" t="inlineStr">
        <is>
          <t>DESCARTAVEIS/HIGIENE E LIMPEZA</t>
        </is>
      </c>
      <c r="J343" t="n">
        <v>3</v>
      </c>
      <c r="K343" t="inlineStr">
        <is>
          <t>UN</t>
        </is>
      </c>
      <c r="L343" t="n">
        <v>162</v>
      </c>
      <c r="M343" t="n">
        <v>54</v>
      </c>
      <c r="O343" t="inlineStr">
        <is>
          <t>08/2026</t>
        </is>
      </c>
    </row>
    <row r="344">
      <c r="A344" t="n">
        <v>257680</v>
      </c>
      <c r="B344" t="n">
        <v>180</v>
      </c>
      <c r="C344" t="inlineStr">
        <is>
          <t>Nuv Gastrobar</t>
        </is>
      </c>
      <c r="D344" t="inlineStr">
        <is>
          <t>PSSS LTDA</t>
        </is>
      </c>
      <c r="E344" t="inlineStr">
        <is>
          <t>648</t>
        </is>
      </c>
      <c r="F344" s="525" t="n">
        <v>46247</v>
      </c>
      <c r="G344" t="n">
        <v>17020</v>
      </c>
      <c r="H344" t="inlineStr">
        <is>
          <t>LUVA EMBORRACHADA P AMARELA UN</t>
        </is>
      </c>
      <c r="I344" t="inlineStr">
        <is>
          <t>UTENSILIOS</t>
        </is>
      </c>
      <c r="J344" t="n">
        <v>1</v>
      </c>
      <c r="K344" t="inlineStr">
        <is>
          <t>UN</t>
        </is>
      </c>
      <c r="L344" t="n">
        <v>3</v>
      </c>
      <c r="M344" t="n">
        <v>3</v>
      </c>
      <c r="O344" t="inlineStr">
        <is>
          <t>08/2026</t>
        </is>
      </c>
    </row>
    <row r="345">
      <c r="A345" t="n">
        <v>257680</v>
      </c>
      <c r="B345" t="n">
        <v>180</v>
      </c>
      <c r="C345" t="inlineStr">
        <is>
          <t>Nuv Gastrobar</t>
        </is>
      </c>
      <c r="D345" t="inlineStr">
        <is>
          <t>PSSS LTDA</t>
        </is>
      </c>
      <c r="E345" t="inlineStr">
        <is>
          <t>648</t>
        </is>
      </c>
      <c r="F345" s="525" t="n">
        <v>46247</v>
      </c>
      <c r="G345" t="n">
        <v>24505</v>
      </c>
      <c r="H345" t="inlineStr">
        <is>
          <t>PAPEL TOALHA SNOB 1X2 UN</t>
        </is>
      </c>
      <c r="I345" t="inlineStr">
        <is>
          <t>DESCARTAVEIS/HIGIENE E LIMPEZA</t>
        </is>
      </c>
      <c r="J345" t="n">
        <v>12</v>
      </c>
      <c r="K345" t="inlineStr">
        <is>
          <t>PC</t>
        </is>
      </c>
      <c r="L345" t="n">
        <v>59.76</v>
      </c>
      <c r="M345" t="n">
        <v>4.98</v>
      </c>
      <c r="O345" t="inlineStr">
        <is>
          <t>08/2026</t>
        </is>
      </c>
    </row>
    <row r="346">
      <c r="A346" t="n">
        <v>257679</v>
      </c>
      <c r="B346" t="n">
        <v>180</v>
      </c>
      <c r="C346" t="inlineStr">
        <is>
          <t>Nuv Gastrobar</t>
        </is>
      </c>
      <c r="D346" t="inlineStr">
        <is>
          <t>MARIO PEDRO FELICIANO - HORTIFRUTI</t>
        </is>
      </c>
      <c r="E346" t="inlineStr">
        <is>
          <t>486359</t>
        </is>
      </c>
      <c r="F346" s="525" t="n">
        <v>46249</v>
      </c>
      <c r="G346" t="n">
        <v>19558</v>
      </c>
      <c r="H346" t="inlineStr">
        <is>
          <t>QUIABO KG</t>
        </is>
      </c>
      <c r="I346" t="inlineStr">
        <is>
          <t>ALIMENTOS</t>
        </is>
      </c>
      <c r="J346" t="n">
        <v>3.7</v>
      </c>
      <c r="K346" t="inlineStr">
        <is>
          <t>KG</t>
        </is>
      </c>
      <c r="L346" t="n">
        <v>52.91</v>
      </c>
      <c r="M346" t="n">
        <v>14.3</v>
      </c>
      <c r="O346" t="inlineStr">
        <is>
          <t>08/2026</t>
        </is>
      </c>
    </row>
    <row r="347">
      <c r="A347" t="n">
        <v>257679</v>
      </c>
      <c r="B347" t="n">
        <v>180</v>
      </c>
      <c r="C347" t="inlineStr">
        <is>
          <t>Nuv Gastrobar</t>
        </is>
      </c>
      <c r="D347" t="inlineStr">
        <is>
          <t>MARIO PEDRO FELICIANO - HORTIFRUTI</t>
        </is>
      </c>
      <c r="E347" t="inlineStr">
        <is>
          <t>486359</t>
        </is>
      </c>
      <c r="F347" s="525" t="n">
        <v>46249</v>
      </c>
      <c r="G347" t="n">
        <v>19621</v>
      </c>
      <c r="H347" t="inlineStr">
        <is>
          <t>CENOURA KG</t>
        </is>
      </c>
      <c r="I347" t="inlineStr">
        <is>
          <t>ALIMENTOS</t>
        </is>
      </c>
      <c r="J347" t="n">
        <v>2.11</v>
      </c>
      <c r="K347" t="inlineStr">
        <is>
          <t>KG</t>
        </is>
      </c>
      <c r="L347" t="n">
        <v>8.91</v>
      </c>
      <c r="M347" t="n">
        <v>4.222749</v>
      </c>
      <c r="O347" t="inlineStr">
        <is>
          <t>08/2026</t>
        </is>
      </c>
    </row>
    <row r="348">
      <c r="A348" t="n">
        <v>257679</v>
      </c>
      <c r="B348" t="n">
        <v>180</v>
      </c>
      <c r="C348" t="inlineStr">
        <is>
          <t>Nuv Gastrobar</t>
        </is>
      </c>
      <c r="D348" t="inlineStr">
        <is>
          <t>MARIO PEDRO FELICIANO - HORTIFRUTI</t>
        </is>
      </c>
      <c r="E348" t="inlineStr">
        <is>
          <t>486359</t>
        </is>
      </c>
      <c r="F348" s="525" t="n">
        <v>46249</v>
      </c>
      <c r="G348" t="n">
        <v>19549</v>
      </c>
      <c r="H348" t="inlineStr">
        <is>
          <t>TOMATE CARMEM GRAUDO KG</t>
        </is>
      </c>
      <c r="I348" t="inlineStr">
        <is>
          <t>ALIMENTOS</t>
        </is>
      </c>
      <c r="J348" t="n">
        <v>7.4</v>
      </c>
      <c r="K348" t="inlineStr">
        <is>
          <t>KG</t>
        </is>
      </c>
      <c r="L348" t="n">
        <v>50.27</v>
      </c>
      <c r="M348" t="n">
        <v>6.793243</v>
      </c>
      <c r="O348" t="inlineStr">
        <is>
          <t>08/2026</t>
        </is>
      </c>
    </row>
    <row r="349">
      <c r="A349" t="n">
        <v>257679</v>
      </c>
      <c r="B349" t="n">
        <v>180</v>
      </c>
      <c r="C349" t="inlineStr">
        <is>
          <t>Nuv Gastrobar</t>
        </is>
      </c>
      <c r="D349" t="inlineStr">
        <is>
          <t>MARIO PEDRO FELICIANO - HORTIFRUTI</t>
        </is>
      </c>
      <c r="E349" t="inlineStr">
        <is>
          <t>486359</t>
        </is>
      </c>
      <c r="F349" s="525" t="n">
        <v>46249</v>
      </c>
      <c r="G349" t="n">
        <v>24484</v>
      </c>
      <c r="H349" t="inlineStr">
        <is>
          <t>TOMATE SWEET KG</t>
        </is>
      </c>
      <c r="I349" t="inlineStr">
        <is>
          <t>ALIMENTOS</t>
        </is>
      </c>
      <c r="J349" t="n">
        <v>3.05</v>
      </c>
      <c r="K349" t="inlineStr">
        <is>
          <t>KG</t>
        </is>
      </c>
      <c r="L349" t="n">
        <v>58.36</v>
      </c>
      <c r="M349" t="n">
        <v>19.134426</v>
      </c>
      <c r="O349" t="inlineStr">
        <is>
          <t>08/2026</t>
        </is>
      </c>
    </row>
    <row r="350">
      <c r="A350" t="n">
        <v>257679</v>
      </c>
      <c r="B350" t="n">
        <v>180</v>
      </c>
      <c r="C350" t="inlineStr">
        <is>
          <t>Nuv Gastrobar</t>
        </is>
      </c>
      <c r="D350" t="inlineStr">
        <is>
          <t>MARIO PEDRO FELICIANO - HORTIFRUTI</t>
        </is>
      </c>
      <c r="E350" t="inlineStr">
        <is>
          <t>486359</t>
        </is>
      </c>
      <c r="F350" s="525" t="n">
        <v>46249</v>
      </c>
      <c r="G350" t="n">
        <v>19526</v>
      </c>
      <c r="H350" t="inlineStr">
        <is>
          <t>ERVILHA TORTA KG</t>
        </is>
      </c>
      <c r="I350" t="inlineStr">
        <is>
          <t>ALIMENTOS</t>
        </is>
      </c>
      <c r="J350" t="n">
        <v>4.05</v>
      </c>
      <c r="K350" t="inlineStr">
        <is>
          <t>KG</t>
        </is>
      </c>
      <c r="L350" t="n">
        <v>115.83</v>
      </c>
      <c r="M350" t="n">
        <v>28.6</v>
      </c>
      <c r="O350" t="inlineStr">
        <is>
          <t>08/2026</t>
        </is>
      </c>
    </row>
    <row r="351">
      <c r="A351" t="n">
        <v>257679</v>
      </c>
      <c r="B351" t="n">
        <v>180</v>
      </c>
      <c r="C351" t="inlineStr">
        <is>
          <t>Nuv Gastrobar</t>
        </is>
      </c>
      <c r="D351" t="inlineStr">
        <is>
          <t>MARIO PEDRO FELICIANO - HORTIFRUTI</t>
        </is>
      </c>
      <c r="E351" t="inlineStr">
        <is>
          <t>486359</t>
        </is>
      </c>
      <c r="F351" s="525" t="n">
        <v>46249</v>
      </c>
      <c r="G351" t="n">
        <v>19743</v>
      </c>
      <c r="H351" t="inlineStr">
        <is>
          <t>MACA VERDE KG</t>
        </is>
      </c>
      <c r="I351" t="inlineStr">
        <is>
          <t>ALIMENTOS</t>
        </is>
      </c>
      <c r="J351" t="n">
        <v>1</v>
      </c>
      <c r="K351" t="inlineStr">
        <is>
          <t>KG</t>
        </is>
      </c>
      <c r="L351" t="n">
        <v>13.9</v>
      </c>
      <c r="M351" t="n">
        <v>13.9</v>
      </c>
      <c r="O351" t="inlineStr">
        <is>
          <t>08/2026</t>
        </is>
      </c>
    </row>
    <row r="352">
      <c r="A352" t="n">
        <v>257679</v>
      </c>
      <c r="B352" t="n">
        <v>180</v>
      </c>
      <c r="C352" t="inlineStr">
        <is>
          <t>Nuv Gastrobar</t>
        </is>
      </c>
      <c r="D352" t="inlineStr">
        <is>
          <t>MARIO PEDRO FELICIANO - HORTIFRUTI</t>
        </is>
      </c>
      <c r="E352" t="inlineStr">
        <is>
          <t>486359</t>
        </is>
      </c>
      <c r="F352" s="525" t="n">
        <v>46249</v>
      </c>
      <c r="G352" t="n">
        <v>19789</v>
      </c>
      <c r="H352" t="inlineStr">
        <is>
          <t>ABACATE AVOCADO KG</t>
        </is>
      </c>
      <c r="I352" t="inlineStr">
        <is>
          <t>ALIMENTOS</t>
        </is>
      </c>
      <c r="J352" t="n">
        <v>2</v>
      </c>
      <c r="K352" t="inlineStr">
        <is>
          <t>KG</t>
        </is>
      </c>
      <c r="L352" t="n">
        <v>20.02</v>
      </c>
      <c r="M352" t="n">
        <v>10.01</v>
      </c>
      <c r="O352" t="inlineStr">
        <is>
          <t>08/2026</t>
        </is>
      </c>
    </row>
    <row r="353">
      <c r="A353" t="n">
        <v>257679</v>
      </c>
      <c r="B353" t="n">
        <v>180</v>
      </c>
      <c r="C353" t="inlineStr">
        <is>
          <t>Nuv Gastrobar</t>
        </is>
      </c>
      <c r="D353" t="inlineStr">
        <is>
          <t>MARIO PEDRO FELICIANO - HORTIFRUTI</t>
        </is>
      </c>
      <c r="E353" t="inlineStr">
        <is>
          <t>486359</t>
        </is>
      </c>
      <c r="F353" s="525" t="n">
        <v>46249</v>
      </c>
      <c r="G353" t="n">
        <v>19632</v>
      </c>
      <c r="H353" t="inlineStr">
        <is>
          <t>BETERRABA KG</t>
        </is>
      </c>
      <c r="I353" t="inlineStr">
        <is>
          <t>ALIMENTOS</t>
        </is>
      </c>
      <c r="J353" t="n">
        <v>3.11</v>
      </c>
      <c r="K353" t="inlineStr">
        <is>
          <t>KG</t>
        </is>
      </c>
      <c r="L353" t="n">
        <v>8.890000000000001</v>
      </c>
      <c r="M353" t="n">
        <v>2.858521</v>
      </c>
      <c r="O353" t="inlineStr">
        <is>
          <t>08/2026</t>
        </is>
      </c>
    </row>
    <row r="354">
      <c r="A354" t="n">
        <v>257679</v>
      </c>
      <c r="B354" t="n">
        <v>180</v>
      </c>
      <c r="C354" t="inlineStr">
        <is>
          <t>Nuv Gastrobar</t>
        </is>
      </c>
      <c r="D354" t="inlineStr">
        <is>
          <t>MARIO PEDRO FELICIANO - HORTIFRUTI</t>
        </is>
      </c>
      <c r="E354" t="inlineStr">
        <is>
          <t>486359</t>
        </is>
      </c>
      <c r="F354" s="525" t="n">
        <v>46249</v>
      </c>
      <c r="G354" t="n">
        <v>24509</v>
      </c>
      <c r="H354" t="inlineStr">
        <is>
          <t>CEBOLA BRANCA KG</t>
        </is>
      </c>
      <c r="I354" t="inlineStr">
        <is>
          <t>ALIMENTOS</t>
        </is>
      </c>
      <c r="J354" t="n">
        <v>10.15</v>
      </c>
      <c r="K354" t="inlineStr">
        <is>
          <t>KG</t>
        </is>
      </c>
      <c r="L354" t="n">
        <v>44.57</v>
      </c>
      <c r="M354" t="n">
        <v>4.391133</v>
      </c>
      <c r="O354" t="inlineStr">
        <is>
          <t>08/2026</t>
        </is>
      </c>
    </row>
    <row r="355">
      <c r="A355" t="n">
        <v>257679</v>
      </c>
      <c r="B355" t="n">
        <v>180</v>
      </c>
      <c r="C355" t="inlineStr">
        <is>
          <t>Nuv Gastrobar</t>
        </is>
      </c>
      <c r="D355" t="inlineStr">
        <is>
          <t>MARIO PEDRO FELICIANO - HORTIFRUTI</t>
        </is>
      </c>
      <c r="E355" t="inlineStr">
        <is>
          <t>486359</t>
        </is>
      </c>
      <c r="F355" s="525" t="n">
        <v>46249</v>
      </c>
      <c r="G355" t="n">
        <v>19658</v>
      </c>
      <c r="H355" t="inlineStr">
        <is>
          <t>ABOBORA JAPONESA / CABOTIAN KG</t>
        </is>
      </c>
      <c r="I355" t="inlineStr">
        <is>
          <t>ALIMENTOS</t>
        </is>
      </c>
      <c r="J355" t="n">
        <v>7.05</v>
      </c>
      <c r="K355" t="inlineStr">
        <is>
          <t>KG</t>
        </is>
      </c>
      <c r="L355" t="n">
        <v>20.15</v>
      </c>
      <c r="M355" t="n">
        <v>2.858156</v>
      </c>
      <c r="O355" t="inlineStr">
        <is>
          <t>08/2026</t>
        </is>
      </c>
    </row>
    <row r="356">
      <c r="A356" t="n">
        <v>257679</v>
      </c>
      <c r="B356" t="n">
        <v>180</v>
      </c>
      <c r="C356" t="inlineStr">
        <is>
          <t>Nuv Gastrobar</t>
        </is>
      </c>
      <c r="D356" t="inlineStr">
        <is>
          <t>MARIO PEDRO FELICIANO - HORTIFRUTI</t>
        </is>
      </c>
      <c r="E356" t="inlineStr">
        <is>
          <t>486359</t>
        </is>
      </c>
      <c r="F356" s="525" t="n">
        <v>46249</v>
      </c>
      <c r="G356" t="n">
        <v>19572</v>
      </c>
      <c r="H356" t="inlineStr">
        <is>
          <t>PIMENTA DEDO DE MOCA KG</t>
        </is>
      </c>
      <c r="I356" t="inlineStr">
        <is>
          <t>ALIMENTOS</t>
        </is>
      </c>
      <c r="J356" t="n">
        <v>0.14</v>
      </c>
      <c r="K356" t="inlineStr">
        <is>
          <t>KG</t>
        </is>
      </c>
      <c r="L356" t="n">
        <v>1.96</v>
      </c>
      <c r="M356" t="n">
        <v>14</v>
      </c>
      <c r="O356" t="inlineStr">
        <is>
          <t>08/2026</t>
        </is>
      </c>
    </row>
    <row r="357">
      <c r="A357" t="n">
        <v>257678</v>
      </c>
      <c r="B357" t="n">
        <v>180</v>
      </c>
      <c r="C357" t="inlineStr">
        <is>
          <t>Nuv Gastrobar</t>
        </is>
      </c>
      <c r="D357" t="inlineStr">
        <is>
          <t>MARIO PEDRO FELICIANO - HORTIFRUTI</t>
        </is>
      </c>
      <c r="E357" t="inlineStr">
        <is>
          <t>486137</t>
        </is>
      </c>
      <c r="F357" s="525" t="n">
        <v>46247</v>
      </c>
      <c r="G357" t="n">
        <v>19590</v>
      </c>
      <c r="H357" t="inlineStr">
        <is>
          <t>PEPINO COMUM KG</t>
        </is>
      </c>
      <c r="I357" t="inlineStr">
        <is>
          <t>ALIMENTOS</t>
        </is>
      </c>
      <c r="J357" t="n">
        <v>3.29</v>
      </c>
      <c r="K357" t="inlineStr">
        <is>
          <t>KG</t>
        </is>
      </c>
      <c r="L357" t="n">
        <v>11.76</v>
      </c>
      <c r="M357" t="n">
        <v>3.574468</v>
      </c>
      <c r="O357" t="inlineStr">
        <is>
          <t>08/2026</t>
        </is>
      </c>
    </row>
    <row r="358">
      <c r="A358" t="n">
        <v>257678</v>
      </c>
      <c r="B358" t="n">
        <v>180</v>
      </c>
      <c r="C358" t="inlineStr">
        <is>
          <t>Nuv Gastrobar</t>
        </is>
      </c>
      <c r="D358" t="inlineStr">
        <is>
          <t>MARIO PEDRO FELICIANO - HORTIFRUTI</t>
        </is>
      </c>
      <c r="E358" t="inlineStr">
        <is>
          <t>486137</t>
        </is>
      </c>
      <c r="F358" s="525" t="n">
        <v>46247</v>
      </c>
      <c r="G358" t="n">
        <v>19558</v>
      </c>
      <c r="H358" t="inlineStr">
        <is>
          <t>QUIABO KG</t>
        </is>
      </c>
      <c r="I358" t="inlineStr">
        <is>
          <t>ALIMENTOS</t>
        </is>
      </c>
      <c r="J358" t="n">
        <v>3.05</v>
      </c>
      <c r="K358" t="inlineStr">
        <is>
          <t>KG</t>
        </is>
      </c>
      <c r="L358" t="n">
        <v>43.54</v>
      </c>
      <c r="M358" t="n">
        <v>14.27541</v>
      </c>
      <c r="O358" t="inlineStr">
        <is>
          <t>08/2026</t>
        </is>
      </c>
    </row>
    <row r="359">
      <c r="A359" t="n">
        <v>257678</v>
      </c>
      <c r="B359" t="n">
        <v>180</v>
      </c>
      <c r="C359" t="inlineStr">
        <is>
          <t>Nuv Gastrobar</t>
        </is>
      </c>
      <c r="D359" t="inlineStr">
        <is>
          <t>MARIO PEDRO FELICIANO - HORTIFRUTI</t>
        </is>
      </c>
      <c r="E359" t="inlineStr">
        <is>
          <t>486137</t>
        </is>
      </c>
      <c r="F359" s="525" t="n">
        <v>46247</v>
      </c>
      <c r="G359" t="n">
        <v>19572</v>
      </c>
      <c r="H359" t="inlineStr">
        <is>
          <t>PIMENTA DEDO DE MOCA KG</t>
        </is>
      </c>
      <c r="I359" t="inlineStr">
        <is>
          <t>ALIMENTOS</t>
        </is>
      </c>
      <c r="J359" t="n">
        <v>0.1</v>
      </c>
      <c r="K359" t="inlineStr">
        <is>
          <t>KG</t>
        </is>
      </c>
      <c r="L359" t="n">
        <v>1.78</v>
      </c>
      <c r="M359" t="n">
        <v>17.8</v>
      </c>
      <c r="O359" t="inlineStr">
        <is>
          <t>08/2026</t>
        </is>
      </c>
    </row>
    <row r="360">
      <c r="A360" t="n">
        <v>257678</v>
      </c>
      <c r="B360" t="n">
        <v>180</v>
      </c>
      <c r="C360" t="inlineStr">
        <is>
          <t>Nuv Gastrobar</t>
        </is>
      </c>
      <c r="D360" t="inlineStr">
        <is>
          <t>MARIO PEDRO FELICIANO - HORTIFRUTI</t>
        </is>
      </c>
      <c r="E360" t="inlineStr">
        <is>
          <t>486137</t>
        </is>
      </c>
      <c r="F360" s="525" t="n">
        <v>46247</v>
      </c>
      <c r="G360" t="n">
        <v>24484</v>
      </c>
      <c r="H360" t="inlineStr">
        <is>
          <t>TOMATE SWEET KG</t>
        </is>
      </c>
      <c r="I360" t="inlineStr">
        <is>
          <t>ALIMENTOS</t>
        </is>
      </c>
      <c r="J360" t="n">
        <v>1.26</v>
      </c>
      <c r="K360" t="inlineStr">
        <is>
          <t>KG</t>
        </is>
      </c>
      <c r="L360" t="n">
        <v>24.18</v>
      </c>
      <c r="M360" t="n">
        <v>19.190476</v>
      </c>
      <c r="O360" t="inlineStr">
        <is>
          <t>08/2026</t>
        </is>
      </c>
    </row>
    <row r="361">
      <c r="A361" t="n">
        <v>257678</v>
      </c>
      <c r="B361" t="n">
        <v>180</v>
      </c>
      <c r="C361" t="inlineStr">
        <is>
          <t>Nuv Gastrobar</t>
        </is>
      </c>
      <c r="D361" t="inlineStr">
        <is>
          <t>MARIO PEDRO FELICIANO - HORTIFRUTI</t>
        </is>
      </c>
      <c r="E361" t="inlineStr">
        <is>
          <t>486137</t>
        </is>
      </c>
      <c r="F361" s="525" t="n">
        <v>46247</v>
      </c>
      <c r="G361" t="n">
        <v>19600</v>
      </c>
      <c r="H361" t="inlineStr">
        <is>
          <t>MAXIXE KG</t>
        </is>
      </c>
      <c r="I361" t="inlineStr">
        <is>
          <t>ALIMENTOS</t>
        </is>
      </c>
      <c r="J361" t="n">
        <v>5</v>
      </c>
      <c r="K361" t="inlineStr">
        <is>
          <t>KG</t>
        </is>
      </c>
      <c r="L361" t="n">
        <v>57.75</v>
      </c>
      <c r="M361" t="n">
        <v>11.55</v>
      </c>
      <c r="O361" t="inlineStr">
        <is>
          <t>08/2026</t>
        </is>
      </c>
    </row>
    <row r="362">
      <c r="A362" t="n">
        <v>257678</v>
      </c>
      <c r="B362" t="n">
        <v>180</v>
      </c>
      <c r="C362" t="inlineStr">
        <is>
          <t>Nuv Gastrobar</t>
        </is>
      </c>
      <c r="D362" t="inlineStr">
        <is>
          <t>MARIO PEDRO FELICIANO - HORTIFRUTI</t>
        </is>
      </c>
      <c r="E362" t="inlineStr">
        <is>
          <t>486137</t>
        </is>
      </c>
      <c r="F362" s="525" t="n">
        <v>46247</v>
      </c>
      <c r="G362" t="n">
        <v>19658</v>
      </c>
      <c r="H362" t="inlineStr">
        <is>
          <t>ABOBORA JAPONESA / CABOTIAN KG</t>
        </is>
      </c>
      <c r="I362" t="inlineStr">
        <is>
          <t>ALIMENTOS</t>
        </is>
      </c>
      <c r="J362" t="n">
        <v>7.04</v>
      </c>
      <c r="K362" t="inlineStr">
        <is>
          <t>KG</t>
        </is>
      </c>
      <c r="L362" t="n">
        <v>20.13</v>
      </c>
      <c r="M362" t="n">
        <v>2.859375</v>
      </c>
      <c r="O362" t="inlineStr">
        <is>
          <t>08/2026</t>
        </is>
      </c>
    </row>
    <row r="363">
      <c r="A363" t="n">
        <v>257678</v>
      </c>
      <c r="B363" t="n">
        <v>180</v>
      </c>
      <c r="C363" t="inlineStr">
        <is>
          <t>Nuv Gastrobar</t>
        </is>
      </c>
      <c r="D363" t="inlineStr">
        <is>
          <t>MARIO PEDRO FELICIANO - HORTIFRUTI</t>
        </is>
      </c>
      <c r="E363" t="inlineStr">
        <is>
          <t>486137</t>
        </is>
      </c>
      <c r="F363" s="525" t="n">
        <v>46247</v>
      </c>
      <c r="G363" t="n">
        <v>19502</v>
      </c>
      <c r="H363" t="inlineStr">
        <is>
          <t>ALFACE CRESPA ROXA KG</t>
        </is>
      </c>
      <c r="I363" t="inlineStr">
        <is>
          <t>ALIMENTOS</t>
        </is>
      </c>
      <c r="J363" t="n">
        <v>2.04</v>
      </c>
      <c r="K363" t="inlineStr">
        <is>
          <t>KG</t>
        </is>
      </c>
      <c r="L363" t="n">
        <v>23.07</v>
      </c>
      <c r="M363" t="n">
        <v>11.308824</v>
      </c>
      <c r="O363" t="inlineStr">
        <is>
          <t>08/2026</t>
        </is>
      </c>
    </row>
    <row r="364">
      <c r="A364" t="n">
        <v>257678</v>
      </c>
      <c r="B364" t="n">
        <v>180</v>
      </c>
      <c r="C364" t="inlineStr">
        <is>
          <t>Nuv Gastrobar</t>
        </is>
      </c>
      <c r="D364" t="inlineStr">
        <is>
          <t>MARIO PEDRO FELICIANO - HORTIFRUTI</t>
        </is>
      </c>
      <c r="E364" t="inlineStr">
        <is>
          <t>486137</t>
        </is>
      </c>
      <c r="F364" s="525" t="n">
        <v>46247</v>
      </c>
      <c r="G364" t="n">
        <v>19623</v>
      </c>
      <c r="H364" t="inlineStr">
        <is>
          <t>CEBOLA ROXA KG</t>
        </is>
      </c>
      <c r="I364" t="inlineStr">
        <is>
          <t>ALIMENTOS</t>
        </is>
      </c>
      <c r="J364" t="n">
        <v>10.25</v>
      </c>
      <c r="K364" t="inlineStr">
        <is>
          <t>KG</t>
        </is>
      </c>
      <c r="L364" t="n">
        <v>72.84999999999999</v>
      </c>
      <c r="M364" t="n">
        <v>7.107317</v>
      </c>
      <c r="O364" t="inlineStr">
        <is>
          <t>08/2026</t>
        </is>
      </c>
    </row>
    <row r="365">
      <c r="A365" t="n">
        <v>257678</v>
      </c>
      <c r="B365" t="n">
        <v>180</v>
      </c>
      <c r="C365" t="inlineStr">
        <is>
          <t>Nuv Gastrobar</t>
        </is>
      </c>
      <c r="D365" t="inlineStr">
        <is>
          <t>MARIO PEDRO FELICIANO - HORTIFRUTI</t>
        </is>
      </c>
      <c r="E365" t="inlineStr">
        <is>
          <t>486137</t>
        </is>
      </c>
      <c r="F365" s="525" t="n">
        <v>46247</v>
      </c>
      <c r="G365" t="n">
        <v>23390</v>
      </c>
      <c r="H365" t="inlineStr">
        <is>
          <t>BANANA DA TERRA KG</t>
        </is>
      </c>
      <c r="I365" t="inlineStr">
        <is>
          <t>ALIMENTOS</t>
        </is>
      </c>
      <c r="J365" t="n">
        <v>6.3</v>
      </c>
      <c r="K365" t="inlineStr">
        <is>
          <t>KG</t>
        </is>
      </c>
      <c r="L365" t="n">
        <v>67.58</v>
      </c>
      <c r="M365" t="n">
        <v>10.726984</v>
      </c>
      <c r="O365" t="inlineStr">
        <is>
          <t>08/2026</t>
        </is>
      </c>
    </row>
    <row r="366">
      <c r="A366" t="n">
        <v>257678</v>
      </c>
      <c r="B366" t="n">
        <v>180</v>
      </c>
      <c r="C366" t="inlineStr">
        <is>
          <t>Nuv Gastrobar</t>
        </is>
      </c>
      <c r="D366" t="inlineStr">
        <is>
          <t>MARIO PEDRO FELICIANO - HORTIFRUTI</t>
        </is>
      </c>
      <c r="E366" t="inlineStr">
        <is>
          <t>486137</t>
        </is>
      </c>
      <c r="F366" s="525" t="n">
        <v>46247</v>
      </c>
      <c r="G366" t="n">
        <v>19549</v>
      </c>
      <c r="H366" t="inlineStr">
        <is>
          <t>TOMATE CARMEM GRAUDO KG</t>
        </is>
      </c>
      <c r="I366" t="inlineStr">
        <is>
          <t>ALIMENTOS</t>
        </is>
      </c>
      <c r="J366" t="n">
        <v>5.05</v>
      </c>
      <c r="K366" t="inlineStr">
        <is>
          <t>KG</t>
        </is>
      </c>
      <c r="L366" t="n">
        <v>34.26</v>
      </c>
      <c r="M366" t="n">
        <v>6.784158</v>
      </c>
      <c r="O366" t="inlineStr">
        <is>
          <t>08/2026</t>
        </is>
      </c>
    </row>
    <row r="367">
      <c r="A367" t="n">
        <v>257678</v>
      </c>
      <c r="B367" t="n">
        <v>180</v>
      </c>
      <c r="C367" t="inlineStr">
        <is>
          <t>Nuv Gastrobar</t>
        </is>
      </c>
      <c r="D367" t="inlineStr">
        <is>
          <t>MARIO PEDRO FELICIANO - HORTIFRUTI</t>
        </is>
      </c>
      <c r="E367" t="inlineStr">
        <is>
          <t>486137</t>
        </is>
      </c>
      <c r="F367" s="525" t="n">
        <v>46247</v>
      </c>
      <c r="G367" t="n">
        <v>19526</v>
      </c>
      <c r="H367" t="inlineStr">
        <is>
          <t>ERVILHA TORTA KG</t>
        </is>
      </c>
      <c r="I367" t="inlineStr">
        <is>
          <t>ALIMENTOS</t>
        </is>
      </c>
      <c r="J367" t="n">
        <v>2.9</v>
      </c>
      <c r="K367" t="inlineStr">
        <is>
          <t>KG</t>
        </is>
      </c>
      <c r="L367" t="n">
        <v>82.94</v>
      </c>
      <c r="M367" t="n">
        <v>28.6</v>
      </c>
      <c r="O367" t="inlineStr">
        <is>
          <t>08/2026</t>
        </is>
      </c>
    </row>
    <row r="368">
      <c r="A368" t="n">
        <v>257676</v>
      </c>
      <c r="B368" t="n">
        <v>180</v>
      </c>
      <c r="C368" t="inlineStr">
        <is>
          <t>Nuv Gastrobar</t>
        </is>
      </c>
      <c r="D368" t="inlineStr">
        <is>
          <t>LPQBR RESTAURANTES E PADARIAS LTDA</t>
        </is>
      </c>
      <c r="E368" t="inlineStr">
        <is>
          <t>89439</t>
        </is>
      </c>
      <c r="F368" s="525" t="n">
        <v>46244</v>
      </c>
      <c r="G368" t="n">
        <v>28250</v>
      </c>
      <c r="H368" t="inlineStr">
        <is>
          <t>MINI CROISSANT LE PAIN 35G C/80UN</t>
        </is>
      </c>
      <c r="I368" t="inlineStr">
        <is>
          <t>ALIMENTOS</t>
        </is>
      </c>
      <c r="J368" t="n">
        <v>1</v>
      </c>
      <c r="K368" t="inlineStr">
        <is>
          <t>UN</t>
        </is>
      </c>
      <c r="L368" t="n">
        <v>185.6</v>
      </c>
      <c r="M368" t="n">
        <v>185.6</v>
      </c>
      <c r="O368" t="inlineStr">
        <is>
          <t>08/2026</t>
        </is>
      </c>
    </row>
    <row r="369">
      <c r="A369" t="n">
        <v>257676</v>
      </c>
      <c r="B369" t="n">
        <v>180</v>
      </c>
      <c r="C369" t="inlineStr">
        <is>
          <t>Nuv Gastrobar</t>
        </is>
      </c>
      <c r="D369" t="inlineStr">
        <is>
          <t>LPQBR RESTAURANTES E PADARIAS LTDA</t>
        </is>
      </c>
      <c r="E369" t="inlineStr">
        <is>
          <t>89439</t>
        </is>
      </c>
      <c r="F369" s="525" t="n">
        <v>46244</v>
      </c>
      <c r="G369" t="n">
        <v>28932</v>
      </c>
      <c r="H369" t="inlineStr">
        <is>
          <t>PAO DE PASSAS COM CASTANHA LE PAIN 500G UN</t>
        </is>
      </c>
      <c r="I369" t="inlineStr">
        <is>
          <t>ALIMENTOS</t>
        </is>
      </c>
      <c r="J369" t="n">
        <v>2</v>
      </c>
      <c r="K369" t="inlineStr">
        <is>
          <t>UN</t>
        </is>
      </c>
      <c r="L369" t="n">
        <v>40.88</v>
      </c>
      <c r="M369" t="n">
        <v>20.44</v>
      </c>
      <c r="O369" t="inlineStr">
        <is>
          <t>08/2026</t>
        </is>
      </c>
    </row>
    <row r="370">
      <c r="A370" t="n">
        <v>257676</v>
      </c>
      <c r="B370" t="n">
        <v>180</v>
      </c>
      <c r="C370" t="inlineStr">
        <is>
          <t>Nuv Gastrobar</t>
        </is>
      </c>
      <c r="D370" t="inlineStr">
        <is>
          <t>LPQBR RESTAURANTES E PADARIAS LTDA</t>
        </is>
      </c>
      <c r="E370" t="inlineStr">
        <is>
          <t>89439</t>
        </is>
      </c>
      <c r="F370" s="525" t="n">
        <v>46244</v>
      </c>
      <c r="G370" t="n">
        <v>28930</v>
      </c>
      <c r="H370" t="inlineStr">
        <is>
          <t>PAO DE CACAU COM CASTANHA DO PARA LE PAIN 500G UN</t>
        </is>
      </c>
      <c r="I370" t="inlineStr">
        <is>
          <t>ALIMENTOS</t>
        </is>
      </c>
      <c r="J370" t="n">
        <v>2</v>
      </c>
      <c r="K370" t="inlineStr">
        <is>
          <t>UN</t>
        </is>
      </c>
      <c r="L370" t="n">
        <v>107.7</v>
      </c>
      <c r="M370" t="n">
        <v>53.85</v>
      </c>
      <c r="O370" t="inlineStr">
        <is>
          <t>08/2026</t>
        </is>
      </c>
    </row>
    <row r="371">
      <c r="A371" t="n">
        <v>257676</v>
      </c>
      <c r="B371" t="n">
        <v>180</v>
      </c>
      <c r="C371" t="inlineStr">
        <is>
          <t>Nuv Gastrobar</t>
        </is>
      </c>
      <c r="D371" t="inlineStr">
        <is>
          <t>LPQBR RESTAURANTES E PADARIAS LTDA</t>
        </is>
      </c>
      <c r="E371" t="inlineStr">
        <is>
          <t>89439</t>
        </is>
      </c>
      <c r="F371" s="525" t="n">
        <v>46244</v>
      </c>
      <c r="G371" t="n">
        <v>28249</v>
      </c>
      <c r="H371" t="inlineStr">
        <is>
          <t>MINI BRIOCHE LE PAIN 30G C/100UN</t>
        </is>
      </c>
      <c r="I371" t="inlineStr">
        <is>
          <t>ALIMENTOS</t>
        </is>
      </c>
      <c r="J371" t="n">
        <v>1</v>
      </c>
      <c r="K371" t="inlineStr">
        <is>
          <t>UN</t>
        </is>
      </c>
      <c r="L371" t="n">
        <v>210</v>
      </c>
      <c r="M371" t="n">
        <v>210</v>
      </c>
      <c r="O371" t="inlineStr">
        <is>
          <t>08/2026</t>
        </is>
      </c>
    </row>
    <row r="372">
      <c r="A372" t="n">
        <v>257676</v>
      </c>
      <c r="B372" t="n">
        <v>180</v>
      </c>
      <c r="C372" t="inlineStr">
        <is>
          <t>Nuv Gastrobar</t>
        </is>
      </c>
      <c r="D372" t="inlineStr">
        <is>
          <t>LPQBR RESTAURANTES E PADARIAS LTDA</t>
        </is>
      </c>
      <c r="E372" t="inlineStr">
        <is>
          <t>89439</t>
        </is>
      </c>
      <c r="F372" s="525" t="n">
        <v>46244</v>
      </c>
      <c r="G372" t="n">
        <v>28931</v>
      </c>
      <c r="H372" t="inlineStr">
        <is>
          <t>PAO DE NOZES LE PAIN 500G UN</t>
        </is>
      </c>
      <c r="I372" t="inlineStr">
        <is>
          <t>ALIMENTOS</t>
        </is>
      </c>
      <c r="J372" t="n">
        <v>2</v>
      </c>
      <c r="K372" t="inlineStr">
        <is>
          <t>UN</t>
        </is>
      </c>
      <c r="L372" t="n">
        <v>31</v>
      </c>
      <c r="M372" t="n">
        <v>15.5</v>
      </c>
      <c r="O372" t="inlineStr">
        <is>
          <t>08/2026</t>
        </is>
      </c>
    </row>
    <row r="373">
      <c r="A373" t="n">
        <v>257676</v>
      </c>
      <c r="B373" t="n">
        <v>180</v>
      </c>
      <c r="C373" t="inlineStr">
        <is>
          <t>Nuv Gastrobar</t>
        </is>
      </c>
      <c r="D373" t="inlineStr">
        <is>
          <t>LPQBR RESTAURANTES E PADARIAS LTDA</t>
        </is>
      </c>
      <c r="E373" t="inlineStr">
        <is>
          <t>89439</t>
        </is>
      </c>
      <c r="F373" s="525" t="n">
        <v>46244</v>
      </c>
      <c r="G373" t="n">
        <v>28929</v>
      </c>
      <c r="H373" t="inlineStr">
        <is>
          <t>PAO DE AZEITONA LE PAIN 500G UN</t>
        </is>
      </c>
      <c r="I373" t="inlineStr">
        <is>
          <t>ALIMENTOS</t>
        </is>
      </c>
      <c r="J373" t="n">
        <v>2</v>
      </c>
      <c r="K373" t="inlineStr">
        <is>
          <t>UN</t>
        </is>
      </c>
      <c r="L373" t="n">
        <v>54.18</v>
      </c>
      <c r="M373" t="n">
        <v>27.09</v>
      </c>
      <c r="O373" t="inlineStr">
        <is>
          <t>08/2026</t>
        </is>
      </c>
    </row>
    <row r="374">
      <c r="A374" t="n">
        <v>257674</v>
      </c>
      <c r="B374" t="n">
        <v>180</v>
      </c>
      <c r="C374" t="inlineStr">
        <is>
          <t>Nuv Gastrobar</t>
        </is>
      </c>
      <c r="D374" t="inlineStr">
        <is>
          <t>LEITESOL INDUSTRIA E COMERCIO</t>
        </is>
      </c>
      <c r="E374" t="inlineStr">
        <is>
          <t>762385</t>
        </is>
      </c>
      <c r="F374" s="525" t="n">
        <v>46244</v>
      </c>
      <c r="G374" t="n">
        <v>19291</v>
      </c>
      <c r="H374" t="inlineStr">
        <is>
          <t>QUEIJO PARMESAO CAPA PRETA KG</t>
        </is>
      </c>
      <c r="I374" t="inlineStr">
        <is>
          <t>ALIMENTOS</t>
        </is>
      </c>
      <c r="J374" t="n">
        <v>28.8</v>
      </c>
      <c r="K374" t="inlineStr">
        <is>
          <t>KG</t>
        </is>
      </c>
      <c r="L374" t="n">
        <v>1727.7</v>
      </c>
      <c r="M374" t="n">
        <v>59.989583</v>
      </c>
      <c r="O374" t="inlineStr">
        <is>
          <t>08/2026</t>
        </is>
      </c>
    </row>
    <row r="375">
      <c r="A375" t="n">
        <v>257674</v>
      </c>
      <c r="B375" t="n">
        <v>180</v>
      </c>
      <c r="C375" t="inlineStr">
        <is>
          <t>Nuv Gastrobar</t>
        </is>
      </c>
      <c r="D375" t="inlineStr">
        <is>
          <t>LEITESOL INDUSTRIA E COMERCIO</t>
        </is>
      </c>
      <c r="E375" t="inlineStr">
        <is>
          <t>762385</t>
        </is>
      </c>
      <c r="F375" s="525" t="n">
        <v>46244</v>
      </c>
      <c r="G375" t="n">
        <v>20899</v>
      </c>
      <c r="H375" t="inlineStr">
        <is>
          <t>DOCE DE LEITE LA SERENISSIMA C/400G</t>
        </is>
      </c>
      <c r="I375" t="inlineStr">
        <is>
          <t>ALIMENTOS</t>
        </is>
      </c>
      <c r="J375" t="n">
        <v>12</v>
      </c>
      <c r="K375" t="inlineStr">
        <is>
          <t>UN</t>
        </is>
      </c>
      <c r="L375" t="n">
        <v>144</v>
      </c>
      <c r="M375" t="n">
        <v>12</v>
      </c>
      <c r="O375" t="inlineStr">
        <is>
          <t>08/2026</t>
        </is>
      </c>
    </row>
    <row r="376">
      <c r="A376" t="n">
        <v>257673</v>
      </c>
      <c r="B376" t="n">
        <v>180</v>
      </c>
      <c r="C376" t="inlineStr">
        <is>
          <t>Nuv Gastrobar</t>
        </is>
      </c>
      <c r="D376" t="inlineStr">
        <is>
          <t>JR GAIOTTO ALIMENTOS LTDA</t>
        </is>
      </c>
      <c r="E376" t="inlineStr">
        <is>
          <t>103736</t>
        </is>
      </c>
      <c r="F376" s="525" t="n">
        <v>46248</v>
      </c>
      <c r="G376" t="n">
        <v>19792</v>
      </c>
      <c r="H376" t="inlineStr">
        <is>
          <t>FOLHA CAPUCHINHA 130G</t>
        </is>
      </c>
      <c r="I376" t="inlineStr">
        <is>
          <t>ALIMENTOS</t>
        </is>
      </c>
      <c r="J376" t="n">
        <v>3</v>
      </c>
      <c r="K376" t="inlineStr">
        <is>
          <t>BD</t>
        </is>
      </c>
      <c r="L376" t="n">
        <v>147.54</v>
      </c>
      <c r="M376" t="n">
        <v>49.18</v>
      </c>
      <c r="O376" t="inlineStr">
        <is>
          <t>08/2026</t>
        </is>
      </c>
    </row>
    <row r="377">
      <c r="A377" t="n">
        <v>257672</v>
      </c>
      <c r="B377" t="n">
        <v>180</v>
      </c>
      <c r="C377" t="inlineStr">
        <is>
          <t>Nuv Gastrobar</t>
        </is>
      </c>
      <c r="D377" t="inlineStr">
        <is>
          <t>IMPAKTO SISTEMA DE LIMPEZA E DESCARTAVEIS LTDA</t>
        </is>
      </c>
      <c r="E377" t="inlineStr">
        <is>
          <t>3313284</t>
        </is>
      </c>
      <c r="F377" s="525" t="n">
        <v>46247</v>
      </c>
      <c r="G377" t="n">
        <v>30339</v>
      </c>
      <c r="H377" t="inlineStr">
        <is>
          <t>SACO PARA LIXO AZUL 100L C/100UN</t>
        </is>
      </c>
      <c r="I377" t="inlineStr">
        <is>
          <t>DESCARTAVEIS/HIGIENE E LIMPEZA</t>
        </is>
      </c>
      <c r="J377" t="n">
        <v>10</v>
      </c>
      <c r="K377" t="inlineStr">
        <is>
          <t>UN</t>
        </is>
      </c>
      <c r="L377" t="n">
        <v>561</v>
      </c>
      <c r="M377" t="n">
        <v>56.1</v>
      </c>
      <c r="O377" t="inlineStr">
        <is>
          <t>08/2026</t>
        </is>
      </c>
    </row>
    <row r="378">
      <c r="A378" t="n">
        <v>257672</v>
      </c>
      <c r="B378" t="n">
        <v>180</v>
      </c>
      <c r="C378" t="inlineStr">
        <is>
          <t>Nuv Gastrobar</t>
        </is>
      </c>
      <c r="D378" t="inlineStr">
        <is>
          <t>IMPAKTO SISTEMA DE LIMPEZA E DESCARTAVEIS LTDA</t>
        </is>
      </c>
      <c r="E378" t="inlineStr">
        <is>
          <t>3313284</t>
        </is>
      </c>
      <c r="F378" s="525" t="n">
        <v>46247</v>
      </c>
      <c r="G378" t="n">
        <v>30345</v>
      </c>
      <c r="H378" t="inlineStr">
        <is>
          <t>SACO PARA LIXO AZUL 200L C/100UN</t>
        </is>
      </c>
      <c r="I378" t="inlineStr">
        <is>
          <t>DESCARTAVEIS/HIGIENE E LIMPEZA</t>
        </is>
      </c>
      <c r="J378" t="n">
        <v>2</v>
      </c>
      <c r="K378" t="inlineStr">
        <is>
          <t>UN</t>
        </is>
      </c>
      <c r="L378" t="n">
        <v>159.94</v>
      </c>
      <c r="M378" t="n">
        <v>79.97</v>
      </c>
      <c r="O378" t="inlineStr">
        <is>
          <t>08/2026</t>
        </is>
      </c>
    </row>
    <row r="379">
      <c r="A379" t="n">
        <v>257671</v>
      </c>
      <c r="B379" t="n">
        <v>180</v>
      </c>
      <c r="C379" t="inlineStr">
        <is>
          <t>Nuv Gastrobar</t>
        </is>
      </c>
      <c r="D379" t="inlineStr">
        <is>
          <t>FUNGO DE QUINTAL COMÉRCIO DE ALIMENTOS - ME</t>
        </is>
      </c>
      <c r="E379" t="inlineStr">
        <is>
          <t>149933</t>
        </is>
      </c>
      <c r="F379" s="525" t="n">
        <v>46251</v>
      </c>
      <c r="G379" t="n">
        <v>23440</v>
      </c>
      <c r="H379" t="inlineStr">
        <is>
          <t>COGUMELO PORTO BELLO GRANEL KG</t>
        </is>
      </c>
      <c r="I379" t="inlineStr">
        <is>
          <t>ALIMENTOS</t>
        </is>
      </c>
      <c r="J379" t="n">
        <v>3</v>
      </c>
      <c r="K379" t="inlineStr">
        <is>
          <t>KG</t>
        </is>
      </c>
      <c r="L379" t="n">
        <v>114</v>
      </c>
      <c r="M379" t="n">
        <v>38</v>
      </c>
      <c r="O379" t="inlineStr">
        <is>
          <t>08/2026</t>
        </is>
      </c>
    </row>
    <row r="380">
      <c r="A380" t="n">
        <v>257671</v>
      </c>
      <c r="B380" t="n">
        <v>180</v>
      </c>
      <c r="C380" t="inlineStr">
        <is>
          <t>Nuv Gastrobar</t>
        </is>
      </c>
      <c r="D380" t="inlineStr">
        <is>
          <t>FUNGO DE QUINTAL COMÉRCIO DE ALIMENTOS - ME</t>
        </is>
      </c>
      <c r="E380" t="inlineStr">
        <is>
          <t>149933</t>
        </is>
      </c>
      <c r="F380" s="525" t="n">
        <v>46251</v>
      </c>
      <c r="G380" t="n">
        <v>19845</v>
      </c>
      <c r="H380" t="inlineStr">
        <is>
          <t>COGUMELO PARIS GRANEL KG</t>
        </is>
      </c>
      <c r="I380" t="inlineStr">
        <is>
          <t>ALIMENTOS</t>
        </is>
      </c>
      <c r="J380" t="n">
        <v>4</v>
      </c>
      <c r="K380" t="inlineStr">
        <is>
          <t>KG</t>
        </is>
      </c>
      <c r="L380" t="n">
        <v>148.4</v>
      </c>
      <c r="M380" t="n">
        <v>37.1</v>
      </c>
      <c r="O380" t="inlineStr">
        <is>
          <t>08/2026</t>
        </is>
      </c>
    </row>
    <row r="381">
      <c r="A381" t="n">
        <v>257670</v>
      </c>
      <c r="B381" t="n">
        <v>180</v>
      </c>
      <c r="C381" t="inlineStr">
        <is>
          <t>Nuv Gastrobar</t>
        </is>
      </c>
      <c r="D381" t="inlineStr">
        <is>
          <t>DO CHEF DISTRIBUIDORA DE ALIMENTOS LTDA</t>
        </is>
      </c>
      <c r="E381" t="inlineStr">
        <is>
          <t>3883</t>
        </is>
      </c>
      <c r="F381" s="525" t="n">
        <v>46248</v>
      </c>
      <c r="G381" t="n">
        <v>23335</v>
      </c>
      <c r="H381" t="inlineStr">
        <is>
          <t>MORANGO KG</t>
        </is>
      </c>
      <c r="I381" t="inlineStr">
        <is>
          <t>ALIMENTOS</t>
        </is>
      </c>
      <c r="J381" t="n">
        <v>0.5</v>
      </c>
      <c r="K381" t="inlineStr">
        <is>
          <t>KG</t>
        </is>
      </c>
      <c r="L381" t="n">
        <v>11.7</v>
      </c>
      <c r="M381" t="n">
        <v>23.4</v>
      </c>
      <c r="O381" t="inlineStr">
        <is>
          <t>08/2026</t>
        </is>
      </c>
    </row>
    <row r="382">
      <c r="A382" t="n">
        <v>257670</v>
      </c>
      <c r="B382" t="n">
        <v>180</v>
      </c>
      <c r="C382" t="inlineStr">
        <is>
          <t>Nuv Gastrobar</t>
        </is>
      </c>
      <c r="D382" t="inlineStr">
        <is>
          <t>DO CHEF DISTRIBUIDORA DE ALIMENTOS LTDA</t>
        </is>
      </c>
      <c r="E382" t="inlineStr">
        <is>
          <t>3883</t>
        </is>
      </c>
      <c r="F382" s="525" t="n">
        <v>46248</v>
      </c>
      <c r="G382" t="n">
        <v>19654</v>
      </c>
      <c r="H382" t="inlineStr">
        <is>
          <t>ABOBRINHA ITALIANA GRAUDA KG</t>
        </is>
      </c>
      <c r="I382" t="inlineStr">
        <is>
          <t>ALIMENTOS</t>
        </is>
      </c>
      <c r="J382" t="n">
        <v>2</v>
      </c>
      <c r="K382" t="inlineStr">
        <is>
          <t>KG</t>
        </is>
      </c>
      <c r="L382" t="n">
        <v>7.28</v>
      </c>
      <c r="M382" t="n">
        <v>3.64</v>
      </c>
      <c r="O382" t="inlineStr">
        <is>
          <t>08/2026</t>
        </is>
      </c>
    </row>
    <row r="383">
      <c r="A383" t="n">
        <v>257670</v>
      </c>
      <c r="B383" t="n">
        <v>180</v>
      </c>
      <c r="C383" t="inlineStr">
        <is>
          <t>Nuv Gastrobar</t>
        </is>
      </c>
      <c r="D383" t="inlineStr">
        <is>
          <t>DO CHEF DISTRIBUIDORA DE ALIMENTOS LTDA</t>
        </is>
      </c>
      <c r="E383" t="inlineStr">
        <is>
          <t>3883</t>
        </is>
      </c>
      <c r="F383" s="525" t="n">
        <v>46248</v>
      </c>
      <c r="G383" t="n">
        <v>23385</v>
      </c>
      <c r="H383" t="inlineStr">
        <is>
          <t>CAJU KG</t>
        </is>
      </c>
      <c r="I383" t="inlineStr">
        <is>
          <t>ALIMENTOS</t>
        </is>
      </c>
      <c r="J383" t="n">
        <v>1.3</v>
      </c>
      <c r="K383" t="inlineStr">
        <is>
          <t>KG</t>
        </is>
      </c>
      <c r="L383" t="n">
        <v>38.87</v>
      </c>
      <c r="M383" t="n">
        <v>29.9</v>
      </c>
      <c r="O383" t="inlineStr">
        <is>
          <t>08/2026</t>
        </is>
      </c>
    </row>
    <row r="384">
      <c r="A384" t="n">
        <v>257670</v>
      </c>
      <c r="B384" t="n">
        <v>180</v>
      </c>
      <c r="C384" t="inlineStr">
        <is>
          <t>Nuv Gastrobar</t>
        </is>
      </c>
      <c r="D384" t="inlineStr">
        <is>
          <t>DO CHEF DISTRIBUIDORA DE ALIMENTOS LTDA</t>
        </is>
      </c>
      <c r="E384" t="inlineStr">
        <is>
          <t>3883</t>
        </is>
      </c>
      <c r="F384" s="525" t="n">
        <v>46248</v>
      </c>
      <c r="G384" t="n">
        <v>19623</v>
      </c>
      <c r="H384" t="inlineStr">
        <is>
          <t>CEBOLA ROXA KG</t>
        </is>
      </c>
      <c r="I384" t="inlineStr">
        <is>
          <t>ALIMENTOS</t>
        </is>
      </c>
      <c r="J384" t="n">
        <v>10</v>
      </c>
      <c r="K384" t="inlineStr">
        <is>
          <t>KG</t>
        </is>
      </c>
      <c r="L384" t="n">
        <v>55.9</v>
      </c>
      <c r="M384" t="n">
        <v>5.59</v>
      </c>
      <c r="O384" t="inlineStr">
        <is>
          <t>08/2026</t>
        </is>
      </c>
    </row>
    <row r="385">
      <c r="A385" t="n">
        <v>257670</v>
      </c>
      <c r="B385" t="n">
        <v>180</v>
      </c>
      <c r="C385" t="inlineStr">
        <is>
          <t>Nuv Gastrobar</t>
        </is>
      </c>
      <c r="D385" t="inlineStr">
        <is>
          <t>DO CHEF DISTRIBUIDORA DE ALIMENTOS LTDA</t>
        </is>
      </c>
      <c r="E385" t="inlineStr">
        <is>
          <t>3883</t>
        </is>
      </c>
      <c r="F385" s="525" t="n">
        <v>46248</v>
      </c>
      <c r="G385" t="n">
        <v>23390</v>
      </c>
      <c r="H385" t="inlineStr">
        <is>
          <t>BANANA DA TERRA KG</t>
        </is>
      </c>
      <c r="I385" t="inlineStr">
        <is>
          <t>ALIMENTOS</t>
        </is>
      </c>
      <c r="J385" t="n">
        <v>6</v>
      </c>
      <c r="K385" t="inlineStr">
        <is>
          <t>KG</t>
        </is>
      </c>
      <c r="L385" t="n">
        <v>58.5</v>
      </c>
      <c r="M385" t="n">
        <v>9.75</v>
      </c>
      <c r="O385" t="inlineStr">
        <is>
          <t>08/2026</t>
        </is>
      </c>
    </row>
    <row r="386">
      <c r="A386" t="n">
        <v>257670</v>
      </c>
      <c r="B386" t="n">
        <v>180</v>
      </c>
      <c r="C386" t="inlineStr">
        <is>
          <t>Nuv Gastrobar</t>
        </is>
      </c>
      <c r="D386" t="inlineStr">
        <is>
          <t>DO CHEF DISTRIBUIDORA DE ALIMENTOS LTDA</t>
        </is>
      </c>
      <c r="E386" t="inlineStr">
        <is>
          <t>3883</t>
        </is>
      </c>
      <c r="F386" s="525" t="n">
        <v>46248</v>
      </c>
      <c r="G386" t="n">
        <v>19555</v>
      </c>
      <c r="H386" t="inlineStr">
        <is>
          <t>RADICHIO KG</t>
        </is>
      </c>
      <c r="I386" t="inlineStr">
        <is>
          <t>ALIMENTOS</t>
        </is>
      </c>
      <c r="J386" t="n">
        <v>1</v>
      </c>
      <c r="K386" t="inlineStr">
        <is>
          <t>KG</t>
        </is>
      </c>
      <c r="L386" t="n">
        <v>21</v>
      </c>
      <c r="M386" t="n">
        <v>21</v>
      </c>
      <c r="O386" t="inlineStr">
        <is>
          <t>08/2026</t>
        </is>
      </c>
    </row>
    <row r="387">
      <c r="A387" t="n">
        <v>257670</v>
      </c>
      <c r="B387" t="n">
        <v>180</v>
      </c>
      <c r="C387" t="inlineStr">
        <is>
          <t>Nuv Gastrobar</t>
        </is>
      </c>
      <c r="D387" t="inlineStr">
        <is>
          <t>DO CHEF DISTRIBUIDORA DE ALIMENTOS LTDA</t>
        </is>
      </c>
      <c r="E387" t="inlineStr">
        <is>
          <t>3883</t>
        </is>
      </c>
      <c r="F387" s="525" t="n">
        <v>46248</v>
      </c>
      <c r="G387" t="n">
        <v>24083</v>
      </c>
      <c r="H387" t="inlineStr">
        <is>
          <t>BATATA ASTERIX GRAUDA NOIVA KG</t>
        </is>
      </c>
      <c r="I387" t="inlineStr">
        <is>
          <t>ALIMENTOS</t>
        </is>
      </c>
      <c r="J387" t="n">
        <v>75</v>
      </c>
      <c r="K387" t="inlineStr">
        <is>
          <t>KG</t>
        </is>
      </c>
      <c r="L387" t="n">
        <v>448.5</v>
      </c>
      <c r="M387" t="n">
        <v>5.98</v>
      </c>
      <c r="O387" t="inlineStr">
        <is>
          <t>08/2026</t>
        </is>
      </c>
    </row>
    <row r="388">
      <c r="A388" t="n">
        <v>257669</v>
      </c>
      <c r="B388" t="n">
        <v>180</v>
      </c>
      <c r="C388" t="inlineStr">
        <is>
          <t>Nuv Gastrobar</t>
        </is>
      </c>
      <c r="D388" t="inlineStr">
        <is>
          <t>DO CHEF DISTRIBUIDORA DE ALIMENTOS LTDA</t>
        </is>
      </c>
      <c r="E388" t="inlineStr">
        <is>
          <t>3822</t>
        </is>
      </c>
      <c r="F388" s="525" t="n">
        <v>46247</v>
      </c>
      <c r="G388" t="n">
        <v>20257</v>
      </c>
      <c r="H388" t="inlineStr">
        <is>
          <t>COCO RALADO FRESCO CONGELADO VITA COCO C/1KG</t>
        </is>
      </c>
      <c r="I388" t="inlineStr">
        <is>
          <t>ALIMENTOS</t>
        </is>
      </c>
      <c r="J388" t="n">
        <v>4</v>
      </c>
      <c r="K388" t="inlineStr">
        <is>
          <t>UN</t>
        </is>
      </c>
      <c r="L388" t="n">
        <v>124.8</v>
      </c>
      <c r="M388" t="n">
        <v>31.2</v>
      </c>
      <c r="O388" t="inlineStr">
        <is>
          <t>08/2026</t>
        </is>
      </c>
    </row>
    <row r="389">
      <c r="A389" t="n">
        <v>257669</v>
      </c>
      <c r="B389" t="n">
        <v>180</v>
      </c>
      <c r="C389" t="inlineStr">
        <is>
          <t>Nuv Gastrobar</t>
        </is>
      </c>
      <c r="D389" t="inlineStr">
        <is>
          <t>DO CHEF DISTRIBUIDORA DE ALIMENTOS LTDA</t>
        </is>
      </c>
      <c r="E389" t="inlineStr">
        <is>
          <t>3822</t>
        </is>
      </c>
      <c r="F389" s="525" t="n">
        <v>46247</v>
      </c>
      <c r="G389" t="n">
        <v>19790</v>
      </c>
      <c r="H389" t="inlineStr">
        <is>
          <t>POLPA DE AVOCADO KG</t>
        </is>
      </c>
      <c r="I389" t="inlineStr">
        <is>
          <t>ALIMENTOS</t>
        </is>
      </c>
      <c r="J389" t="n">
        <v>4</v>
      </c>
      <c r="K389" t="inlineStr">
        <is>
          <t>KG</t>
        </is>
      </c>
      <c r="L389" t="n">
        <v>192</v>
      </c>
      <c r="M389" t="n">
        <v>48</v>
      </c>
      <c r="O389" t="inlineStr">
        <is>
          <t>08/2026</t>
        </is>
      </c>
    </row>
    <row r="390">
      <c r="A390" t="n">
        <v>257669</v>
      </c>
      <c r="B390" t="n">
        <v>180</v>
      </c>
      <c r="C390" t="inlineStr">
        <is>
          <t>Nuv Gastrobar</t>
        </is>
      </c>
      <c r="D390" t="inlineStr">
        <is>
          <t>DO CHEF DISTRIBUIDORA DE ALIMENTOS LTDA</t>
        </is>
      </c>
      <c r="E390" t="inlineStr">
        <is>
          <t>3822</t>
        </is>
      </c>
      <c r="F390" s="525" t="n">
        <v>46247</v>
      </c>
      <c r="G390" t="n">
        <v>19555</v>
      </c>
      <c r="H390" t="inlineStr">
        <is>
          <t>RADICHIO KG</t>
        </is>
      </c>
      <c r="I390" t="inlineStr">
        <is>
          <t>ALIMENTOS</t>
        </is>
      </c>
      <c r="J390" t="n">
        <v>2</v>
      </c>
      <c r="K390" t="inlineStr">
        <is>
          <t>KG</t>
        </is>
      </c>
      <c r="L390" t="n">
        <v>42</v>
      </c>
      <c r="M390" t="n">
        <v>21</v>
      </c>
      <c r="O390" t="inlineStr">
        <is>
          <t>08/2026</t>
        </is>
      </c>
    </row>
    <row r="391">
      <c r="A391" t="n">
        <v>257669</v>
      </c>
      <c r="B391" t="n">
        <v>180</v>
      </c>
      <c r="C391" t="inlineStr">
        <is>
          <t>Nuv Gastrobar</t>
        </is>
      </c>
      <c r="D391" t="inlineStr">
        <is>
          <t>DO CHEF DISTRIBUIDORA DE ALIMENTOS LTDA</t>
        </is>
      </c>
      <c r="E391" t="inlineStr">
        <is>
          <t>3822</t>
        </is>
      </c>
      <c r="F391" s="525" t="n">
        <v>46247</v>
      </c>
      <c r="G391" t="n">
        <v>24083</v>
      </c>
      <c r="H391" t="inlineStr">
        <is>
          <t>BATATA ASTERIX GRAUDA NOIVA KG</t>
        </is>
      </c>
      <c r="I391" t="inlineStr">
        <is>
          <t>ALIMENTOS</t>
        </is>
      </c>
      <c r="J391" t="n">
        <v>75</v>
      </c>
      <c r="K391" t="inlineStr">
        <is>
          <t>KG</t>
        </is>
      </c>
      <c r="L391" t="n">
        <v>448.5</v>
      </c>
      <c r="M391" t="n">
        <v>5.98</v>
      </c>
      <c r="O391" t="inlineStr">
        <is>
          <t>08/2026</t>
        </is>
      </c>
    </row>
    <row r="392">
      <c r="A392" t="n">
        <v>257668</v>
      </c>
      <c r="B392" t="n">
        <v>180</v>
      </c>
      <c r="C392" t="inlineStr">
        <is>
          <t>Nuv Gastrobar</t>
        </is>
      </c>
      <c r="D392" t="inlineStr">
        <is>
          <t>CECILIA TSUYACO ARAKI SILVA LTDA</t>
        </is>
      </c>
      <c r="E392" t="inlineStr">
        <is>
          <t>397488</t>
        </is>
      </c>
      <c r="F392" s="525" t="n">
        <v>46248</v>
      </c>
      <c r="G392" t="n">
        <v>19752</v>
      </c>
      <c r="H392" t="inlineStr">
        <is>
          <t>LIMAO CRAVO KG</t>
        </is>
      </c>
      <c r="I392" t="inlineStr">
        <is>
          <t>ALIMENTOS</t>
        </is>
      </c>
      <c r="J392" t="n">
        <v>1</v>
      </c>
      <c r="K392" t="inlineStr">
        <is>
          <t>KG</t>
        </is>
      </c>
      <c r="L392" t="n">
        <v>8.5</v>
      </c>
      <c r="M392" t="n">
        <v>8.5</v>
      </c>
      <c r="O392" t="inlineStr">
        <is>
          <t>08/2026</t>
        </is>
      </c>
    </row>
    <row r="393">
      <c r="A393" t="n">
        <v>257668</v>
      </c>
      <c r="B393" t="n">
        <v>180</v>
      </c>
      <c r="C393" t="inlineStr">
        <is>
          <t>Nuv Gastrobar</t>
        </is>
      </c>
      <c r="D393" t="inlineStr">
        <is>
          <t>CECILIA TSUYACO ARAKI SILVA LTDA</t>
        </is>
      </c>
      <c r="E393" t="inlineStr">
        <is>
          <t>397488</t>
        </is>
      </c>
      <c r="F393" s="525" t="n">
        <v>46248</v>
      </c>
      <c r="G393" t="n">
        <v>25162</v>
      </c>
      <c r="H393" t="inlineStr">
        <is>
          <t>ESPIGA MILHO VERDE KG</t>
        </is>
      </c>
      <c r="I393" t="inlineStr">
        <is>
          <t>ALIMENTOS</t>
        </is>
      </c>
      <c r="J393" t="n">
        <v>3</v>
      </c>
      <c r="K393" t="inlineStr">
        <is>
          <t>KG</t>
        </is>
      </c>
      <c r="L393" t="n">
        <v>18</v>
      </c>
      <c r="M393" t="n">
        <v>6</v>
      </c>
      <c r="O393" t="inlineStr">
        <is>
          <t>08/2026</t>
        </is>
      </c>
    </row>
    <row r="394">
      <c r="A394" t="n">
        <v>257668</v>
      </c>
      <c r="B394" t="n">
        <v>180</v>
      </c>
      <c r="C394" t="inlineStr">
        <is>
          <t>Nuv Gastrobar</t>
        </is>
      </c>
      <c r="D394" t="inlineStr">
        <is>
          <t>CECILIA TSUYACO ARAKI SILVA LTDA</t>
        </is>
      </c>
      <c r="E394" t="inlineStr">
        <is>
          <t>397488</t>
        </is>
      </c>
      <c r="F394" s="525" t="n">
        <v>46248</v>
      </c>
      <c r="G394" t="n">
        <v>19682</v>
      </c>
      <c r="H394" t="inlineStr">
        <is>
          <t>MIRTILO KG</t>
        </is>
      </c>
      <c r="I394" t="inlineStr">
        <is>
          <t>ALIMENTOS</t>
        </is>
      </c>
      <c r="J394" t="n">
        <v>0.3</v>
      </c>
      <c r="K394" t="inlineStr">
        <is>
          <t>KG</t>
        </is>
      </c>
      <c r="L394" t="n">
        <v>33</v>
      </c>
      <c r="M394" t="n">
        <v>110</v>
      </c>
      <c r="O394" t="inlineStr">
        <is>
          <t>08/2026</t>
        </is>
      </c>
    </row>
    <row r="395">
      <c r="A395" t="n">
        <v>257668</v>
      </c>
      <c r="B395" t="n">
        <v>180</v>
      </c>
      <c r="C395" t="inlineStr">
        <is>
          <t>Nuv Gastrobar</t>
        </is>
      </c>
      <c r="D395" t="inlineStr">
        <is>
          <t>CECILIA TSUYACO ARAKI SILVA LTDA</t>
        </is>
      </c>
      <c r="E395" t="inlineStr">
        <is>
          <t>397488</t>
        </is>
      </c>
      <c r="F395" s="525" t="n">
        <v>46248</v>
      </c>
      <c r="G395" t="n">
        <v>19617</v>
      </c>
      <c r="H395" t="inlineStr">
        <is>
          <t>COENTRO KG</t>
        </is>
      </c>
      <c r="I395" t="inlineStr">
        <is>
          <t>ALIMENTOS</t>
        </is>
      </c>
      <c r="J395" t="n">
        <v>0.2</v>
      </c>
      <c r="K395" t="inlineStr">
        <is>
          <t>KG</t>
        </is>
      </c>
      <c r="L395" t="n">
        <v>2.4</v>
      </c>
      <c r="M395" t="n">
        <v>12</v>
      </c>
      <c r="O395" t="inlineStr">
        <is>
          <t>08/2026</t>
        </is>
      </c>
    </row>
    <row r="396">
      <c r="A396" t="n">
        <v>257668</v>
      </c>
      <c r="B396" t="n">
        <v>180</v>
      </c>
      <c r="C396" t="inlineStr">
        <is>
          <t>Nuv Gastrobar</t>
        </is>
      </c>
      <c r="D396" t="inlineStr">
        <is>
          <t>CECILIA TSUYACO ARAKI SILVA LTDA</t>
        </is>
      </c>
      <c r="E396" t="inlineStr">
        <is>
          <t>397488</t>
        </is>
      </c>
      <c r="F396" s="525" t="n">
        <v>46248</v>
      </c>
      <c r="G396" t="n">
        <v>19575</v>
      </c>
      <c r="H396" t="inlineStr">
        <is>
          <t>PIMENTA DE CHEIRO VERDE KG</t>
        </is>
      </c>
      <c r="I396" t="inlineStr">
        <is>
          <t>ALIMENTOS</t>
        </is>
      </c>
      <c r="J396" t="n">
        <v>0.5</v>
      </c>
      <c r="K396" t="inlineStr">
        <is>
          <t>KG</t>
        </is>
      </c>
      <c r="L396" t="n">
        <v>19</v>
      </c>
      <c r="M396" t="n">
        <v>38</v>
      </c>
      <c r="O396" t="inlineStr">
        <is>
          <t>08/2026</t>
        </is>
      </c>
    </row>
    <row r="397">
      <c r="A397" t="n">
        <v>257668</v>
      </c>
      <c r="B397" t="n">
        <v>180</v>
      </c>
      <c r="C397" t="inlineStr">
        <is>
          <t>Nuv Gastrobar</t>
        </is>
      </c>
      <c r="D397" t="inlineStr">
        <is>
          <t>CECILIA TSUYACO ARAKI SILVA LTDA</t>
        </is>
      </c>
      <c r="E397" t="inlineStr">
        <is>
          <t>397488</t>
        </is>
      </c>
      <c r="F397" s="525" t="n">
        <v>46248</v>
      </c>
      <c r="G397" t="n">
        <v>19485</v>
      </c>
      <c r="H397" t="inlineStr">
        <is>
          <t>ENDRO DILL KG</t>
        </is>
      </c>
      <c r="I397" t="inlineStr">
        <is>
          <t>ALIMENTOS</t>
        </is>
      </c>
      <c r="J397" t="n">
        <v>0.3</v>
      </c>
      <c r="K397" t="inlineStr">
        <is>
          <t>KG</t>
        </is>
      </c>
      <c r="L397" t="n">
        <v>19.5</v>
      </c>
      <c r="M397" t="n">
        <v>65</v>
      </c>
      <c r="O397" t="inlineStr">
        <is>
          <t>08/2026</t>
        </is>
      </c>
    </row>
    <row r="398">
      <c r="A398" t="n">
        <v>257668</v>
      </c>
      <c r="B398" t="n">
        <v>180</v>
      </c>
      <c r="C398" t="inlineStr">
        <is>
          <t>Nuv Gastrobar</t>
        </is>
      </c>
      <c r="D398" t="inlineStr">
        <is>
          <t>CECILIA TSUYACO ARAKI SILVA LTDA</t>
        </is>
      </c>
      <c r="E398" t="inlineStr">
        <is>
          <t>397488</t>
        </is>
      </c>
      <c r="F398" s="525" t="n">
        <v>46248</v>
      </c>
      <c r="G398" t="n">
        <v>19488</v>
      </c>
      <c r="H398" t="inlineStr">
        <is>
          <t>CEBOLINHA KG</t>
        </is>
      </c>
      <c r="I398" t="inlineStr">
        <is>
          <t>ALIMENTOS</t>
        </is>
      </c>
      <c r="J398" t="n">
        <v>0.5</v>
      </c>
      <c r="K398" t="inlineStr">
        <is>
          <t>KG</t>
        </is>
      </c>
      <c r="L398" t="n">
        <v>6</v>
      </c>
      <c r="M398" t="n">
        <v>12</v>
      </c>
      <c r="O398" t="inlineStr">
        <is>
          <t>08/2026</t>
        </is>
      </c>
    </row>
    <row r="399">
      <c r="A399" t="n">
        <v>257668</v>
      </c>
      <c r="B399" t="n">
        <v>180</v>
      </c>
      <c r="C399" t="inlineStr">
        <is>
          <t>Nuv Gastrobar</t>
        </is>
      </c>
      <c r="D399" t="inlineStr">
        <is>
          <t>CECILIA TSUYACO ARAKI SILVA LTDA</t>
        </is>
      </c>
      <c r="E399" t="inlineStr">
        <is>
          <t>397488</t>
        </is>
      </c>
      <c r="F399" s="525" t="n">
        <v>46248</v>
      </c>
      <c r="G399" t="n">
        <v>19554</v>
      </c>
      <c r="H399" t="inlineStr">
        <is>
          <t>REPOLHO VERDE KG</t>
        </is>
      </c>
      <c r="I399" t="inlineStr">
        <is>
          <t>ALIMENTOS</t>
        </is>
      </c>
      <c r="J399" t="n">
        <v>1</v>
      </c>
      <c r="K399" t="inlineStr">
        <is>
          <t>KG</t>
        </is>
      </c>
      <c r="L399" t="n">
        <v>4.8</v>
      </c>
      <c r="M399" t="n">
        <v>4.8</v>
      </c>
      <c r="O399" t="inlineStr">
        <is>
          <t>08/2026</t>
        </is>
      </c>
    </row>
    <row r="400">
      <c r="A400" t="n">
        <v>257668</v>
      </c>
      <c r="B400" t="n">
        <v>180</v>
      </c>
      <c r="C400" t="inlineStr">
        <is>
          <t>Nuv Gastrobar</t>
        </is>
      </c>
      <c r="D400" t="inlineStr">
        <is>
          <t>CECILIA TSUYACO ARAKI SILVA LTDA</t>
        </is>
      </c>
      <c r="E400" t="inlineStr">
        <is>
          <t>397488</t>
        </is>
      </c>
      <c r="F400" s="525" t="n">
        <v>46248</v>
      </c>
      <c r="G400" t="n">
        <v>24037</v>
      </c>
      <c r="H400" t="inlineStr">
        <is>
          <t>ALHO TRITURADO FRITO</t>
        </is>
      </c>
      <c r="I400" t="inlineStr">
        <is>
          <t>ALIMENTOS</t>
        </is>
      </c>
      <c r="J400" t="n">
        <v>1</v>
      </c>
      <c r="K400" t="inlineStr">
        <is>
          <t>KG</t>
        </is>
      </c>
      <c r="L400" t="n">
        <v>18</v>
      </c>
      <c r="M400" t="n">
        <v>18</v>
      </c>
      <c r="O400" t="inlineStr">
        <is>
          <t>08/2026</t>
        </is>
      </c>
    </row>
    <row r="401">
      <c r="A401" t="n">
        <v>257668</v>
      </c>
      <c r="B401" t="n">
        <v>180</v>
      </c>
      <c r="C401" t="inlineStr">
        <is>
          <t>Nuv Gastrobar</t>
        </is>
      </c>
      <c r="D401" t="inlineStr">
        <is>
          <t>CECILIA TSUYACO ARAKI SILVA LTDA</t>
        </is>
      </c>
      <c r="E401" t="inlineStr">
        <is>
          <t>397488</t>
        </is>
      </c>
      <c r="F401" s="525" t="n">
        <v>46248</v>
      </c>
      <c r="G401" t="n">
        <v>23095</v>
      </c>
      <c r="H401" t="inlineStr">
        <is>
          <t>OVO CAIPIRA UN</t>
        </is>
      </c>
      <c r="I401" t="inlineStr">
        <is>
          <t>ALIMENTOS</t>
        </is>
      </c>
      <c r="J401" t="n">
        <v>180</v>
      </c>
      <c r="K401" t="inlineStr">
        <is>
          <t>UN</t>
        </is>
      </c>
      <c r="L401" t="n">
        <v>165.6</v>
      </c>
      <c r="M401" t="n">
        <v>0.92</v>
      </c>
      <c r="O401" t="inlineStr">
        <is>
          <t>08/2026</t>
        </is>
      </c>
    </row>
    <row r="402">
      <c r="A402" t="n">
        <v>257668</v>
      </c>
      <c r="B402" t="n">
        <v>180</v>
      </c>
      <c r="C402" t="inlineStr">
        <is>
          <t>Nuv Gastrobar</t>
        </is>
      </c>
      <c r="D402" t="inlineStr">
        <is>
          <t>CECILIA TSUYACO ARAKI SILVA LTDA</t>
        </is>
      </c>
      <c r="E402" t="inlineStr">
        <is>
          <t>397488</t>
        </is>
      </c>
      <c r="F402" s="525" t="n">
        <v>46248</v>
      </c>
      <c r="G402" t="n">
        <v>19647</v>
      </c>
      <c r="H402" t="inlineStr">
        <is>
          <t>ALHO PORO KG</t>
        </is>
      </c>
      <c r="I402" t="inlineStr">
        <is>
          <t>ALIMENTOS</t>
        </is>
      </c>
      <c r="J402" t="n">
        <v>1</v>
      </c>
      <c r="K402" t="inlineStr">
        <is>
          <t>KG</t>
        </is>
      </c>
      <c r="L402" t="n">
        <v>8.5</v>
      </c>
      <c r="M402" t="n">
        <v>8.5</v>
      </c>
      <c r="O402" t="inlineStr">
        <is>
          <t>08/2026</t>
        </is>
      </c>
    </row>
    <row r="403">
      <c r="A403" t="n">
        <v>257668</v>
      </c>
      <c r="B403" t="n">
        <v>180</v>
      </c>
      <c r="C403" t="inlineStr">
        <is>
          <t>Nuv Gastrobar</t>
        </is>
      </c>
      <c r="D403" t="inlineStr">
        <is>
          <t>CECILIA TSUYACO ARAKI SILVA LTDA</t>
        </is>
      </c>
      <c r="E403" t="inlineStr">
        <is>
          <t>397488</t>
        </is>
      </c>
      <c r="F403" s="525" t="n">
        <v>46248</v>
      </c>
      <c r="G403" t="n">
        <v>19552</v>
      </c>
      <c r="H403" t="inlineStr">
        <is>
          <t>REPOLHO ROXO KG</t>
        </is>
      </c>
      <c r="I403" t="inlineStr">
        <is>
          <t>ALIMENTOS</t>
        </is>
      </c>
      <c r="J403" t="n">
        <v>1</v>
      </c>
      <c r="K403" t="inlineStr">
        <is>
          <t>KG</t>
        </is>
      </c>
      <c r="L403" t="n">
        <v>6.5</v>
      </c>
      <c r="M403" t="n">
        <v>6.5</v>
      </c>
      <c r="O403" t="inlineStr">
        <is>
          <t>08/2026</t>
        </is>
      </c>
    </row>
    <row r="404">
      <c r="A404" t="n">
        <v>257668</v>
      </c>
      <c r="B404" t="n">
        <v>180</v>
      </c>
      <c r="C404" t="inlineStr">
        <is>
          <t>Nuv Gastrobar</t>
        </is>
      </c>
      <c r="D404" t="inlineStr">
        <is>
          <t>CECILIA TSUYACO ARAKI SILVA LTDA</t>
        </is>
      </c>
      <c r="E404" t="inlineStr">
        <is>
          <t>397488</t>
        </is>
      </c>
      <c r="F404" s="525" t="n">
        <v>46248</v>
      </c>
      <c r="G404" t="n">
        <v>23108</v>
      </c>
      <c r="H404" t="inlineStr">
        <is>
          <t>TOMILHO KG</t>
        </is>
      </c>
      <c r="I404" t="inlineStr">
        <is>
          <t>ALIMENTOS</t>
        </is>
      </c>
      <c r="J404" t="n">
        <v>0.3</v>
      </c>
      <c r="K404" t="inlineStr">
        <is>
          <t>KG</t>
        </is>
      </c>
      <c r="L404" t="n">
        <v>25.5</v>
      </c>
      <c r="M404" t="n">
        <v>85</v>
      </c>
      <c r="O404" t="inlineStr">
        <is>
          <t>08/2026</t>
        </is>
      </c>
    </row>
    <row r="405">
      <c r="A405" t="n">
        <v>257668</v>
      </c>
      <c r="B405" t="n">
        <v>180</v>
      </c>
      <c r="C405" t="inlineStr">
        <is>
          <t>Nuv Gastrobar</t>
        </is>
      </c>
      <c r="D405" t="inlineStr">
        <is>
          <t>CECILIA TSUYACO ARAKI SILVA LTDA</t>
        </is>
      </c>
      <c r="E405" t="inlineStr">
        <is>
          <t>397488</t>
        </is>
      </c>
      <c r="F405" s="525" t="n">
        <v>46248</v>
      </c>
      <c r="G405" t="n">
        <v>23113</v>
      </c>
      <c r="H405" t="inlineStr">
        <is>
          <t>SALSA KG</t>
        </is>
      </c>
      <c r="I405" t="inlineStr">
        <is>
          <t>ALIMENTOS</t>
        </is>
      </c>
      <c r="J405" t="n">
        <v>0.5</v>
      </c>
      <c r="K405" t="inlineStr">
        <is>
          <t>KG</t>
        </is>
      </c>
      <c r="L405" t="n">
        <v>3.5</v>
      </c>
      <c r="M405" t="n">
        <v>7</v>
      </c>
      <c r="O405" t="inlineStr">
        <is>
          <t>08/2026</t>
        </is>
      </c>
    </row>
    <row r="406">
      <c r="A406" t="n">
        <v>257668</v>
      </c>
      <c r="B406" t="n">
        <v>180</v>
      </c>
      <c r="C406" t="inlineStr">
        <is>
          <t>Nuv Gastrobar</t>
        </is>
      </c>
      <c r="D406" t="inlineStr">
        <is>
          <t>CECILIA TSUYACO ARAKI SILVA LTDA</t>
        </is>
      </c>
      <c r="E406" t="inlineStr">
        <is>
          <t>397488</t>
        </is>
      </c>
      <c r="F406" s="525" t="n">
        <v>46248</v>
      </c>
      <c r="G406" t="n">
        <v>19751</v>
      </c>
      <c r="H406" t="inlineStr">
        <is>
          <t>LIMAO SICILIANO KG</t>
        </is>
      </c>
      <c r="I406" t="inlineStr">
        <is>
          <t>ALIMENTOS</t>
        </is>
      </c>
      <c r="J406" t="n">
        <v>3</v>
      </c>
      <c r="K406" t="inlineStr">
        <is>
          <t>KG</t>
        </is>
      </c>
      <c r="L406" t="n">
        <v>22.5</v>
      </c>
      <c r="M406" t="n">
        <v>7.5</v>
      </c>
      <c r="O406" t="inlineStr">
        <is>
          <t>08/2026</t>
        </is>
      </c>
    </row>
    <row r="407">
      <c r="A407" t="n">
        <v>257667</v>
      </c>
      <c r="B407" t="n">
        <v>180</v>
      </c>
      <c r="C407" t="inlineStr">
        <is>
          <t>Nuv Gastrobar</t>
        </is>
      </c>
      <c r="D407" t="inlineStr">
        <is>
          <t>CECILIA TSUYACO ARAKI SILVA LTDA</t>
        </is>
      </c>
      <c r="E407" t="inlineStr">
        <is>
          <t>397388</t>
        </is>
      </c>
      <c r="F407" s="525" t="n">
        <v>46247</v>
      </c>
      <c r="G407" t="n">
        <v>19752</v>
      </c>
      <c r="H407" t="inlineStr">
        <is>
          <t>LIMAO CRAVO KG</t>
        </is>
      </c>
      <c r="I407" t="inlineStr">
        <is>
          <t>ALIMENTOS</t>
        </is>
      </c>
      <c r="J407" t="n">
        <v>1</v>
      </c>
      <c r="K407" t="inlineStr">
        <is>
          <t>KG</t>
        </is>
      </c>
      <c r="L407" t="n">
        <v>8.5</v>
      </c>
      <c r="M407" t="n">
        <v>8.5</v>
      </c>
      <c r="O407" t="inlineStr">
        <is>
          <t>08/2026</t>
        </is>
      </c>
    </row>
    <row r="408">
      <c r="A408" t="n">
        <v>257667</v>
      </c>
      <c r="B408" t="n">
        <v>180</v>
      </c>
      <c r="C408" t="inlineStr">
        <is>
          <t>Nuv Gastrobar</t>
        </is>
      </c>
      <c r="D408" t="inlineStr">
        <is>
          <t>CECILIA TSUYACO ARAKI SILVA LTDA</t>
        </is>
      </c>
      <c r="E408" t="inlineStr">
        <is>
          <t>397388</t>
        </is>
      </c>
      <c r="F408" s="525" t="n">
        <v>46247</v>
      </c>
      <c r="G408" t="n">
        <v>19485</v>
      </c>
      <c r="H408" t="inlineStr">
        <is>
          <t>ENDRO DILL KG</t>
        </is>
      </c>
      <c r="I408" t="inlineStr">
        <is>
          <t>ALIMENTOS</t>
        </is>
      </c>
      <c r="J408" t="n">
        <v>0.3</v>
      </c>
      <c r="K408" t="inlineStr">
        <is>
          <t>KG</t>
        </is>
      </c>
      <c r="L408" t="n">
        <v>22.5</v>
      </c>
      <c r="M408" t="n">
        <v>75</v>
      </c>
      <c r="O408" t="inlineStr">
        <is>
          <t>08/2026</t>
        </is>
      </c>
    </row>
    <row r="409">
      <c r="A409" t="n">
        <v>257667</v>
      </c>
      <c r="B409" t="n">
        <v>180</v>
      </c>
      <c r="C409" t="inlineStr">
        <is>
          <t>Nuv Gastrobar</t>
        </is>
      </c>
      <c r="D409" t="inlineStr">
        <is>
          <t>CECILIA TSUYACO ARAKI SILVA LTDA</t>
        </is>
      </c>
      <c r="E409" t="inlineStr">
        <is>
          <t>397388</t>
        </is>
      </c>
      <c r="F409" s="525" t="n">
        <v>46247</v>
      </c>
      <c r="G409" t="n">
        <v>19751</v>
      </c>
      <c r="H409" t="inlineStr">
        <is>
          <t>LIMAO SICILIANO KG</t>
        </is>
      </c>
      <c r="I409" t="inlineStr">
        <is>
          <t>ALIMENTOS</t>
        </is>
      </c>
      <c r="J409" t="n">
        <v>3</v>
      </c>
      <c r="K409" t="inlineStr">
        <is>
          <t>KG</t>
        </is>
      </c>
      <c r="L409" t="n">
        <v>21.6</v>
      </c>
      <c r="M409" t="n">
        <v>7.2</v>
      </c>
      <c r="O409" t="inlineStr">
        <is>
          <t>08/2026</t>
        </is>
      </c>
    </row>
    <row r="410">
      <c r="A410" t="n">
        <v>257667</v>
      </c>
      <c r="B410" t="n">
        <v>180</v>
      </c>
      <c r="C410" t="inlineStr">
        <is>
          <t>Nuv Gastrobar</t>
        </is>
      </c>
      <c r="D410" t="inlineStr">
        <is>
          <t>CECILIA TSUYACO ARAKI SILVA LTDA</t>
        </is>
      </c>
      <c r="E410" t="inlineStr">
        <is>
          <t>397388</t>
        </is>
      </c>
      <c r="F410" s="525" t="n">
        <v>46247</v>
      </c>
      <c r="G410" t="n">
        <v>23335</v>
      </c>
      <c r="H410" t="inlineStr">
        <is>
          <t>MORANGO KG</t>
        </is>
      </c>
      <c r="I410" t="inlineStr">
        <is>
          <t>ALIMENTOS</t>
        </is>
      </c>
      <c r="J410" t="n">
        <v>0.5</v>
      </c>
      <c r="K410" t="inlineStr">
        <is>
          <t>KG</t>
        </is>
      </c>
      <c r="L410" t="n">
        <v>13</v>
      </c>
      <c r="M410" t="n">
        <v>26</v>
      </c>
      <c r="O410" t="inlineStr">
        <is>
          <t>08/2026</t>
        </is>
      </c>
    </row>
    <row r="411">
      <c r="A411" t="n">
        <v>257667</v>
      </c>
      <c r="B411" t="n">
        <v>180</v>
      </c>
      <c r="C411" t="inlineStr">
        <is>
          <t>Nuv Gastrobar</t>
        </is>
      </c>
      <c r="D411" t="inlineStr">
        <is>
          <t>CECILIA TSUYACO ARAKI SILVA LTDA</t>
        </is>
      </c>
      <c r="E411" t="inlineStr">
        <is>
          <t>397388</t>
        </is>
      </c>
      <c r="F411" s="525" t="n">
        <v>46247</v>
      </c>
      <c r="G411" t="n">
        <v>25162</v>
      </c>
      <c r="H411" t="inlineStr">
        <is>
          <t>ESPIGA MILHO VERDE KG</t>
        </is>
      </c>
      <c r="I411" t="inlineStr">
        <is>
          <t>ALIMENTOS</t>
        </is>
      </c>
      <c r="J411" t="n">
        <v>3</v>
      </c>
      <c r="K411" t="inlineStr">
        <is>
          <t>KG</t>
        </is>
      </c>
      <c r="L411" t="n">
        <v>18</v>
      </c>
      <c r="M411" t="n">
        <v>6</v>
      </c>
      <c r="O411" t="inlineStr">
        <is>
          <t>08/2026</t>
        </is>
      </c>
    </row>
    <row r="412">
      <c r="A412" t="n">
        <v>257667</v>
      </c>
      <c r="B412" t="n">
        <v>180</v>
      </c>
      <c r="C412" t="inlineStr">
        <is>
          <t>Nuv Gastrobar</t>
        </is>
      </c>
      <c r="D412" t="inlineStr">
        <is>
          <t>CECILIA TSUYACO ARAKI SILVA LTDA</t>
        </is>
      </c>
      <c r="E412" t="inlineStr">
        <is>
          <t>397388</t>
        </is>
      </c>
      <c r="F412" s="525" t="n">
        <v>46247</v>
      </c>
      <c r="G412" t="n">
        <v>19575</v>
      </c>
      <c r="H412" t="inlineStr">
        <is>
          <t>PIMENTA DE CHEIRO VERDE KG</t>
        </is>
      </c>
      <c r="I412" t="inlineStr">
        <is>
          <t>ALIMENTOS</t>
        </is>
      </c>
      <c r="J412" t="n">
        <v>0.5</v>
      </c>
      <c r="K412" t="inlineStr">
        <is>
          <t>KG</t>
        </is>
      </c>
      <c r="L412" t="n">
        <v>17.5</v>
      </c>
      <c r="M412" t="n">
        <v>35</v>
      </c>
      <c r="O412" t="inlineStr">
        <is>
          <t>08/2026</t>
        </is>
      </c>
    </row>
    <row r="413">
      <c r="A413" t="n">
        <v>257667</v>
      </c>
      <c r="B413" t="n">
        <v>180</v>
      </c>
      <c r="C413" t="inlineStr">
        <is>
          <t>Nuv Gastrobar</t>
        </is>
      </c>
      <c r="D413" t="inlineStr">
        <is>
          <t>CECILIA TSUYACO ARAKI SILVA LTDA</t>
        </is>
      </c>
      <c r="E413" t="inlineStr">
        <is>
          <t>397388</t>
        </is>
      </c>
      <c r="F413" s="525" t="n">
        <v>46247</v>
      </c>
      <c r="G413" t="n">
        <v>19682</v>
      </c>
      <c r="H413" t="inlineStr">
        <is>
          <t>MIRTILO KG</t>
        </is>
      </c>
      <c r="I413" t="inlineStr">
        <is>
          <t>ALIMENTOS</t>
        </is>
      </c>
      <c r="J413" t="n">
        <v>0.3</v>
      </c>
      <c r="K413" t="inlineStr">
        <is>
          <t>KG</t>
        </is>
      </c>
      <c r="L413" t="n">
        <v>31.5</v>
      </c>
      <c r="M413" t="n">
        <v>105</v>
      </c>
      <c r="O413" t="inlineStr">
        <is>
          <t>08/2026</t>
        </is>
      </c>
    </row>
    <row r="414">
      <c r="A414" t="n">
        <v>257667</v>
      </c>
      <c r="B414" t="n">
        <v>180</v>
      </c>
      <c r="C414" t="inlineStr">
        <is>
          <t>Nuv Gastrobar</t>
        </is>
      </c>
      <c r="D414" t="inlineStr">
        <is>
          <t>CECILIA TSUYACO ARAKI SILVA LTDA</t>
        </is>
      </c>
      <c r="E414" t="inlineStr">
        <is>
          <t>397388</t>
        </is>
      </c>
      <c r="F414" s="525" t="n">
        <v>46247</v>
      </c>
      <c r="G414" t="n">
        <v>23095</v>
      </c>
      <c r="H414" t="inlineStr">
        <is>
          <t>OVO CAIPIRA UN</t>
        </is>
      </c>
      <c r="I414" t="inlineStr">
        <is>
          <t>ALIMENTOS</t>
        </is>
      </c>
      <c r="J414" t="n">
        <v>180</v>
      </c>
      <c r="K414" t="inlineStr">
        <is>
          <t>UN</t>
        </is>
      </c>
      <c r="L414" t="n">
        <v>167.4</v>
      </c>
      <c r="M414" t="n">
        <v>0.93</v>
      </c>
      <c r="O414" t="inlineStr">
        <is>
          <t>08/2026</t>
        </is>
      </c>
    </row>
    <row r="415">
      <c r="A415" t="n">
        <v>257667</v>
      </c>
      <c r="B415" t="n">
        <v>180</v>
      </c>
      <c r="C415" t="inlineStr">
        <is>
          <t>Nuv Gastrobar</t>
        </is>
      </c>
      <c r="D415" t="inlineStr">
        <is>
          <t>CECILIA TSUYACO ARAKI SILVA LTDA</t>
        </is>
      </c>
      <c r="E415" t="inlineStr">
        <is>
          <t>397388</t>
        </is>
      </c>
      <c r="F415" s="525" t="n">
        <v>46247</v>
      </c>
      <c r="G415" t="n">
        <v>19736</v>
      </c>
      <c r="H415" t="inlineStr">
        <is>
          <t>MELAO ORANGE KG</t>
        </is>
      </c>
      <c r="I415" t="inlineStr">
        <is>
          <t>ALIMENTOS</t>
        </is>
      </c>
      <c r="J415" t="n">
        <v>7</v>
      </c>
      <c r="K415" t="inlineStr">
        <is>
          <t>KG</t>
        </is>
      </c>
      <c r="L415" t="n">
        <v>77</v>
      </c>
      <c r="M415" t="n">
        <v>11</v>
      </c>
      <c r="O415" t="inlineStr">
        <is>
          <t>08/2026</t>
        </is>
      </c>
    </row>
    <row r="416">
      <c r="A416" t="n">
        <v>257666</v>
      </c>
      <c r="B416" t="n">
        <v>180</v>
      </c>
      <c r="C416" t="inlineStr">
        <is>
          <t>Nuv Gastrobar</t>
        </is>
      </c>
      <c r="D416" t="inlineStr">
        <is>
          <t xml:space="preserve">CAMPO VERDE ALIMENTOS LTDA </t>
        </is>
      </c>
      <c r="E416" t="inlineStr">
        <is>
          <t>89841</t>
        </is>
      </c>
      <c r="F416" s="525" t="n">
        <v>46245</v>
      </c>
      <c r="G416" t="n">
        <v>30364</v>
      </c>
      <c r="H416" t="inlineStr">
        <is>
          <t>QUEIJO AMERICAN CHEESE SCAR INTERFOLHADO 30G (CX PADRAO 12,1KG) KG</t>
        </is>
      </c>
      <c r="I416" t="inlineStr">
        <is>
          <t>ALIMENTOS</t>
        </is>
      </c>
      <c r="J416" t="n">
        <v>12.1</v>
      </c>
      <c r="K416" t="inlineStr">
        <is>
          <t>CX</t>
        </is>
      </c>
      <c r="L416" t="n">
        <v>515.9400000000001</v>
      </c>
      <c r="M416" t="n">
        <v>42.639669</v>
      </c>
      <c r="N416" t="inlineStr">
        <is>
          <t xml:space="preserve">NF PAGA À VISTA - CONFORME DITO PELA MICHAELLE </t>
        </is>
      </c>
      <c r="O416" t="inlineStr">
        <is>
          <t>08/2026</t>
        </is>
      </c>
    </row>
    <row r="417">
      <c r="A417" t="n">
        <v>257665</v>
      </c>
      <c r="B417" t="n">
        <v>180</v>
      </c>
      <c r="C417" t="inlineStr">
        <is>
          <t>Nuv Gastrobar</t>
        </is>
      </c>
      <c r="D417" t="inlineStr">
        <is>
          <t xml:space="preserve">BGC COMERCIO DE UTENSILIOS </t>
        </is>
      </c>
      <c r="E417" t="inlineStr">
        <is>
          <t>2560</t>
        </is>
      </c>
      <c r="F417" s="525" t="n">
        <v>46245</v>
      </c>
      <c r="G417" t="n">
        <v>30490</v>
      </c>
      <c r="H417" t="inlineStr">
        <is>
          <t>PENEIRA EM AÇO INOX 20CM MARCAMIX UN</t>
        </is>
      </c>
      <c r="I417" t="inlineStr">
        <is>
          <t>UTENSILIOS</t>
        </is>
      </c>
      <c r="J417" t="n">
        <v>1</v>
      </c>
      <c r="K417" t="inlineStr">
        <is>
          <t>UN</t>
        </is>
      </c>
      <c r="L417" t="n">
        <v>16.8</v>
      </c>
      <c r="M417" t="n">
        <v>16.8</v>
      </c>
      <c r="O417" t="inlineStr">
        <is>
          <t>08/2026</t>
        </is>
      </c>
    </row>
    <row r="418">
      <c r="A418" t="n">
        <v>257665</v>
      </c>
      <c r="B418" t="n">
        <v>180</v>
      </c>
      <c r="C418" t="inlineStr">
        <is>
          <t>Nuv Gastrobar</t>
        </is>
      </c>
      <c r="D418" t="inlineStr">
        <is>
          <t xml:space="preserve">BGC COMERCIO DE UTENSILIOS </t>
        </is>
      </c>
      <c r="E418" t="inlineStr">
        <is>
          <t>2560</t>
        </is>
      </c>
      <c r="F418" s="525" t="n">
        <v>46245</v>
      </c>
      <c r="G418" t="n">
        <v>30503</v>
      </c>
      <c r="H418" t="inlineStr">
        <is>
          <t>CAIXA PARA ARMAZENAMENTO COM TAMPA 6,5L SUPERCRON UN</t>
        </is>
      </c>
      <c r="I418" t="inlineStr">
        <is>
          <t>UTENSILIOS</t>
        </is>
      </c>
      <c r="J418" t="n">
        <v>10</v>
      </c>
      <c r="K418" t="inlineStr">
        <is>
          <t>UN</t>
        </is>
      </c>
      <c r="L418" t="n">
        <v>465.8</v>
      </c>
      <c r="M418" t="n">
        <v>46.58</v>
      </c>
      <c r="O418" t="inlineStr">
        <is>
          <t>08/2026</t>
        </is>
      </c>
    </row>
    <row r="419">
      <c r="A419" t="n">
        <v>257665</v>
      </c>
      <c r="B419" t="n">
        <v>180</v>
      </c>
      <c r="C419" t="inlineStr">
        <is>
          <t>Nuv Gastrobar</t>
        </is>
      </c>
      <c r="D419" t="inlineStr">
        <is>
          <t xml:space="preserve">BGC COMERCIO DE UTENSILIOS </t>
        </is>
      </c>
      <c r="E419" t="inlineStr">
        <is>
          <t>2560</t>
        </is>
      </c>
      <c r="F419" s="525" t="n">
        <v>46245</v>
      </c>
      <c r="G419" t="n">
        <v>30493</v>
      </c>
      <c r="H419" t="inlineStr">
        <is>
          <t>GALHETEIRO DE VIDRO E INOX AZEITE/VINAGRE UN</t>
        </is>
      </c>
      <c r="I419" t="inlineStr">
        <is>
          <t>UTENSILIOS</t>
        </is>
      </c>
      <c r="J419" t="n">
        <v>20</v>
      </c>
      <c r="K419" t="inlineStr">
        <is>
          <t>UN</t>
        </is>
      </c>
      <c r="L419" t="n">
        <v>223.6</v>
      </c>
      <c r="M419" t="n">
        <v>11.18</v>
      </c>
      <c r="O419" t="inlineStr">
        <is>
          <t>08/2026</t>
        </is>
      </c>
    </row>
    <row r="420">
      <c r="A420" t="n">
        <v>257665</v>
      </c>
      <c r="B420" t="n">
        <v>180</v>
      </c>
      <c r="C420" t="inlineStr">
        <is>
          <t>Nuv Gastrobar</t>
        </is>
      </c>
      <c r="D420" t="inlineStr">
        <is>
          <t xml:space="preserve">BGC COMERCIO DE UTENSILIOS </t>
        </is>
      </c>
      <c r="E420" t="inlineStr">
        <is>
          <t>2560</t>
        </is>
      </c>
      <c r="F420" s="525" t="n">
        <v>46245</v>
      </c>
      <c r="G420" t="n">
        <v>30491</v>
      </c>
      <c r="H420" t="inlineStr">
        <is>
          <t>TAPETE DE SILICONE COM FIBRA DE VIDRO CULINARIO 42X30CM UN</t>
        </is>
      </c>
      <c r="I420" t="inlineStr">
        <is>
          <t>UTENSILIOS</t>
        </is>
      </c>
      <c r="J420" t="n">
        <v>10</v>
      </c>
      <c r="K420" t="inlineStr">
        <is>
          <t>UN</t>
        </is>
      </c>
      <c r="L420" t="n">
        <v>367</v>
      </c>
      <c r="M420" t="n">
        <v>36.7</v>
      </c>
      <c r="O420" t="inlineStr">
        <is>
          <t>08/2026</t>
        </is>
      </c>
    </row>
    <row r="421">
      <c r="A421" t="n">
        <v>257665</v>
      </c>
      <c r="B421" t="n">
        <v>180</v>
      </c>
      <c r="C421" t="inlineStr">
        <is>
          <t>Nuv Gastrobar</t>
        </is>
      </c>
      <c r="D421" t="inlineStr">
        <is>
          <t xml:space="preserve">BGC COMERCIO DE UTENSILIOS </t>
        </is>
      </c>
      <c r="E421" t="inlineStr">
        <is>
          <t>2560</t>
        </is>
      </c>
      <c r="F421" s="525" t="n">
        <v>46245</v>
      </c>
      <c r="G421" t="n">
        <v>30505</v>
      </c>
      <c r="H421" t="inlineStr">
        <is>
          <t>PENEIRA EM AÇO INOX 16CM WESTERN UN</t>
        </is>
      </c>
      <c r="I421" t="inlineStr">
        <is>
          <t>UTENSILIOS</t>
        </is>
      </c>
      <c r="J421" t="n">
        <v>2</v>
      </c>
      <c r="K421" t="inlineStr">
        <is>
          <t>UN</t>
        </is>
      </c>
      <c r="L421" t="n">
        <v>17</v>
      </c>
      <c r="M421" t="n">
        <v>8.5</v>
      </c>
      <c r="O421" t="inlineStr">
        <is>
          <t>08/2026</t>
        </is>
      </c>
    </row>
    <row r="422">
      <c r="A422" t="n">
        <v>257665</v>
      </c>
      <c r="B422" t="n">
        <v>180</v>
      </c>
      <c r="C422" t="inlineStr">
        <is>
          <t>Nuv Gastrobar</t>
        </is>
      </c>
      <c r="D422" t="inlineStr">
        <is>
          <t xml:space="preserve">BGC COMERCIO DE UTENSILIOS </t>
        </is>
      </c>
      <c r="E422" t="inlineStr">
        <is>
          <t>2560</t>
        </is>
      </c>
      <c r="F422" s="525" t="n">
        <v>46245</v>
      </c>
      <c r="G422" t="n">
        <v>30485</v>
      </c>
      <c r="H422" t="inlineStr">
        <is>
          <t>ESPATULA CURVA CONFEITEIRO 203MM CABO BRANCO HERCULES UN</t>
        </is>
      </c>
      <c r="I422" t="inlineStr">
        <is>
          <t>UTENSILIOS</t>
        </is>
      </c>
      <c r="J422" t="n">
        <v>2</v>
      </c>
      <c r="K422" t="inlineStr">
        <is>
          <t>UN</t>
        </is>
      </c>
      <c r="L422" t="n">
        <v>48.9</v>
      </c>
      <c r="M422" t="n">
        <v>24.45</v>
      </c>
      <c r="O422" t="inlineStr">
        <is>
          <t>08/2026</t>
        </is>
      </c>
    </row>
    <row r="423">
      <c r="A423" t="n">
        <v>257665</v>
      </c>
      <c r="B423" t="n">
        <v>180</v>
      </c>
      <c r="C423" t="inlineStr">
        <is>
          <t>Nuv Gastrobar</t>
        </is>
      </c>
      <c r="D423" t="inlineStr">
        <is>
          <t xml:space="preserve">BGC COMERCIO DE UTENSILIOS </t>
        </is>
      </c>
      <c r="E423" t="inlineStr">
        <is>
          <t>2560</t>
        </is>
      </c>
      <c r="F423" s="525" t="n">
        <v>46245</v>
      </c>
      <c r="G423" t="n">
        <v>30484</v>
      </c>
      <c r="H423" t="inlineStr">
        <is>
          <t>PORTA SACHE AÇO INOX 8 X 5,5CM GLOBO UN</t>
        </is>
      </c>
      <c r="I423" t="inlineStr">
        <is>
          <t>UTENSILIOS</t>
        </is>
      </c>
      <c r="J423" t="n">
        <v>40</v>
      </c>
      <c r="K423" t="inlineStr">
        <is>
          <t>UN</t>
        </is>
      </c>
      <c r="L423" t="n">
        <v>652</v>
      </c>
      <c r="M423" t="n">
        <v>16.3</v>
      </c>
      <c r="O423" t="inlineStr">
        <is>
          <t>08/2026</t>
        </is>
      </c>
    </row>
    <row r="424">
      <c r="A424" t="n">
        <v>257665</v>
      </c>
      <c r="B424" t="n">
        <v>180</v>
      </c>
      <c r="C424" t="inlineStr">
        <is>
          <t>Nuv Gastrobar</t>
        </is>
      </c>
      <c r="D424" t="inlineStr">
        <is>
          <t xml:space="preserve">BGC COMERCIO DE UTENSILIOS </t>
        </is>
      </c>
      <c r="E424" t="inlineStr">
        <is>
          <t>2560</t>
        </is>
      </c>
      <c r="F424" s="525" t="n">
        <v>46245</v>
      </c>
      <c r="G424" t="n">
        <v>30480</v>
      </c>
      <c r="H424" t="inlineStr">
        <is>
          <t>TAMPA BRANCA PARA CAIXA POLIPROPILENO 62 X 39CM BOLIVAR UN</t>
        </is>
      </c>
      <c r="I424" t="inlineStr">
        <is>
          <t>UTENSILIOS</t>
        </is>
      </c>
      <c r="J424" t="n">
        <v>1</v>
      </c>
      <c r="K424" t="inlineStr">
        <is>
          <t>UN</t>
        </is>
      </c>
      <c r="L424" t="n">
        <v>28.48</v>
      </c>
      <c r="M424" t="n">
        <v>28.48</v>
      </c>
      <c r="O424" t="inlineStr">
        <is>
          <t>08/2026</t>
        </is>
      </c>
    </row>
    <row r="425">
      <c r="A425" t="n">
        <v>257665</v>
      </c>
      <c r="B425" t="n">
        <v>180</v>
      </c>
      <c r="C425" t="inlineStr">
        <is>
          <t>Nuv Gastrobar</t>
        </is>
      </c>
      <c r="D425" t="inlineStr">
        <is>
          <t xml:space="preserve">BGC COMERCIO DE UTENSILIOS </t>
        </is>
      </c>
      <c r="E425" t="inlineStr">
        <is>
          <t>2560</t>
        </is>
      </c>
      <c r="F425" s="525" t="n">
        <v>46245</v>
      </c>
      <c r="G425" t="n">
        <v>30481</v>
      </c>
      <c r="H425" t="inlineStr">
        <is>
          <t>CAIXA BRANCA POLIPROPILENO 62 X 38,5CM 36L BOLIVAR UN</t>
        </is>
      </c>
      <c r="I425" t="inlineStr">
        <is>
          <t>UTENSILIOS</t>
        </is>
      </c>
      <c r="J425" t="n">
        <v>1</v>
      </c>
      <c r="K425" t="inlineStr">
        <is>
          <t>UN</t>
        </is>
      </c>
      <c r="L425" t="n">
        <v>88.78</v>
      </c>
      <c r="M425" t="n">
        <v>88.78</v>
      </c>
      <c r="O425" t="inlineStr">
        <is>
          <t>08/2026</t>
        </is>
      </c>
    </row>
    <row r="426">
      <c r="A426" t="n">
        <v>257665</v>
      </c>
      <c r="B426" t="n">
        <v>180</v>
      </c>
      <c r="C426" t="inlineStr">
        <is>
          <t>Nuv Gastrobar</t>
        </is>
      </c>
      <c r="D426" t="inlineStr">
        <is>
          <t xml:space="preserve">BGC COMERCIO DE UTENSILIOS </t>
        </is>
      </c>
      <c r="E426" t="inlineStr">
        <is>
          <t>2560</t>
        </is>
      </c>
      <c r="F426" s="525" t="n">
        <v>46245</v>
      </c>
      <c r="G426" t="n">
        <v>30497</v>
      </c>
      <c r="H426" t="inlineStr">
        <is>
          <t>PLACA DE CORTE BRANCA PEAD 30 X 25 X 1CM UN</t>
        </is>
      </c>
      <c r="I426" t="inlineStr">
        <is>
          <t>UTENSILIOS</t>
        </is>
      </c>
      <c r="J426" t="n">
        <v>4</v>
      </c>
      <c r="K426" t="inlineStr">
        <is>
          <t>UN</t>
        </is>
      </c>
      <c r="L426" t="n">
        <v>182.16</v>
      </c>
      <c r="M426" t="n">
        <v>45.54</v>
      </c>
      <c r="O426" t="inlineStr">
        <is>
          <t>08/2026</t>
        </is>
      </c>
    </row>
    <row r="427">
      <c r="A427" t="n">
        <v>257665</v>
      </c>
      <c r="B427" t="n">
        <v>180</v>
      </c>
      <c r="C427" t="inlineStr">
        <is>
          <t>Nuv Gastrobar</t>
        </is>
      </c>
      <c r="D427" t="inlineStr">
        <is>
          <t xml:space="preserve">BGC COMERCIO DE UTENSILIOS </t>
        </is>
      </c>
      <c r="E427" t="inlineStr">
        <is>
          <t>2560</t>
        </is>
      </c>
      <c r="F427" s="525" t="n">
        <v>46245</v>
      </c>
      <c r="G427" t="n">
        <v>30486</v>
      </c>
      <c r="H427" t="inlineStr">
        <is>
          <t>ESPATULA SILICONE 27,5 VERMELHA HAUSKRAFT UN</t>
        </is>
      </c>
      <c r="I427" t="inlineStr">
        <is>
          <t>UTENSILIOS</t>
        </is>
      </c>
      <c r="J427" t="n">
        <v>5</v>
      </c>
      <c r="K427" t="inlineStr">
        <is>
          <t>UN</t>
        </is>
      </c>
      <c r="L427" t="n">
        <v>87.95</v>
      </c>
      <c r="M427" t="n">
        <v>17.59</v>
      </c>
      <c r="O427" t="inlineStr">
        <is>
          <t>08/2026</t>
        </is>
      </c>
    </row>
    <row r="428">
      <c r="A428" t="n">
        <v>257665</v>
      </c>
      <c r="B428" t="n">
        <v>180</v>
      </c>
      <c r="C428" t="inlineStr">
        <is>
          <t>Nuv Gastrobar</t>
        </is>
      </c>
      <c r="D428" t="inlineStr">
        <is>
          <t xml:space="preserve">BGC COMERCIO DE UTENSILIOS </t>
        </is>
      </c>
      <c r="E428" t="inlineStr">
        <is>
          <t>2560</t>
        </is>
      </c>
      <c r="F428" s="525" t="n">
        <v>46245</v>
      </c>
      <c r="G428" t="n">
        <v>30500</v>
      </c>
      <c r="H428" t="inlineStr">
        <is>
          <t>PLACA DE CORTE AZUL PEAD 30 X 25 X 1CM UN</t>
        </is>
      </c>
      <c r="I428" t="inlineStr">
        <is>
          <t>UTENSILIOS</t>
        </is>
      </c>
      <c r="J428" t="n">
        <v>2</v>
      </c>
      <c r="K428" t="inlineStr">
        <is>
          <t>UN</t>
        </is>
      </c>
      <c r="L428" t="n">
        <v>95.48</v>
      </c>
      <c r="M428" t="n">
        <v>47.74</v>
      </c>
      <c r="O428" t="inlineStr">
        <is>
          <t>08/2026</t>
        </is>
      </c>
    </row>
    <row r="429">
      <c r="A429" t="n">
        <v>257665</v>
      </c>
      <c r="B429" t="n">
        <v>180</v>
      </c>
      <c r="C429" t="inlineStr">
        <is>
          <t>Nuv Gastrobar</t>
        </is>
      </c>
      <c r="D429" t="inlineStr">
        <is>
          <t xml:space="preserve">BGC COMERCIO DE UTENSILIOS </t>
        </is>
      </c>
      <c r="E429" t="inlineStr">
        <is>
          <t>2560</t>
        </is>
      </c>
      <c r="F429" s="525" t="n">
        <v>46245</v>
      </c>
      <c r="G429" t="n">
        <v>30494</v>
      </c>
      <c r="H429" t="inlineStr">
        <is>
          <t>BANDEJA ANTIADERENTE 40CM UN</t>
        </is>
      </c>
      <c r="I429" t="inlineStr">
        <is>
          <t>UTENSILIOS</t>
        </is>
      </c>
      <c r="J429" t="n">
        <v>10</v>
      </c>
      <c r="K429" t="inlineStr">
        <is>
          <t>UN</t>
        </is>
      </c>
      <c r="L429" t="n">
        <v>352.8</v>
      </c>
      <c r="M429" t="n">
        <v>35.28</v>
      </c>
      <c r="O429" t="inlineStr">
        <is>
          <t>08/2026</t>
        </is>
      </c>
    </row>
    <row r="430">
      <c r="A430" t="n">
        <v>257665</v>
      </c>
      <c r="B430" t="n">
        <v>180</v>
      </c>
      <c r="C430" t="inlineStr">
        <is>
          <t>Nuv Gastrobar</t>
        </is>
      </c>
      <c r="D430" t="inlineStr">
        <is>
          <t xml:space="preserve">BGC COMERCIO DE UTENSILIOS </t>
        </is>
      </c>
      <c r="E430" t="inlineStr">
        <is>
          <t>2560</t>
        </is>
      </c>
      <c r="F430" s="525" t="n">
        <v>46245</v>
      </c>
      <c r="G430" t="n">
        <v>30492</v>
      </c>
      <c r="H430" t="inlineStr">
        <is>
          <t>PAR DE LUVAS TERMICA AZUL 35CM UN</t>
        </is>
      </c>
      <c r="I430" t="inlineStr">
        <is>
          <t>UTENSILIOS</t>
        </is>
      </c>
      <c r="J430" t="n">
        <v>3</v>
      </c>
      <c r="K430" t="inlineStr">
        <is>
          <t>UN</t>
        </is>
      </c>
      <c r="L430" t="n">
        <v>142.8</v>
      </c>
      <c r="M430" t="n">
        <v>47.6</v>
      </c>
      <c r="O430" t="inlineStr">
        <is>
          <t>08/2026</t>
        </is>
      </c>
    </row>
    <row r="431">
      <c r="A431" t="n">
        <v>257665</v>
      </c>
      <c r="B431" t="n">
        <v>180</v>
      </c>
      <c r="C431" t="inlineStr">
        <is>
          <t>Nuv Gastrobar</t>
        </is>
      </c>
      <c r="D431" t="inlineStr">
        <is>
          <t xml:space="preserve">BGC COMERCIO DE UTENSILIOS </t>
        </is>
      </c>
      <c r="E431" t="inlineStr">
        <is>
          <t>2560</t>
        </is>
      </c>
      <c r="F431" s="525" t="n">
        <v>46245</v>
      </c>
      <c r="G431" t="n">
        <v>30488</v>
      </c>
      <c r="H431" t="inlineStr">
        <is>
          <t>BISNAGA INVERTIDA EM PLASTICO TRANSPARENTE 480ML LE GALO UN</t>
        </is>
      </c>
      <c r="I431" t="inlineStr">
        <is>
          <t>UTENSILIOS</t>
        </is>
      </c>
      <c r="J431" t="n">
        <v>15</v>
      </c>
      <c r="K431" t="inlineStr">
        <is>
          <t>UN</t>
        </is>
      </c>
      <c r="L431" t="n">
        <v>335.25</v>
      </c>
      <c r="M431" t="n">
        <v>22.35</v>
      </c>
      <c r="O431" t="inlineStr">
        <is>
          <t>08/2026</t>
        </is>
      </c>
    </row>
    <row r="432">
      <c r="A432" t="n">
        <v>257665</v>
      </c>
      <c r="B432" t="n">
        <v>180</v>
      </c>
      <c r="C432" t="inlineStr">
        <is>
          <t>Nuv Gastrobar</t>
        </is>
      </c>
      <c r="D432" t="inlineStr">
        <is>
          <t xml:space="preserve">BGC COMERCIO DE UTENSILIOS </t>
        </is>
      </c>
      <c r="E432" t="inlineStr">
        <is>
          <t>2560</t>
        </is>
      </c>
      <c r="F432" s="525" t="n">
        <v>46245</v>
      </c>
      <c r="G432" t="n">
        <v>30489</v>
      </c>
      <c r="H432" t="inlineStr">
        <is>
          <t>PINÇA CULINARIA LE GALO UN</t>
        </is>
      </c>
      <c r="I432" t="inlineStr">
        <is>
          <t>UTENSILIOS</t>
        </is>
      </c>
      <c r="J432" t="n">
        <v>2</v>
      </c>
      <c r="K432" t="inlineStr">
        <is>
          <t>UN</t>
        </is>
      </c>
      <c r="L432" t="n">
        <v>39.6</v>
      </c>
      <c r="M432" t="n">
        <v>19.8</v>
      </c>
      <c r="O432" t="inlineStr">
        <is>
          <t>08/2026</t>
        </is>
      </c>
    </row>
    <row r="433">
      <c r="A433" t="n">
        <v>257665</v>
      </c>
      <c r="B433" t="n">
        <v>180</v>
      </c>
      <c r="C433" t="inlineStr">
        <is>
          <t>Nuv Gastrobar</t>
        </is>
      </c>
      <c r="D433" t="inlineStr">
        <is>
          <t xml:space="preserve">BGC COMERCIO DE UTENSILIOS </t>
        </is>
      </c>
      <c r="E433" t="inlineStr">
        <is>
          <t>2560</t>
        </is>
      </c>
      <c r="F433" s="525" t="n">
        <v>46245</v>
      </c>
      <c r="G433" t="n">
        <v>30501</v>
      </c>
      <c r="H433" t="inlineStr">
        <is>
          <t>PLACA DE CORTE AMARELA PEAD 30 X 25 X 1CM UN</t>
        </is>
      </c>
      <c r="I433" t="inlineStr">
        <is>
          <t>UTENSILIOS</t>
        </is>
      </c>
      <c r="J433" t="n">
        <v>2</v>
      </c>
      <c r="K433" t="inlineStr">
        <is>
          <t>UN</t>
        </is>
      </c>
      <c r="L433" t="n">
        <v>95.48</v>
      </c>
      <c r="M433" t="n">
        <v>47.74</v>
      </c>
      <c r="O433" t="inlineStr">
        <is>
          <t>08/2026</t>
        </is>
      </c>
    </row>
    <row r="434">
      <c r="A434" t="n">
        <v>257665</v>
      </c>
      <c r="B434" t="n">
        <v>180</v>
      </c>
      <c r="C434" t="inlineStr">
        <is>
          <t>Nuv Gastrobar</t>
        </is>
      </c>
      <c r="D434" t="inlineStr">
        <is>
          <t xml:space="preserve">BGC COMERCIO DE UTENSILIOS </t>
        </is>
      </c>
      <c r="E434" t="inlineStr">
        <is>
          <t>2560</t>
        </is>
      </c>
      <c r="F434" s="525" t="n">
        <v>46245</v>
      </c>
      <c r="G434" t="n">
        <v>30483</v>
      </c>
      <c r="H434" t="inlineStr">
        <is>
          <t>PORTA GUARDANAPO MESA INOX GLOBO UN</t>
        </is>
      </c>
      <c r="I434" t="inlineStr">
        <is>
          <t>UTENSILIOS</t>
        </is>
      </c>
      <c r="J434" t="n">
        <v>40</v>
      </c>
      <c r="K434" t="inlineStr">
        <is>
          <t>UN</t>
        </is>
      </c>
      <c r="L434" t="n">
        <v>532.8</v>
      </c>
      <c r="M434" t="n">
        <v>13.32</v>
      </c>
      <c r="O434" t="inlineStr">
        <is>
          <t>08/2026</t>
        </is>
      </c>
    </row>
    <row r="435">
      <c r="A435" t="n">
        <v>257665</v>
      </c>
      <c r="B435" t="n">
        <v>180</v>
      </c>
      <c r="C435" t="inlineStr">
        <is>
          <t>Nuv Gastrobar</t>
        </is>
      </c>
      <c r="D435" t="inlineStr">
        <is>
          <t xml:space="preserve">BGC COMERCIO DE UTENSILIOS </t>
        </is>
      </c>
      <c r="E435" t="inlineStr">
        <is>
          <t>2560</t>
        </is>
      </c>
      <c r="F435" s="525" t="n">
        <v>46245</v>
      </c>
      <c r="G435" t="n">
        <v>30498</v>
      </c>
      <c r="H435" t="inlineStr">
        <is>
          <t>PLACA DE CORTE VERDE PEAD 30 X 25 X 1CM UN</t>
        </is>
      </c>
      <c r="I435" t="inlineStr">
        <is>
          <t>UTENSILIOS</t>
        </is>
      </c>
      <c r="J435" t="n">
        <v>4</v>
      </c>
      <c r="K435" t="inlineStr">
        <is>
          <t>UN</t>
        </is>
      </c>
      <c r="L435" t="n">
        <v>190.96</v>
      </c>
      <c r="M435" t="n">
        <v>47.74</v>
      </c>
      <c r="O435" t="inlineStr">
        <is>
          <t>08/2026</t>
        </is>
      </c>
    </row>
    <row r="436">
      <c r="A436" t="n">
        <v>257665</v>
      </c>
      <c r="B436" t="n">
        <v>180</v>
      </c>
      <c r="C436" t="inlineStr">
        <is>
          <t>Nuv Gastrobar</t>
        </is>
      </c>
      <c r="D436" t="inlineStr">
        <is>
          <t xml:space="preserve">BGC COMERCIO DE UTENSILIOS </t>
        </is>
      </c>
      <c r="E436" t="inlineStr">
        <is>
          <t>2560</t>
        </is>
      </c>
      <c r="F436" s="525" t="n">
        <v>46245</v>
      </c>
      <c r="G436" t="n">
        <v>30502</v>
      </c>
      <c r="H436" t="inlineStr">
        <is>
          <t>CAIXA PARA ARMAZENAMENTO COM TAMPA 15L SUPERCRON UN</t>
        </is>
      </c>
      <c r="I436" t="inlineStr">
        <is>
          <t>UTENSILIOS</t>
        </is>
      </c>
      <c r="J436" t="n">
        <v>30</v>
      </c>
      <c r="K436" t="inlineStr">
        <is>
          <t>UN</t>
        </is>
      </c>
      <c r="L436" t="n">
        <v>2399.1</v>
      </c>
      <c r="M436" t="n">
        <v>79.97</v>
      </c>
      <c r="O436" t="inlineStr">
        <is>
          <t>08/2026</t>
        </is>
      </c>
    </row>
    <row r="437">
      <c r="A437" t="n">
        <v>257665</v>
      </c>
      <c r="B437" t="n">
        <v>180</v>
      </c>
      <c r="C437" t="inlineStr">
        <is>
          <t>Nuv Gastrobar</t>
        </is>
      </c>
      <c r="D437" t="inlineStr">
        <is>
          <t xml:space="preserve">BGC COMERCIO DE UTENSILIOS </t>
        </is>
      </c>
      <c r="E437" t="inlineStr">
        <is>
          <t>2560</t>
        </is>
      </c>
      <c r="F437" s="525" t="n">
        <v>46245</v>
      </c>
      <c r="G437" t="n">
        <v>30504</v>
      </c>
      <c r="H437" t="inlineStr">
        <is>
          <t>ABAFADOR DE HAMBURGER 16CM VIGOR UN</t>
        </is>
      </c>
      <c r="I437" t="inlineStr">
        <is>
          <t>UTENSILIOS</t>
        </is>
      </c>
      <c r="J437" t="n">
        <v>4</v>
      </c>
      <c r="K437" t="inlineStr">
        <is>
          <t>UN</t>
        </is>
      </c>
      <c r="L437" t="n">
        <v>115.76</v>
      </c>
      <c r="M437" t="n">
        <v>28.94</v>
      </c>
      <c r="O437" t="inlineStr">
        <is>
          <t>08/2026</t>
        </is>
      </c>
    </row>
    <row r="438">
      <c r="A438" t="n">
        <v>257665</v>
      </c>
      <c r="B438" t="n">
        <v>180</v>
      </c>
      <c r="C438" t="inlineStr">
        <is>
          <t>Nuv Gastrobar</t>
        </is>
      </c>
      <c r="D438" t="inlineStr">
        <is>
          <t xml:space="preserve">BGC COMERCIO DE UTENSILIOS </t>
        </is>
      </c>
      <c r="E438" t="inlineStr">
        <is>
          <t>2560</t>
        </is>
      </c>
      <c r="F438" s="525" t="n">
        <v>46245</v>
      </c>
      <c r="G438" t="n">
        <v>30495</v>
      </c>
      <c r="H438" t="inlineStr">
        <is>
          <t>TRAVESSA RASA INOX 30CM BACCANI UN</t>
        </is>
      </c>
      <c r="I438" t="inlineStr">
        <is>
          <t>UTENSILIOS</t>
        </is>
      </c>
      <c r="J438" t="n">
        <v>5</v>
      </c>
      <c r="K438" t="inlineStr">
        <is>
          <t>UN</t>
        </is>
      </c>
      <c r="L438" t="n">
        <v>118</v>
      </c>
      <c r="M438" t="n">
        <v>23.6</v>
      </c>
      <c r="O438" t="inlineStr">
        <is>
          <t>08/2026</t>
        </is>
      </c>
    </row>
    <row r="439">
      <c r="A439" t="n">
        <v>257665</v>
      </c>
      <c r="B439" t="n">
        <v>180</v>
      </c>
      <c r="C439" t="inlineStr">
        <is>
          <t>Nuv Gastrobar</t>
        </is>
      </c>
      <c r="D439" t="inlineStr">
        <is>
          <t xml:space="preserve">BGC COMERCIO DE UTENSILIOS </t>
        </is>
      </c>
      <c r="E439" t="inlineStr">
        <is>
          <t>2560</t>
        </is>
      </c>
      <c r="F439" s="525" t="n">
        <v>46245</v>
      </c>
      <c r="G439" t="n">
        <v>30499</v>
      </c>
      <c r="H439" t="inlineStr">
        <is>
          <t>PLACA DE CORTE VERMELHA PEAD 30 X 25 X 1CM UN</t>
        </is>
      </c>
      <c r="I439" t="inlineStr">
        <is>
          <t>UTENSILIOS</t>
        </is>
      </c>
      <c r="J439" t="n">
        <v>2</v>
      </c>
      <c r="K439" t="inlineStr">
        <is>
          <t>UN</t>
        </is>
      </c>
      <c r="L439" t="n">
        <v>95.48</v>
      </c>
      <c r="M439" t="n">
        <v>47.74</v>
      </c>
      <c r="O439" t="inlineStr">
        <is>
          <t>08/2026</t>
        </is>
      </c>
    </row>
    <row r="440">
      <c r="A440" t="n">
        <v>257665</v>
      </c>
      <c r="B440" t="n">
        <v>180</v>
      </c>
      <c r="C440" t="inlineStr">
        <is>
          <t>Nuv Gastrobar</t>
        </is>
      </c>
      <c r="D440" t="inlineStr">
        <is>
          <t xml:space="preserve">BGC COMERCIO DE UTENSILIOS </t>
        </is>
      </c>
      <c r="E440" t="inlineStr">
        <is>
          <t>2560</t>
        </is>
      </c>
      <c r="F440" s="525" t="n">
        <v>46245</v>
      </c>
      <c r="G440" t="n">
        <v>30496</v>
      </c>
      <c r="H440" t="inlineStr">
        <is>
          <t>TRAVESSA RASA INOX 20CM BACCANI UN</t>
        </is>
      </c>
      <c r="I440" t="inlineStr">
        <is>
          <t>UTENSILIOS</t>
        </is>
      </c>
      <c r="J440" t="n">
        <v>10</v>
      </c>
      <c r="K440" t="inlineStr">
        <is>
          <t>UN</t>
        </is>
      </c>
      <c r="L440" t="n">
        <v>154.9</v>
      </c>
      <c r="M440" t="n">
        <v>15.49</v>
      </c>
      <c r="O440" t="inlineStr">
        <is>
          <t>08/2026</t>
        </is>
      </c>
    </row>
    <row r="441">
      <c r="A441" t="n">
        <v>257665</v>
      </c>
      <c r="B441" t="n">
        <v>180</v>
      </c>
      <c r="C441" t="inlineStr">
        <is>
          <t>Nuv Gastrobar</t>
        </is>
      </c>
      <c r="D441" t="inlineStr">
        <is>
          <t xml:space="preserve">BGC COMERCIO DE UTENSILIOS </t>
        </is>
      </c>
      <c r="E441" t="inlineStr">
        <is>
          <t>2560</t>
        </is>
      </c>
      <c r="F441" s="525" t="n">
        <v>46245</v>
      </c>
      <c r="G441" t="n">
        <v>30487</v>
      </c>
      <c r="H441" t="inlineStr">
        <is>
          <t>COLHER PARA SORVETE EM ALUMINIO POLIDA 18CM UN</t>
        </is>
      </c>
      <c r="I441" t="inlineStr">
        <is>
          <t>UTENSILIOS</t>
        </is>
      </c>
      <c r="J441" t="n">
        <v>5</v>
      </c>
      <c r="K441" t="inlineStr">
        <is>
          <t>UN</t>
        </is>
      </c>
      <c r="L441" t="n">
        <v>108.15</v>
      </c>
      <c r="M441" t="n">
        <v>21.63</v>
      </c>
      <c r="O441" t="inlineStr">
        <is>
          <t>08/2026</t>
        </is>
      </c>
    </row>
    <row r="442">
      <c r="A442" t="n">
        <v>257665</v>
      </c>
      <c r="B442" t="n">
        <v>180</v>
      </c>
      <c r="C442" t="inlineStr">
        <is>
          <t>Nuv Gastrobar</t>
        </is>
      </c>
      <c r="D442" t="inlineStr">
        <is>
          <t xml:space="preserve">BGC COMERCIO DE UTENSILIOS </t>
        </is>
      </c>
      <c r="E442" t="inlineStr">
        <is>
          <t>2560</t>
        </is>
      </c>
      <c r="F442" s="525" t="n">
        <v>46245</v>
      </c>
      <c r="G442" t="n">
        <v>30482</v>
      </c>
      <c r="H442" t="inlineStr">
        <is>
          <t>PRENSADOR DE CARNE COM ALÇA EM MADEIRA 2KG 22 X 12CM FUMIL UN</t>
        </is>
      </c>
      <c r="I442" t="inlineStr">
        <is>
          <t>UTENSILIOS</t>
        </is>
      </c>
      <c r="J442" t="n">
        <v>2</v>
      </c>
      <c r="K442" t="inlineStr">
        <is>
          <t>UN</t>
        </is>
      </c>
      <c r="L442" t="n">
        <v>139</v>
      </c>
      <c r="M442" t="n">
        <v>69.5</v>
      </c>
      <c r="O442" t="inlineStr">
        <is>
          <t>08/2026</t>
        </is>
      </c>
    </row>
    <row r="443">
      <c r="A443" t="n">
        <v>257664</v>
      </c>
      <c r="B443" t="n">
        <v>180</v>
      </c>
      <c r="C443" t="inlineStr">
        <is>
          <t>Nuv Gastrobar</t>
        </is>
      </c>
      <c r="D443" t="inlineStr">
        <is>
          <t>TUICIAL INDUSTRIA GRÁFICA E EDITORA LTDA. MATRIZ</t>
        </is>
      </c>
      <c r="E443" t="inlineStr">
        <is>
          <t>28134</t>
        </is>
      </c>
      <c r="F443" s="525" t="n">
        <v>46244</v>
      </c>
      <c r="G443" t="n">
        <v>30271</v>
      </c>
      <c r="H443" t="inlineStr">
        <is>
          <t>EMBALAGEM TO GO P NUV GASTROBAR C/200UN</t>
        </is>
      </c>
      <c r="I443" t="inlineStr">
        <is>
          <t>DESPESAS OPERACIONAIS</t>
        </is>
      </c>
      <c r="J443" t="n">
        <v>3</v>
      </c>
      <c r="K443" t="inlineStr">
        <is>
          <t>CX</t>
        </is>
      </c>
      <c r="L443" t="n">
        <v>763.2</v>
      </c>
      <c r="M443" t="n">
        <v>254.4</v>
      </c>
      <c r="O443" t="inlineStr">
        <is>
          <t>08/2026</t>
        </is>
      </c>
    </row>
    <row r="444">
      <c r="A444" t="n">
        <v>257664</v>
      </c>
      <c r="B444" t="n">
        <v>180</v>
      </c>
      <c r="C444" t="inlineStr">
        <is>
          <t>Nuv Gastrobar</t>
        </is>
      </c>
      <c r="D444" t="inlineStr">
        <is>
          <t>TUICIAL INDUSTRIA GRÁFICA E EDITORA LTDA. MATRIZ</t>
        </is>
      </c>
      <c r="E444" t="inlineStr">
        <is>
          <t>28134</t>
        </is>
      </c>
      <c r="F444" s="525" t="n">
        <v>46244</v>
      </c>
      <c r="G444" t="n">
        <v>30272</v>
      </c>
      <c r="H444" t="inlineStr">
        <is>
          <t>EMBALAGEM TO GO MINI NUV GASTROBAR C/300UN</t>
        </is>
      </c>
      <c r="I444" t="inlineStr">
        <is>
          <t>DESPESAS OPERACIONAIS</t>
        </is>
      </c>
      <c r="J444" t="n">
        <v>3</v>
      </c>
      <c r="K444" t="inlineStr">
        <is>
          <t>CX</t>
        </is>
      </c>
      <c r="L444" t="n">
        <v>916.2</v>
      </c>
      <c r="M444" t="n">
        <v>305.4</v>
      </c>
      <c r="O444" t="inlineStr">
        <is>
          <t>08/2026</t>
        </is>
      </c>
    </row>
    <row r="445">
      <c r="A445" t="n">
        <v>257663</v>
      </c>
      <c r="B445" t="n">
        <v>180</v>
      </c>
      <c r="C445" t="inlineStr">
        <is>
          <t>Nuv Gastrobar</t>
        </is>
      </c>
      <c r="D445" t="inlineStr">
        <is>
          <t>TERRA BRASIL HORTI FRUTI LTDA</t>
        </is>
      </c>
      <c r="E445" t="inlineStr">
        <is>
          <t>1571521</t>
        </is>
      </c>
      <c r="F445" s="525" t="n">
        <v>46247</v>
      </c>
      <c r="G445" t="n">
        <v>26628</v>
      </c>
      <c r="H445" t="inlineStr">
        <is>
          <t>ALFACE ROXA CRESPA HIGIENIZADA KG</t>
        </is>
      </c>
      <c r="I445" t="inlineStr">
        <is>
          <t>ALIMENTOS</t>
        </is>
      </c>
      <c r="J445" t="n">
        <v>2</v>
      </c>
      <c r="K445" t="inlineStr">
        <is>
          <t>KG</t>
        </is>
      </c>
      <c r="L445" t="n">
        <v>83.22</v>
      </c>
      <c r="M445" t="n">
        <v>41.61</v>
      </c>
      <c r="O445" t="inlineStr">
        <is>
          <t>08/2026</t>
        </is>
      </c>
    </row>
    <row r="446">
      <c r="A446" t="n">
        <v>257663</v>
      </c>
      <c r="B446" t="n">
        <v>180</v>
      </c>
      <c r="C446" t="inlineStr">
        <is>
          <t>Nuv Gastrobar</t>
        </is>
      </c>
      <c r="D446" t="inlineStr">
        <is>
          <t>TERRA BRASIL HORTI FRUTI LTDA</t>
        </is>
      </c>
      <c r="E446" t="inlineStr">
        <is>
          <t>1571521</t>
        </is>
      </c>
      <c r="F446" s="525" t="n">
        <v>46247</v>
      </c>
      <c r="G446" t="n">
        <v>19457</v>
      </c>
      <c r="H446" t="inlineStr">
        <is>
          <t>ALFACE AMERICANA HIGIENIZADO KG</t>
        </is>
      </c>
      <c r="I446" t="inlineStr">
        <is>
          <t>ALIMENTOS</t>
        </is>
      </c>
      <c r="J446" t="n">
        <v>2</v>
      </c>
      <c r="K446" t="inlineStr">
        <is>
          <t>KG</t>
        </is>
      </c>
      <c r="L446" t="n">
        <v>50.78</v>
      </c>
      <c r="M446" t="n">
        <v>25.39</v>
      </c>
      <c r="O446" t="inlineStr">
        <is>
          <t>08/2026</t>
        </is>
      </c>
    </row>
    <row r="447">
      <c r="A447" t="n">
        <v>257663</v>
      </c>
      <c r="B447" t="n">
        <v>180</v>
      </c>
      <c r="C447" t="inlineStr">
        <is>
          <t>Nuv Gastrobar</t>
        </is>
      </c>
      <c r="D447" t="inlineStr">
        <is>
          <t>TERRA BRASIL HORTI FRUTI LTDA</t>
        </is>
      </c>
      <c r="E447" t="inlineStr">
        <is>
          <t>1571521</t>
        </is>
      </c>
      <c r="F447" s="525" t="n">
        <v>46247</v>
      </c>
      <c r="G447" t="n">
        <v>23101</v>
      </c>
      <c r="H447" t="inlineStr">
        <is>
          <t>ALFACE CRESPA HIGIENIZADO KG</t>
        </is>
      </c>
      <c r="I447" t="inlineStr">
        <is>
          <t>ALIMENTOS</t>
        </is>
      </c>
      <c r="J447" t="n">
        <v>2</v>
      </c>
      <c r="K447" t="inlineStr">
        <is>
          <t>KG</t>
        </is>
      </c>
      <c r="L447" t="n">
        <v>50.84</v>
      </c>
      <c r="M447" t="n">
        <v>25.42</v>
      </c>
      <c r="O447" t="inlineStr">
        <is>
          <t>08/2026</t>
        </is>
      </c>
    </row>
    <row r="448">
      <c r="A448" t="n">
        <v>257662</v>
      </c>
      <c r="B448" t="n">
        <v>180</v>
      </c>
      <c r="C448" t="inlineStr">
        <is>
          <t>Nuv Gastrobar</t>
        </is>
      </c>
      <c r="D448" t="inlineStr">
        <is>
          <t xml:space="preserve">HNK BR INDUSTRIA DE BEBIDAS </t>
        </is>
      </c>
      <c r="E448" t="inlineStr">
        <is>
          <t>277704</t>
        </is>
      </c>
      <c r="F448" s="525" t="n">
        <v>46245</v>
      </c>
      <c r="G448" t="n">
        <v>28955</v>
      </c>
      <c r="H448" t="inlineStr">
        <is>
          <t>AGUA MINERAL SEM GAS MAMBA 350ML C/12</t>
        </is>
      </c>
      <c r="I448" t="inlineStr">
        <is>
          <t>BEBIDAS</t>
        </is>
      </c>
      <c r="J448" t="n">
        <v>60</v>
      </c>
      <c r="K448" t="inlineStr">
        <is>
          <t>PC</t>
        </is>
      </c>
      <c r="L448" t="n">
        <v>1792.8</v>
      </c>
      <c r="M448" t="n">
        <v>29.88</v>
      </c>
      <c r="O448" t="inlineStr">
        <is>
          <t>08/2026</t>
        </is>
      </c>
    </row>
    <row r="449">
      <c r="A449" t="n">
        <v>257662</v>
      </c>
      <c r="B449" t="n">
        <v>180</v>
      </c>
      <c r="C449" t="inlineStr">
        <is>
          <t>Nuv Gastrobar</t>
        </is>
      </c>
      <c r="D449" t="inlineStr">
        <is>
          <t xml:space="preserve">HNK BR INDUSTRIA DE BEBIDAS </t>
        </is>
      </c>
      <c r="E449" t="inlineStr">
        <is>
          <t>277704</t>
        </is>
      </c>
      <c r="F449" s="525" t="n">
        <v>46245</v>
      </c>
      <c r="G449" t="n">
        <v>24138</v>
      </c>
      <c r="H449" t="inlineStr">
        <is>
          <t>CERVEJA HEINEKEN LONG NECK 330ML C/24</t>
        </is>
      </c>
      <c r="I449" t="inlineStr">
        <is>
          <t>BEBIDAS</t>
        </is>
      </c>
      <c r="J449" t="n">
        <v>60</v>
      </c>
      <c r="K449" t="inlineStr">
        <is>
          <t>PC</t>
        </is>
      </c>
      <c r="L449" t="n">
        <v>9201.6</v>
      </c>
      <c r="M449" t="n">
        <v>153.36</v>
      </c>
      <c r="O449" t="inlineStr">
        <is>
          <t>08/2026</t>
        </is>
      </c>
    </row>
    <row r="450">
      <c r="A450" t="n">
        <v>257662</v>
      </c>
      <c r="B450" t="n">
        <v>180</v>
      </c>
      <c r="C450" t="inlineStr">
        <is>
          <t>Nuv Gastrobar</t>
        </is>
      </c>
      <c r="D450" t="inlineStr">
        <is>
          <t xml:space="preserve">HNK BR INDUSTRIA DE BEBIDAS </t>
        </is>
      </c>
      <c r="E450" t="inlineStr">
        <is>
          <t>277704</t>
        </is>
      </c>
      <c r="F450" s="525" t="n">
        <v>46245</v>
      </c>
      <c r="G450" t="n">
        <v>28954</v>
      </c>
      <c r="H450" t="inlineStr">
        <is>
          <t>AGUA MINERAL COM GAS MAMBA 350ML C/12</t>
        </is>
      </c>
      <c r="I450" t="inlineStr">
        <is>
          <t>BEBIDAS</t>
        </is>
      </c>
      <c r="J450" t="n">
        <v>40</v>
      </c>
      <c r="K450" t="inlineStr">
        <is>
          <t>PC</t>
        </is>
      </c>
      <c r="L450" t="n">
        <v>1291.2</v>
      </c>
      <c r="M450" t="n">
        <v>32.28</v>
      </c>
      <c r="O450" t="inlineStr">
        <is>
          <t>08/2026</t>
        </is>
      </c>
    </row>
    <row r="451">
      <c r="A451" t="n">
        <v>257662</v>
      </c>
      <c r="B451" t="n">
        <v>180</v>
      </c>
      <c r="C451" t="inlineStr">
        <is>
          <t>Nuv Gastrobar</t>
        </is>
      </c>
      <c r="D451" t="inlineStr">
        <is>
          <t xml:space="preserve">HNK BR INDUSTRIA DE BEBIDAS </t>
        </is>
      </c>
      <c r="E451" t="inlineStr">
        <is>
          <t>277704</t>
        </is>
      </c>
      <c r="F451" s="525" t="n">
        <v>46245</v>
      </c>
      <c r="G451" t="n">
        <v>18562</v>
      </c>
      <c r="H451" t="inlineStr">
        <is>
          <t>CERVEJA HEINEKEN ZERO LONG NECK 330ML C/24</t>
        </is>
      </c>
      <c r="I451" t="inlineStr">
        <is>
          <t>BEBIDAS</t>
        </is>
      </c>
      <c r="J451" t="n">
        <v>12</v>
      </c>
      <c r="K451" t="inlineStr">
        <is>
          <t>PC</t>
        </is>
      </c>
      <c r="L451" t="n">
        <v>1802.16</v>
      </c>
      <c r="M451" t="n">
        <v>150.18</v>
      </c>
      <c r="O451" t="inlineStr">
        <is>
          <t>08/2026</t>
        </is>
      </c>
    </row>
    <row r="452">
      <c r="A452" t="n">
        <v>257661</v>
      </c>
      <c r="B452" t="n">
        <v>180</v>
      </c>
      <c r="C452" t="inlineStr">
        <is>
          <t>Nuv Gastrobar</t>
        </is>
      </c>
      <c r="D452" t="inlineStr">
        <is>
          <t>GRAFICA CARAPONALE LTDA</t>
        </is>
      </c>
      <c r="E452" t="inlineStr">
        <is>
          <t>13512</t>
        </is>
      </c>
      <c r="F452" s="525" t="n">
        <v>46248</v>
      </c>
      <c r="G452" t="n">
        <v>30226</v>
      </c>
      <c r="H452" t="inlineStr">
        <is>
          <t>SACOLA NUV KRAFT MEDIO (22X38X13,5) UN</t>
        </is>
      </c>
      <c r="I452" t="inlineStr">
        <is>
          <t>DESPESAS OPERACIONAIS</t>
        </is>
      </c>
      <c r="J452" t="n">
        <v>1500</v>
      </c>
      <c r="K452" t="inlineStr">
        <is>
          <t>UN</t>
        </is>
      </c>
      <c r="L452" t="n">
        <v>1470</v>
      </c>
      <c r="M452" t="n">
        <v>0.98</v>
      </c>
      <c r="O452" t="inlineStr">
        <is>
          <t>08/2026</t>
        </is>
      </c>
    </row>
    <row r="453">
      <c r="A453" t="n">
        <v>257661</v>
      </c>
      <c r="B453" t="n">
        <v>180</v>
      </c>
      <c r="C453" t="inlineStr">
        <is>
          <t>Nuv Gastrobar</t>
        </is>
      </c>
      <c r="D453" t="inlineStr">
        <is>
          <t>GRAFICA CARAPONALE LTDA</t>
        </is>
      </c>
      <c r="E453" t="inlineStr">
        <is>
          <t>13512</t>
        </is>
      </c>
      <c r="F453" s="525" t="n">
        <v>46248</v>
      </c>
      <c r="G453" t="n">
        <v>30225</v>
      </c>
      <c r="H453" t="inlineStr">
        <is>
          <t>SACOLA NUV KRAFT GRANDE (31X33X19CM) UN</t>
        </is>
      </c>
      <c r="I453" t="inlineStr">
        <is>
          <t>DESCARTAVEIS/HIGIENE E LIMPEZA</t>
        </is>
      </c>
      <c r="J453" t="n">
        <v>1500</v>
      </c>
      <c r="K453" t="inlineStr">
        <is>
          <t>UN</t>
        </is>
      </c>
      <c r="L453" t="n">
        <v>1680</v>
      </c>
      <c r="M453" t="n">
        <v>1.12</v>
      </c>
      <c r="O453" t="inlineStr">
        <is>
          <t>08/2026</t>
        </is>
      </c>
    </row>
    <row r="454">
      <c r="A454" t="n">
        <v>257159</v>
      </c>
      <c r="B454" t="n">
        <v>180</v>
      </c>
      <c r="C454" t="inlineStr">
        <is>
          <t>Nuv Gastrobar</t>
        </is>
      </c>
      <c r="D454" t="inlineStr">
        <is>
          <t>FUNGO DE QUINTAL COMÉRCIO DE ALIMENTOS - ME</t>
        </is>
      </c>
      <c r="E454" t="inlineStr">
        <is>
          <t>149834</t>
        </is>
      </c>
      <c r="F454" s="525" t="n">
        <v>46248</v>
      </c>
      <c r="G454" t="n">
        <v>23440</v>
      </c>
      <c r="H454" t="inlineStr">
        <is>
          <t>COGUMELO PORTO BELLO GRANEL KG</t>
        </is>
      </c>
      <c r="I454" t="inlineStr">
        <is>
          <t>ALIMENTOS</t>
        </is>
      </c>
      <c r="J454" t="n">
        <v>3</v>
      </c>
      <c r="K454" t="inlineStr">
        <is>
          <t>KG</t>
        </is>
      </c>
      <c r="L454" t="n">
        <v>114</v>
      </c>
      <c r="M454" t="n">
        <v>38</v>
      </c>
      <c r="O454" t="inlineStr">
        <is>
          <t>08/2026</t>
        </is>
      </c>
    </row>
    <row r="455">
      <c r="A455" t="n">
        <v>257158</v>
      </c>
      <c r="B455" t="n">
        <v>180</v>
      </c>
      <c r="C455" t="inlineStr">
        <is>
          <t>Nuv Gastrobar</t>
        </is>
      </c>
      <c r="D455" t="inlineStr">
        <is>
          <t>EMPORIO M&amp;L COMERCIO DE ALIM E BEBIDAS LTDA</t>
        </is>
      </c>
      <c r="E455" t="inlineStr">
        <is>
          <t>527895</t>
        </is>
      </c>
      <c r="F455" s="525" t="n">
        <v>46247</v>
      </c>
      <c r="G455" t="n">
        <v>24110</v>
      </c>
      <c r="H455" t="inlineStr">
        <is>
          <t>CANELA EM PO KG</t>
        </is>
      </c>
      <c r="I455" t="inlineStr">
        <is>
          <t>ALIMENTOS</t>
        </is>
      </c>
      <c r="J455" t="n">
        <v>1</v>
      </c>
      <c r="K455" t="inlineStr">
        <is>
          <t>Kg</t>
        </is>
      </c>
      <c r="L455" t="n">
        <v>16.5</v>
      </c>
      <c r="M455" t="n">
        <v>16.5</v>
      </c>
      <c r="O455" t="inlineStr">
        <is>
          <t>08/2026</t>
        </is>
      </c>
    </row>
    <row r="456">
      <c r="A456" t="n">
        <v>257158</v>
      </c>
      <c r="B456" t="n">
        <v>180</v>
      </c>
      <c r="C456" t="inlineStr">
        <is>
          <t>Nuv Gastrobar</t>
        </is>
      </c>
      <c r="D456" t="inlineStr">
        <is>
          <t>EMPORIO M&amp;L COMERCIO DE ALIM E BEBIDAS LTDA</t>
        </is>
      </c>
      <c r="E456" t="inlineStr">
        <is>
          <t>527895</t>
        </is>
      </c>
      <c r="F456" s="525" t="n">
        <v>46247</v>
      </c>
      <c r="G456" t="n">
        <v>19979</v>
      </c>
      <c r="H456" t="inlineStr">
        <is>
          <t>MOLHO DE PIMENTA TABASCO RED C/60ML</t>
        </is>
      </c>
      <c r="I456" t="inlineStr">
        <is>
          <t>ALIMENTOS</t>
        </is>
      </c>
      <c r="J456" t="n">
        <v>24</v>
      </c>
      <c r="K456" t="inlineStr">
        <is>
          <t>FR</t>
        </is>
      </c>
      <c r="L456" t="n">
        <v>514.8</v>
      </c>
      <c r="M456" t="n">
        <v>21.45</v>
      </c>
      <c r="O456" t="inlineStr">
        <is>
          <t>08/2026</t>
        </is>
      </c>
    </row>
    <row r="457">
      <c r="A457" t="n">
        <v>257158</v>
      </c>
      <c r="B457" t="n">
        <v>180</v>
      </c>
      <c r="C457" t="inlineStr">
        <is>
          <t>Nuv Gastrobar</t>
        </is>
      </c>
      <c r="D457" t="inlineStr">
        <is>
          <t>EMPORIO M&amp;L COMERCIO DE ALIM E BEBIDAS LTDA</t>
        </is>
      </c>
      <c r="E457" t="inlineStr">
        <is>
          <t>527895</t>
        </is>
      </c>
      <c r="F457" s="525" t="n">
        <v>46247</v>
      </c>
      <c r="G457" t="n">
        <v>20358</v>
      </c>
      <c r="H457" t="inlineStr">
        <is>
          <t>FARINHA PANKO ROMARIZ C/1KG</t>
        </is>
      </c>
      <c r="I457" t="inlineStr">
        <is>
          <t>ALIMENTOS</t>
        </is>
      </c>
      <c r="J457" t="n">
        <v>10</v>
      </c>
      <c r="K457" t="inlineStr">
        <is>
          <t>PC</t>
        </is>
      </c>
      <c r="L457" t="n">
        <v>153</v>
      </c>
      <c r="M457" t="n">
        <v>15.3</v>
      </c>
      <c r="O457" t="inlineStr">
        <is>
          <t>08/2026</t>
        </is>
      </c>
    </row>
    <row r="458">
      <c r="A458" t="n">
        <v>257158</v>
      </c>
      <c r="B458" t="n">
        <v>180</v>
      </c>
      <c r="C458" t="inlineStr">
        <is>
          <t>Nuv Gastrobar</t>
        </is>
      </c>
      <c r="D458" t="inlineStr">
        <is>
          <t>EMPORIO M&amp;L COMERCIO DE ALIM E BEBIDAS LTDA</t>
        </is>
      </c>
      <c r="E458" t="inlineStr">
        <is>
          <t>527895</t>
        </is>
      </c>
      <c r="F458" s="525" t="n">
        <v>46247</v>
      </c>
      <c r="G458" t="n">
        <v>21047</v>
      </c>
      <c r="H458" t="inlineStr">
        <is>
          <t>AZEITE EXTRA VIRGEM GALLO 2L</t>
        </is>
      </c>
      <c r="I458" t="inlineStr">
        <is>
          <t>ALIMENTOS</t>
        </is>
      </c>
      <c r="J458" t="n">
        <v>14</v>
      </c>
      <c r="K458" t="inlineStr">
        <is>
          <t>GALAO</t>
        </is>
      </c>
      <c r="L458" t="n">
        <v>1581.72</v>
      </c>
      <c r="M458" t="n">
        <v>112.98</v>
      </c>
      <c r="O458" t="inlineStr">
        <is>
          <t>08/2026</t>
        </is>
      </c>
    </row>
    <row r="459">
      <c r="A459" t="n">
        <v>257158</v>
      </c>
      <c r="B459" t="n">
        <v>180</v>
      </c>
      <c r="C459" t="inlineStr">
        <is>
          <t>Nuv Gastrobar</t>
        </is>
      </c>
      <c r="D459" t="inlineStr">
        <is>
          <t>EMPORIO M&amp;L COMERCIO DE ALIM E BEBIDAS LTDA</t>
        </is>
      </c>
      <c r="E459" t="inlineStr">
        <is>
          <t>527895</t>
        </is>
      </c>
      <c r="F459" s="525" t="n">
        <v>46247</v>
      </c>
      <c r="G459" t="n">
        <v>24401</v>
      </c>
      <c r="H459" t="inlineStr">
        <is>
          <t>PAPRICA PICANTE PCT 500G UN</t>
        </is>
      </c>
      <c r="I459" t="inlineStr">
        <is>
          <t>ALIMENTOS</t>
        </is>
      </c>
      <c r="J459" t="n">
        <v>3</v>
      </c>
      <c r="K459" t="inlineStr">
        <is>
          <t>UN</t>
        </is>
      </c>
      <c r="L459" t="n">
        <v>18.6</v>
      </c>
      <c r="M459" t="n">
        <v>6.2</v>
      </c>
      <c r="O459" t="inlineStr">
        <is>
          <t>08/2026</t>
        </is>
      </c>
    </row>
    <row r="460">
      <c r="A460" t="n">
        <v>257158</v>
      </c>
      <c r="B460" t="n">
        <v>180</v>
      </c>
      <c r="C460" t="inlineStr">
        <is>
          <t>Nuv Gastrobar</t>
        </is>
      </c>
      <c r="D460" t="inlineStr">
        <is>
          <t>EMPORIO M&amp;L COMERCIO DE ALIM E BEBIDAS LTDA</t>
        </is>
      </c>
      <c r="E460" t="inlineStr">
        <is>
          <t>527895</t>
        </is>
      </c>
      <c r="F460" s="525" t="n">
        <v>46247</v>
      </c>
      <c r="G460" t="n">
        <v>20689</v>
      </c>
      <c r="H460" t="inlineStr">
        <is>
          <t>CREME DE LEITE FRESCO QUATA C/1,01LT</t>
        </is>
      </c>
      <c r="I460" t="inlineStr">
        <is>
          <t>ALIMENTOS</t>
        </is>
      </c>
      <c r="J460" t="n">
        <v>12</v>
      </c>
      <c r="K460" t="inlineStr">
        <is>
          <t>UN</t>
        </is>
      </c>
      <c r="L460" t="n">
        <v>372</v>
      </c>
      <c r="M460" t="n">
        <v>31</v>
      </c>
      <c r="O460" t="inlineStr">
        <is>
          <t>08/2026</t>
        </is>
      </c>
    </row>
    <row r="461">
      <c r="A461" t="n">
        <v>257158</v>
      </c>
      <c r="B461" t="n">
        <v>180</v>
      </c>
      <c r="C461" t="inlineStr">
        <is>
          <t>Nuv Gastrobar</t>
        </is>
      </c>
      <c r="D461" t="inlineStr">
        <is>
          <t>EMPORIO M&amp;L COMERCIO DE ALIM E BEBIDAS LTDA</t>
        </is>
      </c>
      <c r="E461" t="inlineStr">
        <is>
          <t>527895</t>
        </is>
      </c>
      <c r="F461" s="525" t="n">
        <v>46247</v>
      </c>
      <c r="G461" t="n">
        <v>20887</v>
      </c>
      <c r="H461" t="inlineStr">
        <is>
          <t>MEL PURO FLORA NECTAR C/1KG</t>
        </is>
      </c>
      <c r="I461" t="inlineStr">
        <is>
          <t>ALIMENTOS</t>
        </is>
      </c>
      <c r="J461" t="n">
        <v>5</v>
      </c>
      <c r="K461" t="inlineStr">
        <is>
          <t>PT</t>
        </is>
      </c>
      <c r="L461" t="n">
        <v>184.5</v>
      </c>
      <c r="M461" t="n">
        <v>36.9</v>
      </c>
      <c r="O461" t="inlineStr">
        <is>
          <t>08/2026</t>
        </is>
      </c>
    </row>
    <row r="462">
      <c r="A462" t="n">
        <v>257158</v>
      </c>
      <c r="B462" t="n">
        <v>180</v>
      </c>
      <c r="C462" t="inlineStr">
        <is>
          <t>Nuv Gastrobar</t>
        </is>
      </c>
      <c r="D462" t="inlineStr">
        <is>
          <t>EMPORIO M&amp;L COMERCIO DE ALIM E BEBIDAS LTDA</t>
        </is>
      </c>
      <c r="E462" t="inlineStr">
        <is>
          <t>527895</t>
        </is>
      </c>
      <c r="F462" s="525" t="n">
        <v>46247</v>
      </c>
      <c r="G462" t="n">
        <v>23502</v>
      </c>
      <c r="H462" t="inlineStr">
        <is>
          <t>PAPRICA DEFUMADA PCT 500G UN</t>
        </is>
      </c>
      <c r="I462" t="inlineStr">
        <is>
          <t>ALIMENTOS</t>
        </is>
      </c>
      <c r="J462" t="n">
        <v>3</v>
      </c>
      <c r="K462" t="inlineStr">
        <is>
          <t>KG</t>
        </is>
      </c>
      <c r="L462" t="n">
        <v>18.6</v>
      </c>
      <c r="M462" t="n">
        <v>6.2</v>
      </c>
      <c r="O462" t="inlineStr">
        <is>
          <t>08/2026</t>
        </is>
      </c>
    </row>
    <row r="463">
      <c r="A463" t="n">
        <v>257156</v>
      </c>
      <c r="B463" t="n">
        <v>180</v>
      </c>
      <c r="C463" t="inlineStr">
        <is>
          <t>Nuv Gastrobar</t>
        </is>
      </c>
      <c r="D463" t="inlineStr">
        <is>
          <t>DO CHEF DISTRIBUIDORA DE ALIMENTOS LTDA</t>
        </is>
      </c>
      <c r="E463" t="inlineStr">
        <is>
          <t>3863</t>
        </is>
      </c>
      <c r="F463" s="525" t="n">
        <v>46248</v>
      </c>
      <c r="G463" t="n">
        <v>19740</v>
      </c>
      <c r="H463" t="inlineStr">
        <is>
          <t>MARACUJA AZEDO KG</t>
        </is>
      </c>
      <c r="I463" t="inlineStr">
        <is>
          <t>ALIMENTOS</t>
        </is>
      </c>
      <c r="J463" t="n">
        <v>35</v>
      </c>
      <c r="K463" t="inlineStr">
        <is>
          <t>KG</t>
        </is>
      </c>
      <c r="L463" t="n">
        <v>455</v>
      </c>
      <c r="M463" t="n">
        <v>13</v>
      </c>
      <c r="O463" t="inlineStr">
        <is>
          <t>08/2026</t>
        </is>
      </c>
    </row>
    <row r="464">
      <c r="A464" t="n">
        <v>257156</v>
      </c>
      <c r="B464" t="n">
        <v>180</v>
      </c>
      <c r="C464" t="inlineStr">
        <is>
          <t>Nuv Gastrobar</t>
        </is>
      </c>
      <c r="D464" t="inlineStr">
        <is>
          <t>DO CHEF DISTRIBUIDORA DE ALIMENTOS LTDA</t>
        </is>
      </c>
      <c r="E464" t="inlineStr">
        <is>
          <t>3863</t>
        </is>
      </c>
      <c r="F464" s="525" t="n">
        <v>46248</v>
      </c>
      <c r="G464" t="n">
        <v>23361</v>
      </c>
      <c r="H464" t="inlineStr">
        <is>
          <t>LARANJA PERA KG</t>
        </is>
      </c>
      <c r="I464" t="inlineStr">
        <is>
          <t>ALIMENTOS</t>
        </is>
      </c>
      <c r="J464" t="n">
        <v>60</v>
      </c>
      <c r="K464" t="inlineStr">
        <is>
          <t>KG</t>
        </is>
      </c>
      <c r="L464" t="n">
        <v>149.4</v>
      </c>
      <c r="M464" t="n">
        <v>2.49</v>
      </c>
      <c r="O464" t="inlineStr">
        <is>
          <t>08/2026</t>
        </is>
      </c>
    </row>
    <row r="465">
      <c r="A465" t="n">
        <v>257155</v>
      </c>
      <c r="B465" t="n">
        <v>180</v>
      </c>
      <c r="C465" t="inlineStr">
        <is>
          <t>Nuv Gastrobar</t>
        </is>
      </c>
      <c r="D465" t="inlineStr">
        <is>
          <t>DISTRIBUIDORA DPRO LTDA</t>
        </is>
      </c>
      <c r="E465" t="inlineStr">
        <is>
          <t>408314</t>
        </is>
      </c>
      <c r="F465" s="525" t="n">
        <v>46247</v>
      </c>
      <c r="G465" t="n">
        <v>27212</v>
      </c>
      <c r="H465" t="inlineStr">
        <is>
          <t xml:space="preserve">CALCADO PROFISSIONAL TIPO CROCS PAR ANTIDERRAPANTE N 37 </t>
        </is>
      </c>
      <c r="I465" t="inlineStr">
        <is>
          <t>UTENSILIOS</t>
        </is>
      </c>
      <c r="J465" t="n">
        <v>3</v>
      </c>
      <c r="K465" t="inlineStr">
        <is>
          <t>CX</t>
        </is>
      </c>
      <c r="L465" t="n">
        <v>288.36</v>
      </c>
      <c r="M465" t="n">
        <v>96.12</v>
      </c>
      <c r="O465" t="inlineStr">
        <is>
          <t>08/2026</t>
        </is>
      </c>
    </row>
    <row r="466">
      <c r="A466" t="n">
        <v>257155</v>
      </c>
      <c r="B466" t="n">
        <v>180</v>
      </c>
      <c r="C466" t="inlineStr">
        <is>
          <t>Nuv Gastrobar</t>
        </is>
      </c>
      <c r="D466" t="inlineStr">
        <is>
          <t>DISTRIBUIDORA DPRO LTDA</t>
        </is>
      </c>
      <c r="E466" t="inlineStr">
        <is>
          <t>408314</t>
        </is>
      </c>
      <c r="F466" s="525" t="n">
        <v>46247</v>
      </c>
      <c r="G466" t="n">
        <v>28877</v>
      </c>
      <c r="H466" t="inlineStr">
        <is>
          <t xml:space="preserve">CALCADO PROFISSIONAL TIPO CROCS PAR ANTIDERRAPANTE N 35 </t>
        </is>
      </c>
      <c r="I466" t="inlineStr">
        <is>
          <t>UTENSILIOS</t>
        </is>
      </c>
      <c r="J466" t="n">
        <v>1</v>
      </c>
      <c r="K466" t="inlineStr">
        <is>
          <t>UN</t>
        </is>
      </c>
      <c r="L466" t="n">
        <v>96.12</v>
      </c>
      <c r="M466" t="n">
        <v>96.12</v>
      </c>
      <c r="O466" t="inlineStr">
        <is>
          <t>08/2026</t>
        </is>
      </c>
    </row>
    <row r="467">
      <c r="A467" t="n">
        <v>257155</v>
      </c>
      <c r="B467" t="n">
        <v>180</v>
      </c>
      <c r="C467" t="inlineStr">
        <is>
          <t>Nuv Gastrobar</t>
        </is>
      </c>
      <c r="D467" t="inlineStr">
        <is>
          <t>DISTRIBUIDORA DPRO LTDA</t>
        </is>
      </c>
      <c r="E467" t="inlineStr">
        <is>
          <t>408314</t>
        </is>
      </c>
      <c r="F467" s="525" t="n">
        <v>46247</v>
      </c>
      <c r="G467" t="n">
        <v>28135</v>
      </c>
      <c r="H467" t="inlineStr">
        <is>
          <t>CALCADO PROFISSIONAL TIPO CROCS PAR ANTIDERRAPANTE N42</t>
        </is>
      </c>
      <c r="I467" t="inlineStr">
        <is>
          <t>UTENSILIOS</t>
        </is>
      </c>
      <c r="J467" t="n">
        <v>2</v>
      </c>
      <c r="K467" t="inlineStr">
        <is>
          <t>UN</t>
        </is>
      </c>
      <c r="L467" t="n">
        <v>192.24</v>
      </c>
      <c r="M467" t="n">
        <v>96.12</v>
      </c>
      <c r="O467" t="inlineStr">
        <is>
          <t>08/2026</t>
        </is>
      </c>
    </row>
    <row r="468">
      <c r="A468" t="n">
        <v>257155</v>
      </c>
      <c r="B468" t="n">
        <v>180</v>
      </c>
      <c r="C468" t="inlineStr">
        <is>
          <t>Nuv Gastrobar</t>
        </is>
      </c>
      <c r="D468" t="inlineStr">
        <is>
          <t>DISTRIBUIDORA DPRO LTDA</t>
        </is>
      </c>
      <c r="E468" t="inlineStr">
        <is>
          <t>408314</t>
        </is>
      </c>
      <c r="F468" s="525" t="n">
        <v>46247</v>
      </c>
      <c r="G468" t="n">
        <v>27213</v>
      </c>
      <c r="H468" t="inlineStr">
        <is>
          <t xml:space="preserve">CALCADO PROFISSIONAL TIPO CROCS PAR ANTIDERRAPANTE N 38 </t>
        </is>
      </c>
      <c r="I468" t="inlineStr">
        <is>
          <t>UTENSILIOS</t>
        </is>
      </c>
      <c r="J468" t="n">
        <v>2</v>
      </c>
      <c r="K468" t="inlineStr">
        <is>
          <t>CX</t>
        </is>
      </c>
      <c r="L468" t="n">
        <v>192.24</v>
      </c>
      <c r="M468" t="n">
        <v>96.12</v>
      </c>
      <c r="O468" t="inlineStr">
        <is>
          <t>08/2026</t>
        </is>
      </c>
    </row>
    <row r="469">
      <c r="A469" t="n">
        <v>257155</v>
      </c>
      <c r="B469" t="n">
        <v>180</v>
      </c>
      <c r="C469" t="inlineStr">
        <is>
          <t>Nuv Gastrobar</t>
        </is>
      </c>
      <c r="D469" t="inlineStr">
        <is>
          <t>DISTRIBUIDORA DPRO LTDA</t>
        </is>
      </c>
      <c r="E469" t="inlineStr">
        <is>
          <t>408314</t>
        </is>
      </c>
      <c r="F469" s="525" t="n">
        <v>46247</v>
      </c>
      <c r="G469" t="n">
        <v>27215</v>
      </c>
      <c r="H469" t="inlineStr">
        <is>
          <t>CALCADO PROFISSIONAL TIPO CROCS PAR ANTIDERRAPANTE N 41</t>
        </is>
      </c>
      <c r="I469" t="inlineStr">
        <is>
          <t>UTENSILIOS</t>
        </is>
      </c>
      <c r="J469" t="n">
        <v>2</v>
      </c>
      <c r="K469" t="inlineStr">
        <is>
          <t>CX</t>
        </is>
      </c>
      <c r="L469" t="n">
        <v>192.24</v>
      </c>
      <c r="M469" t="n">
        <v>96.12</v>
      </c>
      <c r="O469" t="inlineStr">
        <is>
          <t>08/2026</t>
        </is>
      </c>
    </row>
    <row r="470">
      <c r="A470" t="n">
        <v>257154</v>
      </c>
      <c r="B470" t="n">
        <v>180</v>
      </c>
      <c r="C470" t="inlineStr">
        <is>
          <t>Nuv Gastrobar</t>
        </is>
      </c>
      <c r="D470" t="inlineStr">
        <is>
          <t>CG FOOD´S DISTRIBUIDORA DE ALIMENTOS LTDA</t>
        </is>
      </c>
      <c r="E470" t="inlineStr">
        <is>
          <t>198545</t>
        </is>
      </c>
      <c r="F470" s="525" t="n">
        <v>46247</v>
      </c>
      <c r="G470" t="n">
        <v>29160</v>
      </c>
      <c r="H470" t="inlineStr">
        <is>
          <t>PRESUNTO PARMA FATIADO C/100G UN</t>
        </is>
      </c>
      <c r="I470" t="inlineStr">
        <is>
          <t>ALIMENTOS</t>
        </is>
      </c>
      <c r="J470" t="n">
        <v>21</v>
      </c>
      <c r="K470" t="inlineStr">
        <is>
          <t>UN</t>
        </is>
      </c>
      <c r="L470" t="n">
        <v>436.8</v>
      </c>
      <c r="M470" t="n">
        <v>20.8</v>
      </c>
      <c r="O470" t="inlineStr">
        <is>
          <t>08/2026</t>
        </is>
      </c>
    </row>
    <row r="471">
      <c r="A471" t="n">
        <v>257153</v>
      </c>
      <c r="B471" t="n">
        <v>180</v>
      </c>
      <c r="C471" t="inlineStr">
        <is>
          <t>Nuv Gastrobar</t>
        </is>
      </c>
      <c r="D471" t="inlineStr">
        <is>
          <t>AFEQUI - DISTRIBUIDORA DE ALIMENTOS LTDA</t>
        </is>
      </c>
      <c r="E471" t="inlineStr">
        <is>
          <t>18571</t>
        </is>
      </c>
      <c r="F471" s="525" t="n">
        <v>46247</v>
      </c>
      <c r="G471" t="n">
        <v>20623</v>
      </c>
      <c r="H471" t="inlineStr">
        <is>
          <t xml:space="preserve">PALMITO IN NATURA UN </t>
        </is>
      </c>
      <c r="I471" t="inlineStr">
        <is>
          <t>ALIMENTOS</t>
        </is>
      </c>
      <c r="J471" t="n">
        <v>10</v>
      </c>
      <c r="K471" t="inlineStr">
        <is>
          <t>UN</t>
        </is>
      </c>
      <c r="L471" t="n">
        <v>123.9</v>
      </c>
      <c r="M471" t="n">
        <v>12.39</v>
      </c>
      <c r="O471" t="inlineStr">
        <is>
          <t>08/2026</t>
        </is>
      </c>
    </row>
    <row r="472">
      <c r="A472" t="n">
        <v>257152</v>
      </c>
      <c r="B472" t="n">
        <v>180</v>
      </c>
      <c r="C472" t="inlineStr">
        <is>
          <t>Nuv Gastrobar</t>
        </is>
      </c>
      <c r="D472" t="inlineStr">
        <is>
          <t>A CASA DO PRODUTOR LTDA</t>
        </is>
      </c>
      <c r="E472" t="inlineStr">
        <is>
          <t>24053</t>
        </is>
      </c>
      <c r="F472" s="525" t="n">
        <v>46247</v>
      </c>
      <c r="G472" t="n">
        <v>27398</v>
      </c>
      <c r="H472" t="inlineStr">
        <is>
          <t>COALHADA SECA DE OVELHA RIMA 200G</t>
        </is>
      </c>
      <c r="I472" t="inlineStr">
        <is>
          <t>ALIMENTOS</t>
        </is>
      </c>
      <c r="J472" t="n">
        <v>10</v>
      </c>
      <c r="K472" t="inlineStr">
        <is>
          <t>UN</t>
        </is>
      </c>
      <c r="L472" t="n">
        <v>410</v>
      </c>
      <c r="M472" t="n">
        <v>41</v>
      </c>
      <c r="O472" t="inlineStr">
        <is>
          <t>08/2026</t>
        </is>
      </c>
    </row>
    <row r="473">
      <c r="A473" t="n">
        <v>256595</v>
      </c>
      <c r="B473" t="n">
        <v>180</v>
      </c>
      <c r="C473" t="inlineStr">
        <is>
          <t>Nuv Gastrobar</t>
        </is>
      </c>
      <c r="D473" t="inlineStr">
        <is>
          <t>ZAHIL IMPORTADORA LTDA</t>
        </is>
      </c>
      <c r="E473" t="inlineStr">
        <is>
          <t>275506</t>
        </is>
      </c>
      <c r="F473" s="525" t="n">
        <v>46244</v>
      </c>
      <c r="G473" t="n">
        <v>29118</v>
      </c>
      <c r="H473" t="inlineStr">
        <is>
          <t>ESPUMANTE  DON ABEL BRUT SERRA GAUCHA BRASIL</t>
        </is>
      </c>
      <c r="I473" t="inlineStr">
        <is>
          <t>BEBIDAS</t>
        </is>
      </c>
      <c r="J473" t="n">
        <v>100</v>
      </c>
      <c r="K473" t="inlineStr">
        <is>
          <t>UN</t>
        </is>
      </c>
      <c r="L473" t="n">
        <v>10530</v>
      </c>
      <c r="M473" t="n">
        <v>105.3</v>
      </c>
      <c r="O473" t="inlineStr">
        <is>
          <t>08/2026</t>
        </is>
      </c>
    </row>
    <row r="474">
      <c r="A474" t="n">
        <v>256595</v>
      </c>
      <c r="B474" t="n">
        <v>180</v>
      </c>
      <c r="C474" t="inlineStr">
        <is>
          <t>Nuv Gastrobar</t>
        </is>
      </c>
      <c r="D474" t="inlineStr">
        <is>
          <t>ZAHIL IMPORTADORA LTDA</t>
        </is>
      </c>
      <c r="E474" t="inlineStr">
        <is>
          <t>275506</t>
        </is>
      </c>
      <c r="F474" s="525" t="n">
        <v>46244</v>
      </c>
      <c r="G474" t="n">
        <v>26040</v>
      </c>
      <c r="H474" t="inlineStr">
        <is>
          <t>VINHO TINTO DESTINO MALBEC LA RURAL ARGENTO 750ML</t>
        </is>
      </c>
      <c r="I474" t="inlineStr">
        <is>
          <t>BEBIDAS</t>
        </is>
      </c>
      <c r="J474" t="n">
        <v>80</v>
      </c>
      <c r="K474" t="inlineStr">
        <is>
          <t>GR</t>
        </is>
      </c>
      <c r="L474" t="n">
        <v>3796</v>
      </c>
      <c r="M474" t="n">
        <v>47.45</v>
      </c>
      <c r="O474" t="inlineStr">
        <is>
          <t>08/2026</t>
        </is>
      </c>
    </row>
    <row r="475">
      <c r="A475" t="n">
        <v>256593</v>
      </c>
      <c r="B475" t="n">
        <v>180</v>
      </c>
      <c r="C475" t="inlineStr">
        <is>
          <t>Nuv Gastrobar</t>
        </is>
      </c>
      <c r="D475" t="inlineStr">
        <is>
          <t>ZAHIL IMPORTADORA LTDA</t>
        </is>
      </c>
      <c r="E475" t="inlineStr">
        <is>
          <t>275469</t>
        </is>
      </c>
      <c r="F475" s="525" t="n">
        <v>46244</v>
      </c>
      <c r="G475" t="n">
        <v>25675</v>
      </c>
      <c r="H475" t="inlineStr">
        <is>
          <t>RUTINI TRUMPETER CABERNET FRANC 750ML GR</t>
        </is>
      </c>
      <c r="I475" t="inlineStr">
        <is>
          <t>BEBIDAS</t>
        </is>
      </c>
      <c r="J475" t="n">
        <v>4</v>
      </c>
      <c r="K475" t="inlineStr">
        <is>
          <t>GR</t>
        </is>
      </c>
      <c r="L475" t="n">
        <v>321.2</v>
      </c>
      <c r="M475" t="n">
        <v>80.3</v>
      </c>
      <c r="O475" t="inlineStr">
        <is>
          <t>08/2026</t>
        </is>
      </c>
    </row>
    <row r="476">
      <c r="A476" t="n">
        <v>256593</v>
      </c>
      <c r="B476" t="n">
        <v>180</v>
      </c>
      <c r="C476" t="inlineStr">
        <is>
          <t>Nuv Gastrobar</t>
        </is>
      </c>
      <c r="D476" t="inlineStr">
        <is>
          <t>ZAHIL IMPORTADORA LTDA</t>
        </is>
      </c>
      <c r="E476" t="inlineStr">
        <is>
          <t>275469</t>
        </is>
      </c>
      <c r="F476" s="525" t="n">
        <v>46244</v>
      </c>
      <c r="G476" t="n">
        <v>27830</v>
      </c>
      <c r="H476" t="inlineStr">
        <is>
          <t>VINHO ROSE ABBOTTS E T LES PETITES CUVEES ROSE 750 ML UN</t>
        </is>
      </c>
      <c r="I476" t="inlineStr">
        <is>
          <t>BEBIDAS</t>
        </is>
      </c>
      <c r="J476" t="n">
        <v>4</v>
      </c>
      <c r="K476" t="inlineStr">
        <is>
          <t>UN</t>
        </is>
      </c>
      <c r="L476" t="n">
        <v>257.52</v>
      </c>
      <c r="M476" t="n">
        <v>64.38</v>
      </c>
      <c r="O476" t="inlineStr">
        <is>
          <t>08/2026</t>
        </is>
      </c>
    </row>
    <row r="477">
      <c r="A477" t="n">
        <v>256593</v>
      </c>
      <c r="B477" t="n">
        <v>180</v>
      </c>
      <c r="C477" t="inlineStr">
        <is>
          <t>Nuv Gastrobar</t>
        </is>
      </c>
      <c r="D477" t="inlineStr">
        <is>
          <t>ZAHIL IMPORTADORA LTDA</t>
        </is>
      </c>
      <c r="E477" t="inlineStr">
        <is>
          <t>275469</t>
        </is>
      </c>
      <c r="F477" s="525" t="n">
        <v>46244</v>
      </c>
      <c r="G477" t="n">
        <v>27576</v>
      </c>
      <c r="H477" t="inlineStr">
        <is>
          <t>VINHO TINTO RUTINI LA RURAL CEPA TRADICIONAL BLEND PINOT/MALBEC/CAB/MERLOT 750ML ARGENTINA</t>
        </is>
      </c>
      <c r="I477" t="inlineStr">
        <is>
          <t>BEBIDAS</t>
        </is>
      </c>
      <c r="J477" t="n">
        <v>4</v>
      </c>
      <c r="K477" t="inlineStr">
        <is>
          <t>GR</t>
        </is>
      </c>
      <c r="L477" t="n">
        <v>255.84</v>
      </c>
      <c r="M477" t="n">
        <v>63.96</v>
      </c>
      <c r="O477" t="inlineStr">
        <is>
          <t>08/2026</t>
        </is>
      </c>
    </row>
    <row r="478">
      <c r="A478" t="n">
        <v>256593</v>
      </c>
      <c r="B478" t="n">
        <v>180</v>
      </c>
      <c r="C478" t="inlineStr">
        <is>
          <t>Nuv Gastrobar</t>
        </is>
      </c>
      <c r="D478" t="inlineStr">
        <is>
          <t>ZAHIL IMPORTADORA LTDA</t>
        </is>
      </c>
      <c r="E478" t="inlineStr">
        <is>
          <t>275469</t>
        </is>
      </c>
      <c r="F478" s="525" t="n">
        <v>46244</v>
      </c>
      <c r="G478" t="n">
        <v>25945</v>
      </c>
      <c r="H478" t="inlineStr">
        <is>
          <t>Tradicion Reserva Carmenere 750ml</t>
        </is>
      </c>
      <c r="I478" t="inlineStr">
        <is>
          <t>BEBIDAS</t>
        </is>
      </c>
      <c r="J478" t="n">
        <v>4</v>
      </c>
      <c r="K478" t="inlineStr">
        <is>
          <t>GR</t>
        </is>
      </c>
      <c r="L478" t="n">
        <v>287.96</v>
      </c>
      <c r="M478" t="n">
        <v>71.98999999999999</v>
      </c>
      <c r="O478" t="inlineStr">
        <is>
          <t>08/2026</t>
        </is>
      </c>
    </row>
    <row r="479">
      <c r="A479" t="n">
        <v>256593</v>
      </c>
      <c r="B479" t="n">
        <v>180</v>
      </c>
      <c r="C479" t="inlineStr">
        <is>
          <t>Nuv Gastrobar</t>
        </is>
      </c>
      <c r="D479" t="inlineStr">
        <is>
          <t>ZAHIL IMPORTADORA LTDA</t>
        </is>
      </c>
      <c r="E479" t="inlineStr">
        <is>
          <t>275469</t>
        </is>
      </c>
      <c r="F479" s="525" t="n">
        <v>46244</v>
      </c>
      <c r="G479" t="n">
        <v>26040</v>
      </c>
      <c r="H479" t="inlineStr">
        <is>
          <t>VINHO TINTO DESTINO MALBEC LA RURAL ARGENTO 750ML</t>
        </is>
      </c>
      <c r="I479" t="inlineStr">
        <is>
          <t>BEBIDAS</t>
        </is>
      </c>
      <c r="J479" t="n">
        <v>4</v>
      </c>
      <c r="K479" t="inlineStr">
        <is>
          <t>GR</t>
        </is>
      </c>
      <c r="L479" t="n">
        <v>202.12</v>
      </c>
      <c r="M479" t="n">
        <v>50.53</v>
      </c>
      <c r="O479" t="inlineStr">
        <is>
          <t>08/2026</t>
        </is>
      </c>
    </row>
    <row r="480">
      <c r="A480" t="n">
        <v>256593</v>
      </c>
      <c r="B480" t="n">
        <v>180</v>
      </c>
      <c r="C480" t="inlineStr">
        <is>
          <t>Nuv Gastrobar</t>
        </is>
      </c>
      <c r="D480" t="inlineStr">
        <is>
          <t>ZAHIL IMPORTADORA LTDA</t>
        </is>
      </c>
      <c r="E480" t="inlineStr">
        <is>
          <t>275469</t>
        </is>
      </c>
      <c r="F480" s="525" t="n">
        <v>46244</v>
      </c>
      <c r="G480" t="n">
        <v>27715</v>
      </c>
      <c r="H480" t="inlineStr">
        <is>
          <t>VINHO TINTO ABBOTTS E T LES PETITES CUVEES ROUGE 750 ML UN</t>
        </is>
      </c>
      <c r="I480" t="inlineStr">
        <is>
          <t>BEBIDAS</t>
        </is>
      </c>
      <c r="J480" t="n">
        <v>4</v>
      </c>
      <c r="K480" t="inlineStr">
        <is>
          <t>UN</t>
        </is>
      </c>
      <c r="L480" t="n">
        <v>257.52</v>
      </c>
      <c r="M480" t="n">
        <v>64.38</v>
      </c>
      <c r="O480" t="inlineStr">
        <is>
          <t>08/2026</t>
        </is>
      </c>
    </row>
    <row r="481">
      <c r="A481" t="n">
        <v>256593</v>
      </c>
      <c r="B481" t="n">
        <v>180</v>
      </c>
      <c r="C481" t="inlineStr">
        <is>
          <t>Nuv Gastrobar</t>
        </is>
      </c>
      <c r="D481" t="inlineStr">
        <is>
          <t>ZAHIL IMPORTADORA LTDA</t>
        </is>
      </c>
      <c r="E481" t="inlineStr">
        <is>
          <t>275469</t>
        </is>
      </c>
      <c r="F481" s="525" t="n">
        <v>46244</v>
      </c>
      <c r="G481" t="n">
        <v>26034</v>
      </c>
      <c r="H481" t="inlineStr">
        <is>
          <t>VINHO BRANCO RUTINI LA RURAL DESTINO CHARDONNAY MENDOZA ARGENTINA 750ML</t>
        </is>
      </c>
      <c r="I481" t="inlineStr">
        <is>
          <t>BEBIDAS</t>
        </is>
      </c>
      <c r="J481" t="n">
        <v>4</v>
      </c>
      <c r="K481" t="inlineStr">
        <is>
          <t>GR</t>
        </is>
      </c>
      <c r="L481" t="n">
        <v>202.12</v>
      </c>
      <c r="M481" t="n">
        <v>50.53</v>
      </c>
      <c r="O481" t="inlineStr">
        <is>
          <t>08/2026</t>
        </is>
      </c>
    </row>
    <row r="482">
      <c r="A482" t="n">
        <v>256593</v>
      </c>
      <c r="B482" t="n">
        <v>180</v>
      </c>
      <c r="C482" t="inlineStr">
        <is>
          <t>Nuv Gastrobar</t>
        </is>
      </c>
      <c r="D482" t="inlineStr">
        <is>
          <t>ZAHIL IMPORTADORA LTDA</t>
        </is>
      </c>
      <c r="E482" t="inlineStr">
        <is>
          <t>275469</t>
        </is>
      </c>
      <c r="F482" s="525" t="n">
        <v>46244</v>
      </c>
      <c r="G482" t="n">
        <v>26036</v>
      </c>
      <c r="H482" t="inlineStr">
        <is>
          <t>VINHO BRANCO LOS BOLDOS TRADICION RESERVA SUAVINGNON BLANC CHILE 750ML</t>
        </is>
      </c>
      <c r="I482" t="inlineStr">
        <is>
          <t>BEBIDAS</t>
        </is>
      </c>
      <c r="J482" t="n">
        <v>4</v>
      </c>
      <c r="K482" t="inlineStr">
        <is>
          <t>GR</t>
        </is>
      </c>
      <c r="L482" t="n">
        <v>501.2</v>
      </c>
      <c r="M482" t="n">
        <v>125.3</v>
      </c>
      <c r="O482" t="inlineStr">
        <is>
          <t>08/2026</t>
        </is>
      </c>
    </row>
    <row r="483">
      <c r="A483" t="n">
        <v>256593</v>
      </c>
      <c r="B483" t="n">
        <v>180</v>
      </c>
      <c r="C483" t="inlineStr">
        <is>
          <t>Nuv Gastrobar</t>
        </is>
      </c>
      <c r="D483" t="inlineStr">
        <is>
          <t>ZAHIL IMPORTADORA LTDA</t>
        </is>
      </c>
      <c r="E483" t="inlineStr">
        <is>
          <t>275469</t>
        </is>
      </c>
      <c r="F483" s="525" t="n">
        <v>46244</v>
      </c>
      <c r="G483" t="n">
        <v>30680</v>
      </c>
      <c r="H483" t="inlineStr">
        <is>
          <t>VINHO RUTINI CABERNET SYRAH ARGENTINA MENDONZA RUTINI WINES 750ML UN</t>
        </is>
      </c>
      <c r="I483" t="inlineStr">
        <is>
          <t>BEBIDAS</t>
        </is>
      </c>
      <c r="J483" t="n">
        <v>2</v>
      </c>
      <c r="K483" t="inlineStr">
        <is>
          <t>UN</t>
        </is>
      </c>
      <c r="L483" t="n">
        <v>285.2</v>
      </c>
      <c r="M483" t="n">
        <v>142.6</v>
      </c>
      <c r="O483" t="inlineStr">
        <is>
          <t>08/2026</t>
        </is>
      </c>
    </row>
    <row r="484">
      <c r="A484" t="n">
        <v>256533</v>
      </c>
      <c r="B484" t="n">
        <v>180</v>
      </c>
      <c r="C484" t="inlineStr">
        <is>
          <t>Nuv Gastrobar</t>
        </is>
      </c>
      <c r="D484" t="inlineStr">
        <is>
          <t>Schipper Consultoria Internacional Comercio Importacao e Exportacao LTDA</t>
        </is>
      </c>
      <c r="E484" t="inlineStr">
        <is>
          <t>139896</t>
        </is>
      </c>
      <c r="F484" s="525" t="n">
        <v>46239</v>
      </c>
      <c r="G484" t="n">
        <v>30234</v>
      </c>
      <c r="H484" t="inlineStr">
        <is>
          <t>COPO WHISKY CRYSTAL GLASS 300ML Ø7,5CM H8,5CM BERLINMIX UN</t>
        </is>
      </c>
      <c r="I484" t="inlineStr">
        <is>
          <t>UTENSILIOS</t>
        </is>
      </c>
      <c r="J484" t="n">
        <v>36</v>
      </c>
      <c r="K484" t="inlineStr">
        <is>
          <t>UN</t>
        </is>
      </c>
      <c r="L484" t="n">
        <v>1038.24</v>
      </c>
      <c r="M484" t="n">
        <v>28.84</v>
      </c>
      <c r="O484" t="inlineStr">
        <is>
          <t>08/2026</t>
        </is>
      </c>
    </row>
    <row r="485">
      <c r="A485" t="n">
        <v>256533</v>
      </c>
      <c r="B485" t="n">
        <v>180</v>
      </c>
      <c r="C485" t="inlineStr">
        <is>
          <t>Nuv Gastrobar</t>
        </is>
      </c>
      <c r="D485" t="inlineStr">
        <is>
          <t>Schipper Consultoria Internacional Comercio Importacao e Exportacao LTDA</t>
        </is>
      </c>
      <c r="E485" t="inlineStr">
        <is>
          <t>139896</t>
        </is>
      </c>
      <c r="F485" s="525" t="n">
        <v>46239</v>
      </c>
      <c r="G485" t="n">
        <v>30241</v>
      </c>
      <c r="H485" t="inlineStr">
        <is>
          <t>PRATO FUNDO MULTIUSO PORCELANA Ø25CM H5CM BLOOM VEGA BONNA1MIX UN</t>
        </is>
      </c>
      <c r="I485" t="inlineStr">
        <is>
          <t>UTENSILIOS</t>
        </is>
      </c>
      <c r="J485" t="n">
        <v>48</v>
      </c>
      <c r="K485" t="inlineStr">
        <is>
          <t>UN</t>
        </is>
      </c>
      <c r="L485" t="n">
        <v>3780</v>
      </c>
      <c r="M485" t="n">
        <v>78.75</v>
      </c>
      <c r="O485" t="inlineStr">
        <is>
          <t>08/2026</t>
        </is>
      </c>
    </row>
    <row r="486">
      <c r="A486" t="n">
        <v>256533</v>
      </c>
      <c r="B486" t="n">
        <v>180</v>
      </c>
      <c r="C486" t="inlineStr">
        <is>
          <t>Nuv Gastrobar</t>
        </is>
      </c>
      <c r="D486" t="inlineStr">
        <is>
          <t>Schipper Consultoria Internacional Comercio Importacao e Exportacao LTDA</t>
        </is>
      </c>
      <c r="E486" t="inlineStr">
        <is>
          <t>139896</t>
        </is>
      </c>
      <c r="F486" s="525" t="n">
        <v>46239</v>
      </c>
      <c r="G486" t="n">
        <v>30235</v>
      </c>
      <c r="H486" t="inlineStr">
        <is>
          <t>COPO LONG DRINK CRYSTAL GLASS 480ML Ø7,5CM H15,5CM EXPERIENCEMIX UN</t>
        </is>
      </c>
      <c r="I486" t="inlineStr">
        <is>
          <t>UTENSILIOS</t>
        </is>
      </c>
      <c r="J486" t="n">
        <v>60</v>
      </c>
      <c r="K486" t="inlineStr">
        <is>
          <t>UN</t>
        </is>
      </c>
      <c r="L486" t="n">
        <v>1534.8</v>
      </c>
      <c r="M486" t="n">
        <v>25.58</v>
      </c>
      <c r="O486" t="inlineStr">
        <is>
          <t>08/2026</t>
        </is>
      </c>
    </row>
    <row r="487">
      <c r="A487" t="n">
        <v>256533</v>
      </c>
      <c r="B487" t="n">
        <v>180</v>
      </c>
      <c r="C487" t="inlineStr">
        <is>
          <t>Nuv Gastrobar</t>
        </is>
      </c>
      <c r="D487" t="inlineStr">
        <is>
          <t>Schipper Consultoria Internacional Comercio Importacao e Exportacao LTDA</t>
        </is>
      </c>
      <c r="E487" t="inlineStr">
        <is>
          <t>139896</t>
        </is>
      </c>
      <c r="F487" s="525" t="n">
        <v>46239</v>
      </c>
      <c r="G487" t="n">
        <v>30242</v>
      </c>
      <c r="H487" t="inlineStr">
        <is>
          <t>MINI BOWL ASSIMÉTRICO PORCELANA Ø8CM H4CM 60ML VANT GRAPHITE BONNAMIX UN</t>
        </is>
      </c>
      <c r="I487" t="inlineStr">
        <is>
          <t>UTENSILIOS</t>
        </is>
      </c>
      <c r="J487" t="n">
        <v>36</v>
      </c>
      <c r="K487" t="inlineStr">
        <is>
          <t>UN</t>
        </is>
      </c>
      <c r="L487" t="n">
        <v>983.16</v>
      </c>
      <c r="M487" t="n">
        <v>27.31</v>
      </c>
      <c r="O487" t="inlineStr">
        <is>
          <t>08/2026</t>
        </is>
      </c>
    </row>
    <row r="488">
      <c r="A488" t="n">
        <v>256533</v>
      </c>
      <c r="B488" t="n">
        <v>180</v>
      </c>
      <c r="C488" t="inlineStr">
        <is>
          <t>Nuv Gastrobar</t>
        </is>
      </c>
      <c r="D488" t="inlineStr">
        <is>
          <t>Schipper Consultoria Internacional Comercio Importacao e Exportacao LTDA</t>
        </is>
      </c>
      <c r="E488" t="inlineStr">
        <is>
          <t>139896</t>
        </is>
      </c>
      <c r="F488" s="525" t="n">
        <v>46239</v>
      </c>
      <c r="G488" t="n">
        <v>30239</v>
      </c>
      <c r="H488" t="inlineStr">
        <is>
          <t>TAÇA MARTINI CRYSTAL GLASS 230ML Ø10,5CM H17,5CM BERLINMIX</t>
        </is>
      </c>
      <c r="I488" t="inlineStr">
        <is>
          <t>UTENSILIOS</t>
        </is>
      </c>
      <c r="J488" t="n">
        <v>48</v>
      </c>
      <c r="K488" t="inlineStr">
        <is>
          <t>UN</t>
        </is>
      </c>
      <c r="L488" t="n">
        <v>2114.88</v>
      </c>
      <c r="M488" t="n">
        <v>44.06</v>
      </c>
      <c r="O488" t="inlineStr">
        <is>
          <t>08/2026</t>
        </is>
      </c>
    </row>
    <row r="489">
      <c r="A489" t="n">
        <v>256533</v>
      </c>
      <c r="B489" t="n">
        <v>180</v>
      </c>
      <c r="C489" t="inlineStr">
        <is>
          <t>Nuv Gastrobar</t>
        </is>
      </c>
      <c r="D489" t="inlineStr">
        <is>
          <t>Schipper Consultoria Internacional Comercio Importacao e Exportacao LTDA</t>
        </is>
      </c>
      <c r="E489" t="inlineStr">
        <is>
          <t>139896</t>
        </is>
      </c>
      <c r="F489" s="525" t="n">
        <v>46239</v>
      </c>
      <c r="G489" t="n">
        <v>30237</v>
      </c>
      <c r="H489" t="inlineStr">
        <is>
          <t>COPO SHOT VIDRO 60ML Ø5CM H7CM ELYSIAMIX UN</t>
        </is>
      </c>
      <c r="I489" t="inlineStr">
        <is>
          <t>UTENSILIOS</t>
        </is>
      </c>
      <c r="J489" t="n">
        <v>48</v>
      </c>
      <c r="K489" t="inlineStr">
        <is>
          <t>UN</t>
        </is>
      </c>
      <c r="L489" t="n">
        <v>529.4400000000001</v>
      </c>
      <c r="M489" t="n">
        <v>11.03</v>
      </c>
      <c r="O489" t="inlineStr">
        <is>
          <t>08/2026</t>
        </is>
      </c>
    </row>
    <row r="490">
      <c r="A490" t="n">
        <v>256533</v>
      </c>
      <c r="B490" t="n">
        <v>180</v>
      </c>
      <c r="C490" t="inlineStr">
        <is>
          <t>Nuv Gastrobar</t>
        </is>
      </c>
      <c r="D490" t="inlineStr">
        <is>
          <t>Schipper Consultoria Internacional Comercio Importacao e Exportacao LTDA</t>
        </is>
      </c>
      <c r="E490" t="inlineStr">
        <is>
          <t>139896</t>
        </is>
      </c>
      <c r="F490" s="525" t="n">
        <v>46239</v>
      </c>
      <c r="G490" t="n">
        <v>30248</v>
      </c>
      <c r="H490" t="inlineStr">
        <is>
          <t>COLHER SOBREMESA INOX 19CM SOFIA WMF1MIX UN</t>
        </is>
      </c>
      <c r="I490" t="inlineStr">
        <is>
          <t>UTENSILIOS</t>
        </is>
      </c>
      <c r="J490" t="n">
        <v>36</v>
      </c>
      <c r="K490" t="inlineStr">
        <is>
          <t>N/A</t>
        </is>
      </c>
      <c r="L490" t="n">
        <v>521.64</v>
      </c>
      <c r="M490" t="n">
        <v>14.49</v>
      </c>
      <c r="O490" t="inlineStr">
        <is>
          <t>08/2026</t>
        </is>
      </c>
    </row>
    <row r="491">
      <c r="A491" t="n">
        <v>256533</v>
      </c>
      <c r="B491" t="n">
        <v>180</v>
      </c>
      <c r="C491" t="inlineStr">
        <is>
          <t>Nuv Gastrobar</t>
        </is>
      </c>
      <c r="D491" t="inlineStr">
        <is>
          <t>Schipper Consultoria Internacional Comercio Importacao e Exportacao LTDA</t>
        </is>
      </c>
      <c r="E491" t="inlineStr">
        <is>
          <t>139896</t>
        </is>
      </c>
      <c r="F491" s="525" t="n">
        <v>46239</v>
      </c>
      <c r="G491" t="n">
        <v>30249</v>
      </c>
      <c r="H491" t="inlineStr">
        <is>
          <t>FACA MESA INOX 22,5CM SOFIA WMF1MIX UN</t>
        </is>
      </c>
      <c r="I491" t="inlineStr">
        <is>
          <t>UTENSILIOS</t>
        </is>
      </c>
      <c r="J491" t="n">
        <v>108</v>
      </c>
      <c r="K491" t="inlineStr">
        <is>
          <t>N/A</t>
        </is>
      </c>
      <c r="L491" t="n">
        <v>2423.52</v>
      </c>
      <c r="M491" t="n">
        <v>22.44</v>
      </c>
      <c r="O491" t="inlineStr">
        <is>
          <t>08/2026</t>
        </is>
      </c>
    </row>
    <row r="492">
      <c r="A492" t="n">
        <v>256533</v>
      </c>
      <c r="B492" t="n">
        <v>180</v>
      </c>
      <c r="C492" t="inlineStr">
        <is>
          <t>Nuv Gastrobar</t>
        </is>
      </c>
      <c r="D492" t="inlineStr">
        <is>
          <t>Schipper Consultoria Internacional Comercio Importacao e Exportacao LTDA</t>
        </is>
      </c>
      <c r="E492" t="inlineStr">
        <is>
          <t>139896</t>
        </is>
      </c>
      <c r="F492" s="525" t="n">
        <v>46239</v>
      </c>
      <c r="G492" t="n">
        <v>30244</v>
      </c>
      <c r="H492" t="inlineStr">
        <is>
          <t>PRATO SOBREMESA PORCELANA Ø21CM H2CM HORNFELS RIPPLE BONNAMIX UN</t>
        </is>
      </c>
      <c r="I492" t="inlineStr">
        <is>
          <t>UTENSILIOS</t>
        </is>
      </c>
      <c r="J492" t="n">
        <v>60</v>
      </c>
      <c r="K492" t="inlineStr">
        <is>
          <t>UN</t>
        </is>
      </c>
      <c r="L492" t="n">
        <v>3481.2</v>
      </c>
      <c r="M492" t="n">
        <v>58.02</v>
      </c>
      <c r="O492" t="inlineStr">
        <is>
          <t>08/2026</t>
        </is>
      </c>
    </row>
    <row r="493">
      <c r="A493" t="n">
        <v>256533</v>
      </c>
      <c r="B493" t="n">
        <v>180</v>
      </c>
      <c r="C493" t="inlineStr">
        <is>
          <t>Nuv Gastrobar</t>
        </is>
      </c>
      <c r="D493" t="inlineStr">
        <is>
          <t>Schipper Consultoria Internacional Comercio Importacao e Exportacao LTDA</t>
        </is>
      </c>
      <c r="E493" t="inlineStr">
        <is>
          <t>139896</t>
        </is>
      </c>
      <c r="F493" s="525" t="n">
        <v>46239</v>
      </c>
      <c r="G493" t="n">
        <v>30247</v>
      </c>
      <c r="H493" t="inlineStr">
        <is>
          <t>GARFO MESA INOX 21,5CM SOFIA WMF1MIX UN</t>
        </is>
      </c>
      <c r="I493" t="inlineStr">
        <is>
          <t>UTENSILIOS</t>
        </is>
      </c>
      <c r="J493" t="n">
        <v>108</v>
      </c>
      <c r="K493" t="inlineStr">
        <is>
          <t>UN</t>
        </is>
      </c>
      <c r="L493" t="n">
        <v>1661.04</v>
      </c>
      <c r="M493" t="n">
        <v>15.38</v>
      </c>
      <c r="O493" t="inlineStr">
        <is>
          <t>08/2026</t>
        </is>
      </c>
    </row>
    <row r="494">
      <c r="A494" t="n">
        <v>256533</v>
      </c>
      <c r="B494" t="n">
        <v>180</v>
      </c>
      <c r="C494" t="inlineStr">
        <is>
          <t>Nuv Gastrobar</t>
        </is>
      </c>
      <c r="D494" t="inlineStr">
        <is>
          <t>Schipper Consultoria Internacional Comercio Importacao e Exportacao LTDA</t>
        </is>
      </c>
      <c r="E494" t="inlineStr">
        <is>
          <t>139896</t>
        </is>
      </c>
      <c r="F494" s="525" t="n">
        <v>46239</v>
      </c>
      <c r="G494" t="n">
        <v>30245</v>
      </c>
      <c r="H494" t="inlineStr">
        <is>
          <t>MOLHEIRA PORCELANA Ø7CM H3,5CM GRAPHITE MOSS BONNAMIX UN</t>
        </is>
      </c>
      <c r="I494" t="inlineStr">
        <is>
          <t>UTENSILIOS</t>
        </is>
      </c>
      <c r="J494" t="n">
        <v>1</v>
      </c>
      <c r="K494" t="inlineStr">
        <is>
          <t>UN</t>
        </is>
      </c>
      <c r="L494" t="n">
        <v>24.35</v>
      </c>
      <c r="M494" t="n">
        <v>24.35</v>
      </c>
      <c r="O494" t="inlineStr">
        <is>
          <t>08/2026</t>
        </is>
      </c>
    </row>
    <row r="495">
      <c r="A495" t="n">
        <v>256533</v>
      </c>
      <c r="B495" t="n">
        <v>180</v>
      </c>
      <c r="C495" t="inlineStr">
        <is>
          <t>Nuv Gastrobar</t>
        </is>
      </c>
      <c r="D495" t="inlineStr">
        <is>
          <t>Schipper Consultoria Internacional Comercio Importacao e Exportacao LTDA</t>
        </is>
      </c>
      <c r="E495" t="inlineStr">
        <is>
          <t>139896</t>
        </is>
      </c>
      <c r="F495" s="525" t="n">
        <v>46239</v>
      </c>
      <c r="G495" t="n">
        <v>30238</v>
      </c>
      <c r="H495" t="inlineStr">
        <is>
          <t>TAÇA IRISH COFFEE VIDRO 130ML 8,5X6CM H12CM NEVADAMIX UN</t>
        </is>
      </c>
      <c r="I495" t="inlineStr">
        <is>
          <t>UTENSILIOS</t>
        </is>
      </c>
      <c r="J495" t="n">
        <v>24</v>
      </c>
      <c r="K495" t="inlineStr">
        <is>
          <t>UN</t>
        </is>
      </c>
      <c r="L495" t="n">
        <v>357.6</v>
      </c>
      <c r="M495" t="n">
        <v>14.9</v>
      </c>
      <c r="O495" t="inlineStr">
        <is>
          <t>08/2026</t>
        </is>
      </c>
    </row>
    <row r="496">
      <c r="A496" t="n">
        <v>256533</v>
      </c>
      <c r="B496" t="n">
        <v>180</v>
      </c>
      <c r="C496" t="inlineStr">
        <is>
          <t>Nuv Gastrobar</t>
        </is>
      </c>
      <c r="D496" t="inlineStr">
        <is>
          <t>Schipper Consultoria Internacional Comercio Importacao e Exportacao LTDA</t>
        </is>
      </c>
      <c r="E496" t="inlineStr">
        <is>
          <t>139896</t>
        </is>
      </c>
      <c r="F496" s="525" t="n">
        <v>46239</v>
      </c>
      <c r="G496" t="n">
        <v>30246</v>
      </c>
      <c r="H496" t="inlineStr">
        <is>
          <t>COLHER MESA INOX 21,5CM SOFIA WMF1MIX UN</t>
        </is>
      </c>
      <c r="I496" t="inlineStr">
        <is>
          <t>UTENSILIOS</t>
        </is>
      </c>
      <c r="J496" t="n">
        <v>48</v>
      </c>
      <c r="K496" t="inlineStr">
        <is>
          <t>UN</t>
        </is>
      </c>
      <c r="L496" t="n">
        <v>738.24</v>
      </c>
      <c r="M496" t="n">
        <v>15.38</v>
      </c>
      <c r="O496" t="inlineStr">
        <is>
          <t>08/2026</t>
        </is>
      </c>
    </row>
    <row r="497">
      <c r="A497" t="n">
        <v>256533</v>
      </c>
      <c r="B497" t="n">
        <v>180</v>
      </c>
      <c r="C497" t="inlineStr">
        <is>
          <t>Nuv Gastrobar</t>
        </is>
      </c>
      <c r="D497" t="inlineStr">
        <is>
          <t>Schipper Consultoria Internacional Comercio Importacao e Exportacao LTDA</t>
        </is>
      </c>
      <c r="E497" t="inlineStr">
        <is>
          <t>139896</t>
        </is>
      </c>
      <c r="F497" s="525" t="n">
        <v>46239</v>
      </c>
      <c r="G497" t="n">
        <v>30236</v>
      </c>
      <c r="H497" t="inlineStr">
        <is>
          <t>COPO MIXING GLASS VIDRO 670ML Ø9CM H16CM MAHALOMIX UN</t>
        </is>
      </c>
      <c r="I497" t="inlineStr">
        <is>
          <t>UTENSILIOS</t>
        </is>
      </c>
      <c r="J497" t="n">
        <v>3</v>
      </c>
      <c r="K497" t="inlineStr">
        <is>
          <t>UN</t>
        </is>
      </c>
      <c r="L497" t="n">
        <v>381.6</v>
      </c>
      <c r="M497" t="n">
        <v>127.2</v>
      </c>
      <c r="O497" t="inlineStr">
        <is>
          <t>08/2026</t>
        </is>
      </c>
    </row>
    <row r="498">
      <c r="A498" t="n">
        <v>256533</v>
      </c>
      <c r="B498" t="n">
        <v>180</v>
      </c>
      <c r="C498" t="inlineStr">
        <is>
          <t>Nuv Gastrobar</t>
        </is>
      </c>
      <c r="D498" t="inlineStr">
        <is>
          <t>Schipper Consultoria Internacional Comercio Importacao e Exportacao LTDA</t>
        </is>
      </c>
      <c r="E498" t="inlineStr">
        <is>
          <t>139896</t>
        </is>
      </c>
      <c r="F498" s="525" t="n">
        <v>46239</v>
      </c>
      <c r="G498" t="n">
        <v>30240</v>
      </c>
      <c r="H498" t="inlineStr">
        <is>
          <t>BOWL ASSIMÉTRICO PORCELANA Ø18CM H5,5CM 470ML VAGO GRAPHITE BONNAMIX UN</t>
        </is>
      </c>
      <c r="I498" t="inlineStr">
        <is>
          <t>UTENSILIOS</t>
        </is>
      </c>
      <c r="J498" t="n">
        <v>36</v>
      </c>
      <c r="K498" t="inlineStr">
        <is>
          <t>UN</t>
        </is>
      </c>
      <c r="L498" t="n">
        <v>2875.68</v>
      </c>
      <c r="M498" t="n">
        <v>79.88</v>
      </c>
      <c r="O498" t="inlineStr">
        <is>
          <t>08/2026</t>
        </is>
      </c>
    </row>
    <row r="499">
      <c r="A499" t="n">
        <v>256533</v>
      </c>
      <c r="B499" t="n">
        <v>180</v>
      </c>
      <c r="C499" t="inlineStr">
        <is>
          <t>Nuv Gastrobar</t>
        </is>
      </c>
      <c r="D499" t="inlineStr">
        <is>
          <t>Schipper Consultoria Internacional Comercio Importacao e Exportacao LTDA</t>
        </is>
      </c>
      <c r="E499" t="inlineStr">
        <is>
          <t>139896</t>
        </is>
      </c>
      <c r="F499" s="525" t="n">
        <v>46239</v>
      </c>
      <c r="G499" t="n">
        <v>30243</v>
      </c>
      <c r="H499" t="inlineStr">
        <is>
          <t>PRATO MESA PORCELANA Ø28CM H2CM MIRAGE RIPPLE BONNAMIX UN</t>
        </is>
      </c>
      <c r="I499" t="inlineStr">
        <is>
          <t>UTENSILIOS</t>
        </is>
      </c>
      <c r="J499" t="n">
        <v>60</v>
      </c>
      <c r="K499" t="inlineStr">
        <is>
          <t>UN</t>
        </is>
      </c>
      <c r="L499" t="n">
        <v>4563</v>
      </c>
      <c r="M499" t="n">
        <v>76.05</v>
      </c>
      <c r="O499" t="inlineStr">
        <is>
          <t>08/2026</t>
        </is>
      </c>
    </row>
    <row r="500">
      <c r="A500" t="n">
        <v>256533</v>
      </c>
      <c r="B500" t="n">
        <v>180</v>
      </c>
      <c r="C500" t="inlineStr">
        <is>
          <t>Nuv Gastrobar</t>
        </is>
      </c>
      <c r="D500" t="inlineStr">
        <is>
          <t>Schipper Consultoria Internacional Comercio Importacao e Exportacao LTDA</t>
        </is>
      </c>
      <c r="E500" t="inlineStr">
        <is>
          <t>139896</t>
        </is>
      </c>
      <c r="F500" s="525" t="n">
        <v>46239</v>
      </c>
      <c r="G500" t="n">
        <v>30252</v>
      </c>
      <c r="H500" t="inlineStr">
        <is>
          <t>COLHER CAFÉ INOX 11CM SOFIA WMF1MIX UN</t>
        </is>
      </c>
      <c r="I500" t="inlineStr">
        <is>
          <t>UTENSILIOS</t>
        </is>
      </c>
      <c r="J500" t="n">
        <v>156</v>
      </c>
      <c r="K500" t="inlineStr">
        <is>
          <t>UN</t>
        </is>
      </c>
      <c r="L500" t="n">
        <v>1396.2</v>
      </c>
      <c r="M500" t="n">
        <v>8.949999999999999</v>
      </c>
      <c r="O500" t="inlineStr">
        <is>
          <t>08/2026</t>
        </is>
      </c>
    </row>
    <row r="501">
      <c r="A501" t="n">
        <v>256533</v>
      </c>
      <c r="B501" t="n">
        <v>180</v>
      </c>
      <c r="C501" t="inlineStr">
        <is>
          <t>Nuv Gastrobar</t>
        </is>
      </c>
      <c r="D501" t="inlineStr">
        <is>
          <t>Schipper Consultoria Internacional Comercio Importacao e Exportacao LTDA</t>
        </is>
      </c>
      <c r="E501" t="inlineStr">
        <is>
          <t>139896</t>
        </is>
      </c>
      <c r="F501" s="525" t="n">
        <v>46239</v>
      </c>
      <c r="G501" t="n">
        <v>30250</v>
      </c>
      <c r="H501" t="inlineStr">
        <is>
          <t>GARFO SOBREMESA INOX 19CM SOFIA WMF1MIX UN</t>
        </is>
      </c>
      <c r="I501" t="inlineStr">
        <is>
          <t>UTENSILIOS</t>
        </is>
      </c>
      <c r="J501" t="n">
        <v>48</v>
      </c>
      <c r="K501" t="inlineStr">
        <is>
          <t>UN</t>
        </is>
      </c>
      <c r="L501" t="n">
        <v>695.52</v>
      </c>
      <c r="M501" t="n">
        <v>14.49</v>
      </c>
      <c r="O501" t="inlineStr">
        <is>
          <t>08/2026</t>
        </is>
      </c>
    </row>
    <row r="502">
      <c r="A502" t="n">
        <v>256533</v>
      </c>
      <c r="B502" t="n">
        <v>180</v>
      </c>
      <c r="C502" t="inlineStr">
        <is>
          <t>Nuv Gastrobar</t>
        </is>
      </c>
      <c r="D502" t="inlineStr">
        <is>
          <t>Schipper Consultoria Internacional Comercio Importacao e Exportacao LTDA</t>
        </is>
      </c>
      <c r="E502" t="inlineStr">
        <is>
          <t>139896</t>
        </is>
      </c>
      <c r="F502" s="525" t="n">
        <v>46239</v>
      </c>
      <c r="G502" t="n">
        <v>30251</v>
      </c>
      <c r="H502" t="inlineStr">
        <is>
          <t>FACA SOBREMESA INOX 21CM SOFIA WMF1MIX UN</t>
        </is>
      </c>
      <c r="I502" t="inlineStr">
        <is>
          <t>UTENSILIOS</t>
        </is>
      </c>
      <c r="J502" t="n">
        <v>48</v>
      </c>
      <c r="K502" t="inlineStr">
        <is>
          <t>UN</t>
        </is>
      </c>
      <c r="L502" t="n">
        <v>1037.28</v>
      </c>
      <c r="M502" t="n">
        <v>21.61</v>
      </c>
      <c r="O502" t="inlineStr">
        <is>
          <t>08/2026</t>
        </is>
      </c>
    </row>
    <row r="503">
      <c r="A503" t="n">
        <v>256413</v>
      </c>
      <c r="B503" t="n">
        <v>180</v>
      </c>
      <c r="C503" t="inlineStr">
        <is>
          <t>Nuv Gastrobar</t>
        </is>
      </c>
      <c r="D503" t="inlineStr">
        <is>
          <t>B.B DISTRIBUIDORA DE CARNES LTDA</t>
        </is>
      </c>
      <c r="E503" t="inlineStr">
        <is>
          <t>428726</t>
        </is>
      </c>
      <c r="F503" s="525" t="n">
        <v>46246</v>
      </c>
      <c r="G503" t="n">
        <v>24259</v>
      </c>
      <c r="H503" t="inlineStr">
        <is>
          <t>FILE MIGNON 4/5 S/ CORDAO KG</t>
        </is>
      </c>
      <c r="I503" t="inlineStr">
        <is>
          <t>ALIMENTOS</t>
        </is>
      </c>
      <c r="J503" t="n">
        <v>51.6</v>
      </c>
      <c r="K503" t="inlineStr">
        <is>
          <t>KG</t>
        </is>
      </c>
      <c r="L503" t="n">
        <v>4700.76</v>
      </c>
      <c r="M503" t="n">
        <v>91.09999999999999</v>
      </c>
      <c r="O503" t="inlineStr">
        <is>
          <t>08/2026</t>
        </is>
      </c>
    </row>
    <row r="504">
      <c r="A504" t="n">
        <v>256412</v>
      </c>
      <c r="B504" t="n">
        <v>180</v>
      </c>
      <c r="C504" t="inlineStr">
        <is>
          <t>Nuv Gastrobar</t>
        </is>
      </c>
      <c r="D504" t="inlineStr">
        <is>
          <t>DO CHEF DISTRIBUIDORA DE ALIMENTOS LTDA</t>
        </is>
      </c>
      <c r="E504" t="inlineStr">
        <is>
          <t>3779</t>
        </is>
      </c>
      <c r="F504" s="525" t="n">
        <v>46246</v>
      </c>
      <c r="G504" t="n">
        <v>19738</v>
      </c>
      <c r="H504" t="inlineStr">
        <is>
          <t>MELANCIA KG</t>
        </is>
      </c>
      <c r="I504" t="inlineStr">
        <is>
          <t>ALIMENTOS</t>
        </is>
      </c>
      <c r="J504" t="n">
        <v>128</v>
      </c>
      <c r="K504" t="inlineStr">
        <is>
          <t>KG</t>
        </is>
      </c>
      <c r="L504" t="n">
        <v>512</v>
      </c>
      <c r="M504" t="n">
        <v>4</v>
      </c>
      <c r="O504" t="inlineStr">
        <is>
          <t>08/2026</t>
        </is>
      </c>
    </row>
    <row r="505">
      <c r="A505" t="n">
        <v>256412</v>
      </c>
      <c r="B505" t="n">
        <v>180</v>
      </c>
      <c r="C505" t="inlineStr">
        <is>
          <t>Nuv Gastrobar</t>
        </is>
      </c>
      <c r="D505" t="inlineStr">
        <is>
          <t>DO CHEF DISTRIBUIDORA DE ALIMENTOS LTDA</t>
        </is>
      </c>
      <c r="E505" t="inlineStr">
        <is>
          <t>3779</t>
        </is>
      </c>
      <c r="F505" s="525" t="n">
        <v>46246</v>
      </c>
      <c r="G505" t="n">
        <v>23361</v>
      </c>
      <c r="H505" t="inlineStr">
        <is>
          <t>LARANJA PERA KG</t>
        </is>
      </c>
      <c r="I505" t="inlineStr">
        <is>
          <t>ALIMENTOS</t>
        </is>
      </c>
      <c r="J505" t="n">
        <v>60</v>
      </c>
      <c r="K505" t="inlineStr">
        <is>
          <t>KG</t>
        </is>
      </c>
      <c r="L505" t="n">
        <v>149.4</v>
      </c>
      <c r="M505" t="n">
        <v>2.49</v>
      </c>
      <c r="O505" t="inlineStr">
        <is>
          <t>08/2026</t>
        </is>
      </c>
    </row>
    <row r="506">
      <c r="A506" t="n">
        <v>256410</v>
      </c>
      <c r="B506" t="n">
        <v>180</v>
      </c>
      <c r="C506" t="inlineStr">
        <is>
          <t>Nuv Gastrobar</t>
        </is>
      </c>
      <c r="D506" t="inlineStr">
        <is>
          <t>ATACADISTA KINGFOOD PRODUTOS ALIMENTICIO</t>
        </is>
      </c>
      <c r="E506" t="inlineStr">
        <is>
          <t>300484</t>
        </is>
      </c>
      <c r="F506" s="525" t="n">
        <v>46245</v>
      </c>
      <c r="G506" t="n">
        <v>23648</v>
      </c>
      <c r="H506" t="inlineStr">
        <is>
          <t>CASTANHA DO PARA KG</t>
        </is>
      </c>
      <c r="I506" t="inlineStr">
        <is>
          <t>ALIMENTOS</t>
        </is>
      </c>
      <c r="J506" t="n">
        <v>3</v>
      </c>
      <c r="K506" t="inlineStr">
        <is>
          <t>KG</t>
        </is>
      </c>
      <c r="L506" t="n">
        <v>239.7</v>
      </c>
      <c r="M506" t="n">
        <v>79.90000000000001</v>
      </c>
      <c r="O506" t="inlineStr">
        <is>
          <t>08/2026</t>
        </is>
      </c>
    </row>
    <row r="507">
      <c r="A507" t="n">
        <v>256410</v>
      </c>
      <c r="B507" t="n">
        <v>180</v>
      </c>
      <c r="C507" t="inlineStr">
        <is>
          <t>Nuv Gastrobar</t>
        </is>
      </c>
      <c r="D507" t="inlineStr">
        <is>
          <t>ATACADISTA KINGFOOD PRODUTOS ALIMENTICIO</t>
        </is>
      </c>
      <c r="E507" t="inlineStr">
        <is>
          <t>300484</t>
        </is>
      </c>
      <c r="F507" s="525" t="n">
        <v>46245</v>
      </c>
      <c r="G507" t="n">
        <v>27473</v>
      </c>
      <c r="H507" t="inlineStr">
        <is>
          <t>ACUCAR MASCAVO JR C/1KG</t>
        </is>
      </c>
      <c r="I507" t="inlineStr">
        <is>
          <t>ALIMENTOS</t>
        </is>
      </c>
      <c r="J507" t="n">
        <v>2</v>
      </c>
      <c r="K507" t="inlineStr">
        <is>
          <t>UN</t>
        </is>
      </c>
      <c r="L507" t="n">
        <v>13.8</v>
      </c>
      <c r="M507" t="n">
        <v>6.9</v>
      </c>
      <c r="O507" t="inlineStr">
        <is>
          <t>08/2026</t>
        </is>
      </c>
    </row>
    <row r="508">
      <c r="A508" t="n">
        <v>256410</v>
      </c>
      <c r="B508" t="n">
        <v>180</v>
      </c>
      <c r="C508" t="inlineStr">
        <is>
          <t>Nuv Gastrobar</t>
        </is>
      </c>
      <c r="D508" t="inlineStr">
        <is>
          <t>ATACADISTA KINGFOOD PRODUTOS ALIMENTICIO</t>
        </is>
      </c>
      <c r="E508" t="inlineStr">
        <is>
          <t>300484</t>
        </is>
      </c>
      <c r="F508" s="525" t="n">
        <v>46245</v>
      </c>
      <c r="G508" t="n">
        <v>25328</v>
      </c>
      <c r="H508" t="inlineStr">
        <is>
          <t>COMINHO EM GRAOS KG</t>
        </is>
      </c>
      <c r="I508" t="inlineStr">
        <is>
          <t>ALIMENTOS</t>
        </is>
      </c>
      <c r="J508" t="n">
        <v>1</v>
      </c>
      <c r="K508" t="inlineStr">
        <is>
          <t>KG</t>
        </is>
      </c>
      <c r="L508" t="n">
        <v>16.9</v>
      </c>
      <c r="M508" t="n">
        <v>16.9</v>
      </c>
      <c r="O508" t="inlineStr">
        <is>
          <t>08/2026</t>
        </is>
      </c>
    </row>
    <row r="509">
      <c r="A509" t="n">
        <v>256410</v>
      </c>
      <c r="B509" t="n">
        <v>180</v>
      </c>
      <c r="C509" t="inlineStr">
        <is>
          <t>Nuv Gastrobar</t>
        </is>
      </c>
      <c r="D509" t="inlineStr">
        <is>
          <t>ATACADISTA KINGFOOD PRODUTOS ALIMENTICIO</t>
        </is>
      </c>
      <c r="E509" t="inlineStr">
        <is>
          <t>300484</t>
        </is>
      </c>
      <c r="F509" s="525" t="n">
        <v>46245</v>
      </c>
      <c r="G509" t="n">
        <v>24118</v>
      </c>
      <c r="H509" t="inlineStr">
        <is>
          <t>CASTANHA DE CAJU CRUA KG</t>
        </is>
      </c>
      <c r="I509" t="inlineStr">
        <is>
          <t>ALIMENTOS</t>
        </is>
      </c>
      <c r="J509" t="n">
        <v>1</v>
      </c>
      <c r="K509" t="inlineStr">
        <is>
          <t>KG</t>
        </is>
      </c>
      <c r="L509" t="n">
        <v>68.90000000000001</v>
      </c>
      <c r="M509" t="n">
        <v>68.90000000000001</v>
      </c>
      <c r="O509" t="inlineStr">
        <is>
          <t>08/2026</t>
        </is>
      </c>
    </row>
    <row r="510">
      <c r="A510" t="n">
        <v>256410</v>
      </c>
      <c r="B510" t="n">
        <v>180</v>
      </c>
      <c r="C510" t="inlineStr">
        <is>
          <t>Nuv Gastrobar</t>
        </is>
      </c>
      <c r="D510" t="inlineStr">
        <is>
          <t>ATACADISTA KINGFOOD PRODUTOS ALIMENTICIO</t>
        </is>
      </c>
      <c r="E510" t="inlineStr">
        <is>
          <t>300484</t>
        </is>
      </c>
      <c r="F510" s="525" t="n">
        <v>46245</v>
      </c>
      <c r="G510" t="n">
        <v>23642</v>
      </c>
      <c r="H510" t="inlineStr">
        <is>
          <t>COCO EM FITA KG</t>
        </is>
      </c>
      <c r="I510" t="inlineStr">
        <is>
          <t>ALIMENTOS</t>
        </is>
      </c>
      <c r="J510" t="n">
        <v>1</v>
      </c>
      <c r="K510" t="inlineStr">
        <is>
          <t>KG</t>
        </is>
      </c>
      <c r="L510" t="n">
        <v>48.9</v>
      </c>
      <c r="M510" t="n">
        <v>48.9</v>
      </c>
      <c r="O510" t="inlineStr">
        <is>
          <t>08/2026</t>
        </is>
      </c>
    </row>
    <row r="511">
      <c r="A511" t="n">
        <v>256410</v>
      </c>
      <c r="B511" t="n">
        <v>180</v>
      </c>
      <c r="C511" t="inlineStr">
        <is>
          <t>Nuv Gastrobar</t>
        </is>
      </c>
      <c r="D511" t="inlineStr">
        <is>
          <t>ATACADISTA KINGFOOD PRODUTOS ALIMENTICIO</t>
        </is>
      </c>
      <c r="E511" t="inlineStr">
        <is>
          <t>300484</t>
        </is>
      </c>
      <c r="F511" s="525" t="n">
        <v>46245</v>
      </c>
      <c r="G511" t="n">
        <v>19714</v>
      </c>
      <c r="H511" t="inlineStr">
        <is>
          <t>UVA PASSA BRANCA SEM SEMENTE C/1KG PC</t>
        </is>
      </c>
      <c r="I511" t="inlineStr">
        <is>
          <t>ALIMENTOS</t>
        </is>
      </c>
      <c r="J511" t="n">
        <v>2</v>
      </c>
      <c r="K511" t="inlineStr">
        <is>
          <t>PC</t>
        </is>
      </c>
      <c r="L511" t="n">
        <v>64</v>
      </c>
      <c r="M511" t="n">
        <v>32</v>
      </c>
      <c r="O511" t="inlineStr">
        <is>
          <t>08/2026</t>
        </is>
      </c>
    </row>
    <row r="512">
      <c r="A512" t="n">
        <v>256410</v>
      </c>
      <c r="B512" t="n">
        <v>180</v>
      </c>
      <c r="C512" t="inlineStr">
        <is>
          <t>Nuv Gastrobar</t>
        </is>
      </c>
      <c r="D512" t="inlineStr">
        <is>
          <t>ATACADISTA KINGFOOD PRODUTOS ALIMENTICIO</t>
        </is>
      </c>
      <c r="E512" t="inlineStr">
        <is>
          <t>300484</t>
        </is>
      </c>
      <c r="F512" s="525" t="n">
        <v>46245</v>
      </c>
      <c r="G512" t="n">
        <v>19962</v>
      </c>
      <c r="H512" t="inlineStr">
        <is>
          <t>MOSTARDA AMARELA CEPERA C/3,3KG</t>
        </is>
      </c>
      <c r="I512" t="inlineStr">
        <is>
          <t>ALIMENTOS</t>
        </is>
      </c>
      <c r="J512" t="n">
        <v>8</v>
      </c>
      <c r="K512" t="inlineStr">
        <is>
          <t>UN</t>
        </is>
      </c>
      <c r="L512" t="n">
        <v>199.84</v>
      </c>
      <c r="M512" t="n">
        <v>24.98</v>
      </c>
      <c r="O512" t="inlineStr">
        <is>
          <t>08/2026</t>
        </is>
      </c>
    </row>
    <row r="513">
      <c r="A513" t="n">
        <v>256409</v>
      </c>
      <c r="B513" t="n">
        <v>180</v>
      </c>
      <c r="C513" t="inlineStr">
        <is>
          <t>Nuv Gastrobar</t>
        </is>
      </c>
      <c r="D513" t="inlineStr">
        <is>
          <t>EMPORIO M&amp;L COMERCIO DE ALIM E BEBIDAS LTDA</t>
        </is>
      </c>
      <c r="E513" t="inlineStr">
        <is>
          <t>527074</t>
        </is>
      </c>
      <c r="F513" s="525" t="n">
        <v>46244</v>
      </c>
      <c r="G513" t="n">
        <v>22721</v>
      </c>
      <c r="H513" t="inlineStr">
        <is>
          <t>BACON MANTA KG</t>
        </is>
      </c>
      <c r="I513" t="inlineStr">
        <is>
          <t>ALIMENTOS</t>
        </is>
      </c>
      <c r="J513" t="n">
        <v>15.9</v>
      </c>
      <c r="K513" t="inlineStr">
        <is>
          <t>KG</t>
        </is>
      </c>
      <c r="L513" t="n">
        <v>469.05</v>
      </c>
      <c r="M513" t="n">
        <v>29.5</v>
      </c>
      <c r="O513" t="inlineStr">
        <is>
          <t>08/2026</t>
        </is>
      </c>
    </row>
    <row r="514">
      <c r="A514" t="n">
        <v>256408</v>
      </c>
      <c r="B514" t="n">
        <v>180</v>
      </c>
      <c r="C514" t="inlineStr">
        <is>
          <t>Nuv Gastrobar</t>
        </is>
      </c>
      <c r="D514" t="inlineStr">
        <is>
          <t>COMERCIO DE CEREAIS QUATRO ESTRELAS EIRELLI</t>
        </is>
      </c>
      <c r="E514" t="inlineStr">
        <is>
          <t>11655</t>
        </is>
      </c>
      <c r="F514" s="525" t="n">
        <v>46244</v>
      </c>
      <c r="G514" t="n">
        <v>26556</v>
      </c>
      <c r="H514" t="inlineStr">
        <is>
          <t>LEITE CONDENSADO DE SOJA VEGANO SEM GLUTEN SOYMILKE C/330G UN</t>
        </is>
      </c>
      <c r="I514" t="inlineStr">
        <is>
          <t>ALIMENTOS</t>
        </is>
      </c>
      <c r="J514" t="n">
        <v>10</v>
      </c>
      <c r="K514" t="inlineStr">
        <is>
          <t>UN</t>
        </is>
      </c>
      <c r="L514" t="n">
        <v>219</v>
      </c>
      <c r="M514" t="n">
        <v>21.9</v>
      </c>
      <c r="O514" t="inlineStr">
        <is>
          <t>08/2026</t>
        </is>
      </c>
    </row>
    <row r="515">
      <c r="A515" t="n">
        <v>256406</v>
      </c>
      <c r="B515" t="n">
        <v>180</v>
      </c>
      <c r="C515" t="inlineStr">
        <is>
          <t>Nuv Gastrobar</t>
        </is>
      </c>
      <c r="D515" t="inlineStr">
        <is>
          <t>COMERCIO DE CEREAIS QUATRO ESTRELAS EIRELLI</t>
        </is>
      </c>
      <c r="E515" t="inlineStr">
        <is>
          <t>11646</t>
        </is>
      </c>
      <c r="F515" s="525" t="n">
        <v>46241</v>
      </c>
      <c r="G515" t="n">
        <v>24167</v>
      </c>
      <c r="H515" t="inlineStr">
        <is>
          <t>COALHADA SECA KG</t>
        </is>
      </c>
      <c r="I515" t="inlineStr">
        <is>
          <t>ALIMENTOS</t>
        </is>
      </c>
      <c r="J515" t="n">
        <v>3</v>
      </c>
      <c r="K515" t="inlineStr">
        <is>
          <t>UN</t>
        </is>
      </c>
      <c r="L515" t="n">
        <v>80.7</v>
      </c>
      <c r="M515" t="n">
        <v>26.9</v>
      </c>
      <c r="O515" t="inlineStr">
        <is>
          <t>08/2026</t>
        </is>
      </c>
    </row>
    <row r="516">
      <c r="A516" t="n">
        <v>256406</v>
      </c>
      <c r="B516" t="n">
        <v>180</v>
      </c>
      <c r="C516" t="inlineStr">
        <is>
          <t>Nuv Gastrobar</t>
        </is>
      </c>
      <c r="D516" t="inlineStr">
        <is>
          <t>COMERCIO DE CEREAIS QUATRO ESTRELAS EIRELLI</t>
        </is>
      </c>
      <c r="E516" t="inlineStr">
        <is>
          <t>11646</t>
        </is>
      </c>
      <c r="F516" s="525" t="n">
        <v>46241</v>
      </c>
      <c r="G516" t="n">
        <v>25821</v>
      </c>
      <c r="H516" t="inlineStr">
        <is>
          <t>MANTEIGA VEGANA VEGANISSIMA C/200G</t>
        </is>
      </c>
      <c r="I516" t="inlineStr">
        <is>
          <t>ALIMENTOS</t>
        </is>
      </c>
      <c r="J516" t="n">
        <v>5</v>
      </c>
      <c r="K516" t="inlineStr">
        <is>
          <t>PT</t>
        </is>
      </c>
      <c r="L516" t="n">
        <v>104.5</v>
      </c>
      <c r="M516" t="n">
        <v>20.9</v>
      </c>
      <c r="O516" t="inlineStr">
        <is>
          <t>08/2026</t>
        </is>
      </c>
    </row>
    <row r="517">
      <c r="A517" t="n">
        <v>256406</v>
      </c>
      <c r="B517" t="n">
        <v>180</v>
      </c>
      <c r="C517" t="inlineStr">
        <is>
          <t>Nuv Gastrobar</t>
        </is>
      </c>
      <c r="D517" t="inlineStr">
        <is>
          <t>COMERCIO DE CEREAIS QUATRO ESTRELAS EIRELLI</t>
        </is>
      </c>
      <c r="E517" t="inlineStr">
        <is>
          <t>11646</t>
        </is>
      </c>
      <c r="F517" s="525" t="n">
        <v>46241</v>
      </c>
      <c r="G517" t="n">
        <v>30363</v>
      </c>
      <c r="H517" t="inlineStr">
        <is>
          <t>SEMENTE DE URUCUM KG</t>
        </is>
      </c>
      <c r="I517" t="inlineStr">
        <is>
          <t>ALIMENTOS</t>
        </is>
      </c>
      <c r="J517" t="n">
        <v>0.5</v>
      </c>
      <c r="K517" t="inlineStr">
        <is>
          <t>KG</t>
        </is>
      </c>
      <c r="L517" t="n">
        <v>35</v>
      </c>
      <c r="M517" t="n">
        <v>70</v>
      </c>
      <c r="O517" t="inlineStr">
        <is>
          <t>08/2026</t>
        </is>
      </c>
    </row>
    <row r="518">
      <c r="A518" t="n">
        <v>256406</v>
      </c>
      <c r="B518" t="n">
        <v>180</v>
      </c>
      <c r="C518" t="inlineStr">
        <is>
          <t>Nuv Gastrobar</t>
        </is>
      </c>
      <c r="D518" t="inlineStr">
        <is>
          <t>COMERCIO DE CEREAIS QUATRO ESTRELAS EIRELLI</t>
        </is>
      </c>
      <c r="E518" t="inlineStr">
        <is>
          <t>11646</t>
        </is>
      </c>
      <c r="F518" s="525" t="n">
        <v>46241</v>
      </c>
      <c r="G518" t="n">
        <v>30379</v>
      </c>
      <c r="H518" t="inlineStr">
        <is>
          <t>MANTEIGA GHEE CLARIFICADA MADHU BAKERY 400G UN</t>
        </is>
      </c>
      <c r="I518" t="inlineStr">
        <is>
          <t>ALIMENTOS</t>
        </is>
      </c>
      <c r="J518" t="n">
        <v>3</v>
      </c>
      <c r="K518" t="inlineStr">
        <is>
          <t>UN</t>
        </is>
      </c>
      <c r="L518" t="n">
        <v>167.7</v>
      </c>
      <c r="M518" t="n">
        <v>55.9</v>
      </c>
      <c r="O518" t="inlineStr">
        <is>
          <t>08/2026</t>
        </is>
      </c>
    </row>
    <row r="519">
      <c r="A519" t="n">
        <v>256405</v>
      </c>
      <c r="B519" t="n">
        <v>180</v>
      </c>
      <c r="C519" t="inlineStr">
        <is>
          <t>Nuv Gastrobar</t>
        </is>
      </c>
      <c r="D519" t="inlineStr">
        <is>
          <t xml:space="preserve">MS FRANGOS LTDA </t>
        </is>
      </c>
      <c r="E519" t="inlineStr">
        <is>
          <t>7473</t>
        </is>
      </c>
      <c r="F519" s="525" t="n">
        <v>46245</v>
      </c>
      <c r="G519" t="n">
        <v>22822</v>
      </c>
      <c r="H519" t="inlineStr">
        <is>
          <t>OSSO BOVINO SERRADO RODELA KG</t>
        </is>
      </c>
      <c r="I519" t="inlineStr">
        <is>
          <t>ALIMENTOS</t>
        </is>
      </c>
      <c r="J519" t="n">
        <v>10</v>
      </c>
      <c r="K519" t="inlineStr">
        <is>
          <t>KG</t>
        </is>
      </c>
      <c r="L519" t="n">
        <v>228.7</v>
      </c>
      <c r="M519" t="n">
        <v>22.87</v>
      </c>
      <c r="O519" t="inlineStr">
        <is>
          <t>08/2026</t>
        </is>
      </c>
    </row>
    <row r="520">
      <c r="A520" t="n">
        <v>256403</v>
      </c>
      <c r="B520" t="n">
        <v>180</v>
      </c>
      <c r="C520" t="inlineStr">
        <is>
          <t>Nuv Gastrobar</t>
        </is>
      </c>
      <c r="D520" t="inlineStr">
        <is>
          <t>AROUMAR DISTRIBUIDORA DE PRODUTOS ALIMENTICIOS LTDA</t>
        </is>
      </c>
      <c r="E520" t="inlineStr">
        <is>
          <t>1077206</t>
        </is>
      </c>
      <c r="F520" s="525" t="n">
        <v>46244</v>
      </c>
      <c r="G520" t="n">
        <v>20301</v>
      </c>
      <c r="H520" t="inlineStr">
        <is>
          <t>ARROZ BRANCO TIPO 1 CAMIL C/5KG</t>
        </is>
      </c>
      <c r="I520" t="inlineStr">
        <is>
          <t>ALIMENTOS</t>
        </is>
      </c>
      <c r="J520" t="n">
        <v>6</v>
      </c>
      <c r="K520" t="inlineStr">
        <is>
          <t>PC</t>
        </is>
      </c>
      <c r="L520" t="n">
        <v>126</v>
      </c>
      <c r="M520" t="n">
        <v>21</v>
      </c>
      <c r="O520" t="inlineStr">
        <is>
          <t>08/2026</t>
        </is>
      </c>
    </row>
    <row r="521">
      <c r="A521" t="n">
        <v>256403</v>
      </c>
      <c r="B521" t="n">
        <v>180</v>
      </c>
      <c r="C521" t="inlineStr">
        <is>
          <t>Nuv Gastrobar</t>
        </is>
      </c>
      <c r="D521" t="inlineStr">
        <is>
          <t>AROUMAR DISTRIBUIDORA DE PRODUTOS ALIMENTICIOS LTDA</t>
        </is>
      </c>
      <c r="E521" t="inlineStr">
        <is>
          <t>1077206</t>
        </is>
      </c>
      <c r="F521" s="525" t="n">
        <v>46244</v>
      </c>
      <c r="G521" t="n">
        <v>21017</v>
      </c>
      <c r="H521" t="inlineStr">
        <is>
          <t>OLEO DE ALGODAO SAUDE C/14,5KG</t>
        </is>
      </c>
      <c r="I521" t="inlineStr">
        <is>
          <t>ALIMENTOS</t>
        </is>
      </c>
      <c r="J521" t="n">
        <v>8</v>
      </c>
      <c r="K521" t="inlineStr">
        <is>
          <t>BALDE</t>
        </is>
      </c>
      <c r="L521" t="n">
        <v>1271.2</v>
      </c>
      <c r="M521" t="n">
        <v>158.9</v>
      </c>
      <c r="O521" t="inlineStr">
        <is>
          <t>08/2026</t>
        </is>
      </c>
    </row>
    <row r="522">
      <c r="A522" t="n">
        <v>256401</v>
      </c>
      <c r="B522" t="n">
        <v>180</v>
      </c>
      <c r="C522" t="inlineStr">
        <is>
          <t>Nuv Gastrobar</t>
        </is>
      </c>
      <c r="D522" t="inlineStr">
        <is>
          <t>AROUMAR DISTRIBUIDORA DE PRODUTOS ALIMENTICIOS LTDA</t>
        </is>
      </c>
      <c r="E522" t="inlineStr">
        <is>
          <t>1077207</t>
        </is>
      </c>
      <c r="F522" s="525" t="n">
        <v>46244</v>
      </c>
      <c r="G522" t="n">
        <v>20301</v>
      </c>
      <c r="H522" t="inlineStr">
        <is>
          <t>ARROZ BRANCO TIPO 1 CAMIL C/5KG</t>
        </is>
      </c>
      <c r="I522" t="inlineStr">
        <is>
          <t>ALIMENTOS</t>
        </is>
      </c>
      <c r="J522" t="n">
        <v>6</v>
      </c>
      <c r="K522" t="inlineStr">
        <is>
          <t>PC</t>
        </is>
      </c>
      <c r="L522" t="n">
        <v>126</v>
      </c>
      <c r="M522" t="n">
        <v>21</v>
      </c>
      <c r="O522" t="inlineStr">
        <is>
          <t>08/2026</t>
        </is>
      </c>
    </row>
    <row r="523">
      <c r="A523" t="n">
        <v>256401</v>
      </c>
      <c r="B523" t="n">
        <v>180</v>
      </c>
      <c r="C523" t="inlineStr">
        <is>
          <t>Nuv Gastrobar</t>
        </is>
      </c>
      <c r="D523" t="inlineStr">
        <is>
          <t>AROUMAR DISTRIBUIDORA DE PRODUTOS ALIMENTICIOS LTDA</t>
        </is>
      </c>
      <c r="E523" t="inlineStr">
        <is>
          <t>1077207</t>
        </is>
      </c>
      <c r="F523" s="525" t="n">
        <v>46244</v>
      </c>
      <c r="G523" t="n">
        <v>21017</v>
      </c>
      <c r="H523" t="inlineStr">
        <is>
          <t>OLEO DE ALGODAO SAUDE C/14,5KG</t>
        </is>
      </c>
      <c r="I523" t="inlineStr">
        <is>
          <t>ALIMENTOS</t>
        </is>
      </c>
      <c r="J523" t="n">
        <v>2</v>
      </c>
      <c r="K523" t="inlineStr">
        <is>
          <t>BALDE</t>
        </is>
      </c>
      <c r="L523" t="n">
        <v>317.8</v>
      </c>
      <c r="M523" t="n">
        <v>158.9</v>
      </c>
      <c r="O523" t="inlineStr">
        <is>
          <t>08/2026</t>
        </is>
      </c>
    </row>
    <row r="524">
      <c r="A524" t="n">
        <v>256400</v>
      </c>
      <c r="B524" t="n">
        <v>180</v>
      </c>
      <c r="C524" t="inlineStr">
        <is>
          <t>Nuv Gastrobar</t>
        </is>
      </c>
      <c r="D524" t="inlineStr">
        <is>
          <t>EMPORIO M&amp;L COMERCIO DE ALIM E BEBIDAS LTDA</t>
        </is>
      </c>
      <c r="E524" t="inlineStr">
        <is>
          <t>526692</t>
        </is>
      </c>
      <c r="F524" s="525" t="n">
        <v>46241</v>
      </c>
      <c r="G524" t="n">
        <v>18194</v>
      </c>
      <c r="H524" t="inlineStr">
        <is>
          <t>VODKA ABSOLUT 1L</t>
        </is>
      </c>
      <c r="I524" t="inlineStr">
        <is>
          <t>BEBIDAS</t>
        </is>
      </c>
      <c r="J524" t="n">
        <v>36</v>
      </c>
      <c r="K524" t="inlineStr">
        <is>
          <t>GR</t>
        </is>
      </c>
      <c r="L524" t="n">
        <v>2050.2</v>
      </c>
      <c r="M524" t="n">
        <v>56.95</v>
      </c>
      <c r="O524" t="inlineStr">
        <is>
          <t>08/2026</t>
        </is>
      </c>
    </row>
    <row r="525">
      <c r="A525" t="n">
        <v>256400</v>
      </c>
      <c r="B525" t="n">
        <v>180</v>
      </c>
      <c r="C525" t="inlineStr">
        <is>
          <t>Nuv Gastrobar</t>
        </is>
      </c>
      <c r="D525" t="inlineStr">
        <is>
          <t>EMPORIO M&amp;L COMERCIO DE ALIM E BEBIDAS LTDA</t>
        </is>
      </c>
      <c r="E525" t="inlineStr">
        <is>
          <t>526692</t>
        </is>
      </c>
      <c r="F525" s="525" t="n">
        <v>46241</v>
      </c>
      <c r="G525" t="n">
        <v>26014</v>
      </c>
      <c r="H525" t="inlineStr">
        <is>
          <t>APERITIVO ANGOSTURA 473ML</t>
        </is>
      </c>
      <c r="I525" t="inlineStr">
        <is>
          <t>BEBIDAS</t>
        </is>
      </c>
      <c r="J525" t="n">
        <v>4</v>
      </c>
      <c r="K525" t="inlineStr">
        <is>
          <t>GR</t>
        </is>
      </c>
      <c r="L525" t="n">
        <v>1503.2</v>
      </c>
      <c r="M525" t="n">
        <v>375.8</v>
      </c>
      <c r="O525" t="inlineStr">
        <is>
          <t>08/2026</t>
        </is>
      </c>
    </row>
    <row r="526">
      <c r="A526" t="n">
        <v>256400</v>
      </c>
      <c r="B526" t="n">
        <v>180</v>
      </c>
      <c r="C526" t="inlineStr">
        <is>
          <t>Nuv Gastrobar</t>
        </is>
      </c>
      <c r="D526" t="inlineStr">
        <is>
          <t>EMPORIO M&amp;L COMERCIO DE ALIM E BEBIDAS LTDA</t>
        </is>
      </c>
      <c r="E526" t="inlineStr">
        <is>
          <t>526692</t>
        </is>
      </c>
      <c r="F526" s="525" t="n">
        <v>46241</v>
      </c>
      <c r="G526" t="n">
        <v>26148</v>
      </c>
      <c r="H526" t="inlineStr">
        <is>
          <t xml:space="preserve">BITTER ANGOSTURA ORANGE 200ML </t>
        </is>
      </c>
      <c r="I526" t="inlineStr">
        <is>
          <t>BEBIDAS</t>
        </is>
      </c>
      <c r="J526" t="n">
        <v>4</v>
      </c>
      <c r="K526" t="inlineStr">
        <is>
          <t>UN</t>
        </is>
      </c>
      <c r="L526" t="n">
        <v>755.6</v>
      </c>
      <c r="M526" t="n">
        <v>188.9</v>
      </c>
      <c r="O526" t="inlineStr">
        <is>
          <t>08/2026</t>
        </is>
      </c>
    </row>
    <row r="527">
      <c r="A527" t="n">
        <v>256400</v>
      </c>
      <c r="B527" t="n">
        <v>180</v>
      </c>
      <c r="C527" t="inlineStr">
        <is>
          <t>Nuv Gastrobar</t>
        </is>
      </c>
      <c r="D527" t="inlineStr">
        <is>
          <t>EMPORIO M&amp;L COMERCIO DE ALIM E BEBIDAS LTDA</t>
        </is>
      </c>
      <c r="E527" t="inlineStr">
        <is>
          <t>526692</t>
        </is>
      </c>
      <c r="F527" s="525" t="n">
        <v>46241</v>
      </c>
      <c r="G527" t="n">
        <v>18220</v>
      </c>
      <c r="H527" t="inlineStr">
        <is>
          <t>VERMOUTH CARPANO CLASSICO ROSSO ITALIANO 1L</t>
        </is>
      </c>
      <c r="I527" t="inlineStr">
        <is>
          <t>BEBIDAS</t>
        </is>
      </c>
      <c r="J527" t="n">
        <v>18</v>
      </c>
      <c r="K527" t="inlineStr">
        <is>
          <t>GR</t>
        </is>
      </c>
      <c r="L527" t="n">
        <v>1529.1</v>
      </c>
      <c r="M527" t="n">
        <v>84.95</v>
      </c>
      <c r="O527" t="inlineStr">
        <is>
          <t>08/2026</t>
        </is>
      </c>
    </row>
    <row r="528">
      <c r="A528" t="n">
        <v>256399</v>
      </c>
      <c r="B528" t="n">
        <v>180</v>
      </c>
      <c r="C528" t="inlineStr">
        <is>
          <t>Nuv Gastrobar</t>
        </is>
      </c>
      <c r="D528" t="inlineStr">
        <is>
          <t>DTK COMERCIO DE ALIMENTOS LTDA</t>
        </is>
      </c>
      <c r="E528" t="inlineStr">
        <is>
          <t>94423</t>
        </is>
      </c>
      <c r="F528" s="525" t="n">
        <v>46245</v>
      </c>
      <c r="G528" t="n">
        <v>19955</v>
      </c>
      <c r="H528" t="inlineStr">
        <is>
          <t>MOSTARDA FRANCESA DIJON BEAUFOR 1KG</t>
        </is>
      </c>
      <c r="I528" t="inlineStr">
        <is>
          <t>ALIMENTOS</t>
        </is>
      </c>
      <c r="J528" t="n">
        <v>2</v>
      </c>
      <c r="K528" t="inlineStr">
        <is>
          <t>UN</t>
        </is>
      </c>
      <c r="L528" t="n">
        <v>117.76</v>
      </c>
      <c r="M528" t="n">
        <v>58.88</v>
      </c>
      <c r="O528" t="inlineStr">
        <is>
          <t>08/2026</t>
        </is>
      </c>
    </row>
    <row r="529">
      <c r="A529" t="n">
        <v>256399</v>
      </c>
      <c r="B529" t="n">
        <v>180</v>
      </c>
      <c r="C529" t="inlineStr">
        <is>
          <t>Nuv Gastrobar</t>
        </is>
      </c>
      <c r="D529" t="inlineStr">
        <is>
          <t>DTK COMERCIO DE ALIMENTOS LTDA</t>
        </is>
      </c>
      <c r="E529" t="inlineStr">
        <is>
          <t>94423</t>
        </is>
      </c>
      <c r="F529" s="525" t="n">
        <v>46245</v>
      </c>
      <c r="G529" t="n">
        <v>20213</v>
      </c>
      <c r="H529" t="inlineStr">
        <is>
          <t>GRAO DE BICO CAMIL C/2KG</t>
        </is>
      </c>
      <c r="I529" t="inlineStr">
        <is>
          <t>ALIMENTOS</t>
        </is>
      </c>
      <c r="J529" t="n">
        <v>5</v>
      </c>
      <c r="K529" t="inlineStr">
        <is>
          <t>Pc</t>
        </is>
      </c>
      <c r="L529" t="n">
        <v>158</v>
      </c>
      <c r="M529" t="n">
        <v>31.6</v>
      </c>
      <c r="O529" t="inlineStr">
        <is>
          <t>08/2026</t>
        </is>
      </c>
    </row>
    <row r="530">
      <c r="A530" t="n">
        <v>256399</v>
      </c>
      <c r="B530" t="n">
        <v>180</v>
      </c>
      <c r="C530" t="inlineStr">
        <is>
          <t>Nuv Gastrobar</t>
        </is>
      </c>
      <c r="D530" t="inlineStr">
        <is>
          <t>DTK COMERCIO DE ALIMENTOS LTDA</t>
        </is>
      </c>
      <c r="E530" t="inlineStr">
        <is>
          <t>94423</t>
        </is>
      </c>
      <c r="F530" s="525" t="n">
        <v>46245</v>
      </c>
      <c r="G530" t="n">
        <v>20057</v>
      </c>
      <c r="H530" t="inlineStr">
        <is>
          <t>KETCHUP HEMMER 3,8KG</t>
        </is>
      </c>
      <c r="I530" t="inlineStr">
        <is>
          <t>ALIMENTOS</t>
        </is>
      </c>
      <c r="J530" t="n">
        <v>8</v>
      </c>
      <c r="K530" t="inlineStr">
        <is>
          <t>UN</t>
        </is>
      </c>
      <c r="L530" t="n">
        <v>337.44</v>
      </c>
      <c r="M530" t="n">
        <v>42.18</v>
      </c>
      <c r="O530" t="inlineStr">
        <is>
          <t>08/2026</t>
        </is>
      </c>
    </row>
    <row r="531">
      <c r="A531" t="n">
        <v>256399</v>
      </c>
      <c r="B531" t="n">
        <v>180</v>
      </c>
      <c r="C531" t="inlineStr">
        <is>
          <t>Nuv Gastrobar</t>
        </is>
      </c>
      <c r="D531" t="inlineStr">
        <is>
          <t>DTK COMERCIO DE ALIMENTOS LTDA</t>
        </is>
      </c>
      <c r="E531" t="inlineStr">
        <is>
          <t>94423</t>
        </is>
      </c>
      <c r="F531" s="525" t="n">
        <v>46245</v>
      </c>
      <c r="G531" t="n">
        <v>20365</v>
      </c>
      <c r="H531" t="inlineStr">
        <is>
          <t>FARINHA DE TRIGO TP1 ANACONDA 1KG</t>
        </is>
      </c>
      <c r="I531" t="inlineStr">
        <is>
          <t>ALIMENTOS</t>
        </is>
      </c>
      <c r="J531" t="n">
        <v>10</v>
      </c>
      <c r="K531" t="inlineStr">
        <is>
          <t>UN</t>
        </is>
      </c>
      <c r="L531" t="n">
        <v>52.9</v>
      </c>
      <c r="M531" t="n">
        <v>5.29</v>
      </c>
      <c r="O531" t="inlineStr">
        <is>
          <t>08/2026</t>
        </is>
      </c>
    </row>
    <row r="532">
      <c r="A532" t="n">
        <v>256399</v>
      </c>
      <c r="B532" t="n">
        <v>180</v>
      </c>
      <c r="C532" t="inlineStr">
        <is>
          <t>Nuv Gastrobar</t>
        </is>
      </c>
      <c r="D532" t="inlineStr">
        <is>
          <t>DTK COMERCIO DE ALIMENTOS LTDA</t>
        </is>
      </c>
      <c r="E532" t="inlineStr">
        <is>
          <t>94423</t>
        </is>
      </c>
      <c r="F532" s="525" t="n">
        <v>46245</v>
      </c>
      <c r="G532" t="n">
        <v>29875</v>
      </c>
      <c r="H532" t="inlineStr">
        <is>
          <t>ACUCAR REFINADO SACHE UNIAO 400X5G UN</t>
        </is>
      </c>
      <c r="I532" t="inlineStr">
        <is>
          <t>ALIMENTOS</t>
        </is>
      </c>
      <c r="J532" t="n">
        <v>3</v>
      </c>
      <c r="K532" t="inlineStr">
        <is>
          <t>UN</t>
        </is>
      </c>
      <c r="L532" t="n">
        <v>55.5</v>
      </c>
      <c r="M532" t="n">
        <v>18.5</v>
      </c>
      <c r="O532" t="inlineStr">
        <is>
          <t>08/2026</t>
        </is>
      </c>
    </row>
    <row r="533">
      <c r="A533" t="n">
        <v>256399</v>
      </c>
      <c r="B533" t="n">
        <v>180</v>
      </c>
      <c r="C533" t="inlineStr">
        <is>
          <t>Nuv Gastrobar</t>
        </is>
      </c>
      <c r="D533" t="inlineStr">
        <is>
          <t>DTK COMERCIO DE ALIMENTOS LTDA</t>
        </is>
      </c>
      <c r="E533" t="inlineStr">
        <is>
          <t>94423</t>
        </is>
      </c>
      <c r="F533" s="525" t="n">
        <v>46245</v>
      </c>
      <c r="G533" t="n">
        <v>20672</v>
      </c>
      <c r="H533" t="inlineStr">
        <is>
          <t>EXTRATO DE TOMATE ELEFANTE C/1,7KG</t>
        </is>
      </c>
      <c r="I533" t="inlineStr">
        <is>
          <t>ALIMENTOS</t>
        </is>
      </c>
      <c r="J533" t="n">
        <v>3</v>
      </c>
      <c r="K533" t="inlineStr">
        <is>
          <t>PC</t>
        </is>
      </c>
      <c r="L533" t="n">
        <v>88.65000000000001</v>
      </c>
      <c r="M533" t="n">
        <v>29.55</v>
      </c>
      <c r="O533" t="inlineStr">
        <is>
          <t>08/2026</t>
        </is>
      </c>
    </row>
    <row r="534">
      <c r="A534" t="n">
        <v>256399</v>
      </c>
      <c r="B534" t="n">
        <v>180</v>
      </c>
      <c r="C534" t="inlineStr">
        <is>
          <t>Nuv Gastrobar</t>
        </is>
      </c>
      <c r="D534" t="inlineStr">
        <is>
          <t>DTK COMERCIO DE ALIMENTOS LTDA</t>
        </is>
      </c>
      <c r="E534" t="inlineStr">
        <is>
          <t>94423</t>
        </is>
      </c>
      <c r="F534" s="525" t="n">
        <v>46245</v>
      </c>
      <c r="G534" t="n">
        <v>20597</v>
      </c>
      <c r="H534" t="inlineStr">
        <is>
          <t>TOMATE PELADO DI SALERNO 2,55KG UN</t>
        </is>
      </c>
      <c r="I534" t="inlineStr">
        <is>
          <t>ALIMENTOS</t>
        </is>
      </c>
      <c r="J534" t="n">
        <v>6</v>
      </c>
      <c r="K534" t="inlineStr">
        <is>
          <t>UN</t>
        </is>
      </c>
      <c r="L534" t="n">
        <v>254.1</v>
      </c>
      <c r="M534" t="n">
        <v>42.35</v>
      </c>
      <c r="O534" t="inlineStr">
        <is>
          <t>08/2026</t>
        </is>
      </c>
    </row>
    <row r="535">
      <c r="A535" t="n">
        <v>256399</v>
      </c>
      <c r="B535" t="n">
        <v>180</v>
      </c>
      <c r="C535" t="inlineStr">
        <is>
          <t>Nuv Gastrobar</t>
        </is>
      </c>
      <c r="D535" t="inlineStr">
        <is>
          <t>DTK COMERCIO DE ALIMENTOS LTDA</t>
        </is>
      </c>
      <c r="E535" t="inlineStr">
        <is>
          <t>94423</t>
        </is>
      </c>
      <c r="F535" s="525" t="n">
        <v>46245</v>
      </c>
      <c r="G535" t="n">
        <v>19982</v>
      </c>
      <c r="H535" t="inlineStr">
        <is>
          <t>MOLHO INGLES CEPERA C/1L FR UN</t>
        </is>
      </c>
      <c r="I535" t="inlineStr">
        <is>
          <t>ALIMENTOS</t>
        </is>
      </c>
      <c r="J535" t="n">
        <v>2</v>
      </c>
      <c r="K535" t="inlineStr">
        <is>
          <t>FR</t>
        </is>
      </c>
      <c r="L535" t="n">
        <v>14.58</v>
      </c>
      <c r="M535" t="n">
        <v>7.29</v>
      </c>
      <c r="O535" t="inlineStr">
        <is>
          <t>08/2026</t>
        </is>
      </c>
    </row>
    <row r="536">
      <c r="A536" t="n">
        <v>256398</v>
      </c>
      <c r="B536" t="n">
        <v>180</v>
      </c>
      <c r="C536" t="inlineStr">
        <is>
          <t>Nuv Gastrobar</t>
        </is>
      </c>
      <c r="D536" t="inlineStr">
        <is>
          <t xml:space="preserve">COMERCIAL IMPORTADORA E EXPORTADORA METAPUNTO LTDA </t>
        </is>
      </c>
      <c r="E536" t="inlineStr">
        <is>
          <t>46834</t>
        </is>
      </c>
      <c r="F536" s="525" t="n">
        <v>46245</v>
      </c>
      <c r="G536" t="n">
        <v>20941</v>
      </c>
      <c r="H536" t="inlineStr">
        <is>
          <t>CHOCOLATE EM GOTAS MEIO AMARGO SICAO C/2,05KG</t>
        </is>
      </c>
      <c r="I536" t="inlineStr">
        <is>
          <t>ALIMENTOS</t>
        </is>
      </c>
      <c r="J536" t="n">
        <v>5</v>
      </c>
      <c r="K536" t="inlineStr">
        <is>
          <t>PC</t>
        </is>
      </c>
      <c r="L536" t="n">
        <v>911.5</v>
      </c>
      <c r="M536" t="n">
        <v>182.3</v>
      </c>
      <c r="O536" t="inlineStr">
        <is>
          <t>08/2026</t>
        </is>
      </c>
    </row>
    <row r="537">
      <c r="A537" t="n">
        <v>256398</v>
      </c>
      <c r="B537" t="n">
        <v>180</v>
      </c>
      <c r="C537" t="inlineStr">
        <is>
          <t>Nuv Gastrobar</t>
        </is>
      </c>
      <c r="D537" t="inlineStr">
        <is>
          <t xml:space="preserve">COMERCIAL IMPORTADORA E EXPORTADORA METAPUNTO LTDA </t>
        </is>
      </c>
      <c r="E537" t="inlineStr">
        <is>
          <t>46834</t>
        </is>
      </c>
      <c r="F537" s="525" t="n">
        <v>46245</v>
      </c>
      <c r="G537" t="n">
        <v>26187</v>
      </c>
      <c r="H537" t="inlineStr">
        <is>
          <t>CHOCOLATE EM GOTAS BRANCO SICAO 2,05KG UN</t>
        </is>
      </c>
      <c r="I537" t="inlineStr">
        <is>
          <t>ALIMENTOS</t>
        </is>
      </c>
      <c r="J537" t="n">
        <v>2</v>
      </c>
      <c r="K537" t="inlineStr">
        <is>
          <t>PC</t>
        </is>
      </c>
      <c r="L537" t="n">
        <v>419.8</v>
      </c>
      <c r="M537" t="n">
        <v>209.9</v>
      </c>
      <c r="O537" t="inlineStr">
        <is>
          <t>08/2026</t>
        </is>
      </c>
    </row>
    <row r="538">
      <c r="A538" t="n">
        <v>256397</v>
      </c>
      <c r="B538" t="n">
        <v>180</v>
      </c>
      <c r="C538" t="inlineStr">
        <is>
          <t>Nuv Gastrobar</t>
        </is>
      </c>
      <c r="D538" t="inlineStr">
        <is>
          <t>DISTRIBUIDORA E IMPORTADORA IRMAOS AVELINO LTDA</t>
        </is>
      </c>
      <c r="E538" t="inlineStr">
        <is>
          <t>504512</t>
        </is>
      </c>
      <c r="F538" s="525" t="n">
        <v>46245</v>
      </c>
      <c r="G538" t="n">
        <v>19439</v>
      </c>
      <c r="H538" t="inlineStr">
        <is>
          <t>CREAM CHEESE DANUBIO C/1KG</t>
        </is>
      </c>
      <c r="I538" t="inlineStr">
        <is>
          <t>ALIMENTOS</t>
        </is>
      </c>
      <c r="J538" t="n">
        <v>6</v>
      </c>
      <c r="K538" t="inlineStr">
        <is>
          <t>PC</t>
        </is>
      </c>
      <c r="L538" t="n">
        <v>167.4</v>
      </c>
      <c r="M538" t="n">
        <v>27.9</v>
      </c>
      <c r="O538" t="inlineStr">
        <is>
          <t>08/2026</t>
        </is>
      </c>
    </row>
    <row r="539">
      <c r="A539" t="n">
        <v>256397</v>
      </c>
      <c r="B539" t="n">
        <v>180</v>
      </c>
      <c r="C539" t="inlineStr">
        <is>
          <t>Nuv Gastrobar</t>
        </is>
      </c>
      <c r="D539" t="inlineStr">
        <is>
          <t>DISTRIBUIDORA E IMPORTADORA IRMAOS AVELINO LTDA</t>
        </is>
      </c>
      <c r="E539" t="inlineStr">
        <is>
          <t>504512</t>
        </is>
      </c>
      <c r="F539" s="525" t="n">
        <v>46245</v>
      </c>
      <c r="G539" t="n">
        <v>18984</v>
      </c>
      <c r="H539" t="inlineStr">
        <is>
          <t>PEITO DE PERU DEFUMADO SEARA KG</t>
        </is>
      </c>
      <c r="I539" t="inlineStr">
        <is>
          <t>ALIMENTOS</t>
        </is>
      </c>
      <c r="J539" t="n">
        <v>5.2</v>
      </c>
      <c r="K539" t="inlineStr">
        <is>
          <t>Kg</t>
        </is>
      </c>
      <c r="L539" t="n">
        <v>276.74</v>
      </c>
      <c r="M539" t="n">
        <v>53.219231</v>
      </c>
      <c r="O539" t="inlineStr">
        <is>
          <t>08/2026</t>
        </is>
      </c>
    </row>
    <row r="540">
      <c r="A540" t="n">
        <v>256397</v>
      </c>
      <c r="B540" t="n">
        <v>180</v>
      </c>
      <c r="C540" t="inlineStr">
        <is>
          <t>Nuv Gastrobar</t>
        </is>
      </c>
      <c r="D540" t="inlineStr">
        <is>
          <t>DISTRIBUIDORA E IMPORTADORA IRMAOS AVELINO LTDA</t>
        </is>
      </c>
      <c r="E540" t="inlineStr">
        <is>
          <t>504512</t>
        </is>
      </c>
      <c r="F540" s="525" t="n">
        <v>46245</v>
      </c>
      <c r="G540" t="n">
        <v>19188</v>
      </c>
      <c r="H540" t="inlineStr">
        <is>
          <t>QUEIJO RICOTA KG</t>
        </is>
      </c>
      <c r="I540" t="inlineStr">
        <is>
          <t>ALIMENTOS</t>
        </is>
      </c>
      <c r="J540" t="n">
        <v>2.02</v>
      </c>
      <c r="K540" t="inlineStr">
        <is>
          <t>KG</t>
        </is>
      </c>
      <c r="L540" t="n">
        <v>28.64</v>
      </c>
      <c r="M540" t="n">
        <v>14.178218</v>
      </c>
      <c r="O540" t="inlineStr">
        <is>
          <t>08/2026</t>
        </is>
      </c>
    </row>
    <row r="541">
      <c r="A541" t="n">
        <v>256396</v>
      </c>
      <c r="B541" t="n">
        <v>180</v>
      </c>
      <c r="C541" t="inlineStr">
        <is>
          <t>Nuv Gastrobar</t>
        </is>
      </c>
      <c r="D541" t="inlineStr">
        <is>
          <t>MURILLO S DUARTE COMERCIAL LTDA</t>
        </is>
      </c>
      <c r="E541" t="inlineStr">
        <is>
          <t>2681</t>
        </is>
      </c>
      <c r="F541" s="525" t="n">
        <v>46246</v>
      </c>
      <c r="G541" t="n">
        <v>20861</v>
      </c>
      <c r="H541" t="inlineStr">
        <is>
          <t>GEMA DE OVO PASTEURIZADA NETTO C/1KG UN</t>
        </is>
      </c>
      <c r="I541" t="inlineStr">
        <is>
          <t>ALIMENTOS</t>
        </is>
      </c>
      <c r="J541" t="n">
        <v>12</v>
      </c>
      <c r="K541" t="inlineStr">
        <is>
          <t>UN</t>
        </is>
      </c>
      <c r="L541" t="n">
        <v>560.4</v>
      </c>
      <c r="M541" t="n">
        <v>46.7</v>
      </c>
      <c r="O541" t="inlineStr">
        <is>
          <t>08/2026</t>
        </is>
      </c>
    </row>
    <row r="542">
      <c r="A542" t="n">
        <v>256396</v>
      </c>
      <c r="B542" t="n">
        <v>180</v>
      </c>
      <c r="C542" t="inlineStr">
        <is>
          <t>Nuv Gastrobar</t>
        </is>
      </c>
      <c r="D542" t="inlineStr">
        <is>
          <t>MURILLO S DUARTE COMERCIAL LTDA</t>
        </is>
      </c>
      <c r="E542" t="inlineStr">
        <is>
          <t>2681</t>
        </is>
      </c>
      <c r="F542" s="525" t="n">
        <v>46246</v>
      </c>
      <c r="G542" t="n">
        <v>19088</v>
      </c>
      <c r="H542" t="inlineStr">
        <is>
          <t>PAO SIRIO UN</t>
        </is>
      </c>
      <c r="I542" t="inlineStr">
        <is>
          <t>ALIMENTOS</t>
        </is>
      </c>
      <c r="J542" t="n">
        <v>12</v>
      </c>
      <c r="K542" t="inlineStr">
        <is>
          <t>UN</t>
        </is>
      </c>
      <c r="L542" t="n">
        <v>178.8</v>
      </c>
      <c r="M542" t="n">
        <v>14.9</v>
      </c>
      <c r="O542" t="inlineStr">
        <is>
          <t>08/2026</t>
        </is>
      </c>
    </row>
    <row r="543">
      <c r="A543" t="n">
        <v>256395</v>
      </c>
      <c r="B543" t="n">
        <v>180</v>
      </c>
      <c r="C543" t="inlineStr">
        <is>
          <t>Nuv Gastrobar</t>
        </is>
      </c>
      <c r="D543" t="inlineStr">
        <is>
          <t>MURILLO S DUARTE COMERCIAL LTDA</t>
        </is>
      </c>
      <c r="E543" t="inlineStr">
        <is>
          <t>2677</t>
        </is>
      </c>
      <c r="F543" s="525" t="n">
        <v>46245</v>
      </c>
      <c r="G543" t="n">
        <v>20948</v>
      </c>
      <c r="H543" t="inlineStr">
        <is>
          <t>OLEO DE COCO C/200ML UN</t>
        </is>
      </c>
      <c r="I543" t="inlineStr">
        <is>
          <t>ALIMENTOS</t>
        </is>
      </c>
      <c r="J543" t="n">
        <v>5</v>
      </c>
      <c r="K543" t="inlineStr">
        <is>
          <t>UN</t>
        </is>
      </c>
      <c r="L543" t="n">
        <v>88.5</v>
      </c>
      <c r="M543" t="n">
        <v>17.7</v>
      </c>
      <c r="O543" t="inlineStr">
        <is>
          <t>08/2026</t>
        </is>
      </c>
    </row>
    <row r="544">
      <c r="A544" t="n">
        <v>256395</v>
      </c>
      <c r="B544" t="n">
        <v>180</v>
      </c>
      <c r="C544" t="inlineStr">
        <is>
          <t>Nuv Gastrobar</t>
        </is>
      </c>
      <c r="D544" t="inlineStr">
        <is>
          <t>MURILLO S DUARTE COMERCIAL LTDA</t>
        </is>
      </c>
      <c r="E544" t="inlineStr">
        <is>
          <t>2677</t>
        </is>
      </c>
      <c r="F544" s="525" t="n">
        <v>46245</v>
      </c>
      <c r="G544" t="n">
        <v>20575</v>
      </c>
      <c r="H544" t="inlineStr">
        <is>
          <t>PEPINO EM CONSERVA YGUARA 2KG</t>
        </is>
      </c>
      <c r="I544" t="inlineStr">
        <is>
          <t>ALIMENTOS</t>
        </is>
      </c>
      <c r="J544" t="n">
        <v>2</v>
      </c>
      <c r="K544" t="inlineStr">
        <is>
          <t>UN</t>
        </is>
      </c>
      <c r="L544" t="n">
        <v>69</v>
      </c>
      <c r="M544" t="n">
        <v>34.5</v>
      </c>
      <c r="O544" t="inlineStr">
        <is>
          <t>08/2026</t>
        </is>
      </c>
    </row>
    <row r="545">
      <c r="A545" t="n">
        <v>256395</v>
      </c>
      <c r="B545" t="n">
        <v>180</v>
      </c>
      <c r="C545" t="inlineStr">
        <is>
          <t>Nuv Gastrobar</t>
        </is>
      </c>
      <c r="D545" t="inlineStr">
        <is>
          <t>MURILLO S DUARTE COMERCIAL LTDA</t>
        </is>
      </c>
      <c r="E545" t="inlineStr">
        <is>
          <t>2677</t>
        </is>
      </c>
      <c r="F545" s="525" t="n">
        <v>46245</v>
      </c>
      <c r="G545" t="n">
        <v>24041</v>
      </c>
      <c r="H545" t="inlineStr">
        <is>
          <t>AMENDOIM CRU S/ PELE KG</t>
        </is>
      </c>
      <c r="I545" t="inlineStr">
        <is>
          <t>ALIMENTOS</t>
        </is>
      </c>
      <c r="J545" t="n">
        <v>1</v>
      </c>
      <c r="K545" t="inlineStr">
        <is>
          <t>KG</t>
        </is>
      </c>
      <c r="L545" t="n">
        <v>16.9</v>
      </c>
      <c r="M545" t="n">
        <v>16.9</v>
      </c>
      <c r="O545" t="inlineStr">
        <is>
          <t>08/2026</t>
        </is>
      </c>
    </row>
    <row r="546">
      <c r="A546" t="n">
        <v>256395</v>
      </c>
      <c r="B546" t="n">
        <v>180</v>
      </c>
      <c r="C546" t="inlineStr">
        <is>
          <t>Nuv Gastrobar</t>
        </is>
      </c>
      <c r="D546" t="inlineStr">
        <is>
          <t>MURILLO S DUARTE COMERCIAL LTDA</t>
        </is>
      </c>
      <c r="E546" t="inlineStr">
        <is>
          <t>2677</t>
        </is>
      </c>
      <c r="F546" s="525" t="n">
        <v>46245</v>
      </c>
      <c r="G546" t="n">
        <v>23229</v>
      </c>
      <c r="H546" t="inlineStr">
        <is>
          <t>CHIPS DE MANDIOCA KG</t>
        </is>
      </c>
      <c r="I546" t="inlineStr">
        <is>
          <t>ALIMENTOS</t>
        </is>
      </c>
      <c r="J546" t="n">
        <v>2</v>
      </c>
      <c r="K546" t="inlineStr">
        <is>
          <t>KG</t>
        </is>
      </c>
      <c r="L546" t="n">
        <v>254</v>
      </c>
      <c r="M546" t="n">
        <v>127</v>
      </c>
      <c r="O546" t="inlineStr">
        <is>
          <t>08/2026</t>
        </is>
      </c>
    </row>
    <row r="547">
      <c r="A547" t="n">
        <v>256395</v>
      </c>
      <c r="B547" t="n">
        <v>180</v>
      </c>
      <c r="C547" t="inlineStr">
        <is>
          <t>Nuv Gastrobar</t>
        </is>
      </c>
      <c r="D547" t="inlineStr">
        <is>
          <t>MURILLO S DUARTE COMERCIAL LTDA</t>
        </is>
      </c>
      <c r="E547" t="inlineStr">
        <is>
          <t>2677</t>
        </is>
      </c>
      <c r="F547" s="525" t="n">
        <v>46245</v>
      </c>
      <c r="G547" t="n">
        <v>20666</v>
      </c>
      <c r="H547" t="inlineStr">
        <is>
          <t>FILE DE ANCHOVA EM CONSERVA DI SALERNO 500G</t>
        </is>
      </c>
      <c r="I547" t="inlineStr">
        <is>
          <t>ALIMENTOS</t>
        </is>
      </c>
      <c r="J547" t="n">
        <v>1</v>
      </c>
      <c r="K547" t="inlineStr">
        <is>
          <t>UN</t>
        </is>
      </c>
      <c r="L547" t="n">
        <v>236.9</v>
      </c>
      <c r="M547" t="n">
        <v>236.9</v>
      </c>
      <c r="O547" t="inlineStr">
        <is>
          <t>08/2026</t>
        </is>
      </c>
    </row>
    <row r="548">
      <c r="A548" t="n">
        <v>256395</v>
      </c>
      <c r="B548" t="n">
        <v>180</v>
      </c>
      <c r="C548" t="inlineStr">
        <is>
          <t>Nuv Gastrobar</t>
        </is>
      </c>
      <c r="D548" t="inlineStr">
        <is>
          <t>MURILLO S DUARTE COMERCIAL LTDA</t>
        </is>
      </c>
      <c r="E548" t="inlineStr">
        <is>
          <t>2677</t>
        </is>
      </c>
      <c r="F548" s="525" t="n">
        <v>46245</v>
      </c>
      <c r="G548" t="n">
        <v>24036</v>
      </c>
      <c r="H548" t="inlineStr">
        <is>
          <t>ALHO EM PO 1KG UN</t>
        </is>
      </c>
      <c r="I548" t="inlineStr">
        <is>
          <t>ALIMENTOS</t>
        </is>
      </c>
      <c r="J548" t="n">
        <v>1</v>
      </c>
      <c r="K548" t="inlineStr">
        <is>
          <t>UN</t>
        </is>
      </c>
      <c r="L548" t="n">
        <v>14.3</v>
      </c>
      <c r="M548" t="n">
        <v>14.3</v>
      </c>
      <c r="O548" t="inlineStr">
        <is>
          <t>08/2026</t>
        </is>
      </c>
    </row>
    <row r="549">
      <c r="A549" t="n">
        <v>256394</v>
      </c>
      <c r="B549" t="n">
        <v>180</v>
      </c>
      <c r="C549" t="inlineStr">
        <is>
          <t>Nuv Gastrobar</t>
        </is>
      </c>
      <c r="D549" t="inlineStr">
        <is>
          <t>MURILLO S DUARTE COMERCIAL LTDA</t>
        </is>
      </c>
      <c r="E549" t="inlineStr">
        <is>
          <t>2662</t>
        </is>
      </c>
      <c r="F549" s="525" t="n">
        <v>46245</v>
      </c>
      <c r="G549" t="n">
        <v>21432</v>
      </c>
      <c r="H549" t="inlineStr">
        <is>
          <t>SACO CRISTAL 20X30 (PACOTE C/5KG)</t>
        </is>
      </c>
      <c r="I549" t="inlineStr">
        <is>
          <t>DESCARTAVEIS/HIGIENE E LIMPEZA</t>
        </is>
      </c>
      <c r="J549" t="n">
        <v>1</v>
      </c>
      <c r="K549" t="inlineStr">
        <is>
          <t>PC</t>
        </is>
      </c>
      <c r="L549" t="n">
        <v>162.9</v>
      </c>
      <c r="M549" t="n">
        <v>162.9</v>
      </c>
      <c r="O549" t="inlineStr">
        <is>
          <t>08/2026</t>
        </is>
      </c>
    </row>
    <row r="550">
      <c r="A550" t="n">
        <v>256394</v>
      </c>
      <c r="B550" t="n">
        <v>180</v>
      </c>
      <c r="C550" t="inlineStr">
        <is>
          <t>Nuv Gastrobar</t>
        </is>
      </c>
      <c r="D550" t="inlineStr">
        <is>
          <t>MURILLO S DUARTE COMERCIAL LTDA</t>
        </is>
      </c>
      <c r="E550" t="inlineStr">
        <is>
          <t>2662</t>
        </is>
      </c>
      <c r="F550" s="525" t="n">
        <v>46245</v>
      </c>
      <c r="G550" t="n">
        <v>17573</v>
      </c>
      <c r="H550" t="inlineStr">
        <is>
          <t>BOBINA TERMICA DE PDV PALHA 80X30 C/30UN</t>
        </is>
      </c>
      <c r="I550" t="inlineStr">
        <is>
          <t>DESCARTAVEIS/HIGIENE E LIMPEZA</t>
        </is>
      </c>
      <c r="J550" t="n">
        <v>1</v>
      </c>
      <c r="K550" t="inlineStr">
        <is>
          <t>CX</t>
        </is>
      </c>
      <c r="L550" t="n">
        <v>74.90000000000001</v>
      </c>
      <c r="M550" t="n">
        <v>74.90000000000001</v>
      </c>
      <c r="O550" t="inlineStr">
        <is>
          <t>08/2026</t>
        </is>
      </c>
    </row>
    <row r="551">
      <c r="A551" t="n">
        <v>256394</v>
      </c>
      <c r="B551" t="n">
        <v>180</v>
      </c>
      <c r="C551" t="inlineStr">
        <is>
          <t>Nuv Gastrobar</t>
        </is>
      </c>
      <c r="D551" t="inlineStr">
        <is>
          <t>MURILLO S DUARTE COMERCIAL LTDA</t>
        </is>
      </c>
      <c r="E551" t="inlineStr">
        <is>
          <t>2662</t>
        </is>
      </c>
      <c r="F551" s="525" t="n">
        <v>46245</v>
      </c>
      <c r="G551" t="n">
        <v>21433</v>
      </c>
      <c r="H551" t="inlineStr">
        <is>
          <t xml:space="preserve">SACO CRISTAL 30X40 0,20 (PACOTE C/5KG) </t>
        </is>
      </c>
      <c r="I551" t="inlineStr">
        <is>
          <t>DESCARTAVEIS/HIGIENE E LIMPEZA</t>
        </is>
      </c>
      <c r="J551" t="n">
        <v>2</v>
      </c>
      <c r="K551" t="inlineStr">
        <is>
          <t>PC</t>
        </is>
      </c>
      <c r="L551" t="n">
        <v>325.8</v>
      </c>
      <c r="M551" t="n">
        <v>162.9</v>
      </c>
      <c r="O551" t="inlineStr">
        <is>
          <t>08/2026</t>
        </is>
      </c>
    </row>
    <row r="552">
      <c r="A552" t="n">
        <v>256394</v>
      </c>
      <c r="B552" t="n">
        <v>180</v>
      </c>
      <c r="C552" t="inlineStr">
        <is>
          <t>Nuv Gastrobar</t>
        </is>
      </c>
      <c r="D552" t="inlineStr">
        <is>
          <t>MURILLO S DUARTE COMERCIAL LTDA</t>
        </is>
      </c>
      <c r="E552" t="inlineStr">
        <is>
          <t>2662</t>
        </is>
      </c>
      <c r="F552" s="525" t="n">
        <v>46245</v>
      </c>
      <c r="G552" t="n">
        <v>17564</v>
      </c>
      <c r="H552" t="inlineStr">
        <is>
          <t>BOBINA DE PLÁSTICO FILME PVC  60CMX600M UN</t>
        </is>
      </c>
      <c r="I552" t="inlineStr">
        <is>
          <t>DESCARTAVEIS/HIGIENE E LIMPEZA</t>
        </is>
      </c>
      <c r="J552" t="n">
        <v>1</v>
      </c>
      <c r="K552" t="inlineStr">
        <is>
          <t>UN</t>
        </is>
      </c>
      <c r="L552" t="n">
        <v>58.82</v>
      </c>
      <c r="M552" t="n">
        <v>58.82</v>
      </c>
      <c r="O552" t="inlineStr">
        <is>
          <t>08/2026</t>
        </is>
      </c>
    </row>
    <row r="553">
      <c r="A553" t="n">
        <v>256394</v>
      </c>
      <c r="B553" t="n">
        <v>180</v>
      </c>
      <c r="C553" t="inlineStr">
        <is>
          <t>Nuv Gastrobar</t>
        </is>
      </c>
      <c r="D553" t="inlineStr">
        <is>
          <t>MURILLO S DUARTE COMERCIAL LTDA</t>
        </is>
      </c>
      <c r="E553" t="inlineStr">
        <is>
          <t>2662</t>
        </is>
      </c>
      <c r="F553" s="525" t="n">
        <v>46245</v>
      </c>
      <c r="G553" t="n">
        <v>24586</v>
      </c>
      <c r="H553" t="inlineStr">
        <is>
          <t>SACO CRISTAL 40X60 0,20 C/5KG</t>
        </is>
      </c>
      <c r="I553" t="inlineStr">
        <is>
          <t>DESCARTAVEIS/HIGIENE E LIMPEZA</t>
        </is>
      </c>
      <c r="J553" t="n">
        <v>1</v>
      </c>
      <c r="K553" t="inlineStr">
        <is>
          <t>PC</t>
        </is>
      </c>
      <c r="L553" t="n">
        <v>162.9</v>
      </c>
      <c r="M553" t="n">
        <v>162.9</v>
      </c>
      <c r="O553" t="inlineStr">
        <is>
          <t>08/2026</t>
        </is>
      </c>
    </row>
    <row r="554">
      <c r="A554" t="n">
        <v>256394</v>
      </c>
      <c r="B554" t="n">
        <v>180</v>
      </c>
      <c r="C554" t="inlineStr">
        <is>
          <t>Nuv Gastrobar</t>
        </is>
      </c>
      <c r="D554" t="inlineStr">
        <is>
          <t>MURILLO S DUARTE COMERCIAL LTDA</t>
        </is>
      </c>
      <c r="E554" t="inlineStr">
        <is>
          <t>2662</t>
        </is>
      </c>
      <c r="F554" s="525" t="n">
        <v>46245</v>
      </c>
      <c r="G554" t="n">
        <v>17045</v>
      </c>
      <c r="H554" t="inlineStr">
        <is>
          <t>PAPEL ALUMINIO ROLO LIFE CLEAN 30X100M UN</t>
        </is>
      </c>
      <c r="I554" t="inlineStr">
        <is>
          <t>DESCARTAVEIS/HIGIENE E LIMPEZA</t>
        </is>
      </c>
      <c r="J554" t="n">
        <v>1</v>
      </c>
      <c r="K554" t="inlineStr">
        <is>
          <t>UN</t>
        </is>
      </c>
      <c r="L554" t="n">
        <v>41.9</v>
      </c>
      <c r="M554" t="n">
        <v>41.9</v>
      </c>
      <c r="O554" t="inlineStr">
        <is>
          <t>08/2026</t>
        </is>
      </c>
    </row>
    <row r="555">
      <c r="A555" t="n">
        <v>256393</v>
      </c>
      <c r="B555" t="n">
        <v>180</v>
      </c>
      <c r="C555" t="inlineStr">
        <is>
          <t>Nuv Gastrobar</t>
        </is>
      </c>
      <c r="D555" t="inlineStr">
        <is>
          <t>EMPORIO M&amp;L COMERCIO DE ALIM E BEBIDAS LTDA</t>
        </is>
      </c>
      <c r="E555" t="inlineStr">
        <is>
          <t>527652</t>
        </is>
      </c>
      <c r="F555" s="525" t="n">
        <v>46246</v>
      </c>
      <c r="G555" t="n">
        <v>21010</v>
      </c>
      <c r="H555" t="inlineStr">
        <is>
          <t>OLEO DE CANOLA SAUDE C/900ML UN</t>
        </is>
      </c>
      <c r="I555" t="inlineStr">
        <is>
          <t>ALIMENTOS</t>
        </is>
      </c>
      <c r="J555" t="n">
        <v>20</v>
      </c>
      <c r="K555" t="inlineStr">
        <is>
          <t>UN</t>
        </is>
      </c>
      <c r="L555" t="n">
        <v>234</v>
      </c>
      <c r="M555" t="n">
        <v>11.7</v>
      </c>
      <c r="O555" t="inlineStr">
        <is>
          <t>08/2026</t>
        </is>
      </c>
    </row>
    <row r="556">
      <c r="A556" t="n">
        <v>256392</v>
      </c>
      <c r="B556" t="n">
        <v>180</v>
      </c>
      <c r="C556" t="inlineStr">
        <is>
          <t>Nuv Gastrobar</t>
        </is>
      </c>
      <c r="D556" t="inlineStr">
        <is>
          <t>FNS COMERCIO E IMPORTAÇÃO LTDA</t>
        </is>
      </c>
      <c r="E556" t="inlineStr">
        <is>
          <t>404350</t>
        </is>
      </c>
      <c r="F556" s="525" t="n">
        <v>46246</v>
      </c>
      <c r="G556" t="n">
        <v>29898</v>
      </c>
      <c r="H556" t="inlineStr">
        <is>
          <t>TAMPA PARA POTE PAPEL KRAFT PARA MOLHO 30ML CX/2000UN</t>
        </is>
      </c>
      <c r="I556" t="inlineStr">
        <is>
          <t>DESPESAS OPERACIONAIS</t>
        </is>
      </c>
      <c r="J556" t="n">
        <v>1</v>
      </c>
      <c r="K556" t="inlineStr">
        <is>
          <t>CX</t>
        </is>
      </c>
      <c r="L556" t="n">
        <v>140.95</v>
      </c>
      <c r="M556" t="n">
        <v>140.95</v>
      </c>
      <c r="O556" t="inlineStr">
        <is>
          <t>08/2026</t>
        </is>
      </c>
    </row>
    <row r="557">
      <c r="A557" t="n">
        <v>256392</v>
      </c>
      <c r="B557" t="n">
        <v>180</v>
      </c>
      <c r="C557" t="inlineStr">
        <is>
          <t>Nuv Gastrobar</t>
        </is>
      </c>
      <c r="D557" t="inlineStr">
        <is>
          <t>FNS COMERCIO E IMPORTAÇÃO LTDA</t>
        </is>
      </c>
      <c r="E557" t="inlineStr">
        <is>
          <t>404350</t>
        </is>
      </c>
      <c r="F557" s="525" t="n">
        <v>46246</v>
      </c>
      <c r="G557" t="n">
        <v>29897</v>
      </c>
      <c r="H557" t="inlineStr">
        <is>
          <t>POTE PAPEL KRAFT PARA MOLHO 30ML CX/2000UN</t>
        </is>
      </c>
      <c r="I557" t="inlineStr">
        <is>
          <t>DESPESAS OPERACIONAIS</t>
        </is>
      </c>
      <c r="J557" t="n">
        <v>2</v>
      </c>
      <c r="K557" t="inlineStr">
        <is>
          <t>CX</t>
        </is>
      </c>
      <c r="L557" t="n">
        <v>315.26</v>
      </c>
      <c r="M557" t="n">
        <v>157.63</v>
      </c>
      <c r="O557" t="inlineStr">
        <is>
          <t>08/2026</t>
        </is>
      </c>
    </row>
    <row r="558">
      <c r="A558" t="n">
        <v>256391</v>
      </c>
      <c r="B558" t="n">
        <v>180</v>
      </c>
      <c r="C558" t="inlineStr">
        <is>
          <t>Nuv Gastrobar</t>
        </is>
      </c>
      <c r="D558" t="inlineStr">
        <is>
          <t>CECILIA TSUYACO ARAKI SILVA LTDA</t>
        </is>
      </c>
      <c r="E558" t="inlineStr">
        <is>
          <t>397304</t>
        </is>
      </c>
      <c r="F558" s="525" t="n">
        <v>46246</v>
      </c>
      <c r="G558" t="n">
        <v>19751</v>
      </c>
      <c r="H558" t="inlineStr">
        <is>
          <t>LIMAO SICILIANO KG</t>
        </is>
      </c>
      <c r="I558" t="inlineStr">
        <is>
          <t>ALIMENTOS</t>
        </is>
      </c>
      <c r="J558" t="n">
        <v>35</v>
      </c>
      <c r="K558" t="inlineStr">
        <is>
          <t>KG</t>
        </is>
      </c>
      <c r="L558" t="n">
        <v>255.5</v>
      </c>
      <c r="M558" t="n">
        <v>7.3</v>
      </c>
      <c r="O558" t="inlineStr">
        <is>
          <t>08/2026</t>
        </is>
      </c>
    </row>
    <row r="559">
      <c r="A559" t="n">
        <v>256389</v>
      </c>
      <c r="B559" t="n">
        <v>180</v>
      </c>
      <c r="C559" t="inlineStr">
        <is>
          <t>Nuv Gastrobar</t>
        </is>
      </c>
      <c r="D559" t="inlineStr">
        <is>
          <t>DISTRIBUIDORA E IMPORTADORA IRMAOS AVELINO LTDA</t>
        </is>
      </c>
      <c r="E559" t="inlineStr">
        <is>
          <t>505069</t>
        </is>
      </c>
      <c r="F559" s="525" t="n">
        <v>46245</v>
      </c>
      <c r="G559" t="n">
        <v>25312</v>
      </c>
      <c r="H559" t="inlineStr">
        <is>
          <t xml:space="preserve">QUEIJO  REQUEIJAO TIROLEZ C/1,5KG </t>
        </is>
      </c>
      <c r="I559" t="inlineStr">
        <is>
          <t>ALIMENTOS</t>
        </is>
      </c>
      <c r="J559" t="n">
        <v>3</v>
      </c>
      <c r="K559" t="inlineStr">
        <is>
          <t>PC</t>
        </is>
      </c>
      <c r="L559" t="n">
        <v>134.97</v>
      </c>
      <c r="M559" t="n">
        <v>44.99</v>
      </c>
      <c r="O559" t="inlineStr">
        <is>
          <t>08/2026</t>
        </is>
      </c>
    </row>
    <row r="560">
      <c r="A560" t="n">
        <v>256389</v>
      </c>
      <c r="B560" t="n">
        <v>180</v>
      </c>
      <c r="C560" t="inlineStr">
        <is>
          <t>Nuv Gastrobar</t>
        </is>
      </c>
      <c r="D560" t="inlineStr">
        <is>
          <t>DISTRIBUIDORA E IMPORTADORA IRMAOS AVELINO LTDA</t>
        </is>
      </c>
      <c r="E560" t="inlineStr">
        <is>
          <t>505069</t>
        </is>
      </c>
      <c r="F560" s="525" t="n">
        <v>46245</v>
      </c>
      <c r="G560" t="n">
        <v>24040</v>
      </c>
      <c r="H560" t="inlineStr">
        <is>
          <t>AMENDOA LAMINADA KG</t>
        </is>
      </c>
      <c r="I560" t="inlineStr">
        <is>
          <t>ALIMENTOS</t>
        </is>
      </c>
      <c r="J560" t="n">
        <v>1</v>
      </c>
      <c r="K560" t="inlineStr">
        <is>
          <t>KG</t>
        </is>
      </c>
      <c r="L560" t="n">
        <v>72.98999999999999</v>
      </c>
      <c r="M560" t="n">
        <v>72.98999999999999</v>
      </c>
      <c r="O560" t="inlineStr">
        <is>
          <t>08/2026</t>
        </is>
      </c>
    </row>
    <row r="561">
      <c r="A561" t="n">
        <v>256389</v>
      </c>
      <c r="B561" t="n">
        <v>180</v>
      </c>
      <c r="C561" t="inlineStr">
        <is>
          <t>Nuv Gastrobar</t>
        </is>
      </c>
      <c r="D561" t="inlineStr">
        <is>
          <t>DISTRIBUIDORA E IMPORTADORA IRMAOS AVELINO LTDA</t>
        </is>
      </c>
      <c r="E561" t="inlineStr">
        <is>
          <t>505069</t>
        </is>
      </c>
      <c r="F561" s="525" t="n">
        <v>46245</v>
      </c>
      <c r="G561" t="n">
        <v>19710</v>
      </c>
      <c r="H561" t="inlineStr">
        <is>
          <t>UVA PASSA PRETA SEM SEMENTE C/1KG</t>
        </is>
      </c>
      <c r="I561" t="inlineStr">
        <is>
          <t>ALIMENTOS</t>
        </is>
      </c>
      <c r="J561" t="n">
        <v>2</v>
      </c>
      <c r="K561" t="inlineStr">
        <is>
          <t>Pc</t>
        </is>
      </c>
      <c r="L561" t="n">
        <v>36.94</v>
      </c>
      <c r="M561" t="n">
        <v>18.47</v>
      </c>
      <c r="O561" t="inlineStr">
        <is>
          <t>08/2026</t>
        </is>
      </c>
    </row>
    <row r="562">
      <c r="A562" t="n">
        <v>256389</v>
      </c>
      <c r="B562" t="n">
        <v>180</v>
      </c>
      <c r="C562" t="inlineStr">
        <is>
          <t>Nuv Gastrobar</t>
        </is>
      </c>
      <c r="D562" t="inlineStr">
        <is>
          <t>DISTRIBUIDORA E IMPORTADORA IRMAOS AVELINO LTDA</t>
        </is>
      </c>
      <c r="E562" t="inlineStr">
        <is>
          <t>505069</t>
        </is>
      </c>
      <c r="F562" s="525" t="n">
        <v>46245</v>
      </c>
      <c r="G562" t="n">
        <v>24438</v>
      </c>
      <c r="H562" t="inlineStr">
        <is>
          <t>QUEIJO GOUDA KG</t>
        </is>
      </c>
      <c r="I562" t="inlineStr">
        <is>
          <t>ALIMENTOS</t>
        </is>
      </c>
      <c r="J562" t="n">
        <v>2.86</v>
      </c>
      <c r="K562" t="inlineStr">
        <is>
          <t>KG</t>
        </is>
      </c>
      <c r="L562" t="n">
        <v>178.44</v>
      </c>
      <c r="M562" t="n">
        <v>62.391608</v>
      </c>
      <c r="O562" t="inlineStr">
        <is>
          <t>08/2026</t>
        </is>
      </c>
    </row>
    <row r="563">
      <c r="A563" t="n">
        <v>256389</v>
      </c>
      <c r="B563" t="n">
        <v>180</v>
      </c>
      <c r="C563" t="inlineStr">
        <is>
          <t>Nuv Gastrobar</t>
        </is>
      </c>
      <c r="D563" t="inlineStr">
        <is>
          <t>DISTRIBUIDORA E IMPORTADORA IRMAOS AVELINO LTDA</t>
        </is>
      </c>
      <c r="E563" t="inlineStr">
        <is>
          <t>505069</t>
        </is>
      </c>
      <c r="F563" s="525" t="n">
        <v>46245</v>
      </c>
      <c r="G563" t="n">
        <v>30006</v>
      </c>
      <c r="H563" t="inlineStr">
        <is>
          <t>MANTEIGA SEM SAL TIROLEZ 5KG UN</t>
        </is>
      </c>
      <c r="I563" t="inlineStr">
        <is>
          <t>ALIMENTOS</t>
        </is>
      </c>
      <c r="J563" t="n">
        <v>2</v>
      </c>
      <c r="K563" t="inlineStr">
        <is>
          <t>UN</t>
        </is>
      </c>
      <c r="L563" t="n">
        <v>311.98</v>
      </c>
      <c r="M563" t="n">
        <v>155.99</v>
      </c>
      <c r="O563" t="inlineStr">
        <is>
          <t>08/2026</t>
        </is>
      </c>
    </row>
    <row r="564">
      <c r="A564" t="n">
        <v>256389</v>
      </c>
      <c r="B564" t="n">
        <v>180</v>
      </c>
      <c r="C564" t="inlineStr">
        <is>
          <t>Nuv Gastrobar</t>
        </is>
      </c>
      <c r="D564" t="inlineStr">
        <is>
          <t>DISTRIBUIDORA E IMPORTADORA IRMAOS AVELINO LTDA</t>
        </is>
      </c>
      <c r="E564" t="inlineStr">
        <is>
          <t>505069</t>
        </is>
      </c>
      <c r="F564" s="525" t="n">
        <v>46245</v>
      </c>
      <c r="G564" t="n">
        <v>23548</v>
      </c>
      <c r="H564" t="inlineStr">
        <is>
          <t>CANELA EM PAU KG</t>
        </is>
      </c>
      <c r="I564" t="inlineStr">
        <is>
          <t>ALIMENTOS</t>
        </is>
      </c>
      <c r="J564" t="n">
        <v>1</v>
      </c>
      <c r="K564" t="inlineStr">
        <is>
          <t>KG</t>
        </is>
      </c>
      <c r="L564" t="n">
        <v>43.98</v>
      </c>
      <c r="M564" t="n">
        <v>43.98</v>
      </c>
      <c r="O564" t="inlineStr">
        <is>
          <t>08/2026</t>
        </is>
      </c>
    </row>
    <row r="565">
      <c r="A565" t="n">
        <v>256389</v>
      </c>
      <c r="B565" t="n">
        <v>180</v>
      </c>
      <c r="C565" t="inlineStr">
        <is>
          <t>Nuv Gastrobar</t>
        </is>
      </c>
      <c r="D565" t="inlineStr">
        <is>
          <t>DISTRIBUIDORA E IMPORTADORA IRMAOS AVELINO LTDA</t>
        </is>
      </c>
      <c r="E565" t="inlineStr">
        <is>
          <t>505069</t>
        </is>
      </c>
      <c r="F565" s="525" t="n">
        <v>46245</v>
      </c>
      <c r="G565" t="n">
        <v>23074</v>
      </c>
      <c r="H565" t="inlineStr">
        <is>
          <t>QUEIJO EMMENTAL KG</t>
        </is>
      </c>
      <c r="I565" t="inlineStr">
        <is>
          <t>ALIMENTOS</t>
        </is>
      </c>
      <c r="J565" t="n">
        <v>9.66</v>
      </c>
      <c r="K565" t="inlineStr">
        <is>
          <t>KG</t>
        </is>
      </c>
      <c r="L565" t="n">
        <v>611.96</v>
      </c>
      <c r="M565" t="n">
        <v>63.349896</v>
      </c>
      <c r="O565" t="inlineStr">
        <is>
          <t>08/2026</t>
        </is>
      </c>
    </row>
    <row r="566">
      <c r="A566" t="n">
        <v>256388</v>
      </c>
      <c r="B566" t="n">
        <v>180</v>
      </c>
      <c r="C566" t="inlineStr">
        <is>
          <t>Nuv Gastrobar</t>
        </is>
      </c>
      <c r="D566" t="inlineStr">
        <is>
          <t>CEPEL COMERCIO DE PAPEIS E EMBALAGENS LTDA</t>
        </is>
      </c>
      <c r="E566" t="inlineStr">
        <is>
          <t>269354</t>
        </is>
      </c>
      <c r="F566" s="525" t="n">
        <v>46245</v>
      </c>
      <c r="G566" t="n">
        <v>30469</v>
      </c>
      <c r="H566" t="inlineStr">
        <is>
          <t xml:space="preserve">GUARDANAPO PERSONALIZADO NUV GASTROBAR 23,5 X 24CM FOLHA DUPLA CX - C/ 5000 UN </t>
        </is>
      </c>
      <c r="I566" t="inlineStr">
        <is>
          <t>DESCARTAVEIS/HIGIENE E LIMPEZA</t>
        </is>
      </c>
      <c r="J566" t="n">
        <v>4</v>
      </c>
      <c r="K566" t="inlineStr">
        <is>
          <t>CX</t>
        </is>
      </c>
      <c r="L566" t="n">
        <v>1833.6</v>
      </c>
      <c r="M566" t="n">
        <v>458.4</v>
      </c>
      <c r="O566" t="inlineStr">
        <is>
          <t>08/2026</t>
        </is>
      </c>
    </row>
    <row r="567">
      <c r="A567" t="n">
        <v>256387</v>
      </c>
      <c r="B567" t="n">
        <v>180</v>
      </c>
      <c r="C567" t="inlineStr">
        <is>
          <t>Nuv Gastrobar</t>
        </is>
      </c>
      <c r="D567" t="inlineStr">
        <is>
          <t>FSM FAZENDA SANTA MARGARIDA LTDA</t>
        </is>
      </c>
      <c r="E567" t="inlineStr">
        <is>
          <t>17025</t>
        </is>
      </c>
      <c r="F567" s="525" t="n">
        <v>46245</v>
      </c>
      <c r="G567" t="n">
        <v>26126</v>
      </c>
      <c r="H567" t="inlineStr">
        <is>
          <t>CAFE MARTINS EM GRAOS 250G</t>
        </is>
      </c>
      <c r="I567" t="inlineStr">
        <is>
          <t>UTENSILIOS</t>
        </is>
      </c>
      <c r="J567" t="n">
        <v>50</v>
      </c>
      <c r="K567" t="inlineStr">
        <is>
          <t>PC</t>
        </is>
      </c>
      <c r="L567" t="n">
        <v>1292</v>
      </c>
      <c r="M567" t="n">
        <v>25.84</v>
      </c>
      <c r="O567" t="inlineStr">
        <is>
          <t>08/2026</t>
        </is>
      </c>
    </row>
    <row r="568">
      <c r="A568" t="n">
        <v>256387</v>
      </c>
      <c r="B568" t="n">
        <v>180</v>
      </c>
      <c r="C568" t="inlineStr">
        <is>
          <t>Nuv Gastrobar</t>
        </is>
      </c>
      <c r="D568" t="inlineStr">
        <is>
          <t>FSM FAZENDA SANTA MARGARIDA LTDA</t>
        </is>
      </c>
      <c r="E568" t="inlineStr">
        <is>
          <t>17025</t>
        </is>
      </c>
      <c r="F568" s="525" t="n">
        <v>46245</v>
      </c>
      <c r="G568" t="n">
        <v>28948</v>
      </c>
      <c r="H568" t="inlineStr">
        <is>
          <t>CAFE MARTINS EM GRAOS 1KG CONSUMO UN</t>
        </is>
      </c>
      <c r="I568" t="inlineStr">
        <is>
          <t>BEBIDAS</t>
        </is>
      </c>
      <c r="J568" t="n">
        <v>30</v>
      </c>
      <c r="K568" t="inlineStr">
        <is>
          <t>PC</t>
        </is>
      </c>
      <c r="L568" t="n">
        <v>2556.9</v>
      </c>
      <c r="M568" t="n">
        <v>85.23</v>
      </c>
      <c r="O568" t="inlineStr">
        <is>
          <t>08/2026</t>
        </is>
      </c>
    </row>
    <row r="569">
      <c r="A569" t="n">
        <v>256384</v>
      </c>
      <c r="B569" t="n">
        <v>180</v>
      </c>
      <c r="C569" t="inlineStr">
        <is>
          <t>Nuv Gastrobar</t>
        </is>
      </c>
      <c r="D569" t="inlineStr">
        <is>
          <t>MONTE ALTO ALIMENTOS LTDA</t>
        </is>
      </c>
      <c r="E569" t="inlineStr">
        <is>
          <t>184294</t>
        </is>
      </c>
      <c r="F569" s="525" t="n">
        <v>46245</v>
      </c>
      <c r="G569" t="n">
        <v>29691</v>
      </c>
      <c r="H569" t="inlineStr">
        <is>
          <t xml:space="preserve">MEDALHÃO DE CORAÇÃO DE ALCATRA 180G  KG </t>
        </is>
      </c>
      <c r="I569" t="inlineStr">
        <is>
          <t>ALIMENTOS</t>
        </is>
      </c>
      <c r="J569" t="n">
        <v>31.47</v>
      </c>
      <c r="K569" t="inlineStr">
        <is>
          <t>KG</t>
        </is>
      </c>
      <c r="L569" t="n">
        <v>3115.73</v>
      </c>
      <c r="M569" t="n">
        <v>99.006355</v>
      </c>
      <c r="O569" t="inlineStr">
        <is>
          <t>08/2026</t>
        </is>
      </c>
    </row>
    <row r="570">
      <c r="A570" t="n">
        <v>256382</v>
      </c>
      <c r="B570" t="n">
        <v>180</v>
      </c>
      <c r="C570" t="inlineStr">
        <is>
          <t>Nuv Gastrobar</t>
        </is>
      </c>
      <c r="D570" t="inlineStr">
        <is>
          <t>COMERCIO DE CEREAIS QUATRO ESTRELAS EIRELLI</t>
        </is>
      </c>
      <c r="E570" t="inlineStr">
        <is>
          <t>11677</t>
        </is>
      </c>
      <c r="F570" s="525" t="n">
        <v>46244</v>
      </c>
      <c r="G570" t="n">
        <v>30379</v>
      </c>
      <c r="H570" t="inlineStr">
        <is>
          <t>MANTEIGA GHEE CLARIFICADA MADHU BAKERY 400G UN</t>
        </is>
      </c>
      <c r="I570" t="inlineStr">
        <is>
          <t>ALIMENTOS</t>
        </is>
      </c>
      <c r="J570" t="n">
        <v>4</v>
      </c>
      <c r="K570" t="inlineStr">
        <is>
          <t>UN</t>
        </is>
      </c>
      <c r="L570" t="n">
        <v>223.6</v>
      </c>
      <c r="M570" t="n">
        <v>55.9</v>
      </c>
      <c r="O570" t="inlineStr">
        <is>
          <t>08/2026</t>
        </is>
      </c>
    </row>
    <row r="571">
      <c r="A571" t="n">
        <v>256382</v>
      </c>
      <c r="B571" t="n">
        <v>180</v>
      </c>
      <c r="C571" t="inlineStr">
        <is>
          <t>Nuv Gastrobar</t>
        </is>
      </c>
      <c r="D571" t="inlineStr">
        <is>
          <t>COMERCIO DE CEREAIS QUATRO ESTRELAS EIRELLI</t>
        </is>
      </c>
      <c r="E571" t="inlineStr">
        <is>
          <t>11677</t>
        </is>
      </c>
      <c r="F571" s="525" t="n">
        <v>46244</v>
      </c>
      <c r="G571" t="n">
        <v>24167</v>
      </c>
      <c r="H571" t="inlineStr">
        <is>
          <t>COALHADA SECA KG</t>
        </is>
      </c>
      <c r="I571" t="inlineStr">
        <is>
          <t>ALIMENTOS</t>
        </is>
      </c>
      <c r="J571" t="n">
        <v>20</v>
      </c>
      <c r="K571" t="inlineStr">
        <is>
          <t>UN</t>
        </is>
      </c>
      <c r="L571" t="n">
        <v>538</v>
      </c>
      <c r="M571" t="n">
        <v>26.9</v>
      </c>
      <c r="O571" t="inlineStr">
        <is>
          <t>08/2026</t>
        </is>
      </c>
    </row>
    <row r="572">
      <c r="A572" t="n">
        <v>256361</v>
      </c>
      <c r="B572" t="n">
        <v>180</v>
      </c>
      <c r="C572" t="inlineStr">
        <is>
          <t>Nuv Gastrobar</t>
        </is>
      </c>
      <c r="D572" t="inlineStr">
        <is>
          <t>LATICINIOS PIRAMIDE LTDA</t>
        </is>
      </c>
      <c r="E572" t="inlineStr">
        <is>
          <t>87822</t>
        </is>
      </c>
      <c r="F572" s="525" t="n">
        <v>46245</v>
      </c>
      <c r="G572" t="n">
        <v>25867</v>
      </c>
      <c r="H572" t="inlineStr">
        <is>
          <t>QUEIJO CANASTRA ORIGINAL KG</t>
        </is>
      </c>
      <c r="I572" t="inlineStr">
        <is>
          <t>ALIMENTOS</t>
        </is>
      </c>
      <c r="J572" t="n">
        <v>5.8</v>
      </c>
      <c r="K572" t="inlineStr">
        <is>
          <t>KG</t>
        </is>
      </c>
      <c r="L572" t="n">
        <v>336.4</v>
      </c>
      <c r="M572" t="n">
        <v>58</v>
      </c>
      <c r="O572" t="inlineStr">
        <is>
          <t>08/2026</t>
        </is>
      </c>
    </row>
    <row r="573">
      <c r="A573" t="n">
        <v>256360</v>
      </c>
      <c r="B573" t="n">
        <v>180</v>
      </c>
      <c r="C573" t="inlineStr">
        <is>
          <t>Nuv Gastrobar</t>
        </is>
      </c>
      <c r="D573" t="inlineStr">
        <is>
          <t>ARTE GELATI SORVETES LTDA</t>
        </is>
      </c>
      <c r="E573" t="inlineStr">
        <is>
          <t>42432</t>
        </is>
      </c>
      <c r="F573" s="525" t="n">
        <v>46245</v>
      </c>
      <c r="G573" t="n">
        <v>30380</v>
      </c>
      <c r="H573" t="inlineStr">
        <is>
          <t>SORBET DE CHOCOLATE ARTE GELATI 4,30KG UM</t>
        </is>
      </c>
      <c r="I573" t="inlineStr">
        <is>
          <t>ALIMENTOS</t>
        </is>
      </c>
      <c r="J573" t="n">
        <v>2</v>
      </c>
      <c r="K573" t="inlineStr">
        <is>
          <t>UN</t>
        </is>
      </c>
      <c r="L573" t="n">
        <v>774</v>
      </c>
      <c r="M573" t="n">
        <v>387</v>
      </c>
      <c r="O573" t="inlineStr">
        <is>
          <t>08/2026</t>
        </is>
      </c>
    </row>
    <row r="574">
      <c r="A574" t="n">
        <v>256360</v>
      </c>
      <c r="B574" t="n">
        <v>180</v>
      </c>
      <c r="C574" t="inlineStr">
        <is>
          <t>Nuv Gastrobar</t>
        </is>
      </c>
      <c r="D574" t="inlineStr">
        <is>
          <t>ARTE GELATI SORVETES LTDA</t>
        </is>
      </c>
      <c r="E574" t="inlineStr">
        <is>
          <t>42432</t>
        </is>
      </c>
      <c r="F574" s="525" t="n">
        <v>46245</v>
      </c>
      <c r="G574" t="n">
        <v>21158</v>
      </c>
      <c r="H574" t="inlineStr">
        <is>
          <t>SORVETE DE CREMA VANIGLIA ARTE GELATI 3,5KG</t>
        </is>
      </c>
      <c r="I574" t="inlineStr">
        <is>
          <t>ALIMENTOS</t>
        </is>
      </c>
      <c r="J574" t="n">
        <v>2</v>
      </c>
      <c r="K574" t="inlineStr">
        <is>
          <t>UN</t>
        </is>
      </c>
      <c r="L574" t="n">
        <v>334.4</v>
      </c>
      <c r="M574" t="n">
        <v>167.2</v>
      </c>
      <c r="O574" t="inlineStr">
        <is>
          <t>08/2026</t>
        </is>
      </c>
    </row>
    <row r="575">
      <c r="A575" t="n">
        <v>256359</v>
      </c>
      <c r="B575" t="n">
        <v>180</v>
      </c>
      <c r="C575" t="inlineStr">
        <is>
          <t>Nuv Gastrobar</t>
        </is>
      </c>
      <c r="D575" t="inlineStr">
        <is>
          <t>EMPORIO M&amp;L COMERCIO DE ALIM E BEBIDAS LTDA</t>
        </is>
      </c>
      <c r="E575" t="inlineStr">
        <is>
          <t>527407</t>
        </is>
      </c>
      <c r="F575" s="525" t="n">
        <v>46245</v>
      </c>
      <c r="G575" t="n">
        <v>26969</v>
      </c>
      <c r="H575" t="inlineStr">
        <is>
          <t>PIMENTA VERDE EM CONSERVA DON PEPE BALDE C/1KG</t>
        </is>
      </c>
      <c r="I575" t="inlineStr">
        <is>
          <t>ALIMENTOS</t>
        </is>
      </c>
      <c r="J575" t="n">
        <v>1</v>
      </c>
      <c r="K575" t="inlineStr">
        <is>
          <t>BD</t>
        </is>
      </c>
      <c r="L575" t="n">
        <v>107.9</v>
      </c>
      <c r="M575" t="n">
        <v>107.9</v>
      </c>
      <c r="O575" t="inlineStr">
        <is>
          <t>08/2026</t>
        </is>
      </c>
    </row>
    <row r="576">
      <c r="A576" t="n">
        <v>256359</v>
      </c>
      <c r="B576" t="n">
        <v>180</v>
      </c>
      <c r="C576" t="inlineStr">
        <is>
          <t>Nuv Gastrobar</t>
        </is>
      </c>
      <c r="D576" t="inlineStr">
        <is>
          <t>EMPORIO M&amp;L COMERCIO DE ALIM E BEBIDAS LTDA</t>
        </is>
      </c>
      <c r="E576" t="inlineStr">
        <is>
          <t>527407</t>
        </is>
      </c>
      <c r="F576" s="525" t="n">
        <v>46245</v>
      </c>
      <c r="G576" t="n">
        <v>17800</v>
      </c>
      <c r="H576" t="inlineStr">
        <is>
          <t>VINHO BRANCO ALMADEN RIESLING 750ML GR</t>
        </is>
      </c>
      <c r="I576" t="inlineStr">
        <is>
          <t>BEBIDAS</t>
        </is>
      </c>
      <c r="J576" t="n">
        <v>12</v>
      </c>
      <c r="K576" t="inlineStr">
        <is>
          <t>Gr</t>
        </is>
      </c>
      <c r="L576" t="n">
        <v>318</v>
      </c>
      <c r="M576" t="n">
        <v>26.5</v>
      </c>
      <c r="O576" t="inlineStr">
        <is>
          <t>08/2026</t>
        </is>
      </c>
    </row>
    <row r="577">
      <c r="A577" t="n">
        <v>256359</v>
      </c>
      <c r="B577" t="n">
        <v>180</v>
      </c>
      <c r="C577" t="inlineStr">
        <is>
          <t>Nuv Gastrobar</t>
        </is>
      </c>
      <c r="D577" t="inlineStr">
        <is>
          <t>EMPORIO M&amp;L COMERCIO DE ALIM E BEBIDAS LTDA</t>
        </is>
      </c>
      <c r="E577" t="inlineStr">
        <is>
          <t>527407</t>
        </is>
      </c>
      <c r="F577" s="525" t="n">
        <v>46245</v>
      </c>
      <c r="G577" t="n">
        <v>19902</v>
      </c>
      <c r="H577" t="inlineStr">
        <is>
          <t>SAL SACHE CISNE 1000X0,001G</t>
        </is>
      </c>
      <c r="I577" t="inlineStr">
        <is>
          <t>ALIMENTOS</t>
        </is>
      </c>
      <c r="J577" t="n">
        <v>2</v>
      </c>
      <c r="K577" t="inlineStr">
        <is>
          <t>CX</t>
        </is>
      </c>
      <c r="L577" t="n">
        <v>50</v>
      </c>
      <c r="M577" t="n">
        <v>25</v>
      </c>
      <c r="O577" t="inlineStr">
        <is>
          <t>08/2026</t>
        </is>
      </c>
    </row>
    <row r="578">
      <c r="A578" t="n">
        <v>256359</v>
      </c>
      <c r="B578" t="n">
        <v>180</v>
      </c>
      <c r="C578" t="inlineStr">
        <is>
          <t>Nuv Gastrobar</t>
        </is>
      </c>
      <c r="D578" t="inlineStr">
        <is>
          <t>EMPORIO M&amp;L COMERCIO DE ALIM E BEBIDAS LTDA</t>
        </is>
      </c>
      <c r="E578" t="inlineStr">
        <is>
          <t>527407</t>
        </is>
      </c>
      <c r="F578" s="525" t="n">
        <v>46245</v>
      </c>
      <c r="G578" t="n">
        <v>25796</v>
      </c>
      <c r="H578" t="inlineStr">
        <is>
          <t>AVEIA EM FLOCOS GROSSO (NAO PODE SER YOKI)</t>
        </is>
      </c>
      <c r="I578" t="inlineStr">
        <is>
          <t>ALIMENTOS</t>
        </is>
      </c>
      <c r="J578" t="n">
        <v>1</v>
      </c>
      <c r="K578" t="inlineStr">
        <is>
          <t>KG</t>
        </is>
      </c>
      <c r="L578" t="n">
        <v>7.5</v>
      </c>
      <c r="M578" t="n">
        <v>7.5</v>
      </c>
      <c r="O578" t="inlineStr">
        <is>
          <t>08/2026</t>
        </is>
      </c>
    </row>
    <row r="579">
      <c r="A579" t="n">
        <v>256359</v>
      </c>
      <c r="B579" t="n">
        <v>180</v>
      </c>
      <c r="C579" t="inlineStr">
        <is>
          <t>Nuv Gastrobar</t>
        </is>
      </c>
      <c r="D579" t="inlineStr">
        <is>
          <t>EMPORIO M&amp;L COMERCIO DE ALIM E BEBIDAS LTDA</t>
        </is>
      </c>
      <c r="E579" t="inlineStr">
        <is>
          <t>527407</t>
        </is>
      </c>
      <c r="F579" s="525" t="n">
        <v>46245</v>
      </c>
      <c r="G579" t="n">
        <v>23826</v>
      </c>
      <c r="H579" t="inlineStr">
        <is>
          <t>BISCOITO DE MAIZENA NESTLE TOSTINES 200G</t>
        </is>
      </c>
      <c r="I579" t="inlineStr">
        <is>
          <t>ALIMENTOS</t>
        </is>
      </c>
      <c r="J579" t="n">
        <v>10</v>
      </c>
      <c r="K579" t="inlineStr">
        <is>
          <t>UN</t>
        </is>
      </c>
      <c r="L579" t="n">
        <v>36.8</v>
      </c>
      <c r="M579" t="n">
        <v>3.68</v>
      </c>
      <c r="O579" t="inlineStr">
        <is>
          <t>08/2026</t>
        </is>
      </c>
    </row>
    <row r="580">
      <c r="A580" t="n">
        <v>256359</v>
      </c>
      <c r="B580" t="n">
        <v>180</v>
      </c>
      <c r="C580" t="inlineStr">
        <is>
          <t>Nuv Gastrobar</t>
        </is>
      </c>
      <c r="D580" t="inlineStr">
        <is>
          <t>EMPORIO M&amp;L COMERCIO DE ALIM E BEBIDAS LTDA</t>
        </is>
      </c>
      <c r="E580" t="inlineStr">
        <is>
          <t>527407</t>
        </is>
      </c>
      <c r="F580" s="525" t="n">
        <v>46245</v>
      </c>
      <c r="G580" t="n">
        <v>20757</v>
      </c>
      <c r="H580" t="inlineStr">
        <is>
          <t>ALCAPARRA MEDIA DI SALERNO C/2KG</t>
        </is>
      </c>
      <c r="I580" t="inlineStr">
        <is>
          <t>ALIMENTOS</t>
        </is>
      </c>
      <c r="J580" t="n">
        <v>1</v>
      </c>
      <c r="K580" t="inlineStr">
        <is>
          <t>BD</t>
        </is>
      </c>
      <c r="L580" t="n">
        <v>78.90000000000001</v>
      </c>
      <c r="M580" t="n">
        <v>78.90000000000001</v>
      </c>
      <c r="O580" t="inlineStr">
        <is>
          <t>08/2026</t>
        </is>
      </c>
    </row>
    <row r="581">
      <c r="A581" t="n">
        <v>256359</v>
      </c>
      <c r="B581" t="n">
        <v>180</v>
      </c>
      <c r="C581" t="inlineStr">
        <is>
          <t>Nuv Gastrobar</t>
        </is>
      </c>
      <c r="D581" t="inlineStr">
        <is>
          <t>EMPORIO M&amp;L COMERCIO DE ALIM E BEBIDAS LTDA</t>
        </is>
      </c>
      <c r="E581" t="inlineStr">
        <is>
          <t>527407</t>
        </is>
      </c>
      <c r="F581" s="525" t="n">
        <v>46245</v>
      </c>
      <c r="G581" t="n">
        <v>19940</v>
      </c>
      <c r="H581" t="inlineStr">
        <is>
          <t>NOZ MOSCADA EM PO KG</t>
        </is>
      </c>
      <c r="I581" t="inlineStr">
        <is>
          <t>ALIMENTOS</t>
        </is>
      </c>
      <c r="J581" t="n">
        <v>0.25</v>
      </c>
      <c r="K581" t="inlineStr">
        <is>
          <t>KG</t>
        </is>
      </c>
      <c r="L581" t="n">
        <v>15.2</v>
      </c>
      <c r="M581" t="n">
        <v>60.8</v>
      </c>
      <c r="O581" t="inlineStr">
        <is>
          <t>08/2026</t>
        </is>
      </c>
    </row>
    <row r="582">
      <c r="A582" t="n">
        <v>256359</v>
      </c>
      <c r="B582" t="n">
        <v>180</v>
      </c>
      <c r="C582" t="inlineStr">
        <is>
          <t>Nuv Gastrobar</t>
        </is>
      </c>
      <c r="D582" t="inlineStr">
        <is>
          <t>EMPORIO M&amp;L COMERCIO DE ALIM E BEBIDAS LTDA</t>
        </is>
      </c>
      <c r="E582" t="inlineStr">
        <is>
          <t>527407</t>
        </is>
      </c>
      <c r="F582" s="525" t="n">
        <v>46245</v>
      </c>
      <c r="G582" t="n">
        <v>21068</v>
      </c>
      <c r="H582" t="inlineStr">
        <is>
          <t>ACETO BALSAMICO LA PASTINA 500ML</t>
        </is>
      </c>
      <c r="I582" t="inlineStr">
        <is>
          <t>ALIMENTOS</t>
        </is>
      </c>
      <c r="J582" t="n">
        <v>2</v>
      </c>
      <c r="K582" t="inlineStr">
        <is>
          <t>GR</t>
        </is>
      </c>
      <c r="L582" t="n">
        <v>33.2</v>
      </c>
      <c r="M582" t="n">
        <v>16.6</v>
      </c>
      <c r="O582" t="inlineStr">
        <is>
          <t>08/2026</t>
        </is>
      </c>
    </row>
    <row r="583">
      <c r="A583" t="n">
        <v>256359</v>
      </c>
      <c r="B583" t="n">
        <v>180</v>
      </c>
      <c r="C583" t="inlineStr">
        <is>
          <t>Nuv Gastrobar</t>
        </is>
      </c>
      <c r="D583" t="inlineStr">
        <is>
          <t>EMPORIO M&amp;L COMERCIO DE ALIM E BEBIDAS LTDA</t>
        </is>
      </c>
      <c r="E583" t="inlineStr">
        <is>
          <t>527407</t>
        </is>
      </c>
      <c r="F583" s="525" t="n">
        <v>46245</v>
      </c>
      <c r="G583" t="n">
        <v>20186</v>
      </c>
      <c r="H583" t="inlineStr">
        <is>
          <t>SEMENTE DE MOSTARDA KG</t>
        </is>
      </c>
      <c r="I583" t="inlineStr">
        <is>
          <t>ALIMENTOS</t>
        </is>
      </c>
      <c r="J583" t="n">
        <v>1</v>
      </c>
      <c r="K583" t="inlineStr">
        <is>
          <t>KG</t>
        </is>
      </c>
      <c r="L583" t="n">
        <v>17.4</v>
      </c>
      <c r="M583" t="n">
        <v>17.4</v>
      </c>
      <c r="O583" t="inlineStr">
        <is>
          <t>08/2026</t>
        </is>
      </c>
    </row>
    <row r="584">
      <c r="A584" t="n">
        <v>256359</v>
      </c>
      <c r="B584" t="n">
        <v>180</v>
      </c>
      <c r="C584" t="inlineStr">
        <is>
          <t>Nuv Gastrobar</t>
        </is>
      </c>
      <c r="D584" t="inlineStr">
        <is>
          <t>EMPORIO M&amp;L COMERCIO DE ALIM E BEBIDAS LTDA</t>
        </is>
      </c>
      <c r="E584" t="inlineStr">
        <is>
          <t>527407</t>
        </is>
      </c>
      <c r="F584" s="525" t="n">
        <v>46245</v>
      </c>
      <c r="G584" t="n">
        <v>19306</v>
      </c>
      <c r="H584" t="inlineStr">
        <is>
          <t>QUEIJO MUSSARELA FIOR CEREJA YEMA 330G</t>
        </is>
      </c>
      <c r="I584" t="inlineStr">
        <is>
          <t>ALIMENTOS</t>
        </is>
      </c>
      <c r="J584" t="n">
        <v>5</v>
      </c>
      <c r="K584" t="inlineStr">
        <is>
          <t>Pc</t>
        </is>
      </c>
      <c r="L584" t="n">
        <v>92</v>
      </c>
      <c r="M584" t="n">
        <v>18.4</v>
      </c>
      <c r="O584" t="inlineStr">
        <is>
          <t>08/2026</t>
        </is>
      </c>
    </row>
    <row r="585">
      <c r="A585" t="n">
        <v>256359</v>
      </c>
      <c r="B585" t="n">
        <v>180</v>
      </c>
      <c r="C585" t="inlineStr">
        <is>
          <t>Nuv Gastrobar</t>
        </is>
      </c>
      <c r="D585" t="inlineStr">
        <is>
          <t>EMPORIO M&amp;L COMERCIO DE ALIM E BEBIDAS LTDA</t>
        </is>
      </c>
      <c r="E585" t="inlineStr">
        <is>
          <t>527407</t>
        </is>
      </c>
      <c r="F585" s="525" t="n">
        <v>46245</v>
      </c>
      <c r="G585" t="n">
        <v>23480</v>
      </c>
      <c r="H585" t="inlineStr">
        <is>
          <t>CURCUMA KG</t>
        </is>
      </c>
      <c r="I585" t="inlineStr">
        <is>
          <t>ALIMENTOS</t>
        </is>
      </c>
      <c r="J585" t="n">
        <v>2</v>
      </c>
      <c r="K585" t="inlineStr">
        <is>
          <t>KG</t>
        </is>
      </c>
      <c r="L585" t="n">
        <v>22.4</v>
      </c>
      <c r="M585" t="n">
        <v>11.2</v>
      </c>
      <c r="O585" t="inlineStr">
        <is>
          <t>08/2026</t>
        </is>
      </c>
    </row>
    <row r="586">
      <c r="A586" t="n">
        <v>256359</v>
      </c>
      <c r="B586" t="n">
        <v>180</v>
      </c>
      <c r="C586" t="inlineStr">
        <is>
          <t>Nuv Gastrobar</t>
        </is>
      </c>
      <c r="D586" t="inlineStr">
        <is>
          <t>EMPORIO M&amp;L COMERCIO DE ALIM E BEBIDAS LTDA</t>
        </is>
      </c>
      <c r="E586" t="inlineStr">
        <is>
          <t>527407</t>
        </is>
      </c>
      <c r="F586" s="525" t="n">
        <v>46245</v>
      </c>
      <c r="G586" t="n">
        <v>20738</v>
      </c>
      <c r="H586" t="inlineStr">
        <is>
          <t>AZEITONA PRETA AZAPA S/ CAROCO DI SALERNO C/1,8KG</t>
        </is>
      </c>
      <c r="I586" t="inlineStr">
        <is>
          <t>ALIMENTOS</t>
        </is>
      </c>
      <c r="J586" t="n">
        <v>1</v>
      </c>
      <c r="K586" t="inlineStr">
        <is>
          <t>Bd</t>
        </is>
      </c>
      <c r="L586" t="n">
        <v>92.90000000000001</v>
      </c>
      <c r="M586" t="n">
        <v>92.90000000000001</v>
      </c>
      <c r="O586" t="inlineStr">
        <is>
          <t>08/2026</t>
        </is>
      </c>
    </row>
    <row r="587">
      <c r="A587" t="n">
        <v>256359</v>
      </c>
      <c r="B587" t="n">
        <v>180</v>
      </c>
      <c r="C587" t="inlineStr">
        <is>
          <t>Nuv Gastrobar</t>
        </is>
      </c>
      <c r="D587" t="inlineStr">
        <is>
          <t>EMPORIO M&amp;L COMERCIO DE ALIM E BEBIDAS LTDA</t>
        </is>
      </c>
      <c r="E587" t="inlineStr">
        <is>
          <t>527407</t>
        </is>
      </c>
      <c r="F587" s="525" t="n">
        <v>46245</v>
      </c>
      <c r="G587" t="n">
        <v>24170</v>
      </c>
      <c r="H587" t="inlineStr">
        <is>
          <t>COENTRO EM GRAO KG</t>
        </is>
      </c>
      <c r="I587" t="inlineStr">
        <is>
          <t>ALIMENTOS</t>
        </is>
      </c>
      <c r="J587" t="n">
        <v>1</v>
      </c>
      <c r="K587" t="inlineStr">
        <is>
          <t>KG</t>
        </is>
      </c>
      <c r="L587" t="n">
        <v>11.9</v>
      </c>
      <c r="M587" t="n">
        <v>11.9</v>
      </c>
      <c r="O587" t="inlineStr">
        <is>
          <t>08/2026</t>
        </is>
      </c>
    </row>
    <row r="588">
      <c r="A588" t="n">
        <v>256359</v>
      </c>
      <c r="B588" t="n">
        <v>180</v>
      </c>
      <c r="C588" t="inlineStr">
        <is>
          <t>Nuv Gastrobar</t>
        </is>
      </c>
      <c r="D588" t="inlineStr">
        <is>
          <t>EMPORIO M&amp;L COMERCIO DE ALIM E BEBIDAS LTDA</t>
        </is>
      </c>
      <c r="E588" t="inlineStr">
        <is>
          <t>527407</t>
        </is>
      </c>
      <c r="F588" s="525" t="n">
        <v>46245</v>
      </c>
      <c r="G588" t="n">
        <v>20174</v>
      </c>
      <c r="H588" t="inlineStr">
        <is>
          <t>SEMENTE DE GIRASSOL SEM CASCA KG</t>
        </is>
      </c>
      <c r="I588" t="inlineStr">
        <is>
          <t>ALIMENTOS</t>
        </is>
      </c>
      <c r="J588" t="n">
        <v>1</v>
      </c>
      <c r="K588" t="inlineStr">
        <is>
          <t>KG</t>
        </is>
      </c>
      <c r="L588" t="n">
        <v>17.6</v>
      </c>
      <c r="M588" t="n">
        <v>17.6</v>
      </c>
      <c r="O588" t="inlineStr">
        <is>
          <t>08/2026</t>
        </is>
      </c>
    </row>
    <row r="589">
      <c r="A589" t="n">
        <v>256359</v>
      </c>
      <c r="B589" t="n">
        <v>180</v>
      </c>
      <c r="C589" t="inlineStr">
        <is>
          <t>Nuv Gastrobar</t>
        </is>
      </c>
      <c r="D589" t="inlineStr">
        <is>
          <t>EMPORIO M&amp;L COMERCIO DE ALIM E BEBIDAS LTDA</t>
        </is>
      </c>
      <c r="E589" t="inlineStr">
        <is>
          <t>527407</t>
        </is>
      </c>
      <c r="F589" s="525" t="n">
        <v>46245</v>
      </c>
      <c r="G589" t="n">
        <v>23312</v>
      </c>
      <c r="H589" t="inlineStr">
        <is>
          <t>AVELA SEM CASCA</t>
        </is>
      </c>
      <c r="I589" t="inlineStr">
        <is>
          <t>ALIMENTOS</t>
        </is>
      </c>
      <c r="J589" t="n">
        <v>1</v>
      </c>
      <c r="K589" t="inlineStr">
        <is>
          <t>KG</t>
        </is>
      </c>
      <c r="L589" t="n">
        <v>87.65000000000001</v>
      </c>
      <c r="M589" t="n">
        <v>87.65000000000001</v>
      </c>
      <c r="O589" t="inlineStr">
        <is>
          <t>08/2026</t>
        </is>
      </c>
    </row>
    <row r="590">
      <c r="A590" t="n">
        <v>256359</v>
      </c>
      <c r="B590" t="n">
        <v>180</v>
      </c>
      <c r="C590" t="inlineStr">
        <is>
          <t>Nuv Gastrobar</t>
        </is>
      </c>
      <c r="D590" t="inlineStr">
        <is>
          <t>EMPORIO M&amp;L COMERCIO DE ALIM E BEBIDAS LTDA</t>
        </is>
      </c>
      <c r="E590" t="inlineStr">
        <is>
          <t>527407</t>
        </is>
      </c>
      <c r="F590" s="525" t="n">
        <v>46245</v>
      </c>
      <c r="G590" t="n">
        <v>24125</v>
      </c>
      <c r="H590" t="inlineStr">
        <is>
          <t>CEBOLA EM PO KG</t>
        </is>
      </c>
      <c r="I590" t="inlineStr">
        <is>
          <t>ALIMENTOS</t>
        </is>
      </c>
      <c r="J590" t="n">
        <v>1</v>
      </c>
      <c r="K590" t="inlineStr">
        <is>
          <t>KG</t>
        </is>
      </c>
      <c r="L590" t="n">
        <v>11.9</v>
      </c>
      <c r="M590" t="n">
        <v>11.9</v>
      </c>
      <c r="O590" t="inlineStr">
        <is>
          <t>08/2026</t>
        </is>
      </c>
    </row>
    <row r="591">
      <c r="A591" t="n">
        <v>256359</v>
      </c>
      <c r="B591" t="n">
        <v>180</v>
      </c>
      <c r="C591" t="inlineStr">
        <is>
          <t>Nuv Gastrobar</t>
        </is>
      </c>
      <c r="D591" t="inlineStr">
        <is>
          <t>EMPORIO M&amp;L COMERCIO DE ALIM E BEBIDAS LTDA</t>
        </is>
      </c>
      <c r="E591" t="inlineStr">
        <is>
          <t>527407</t>
        </is>
      </c>
      <c r="F591" s="525" t="n">
        <v>46245</v>
      </c>
      <c r="G591" t="n">
        <v>28644</v>
      </c>
      <c r="H591" t="inlineStr">
        <is>
          <t>CHIMICHURRI SEM PIMENTA KG</t>
        </is>
      </c>
      <c r="I591" t="inlineStr">
        <is>
          <t>ALIMENTOS</t>
        </is>
      </c>
      <c r="J591" t="n">
        <v>1</v>
      </c>
      <c r="K591" t="inlineStr">
        <is>
          <t>Kg</t>
        </is>
      </c>
      <c r="L591" t="n">
        <v>19.9</v>
      </c>
      <c r="M591" t="n">
        <v>19.9</v>
      </c>
      <c r="O591" t="inlineStr">
        <is>
          <t>08/2026</t>
        </is>
      </c>
    </row>
    <row r="592">
      <c r="A592" t="n">
        <v>256359</v>
      </c>
      <c r="B592" t="n">
        <v>180</v>
      </c>
      <c r="C592" t="inlineStr">
        <is>
          <t>Nuv Gastrobar</t>
        </is>
      </c>
      <c r="D592" t="inlineStr">
        <is>
          <t>EMPORIO M&amp;L COMERCIO DE ALIM E BEBIDAS LTDA</t>
        </is>
      </c>
      <c r="E592" t="inlineStr">
        <is>
          <t>527407</t>
        </is>
      </c>
      <c r="F592" s="525" t="n">
        <v>46245</v>
      </c>
      <c r="G592" t="n">
        <v>20386</v>
      </c>
      <c r="H592" t="inlineStr">
        <is>
          <t>FARINHA DE MILHO KIMILHO YOKI C/500G</t>
        </is>
      </c>
      <c r="I592" t="inlineStr">
        <is>
          <t>ALIMENTOS</t>
        </is>
      </c>
      <c r="J592" t="n">
        <v>5</v>
      </c>
      <c r="K592" t="inlineStr">
        <is>
          <t>KG</t>
        </is>
      </c>
      <c r="L592" t="n">
        <v>24.9</v>
      </c>
      <c r="M592" t="n">
        <v>4.98</v>
      </c>
      <c r="O592" t="inlineStr">
        <is>
          <t>08/2026</t>
        </is>
      </c>
    </row>
    <row r="593">
      <c r="A593" t="n">
        <v>256352</v>
      </c>
      <c r="B593" t="n">
        <v>180</v>
      </c>
      <c r="C593" t="inlineStr">
        <is>
          <t>Nuv Gastrobar</t>
        </is>
      </c>
      <c r="D593" t="inlineStr">
        <is>
          <t>BATARD PADARIA ARTESANAL LTDA</t>
        </is>
      </c>
      <c r="E593" t="inlineStr">
        <is>
          <t>15034</t>
        </is>
      </c>
      <c r="F593" s="525" t="n">
        <v>46245</v>
      </c>
      <c r="G593" t="n">
        <v>19168</v>
      </c>
      <c r="H593" t="inlineStr">
        <is>
          <t>BAGUETE LEVAIN 570GR UN</t>
        </is>
      </c>
      <c r="I593" t="inlineStr">
        <is>
          <t>ALIMENTOS</t>
        </is>
      </c>
      <c r="J593" t="n">
        <v>20</v>
      </c>
      <c r="K593" t="inlineStr">
        <is>
          <t>UN</t>
        </is>
      </c>
      <c r="L593" t="n">
        <v>364</v>
      </c>
      <c r="M593" t="n">
        <v>18.2</v>
      </c>
      <c r="O593" t="inlineStr">
        <is>
          <t>08/2026</t>
        </is>
      </c>
    </row>
    <row r="594">
      <c r="A594" t="n">
        <v>256350</v>
      </c>
      <c r="B594" t="n">
        <v>180</v>
      </c>
      <c r="C594" t="inlineStr">
        <is>
          <t>Nuv Gastrobar</t>
        </is>
      </c>
      <c r="D594" t="inlineStr">
        <is>
          <t>DO CHEF DISTRIBUIDORA DE ALIMENTOS LTDA</t>
        </is>
      </c>
      <c r="E594" t="inlineStr">
        <is>
          <t>3740</t>
        </is>
      </c>
      <c r="F594" s="525" t="n">
        <v>46245</v>
      </c>
      <c r="G594" t="n">
        <v>19634</v>
      </c>
      <c r="H594" t="inlineStr">
        <is>
          <t>BERINJELA KG</t>
        </is>
      </c>
      <c r="I594" t="inlineStr">
        <is>
          <t>ALIMENTOS</t>
        </is>
      </c>
      <c r="J594" t="n">
        <v>4</v>
      </c>
      <c r="K594" t="inlineStr">
        <is>
          <t>KG</t>
        </is>
      </c>
      <c r="L594" t="n">
        <v>31.2</v>
      </c>
      <c r="M594" t="n">
        <v>7.8</v>
      </c>
      <c r="O594" t="inlineStr">
        <is>
          <t>08/2026</t>
        </is>
      </c>
    </row>
    <row r="595">
      <c r="A595" t="n">
        <v>256350</v>
      </c>
      <c r="B595" t="n">
        <v>180</v>
      </c>
      <c r="C595" t="inlineStr">
        <is>
          <t>Nuv Gastrobar</t>
        </is>
      </c>
      <c r="D595" t="inlineStr">
        <is>
          <t>DO CHEF DISTRIBUIDORA DE ALIMENTOS LTDA</t>
        </is>
      </c>
      <c r="E595" t="inlineStr">
        <is>
          <t>3740</t>
        </is>
      </c>
      <c r="F595" s="525" t="n">
        <v>46245</v>
      </c>
      <c r="G595" t="n">
        <v>19736</v>
      </c>
      <c r="H595" t="inlineStr">
        <is>
          <t>MELAO ORANGE KG</t>
        </is>
      </c>
      <c r="I595" t="inlineStr">
        <is>
          <t>ALIMENTOS</t>
        </is>
      </c>
      <c r="J595" t="n">
        <v>7</v>
      </c>
      <c r="K595" t="inlineStr">
        <is>
          <t>KG</t>
        </is>
      </c>
      <c r="L595" t="n">
        <v>77.34999999999999</v>
      </c>
      <c r="M595" t="n">
        <v>11.05</v>
      </c>
      <c r="O595" t="inlineStr">
        <is>
          <t>08/2026</t>
        </is>
      </c>
    </row>
    <row r="596">
      <c r="A596" t="n">
        <v>256350</v>
      </c>
      <c r="B596" t="n">
        <v>180</v>
      </c>
      <c r="C596" t="inlineStr">
        <is>
          <t>Nuv Gastrobar</t>
        </is>
      </c>
      <c r="D596" t="inlineStr">
        <is>
          <t>DO CHEF DISTRIBUIDORA DE ALIMENTOS LTDA</t>
        </is>
      </c>
      <c r="E596" t="inlineStr">
        <is>
          <t>3740</t>
        </is>
      </c>
      <c r="F596" s="525" t="n">
        <v>46245</v>
      </c>
      <c r="G596" t="n">
        <v>23096</v>
      </c>
      <c r="H596" t="inlineStr">
        <is>
          <t>OVO BRANCO UN</t>
        </is>
      </c>
      <c r="I596" t="inlineStr">
        <is>
          <t>ALIMENTOS</t>
        </is>
      </c>
      <c r="J596" t="n">
        <v>300</v>
      </c>
      <c r="K596" t="inlineStr">
        <is>
          <t>UN</t>
        </is>
      </c>
      <c r="L596" t="n">
        <v>177</v>
      </c>
      <c r="M596" t="n">
        <v>0.59</v>
      </c>
      <c r="O596" t="inlineStr">
        <is>
          <t>08/2026</t>
        </is>
      </c>
    </row>
    <row r="597">
      <c r="A597" t="n">
        <v>256349</v>
      </c>
      <c r="B597" t="n">
        <v>180</v>
      </c>
      <c r="C597" t="inlineStr">
        <is>
          <t>Nuv Gastrobar</t>
        </is>
      </c>
      <c r="D597" t="inlineStr">
        <is>
          <t>MARIO PEDRO FELICIANO - HORTIFRUTI</t>
        </is>
      </c>
      <c r="E597" t="inlineStr">
        <is>
          <t>485895</t>
        </is>
      </c>
      <c r="F597" s="525" t="n">
        <v>46245</v>
      </c>
      <c r="G597" t="n">
        <v>19621</v>
      </c>
      <c r="H597" t="inlineStr">
        <is>
          <t>CENOURA KG</t>
        </is>
      </c>
      <c r="I597" t="inlineStr">
        <is>
          <t>ALIMENTOS</t>
        </is>
      </c>
      <c r="J597" t="n">
        <v>8</v>
      </c>
      <c r="K597" t="inlineStr">
        <is>
          <t>KG</t>
        </is>
      </c>
      <c r="L597" t="n">
        <v>33.76</v>
      </c>
      <c r="M597" t="n">
        <v>4.22</v>
      </c>
      <c r="O597" t="inlineStr">
        <is>
          <t>08/2026</t>
        </is>
      </c>
    </row>
    <row r="598">
      <c r="A598" t="n">
        <v>256349</v>
      </c>
      <c r="B598" t="n">
        <v>180</v>
      </c>
      <c r="C598" t="inlineStr">
        <is>
          <t>Nuv Gastrobar</t>
        </is>
      </c>
      <c r="D598" t="inlineStr">
        <is>
          <t>MARIO PEDRO FELICIANO - HORTIFRUTI</t>
        </is>
      </c>
      <c r="E598" t="inlineStr">
        <is>
          <t>485895</t>
        </is>
      </c>
      <c r="F598" s="525" t="n">
        <v>46245</v>
      </c>
      <c r="G598" t="n">
        <v>19658</v>
      </c>
      <c r="H598" t="inlineStr">
        <is>
          <t>ABOBORA JAPONESA / CABOTIAN KG</t>
        </is>
      </c>
      <c r="I598" t="inlineStr">
        <is>
          <t>ALIMENTOS</t>
        </is>
      </c>
      <c r="J598" t="n">
        <v>7</v>
      </c>
      <c r="K598" t="inlineStr">
        <is>
          <t>KG</t>
        </is>
      </c>
      <c r="L598" t="n">
        <v>20.02</v>
      </c>
      <c r="M598" t="n">
        <v>2.86</v>
      </c>
      <c r="O598" t="inlineStr">
        <is>
          <t>08/2026</t>
        </is>
      </c>
    </row>
    <row r="599">
      <c r="A599" t="n">
        <v>256349</v>
      </c>
      <c r="B599" t="n">
        <v>180</v>
      </c>
      <c r="C599" t="inlineStr">
        <is>
          <t>Nuv Gastrobar</t>
        </is>
      </c>
      <c r="D599" t="inlineStr">
        <is>
          <t>MARIO PEDRO FELICIANO - HORTIFRUTI</t>
        </is>
      </c>
      <c r="E599" t="inlineStr">
        <is>
          <t>485895</t>
        </is>
      </c>
      <c r="F599" s="525" t="n">
        <v>46245</v>
      </c>
      <c r="G599" t="n">
        <v>19654</v>
      </c>
      <c r="H599" t="inlineStr">
        <is>
          <t>ABOBRINHA ITALIANA GRAUDA KG</t>
        </is>
      </c>
      <c r="I599" t="inlineStr">
        <is>
          <t>ALIMENTOS</t>
        </is>
      </c>
      <c r="J599" t="n">
        <v>3.5</v>
      </c>
      <c r="K599" t="inlineStr">
        <is>
          <t>KG</t>
        </is>
      </c>
      <c r="L599" t="n">
        <v>13.93</v>
      </c>
      <c r="M599" t="n">
        <v>3.98</v>
      </c>
      <c r="O599" t="inlineStr">
        <is>
          <t>08/2026</t>
        </is>
      </c>
    </row>
    <row r="600">
      <c r="A600" t="n">
        <v>256349</v>
      </c>
      <c r="B600" t="n">
        <v>180</v>
      </c>
      <c r="C600" t="inlineStr">
        <is>
          <t>Nuv Gastrobar</t>
        </is>
      </c>
      <c r="D600" t="inlineStr">
        <is>
          <t>MARIO PEDRO FELICIANO - HORTIFRUTI</t>
        </is>
      </c>
      <c r="E600" t="inlineStr">
        <is>
          <t>485895</t>
        </is>
      </c>
      <c r="F600" s="525" t="n">
        <v>46245</v>
      </c>
      <c r="G600" t="n">
        <v>19572</v>
      </c>
      <c r="H600" t="inlineStr">
        <is>
          <t>PIMENTA DEDO DE MOCA KG</t>
        </is>
      </c>
      <c r="I600" t="inlineStr">
        <is>
          <t>ALIMENTOS</t>
        </is>
      </c>
      <c r="J600" t="n">
        <v>7</v>
      </c>
      <c r="K600" t="inlineStr">
        <is>
          <t>KG</t>
        </is>
      </c>
      <c r="L600" t="n">
        <v>113.12</v>
      </c>
      <c r="M600" t="n">
        <v>16.16</v>
      </c>
      <c r="O600" t="inlineStr">
        <is>
          <t>08/2026</t>
        </is>
      </c>
    </row>
    <row r="601">
      <c r="A601" t="n">
        <v>256349</v>
      </c>
      <c r="B601" t="n">
        <v>180</v>
      </c>
      <c r="C601" t="inlineStr">
        <is>
          <t>Nuv Gastrobar</t>
        </is>
      </c>
      <c r="D601" t="inlineStr">
        <is>
          <t>MARIO PEDRO FELICIANO - HORTIFRUTI</t>
        </is>
      </c>
      <c r="E601" t="inlineStr">
        <is>
          <t>485895</t>
        </is>
      </c>
      <c r="F601" s="525" t="n">
        <v>46245</v>
      </c>
      <c r="G601" t="n">
        <v>19476</v>
      </c>
      <c r="H601" t="inlineStr">
        <is>
          <t>MANJERICAO KG</t>
        </is>
      </c>
      <c r="I601" t="inlineStr">
        <is>
          <t>ALIMENTOS</t>
        </is>
      </c>
      <c r="J601" t="n">
        <v>0.2</v>
      </c>
      <c r="K601" t="inlineStr">
        <is>
          <t>KG</t>
        </is>
      </c>
      <c r="L601" t="n">
        <v>11.44</v>
      </c>
      <c r="M601" t="n">
        <v>57.2</v>
      </c>
      <c r="O601" t="inlineStr">
        <is>
          <t>08/2026</t>
        </is>
      </c>
    </row>
    <row r="602">
      <c r="A602" t="n">
        <v>256349</v>
      </c>
      <c r="B602" t="n">
        <v>180</v>
      </c>
      <c r="C602" t="inlineStr">
        <is>
          <t>Nuv Gastrobar</t>
        </is>
      </c>
      <c r="D602" t="inlineStr">
        <is>
          <t>MARIO PEDRO FELICIANO - HORTIFRUTI</t>
        </is>
      </c>
      <c r="E602" t="inlineStr">
        <is>
          <t>485895</t>
        </is>
      </c>
      <c r="F602" s="525" t="n">
        <v>46245</v>
      </c>
      <c r="G602" t="n">
        <v>24484</v>
      </c>
      <c r="H602" t="inlineStr">
        <is>
          <t>TOMATE SWEET KG</t>
        </is>
      </c>
      <c r="I602" t="inlineStr">
        <is>
          <t>ALIMENTOS</t>
        </is>
      </c>
      <c r="J602" t="n">
        <v>0.4</v>
      </c>
      <c r="K602" t="inlineStr">
        <is>
          <t>KG</t>
        </is>
      </c>
      <c r="L602" t="n">
        <v>7.66</v>
      </c>
      <c r="M602" t="n">
        <v>19.15</v>
      </c>
      <c r="O602" t="inlineStr">
        <is>
          <t>08/2026</t>
        </is>
      </c>
    </row>
    <row r="603">
      <c r="A603" t="n">
        <v>256349</v>
      </c>
      <c r="B603" t="n">
        <v>180</v>
      </c>
      <c r="C603" t="inlineStr">
        <is>
          <t>Nuv Gastrobar</t>
        </is>
      </c>
      <c r="D603" t="inlineStr">
        <is>
          <t>MARIO PEDRO FELICIANO - HORTIFRUTI</t>
        </is>
      </c>
      <c r="E603" t="inlineStr">
        <is>
          <t>485895</t>
        </is>
      </c>
      <c r="F603" s="525" t="n">
        <v>46245</v>
      </c>
      <c r="G603" t="n">
        <v>24509</v>
      </c>
      <c r="H603" t="inlineStr">
        <is>
          <t>CEBOLA BRANCA KG</t>
        </is>
      </c>
      <c r="I603" t="inlineStr">
        <is>
          <t>ALIMENTOS</t>
        </is>
      </c>
      <c r="J603" t="n">
        <v>10</v>
      </c>
      <c r="K603" t="inlineStr">
        <is>
          <t>KG</t>
        </is>
      </c>
      <c r="L603" t="n">
        <v>42</v>
      </c>
      <c r="M603" t="n">
        <v>4.2</v>
      </c>
      <c r="O603" t="inlineStr">
        <is>
          <t>08/2026</t>
        </is>
      </c>
    </row>
    <row r="604">
      <c r="A604" t="n">
        <v>256349</v>
      </c>
      <c r="B604" t="n">
        <v>180</v>
      </c>
      <c r="C604" t="inlineStr">
        <is>
          <t>Nuv Gastrobar</t>
        </is>
      </c>
      <c r="D604" t="inlineStr">
        <is>
          <t>MARIO PEDRO FELICIANO - HORTIFRUTI</t>
        </is>
      </c>
      <c r="E604" t="inlineStr">
        <is>
          <t>485895</t>
        </is>
      </c>
      <c r="F604" s="525" t="n">
        <v>46245</v>
      </c>
      <c r="G604" t="n">
        <v>19632</v>
      </c>
      <c r="H604" t="inlineStr">
        <is>
          <t>BETERRABA KG</t>
        </is>
      </c>
      <c r="I604" t="inlineStr">
        <is>
          <t>ALIMENTOS</t>
        </is>
      </c>
      <c r="J604" t="n">
        <v>5</v>
      </c>
      <c r="K604" t="inlineStr">
        <is>
          <t>KG</t>
        </is>
      </c>
      <c r="L604" t="n">
        <v>14.3</v>
      </c>
      <c r="M604" t="n">
        <v>2.86</v>
      </c>
      <c r="O604" t="inlineStr">
        <is>
          <t>08/2026</t>
        </is>
      </c>
    </row>
    <row r="605">
      <c r="A605" t="n">
        <v>256349</v>
      </c>
      <c r="B605" t="n">
        <v>180</v>
      </c>
      <c r="C605" t="inlineStr">
        <is>
          <t>Nuv Gastrobar</t>
        </is>
      </c>
      <c r="D605" t="inlineStr">
        <is>
          <t>MARIO PEDRO FELICIANO - HORTIFRUTI</t>
        </is>
      </c>
      <c r="E605" t="inlineStr">
        <is>
          <t>485895</t>
        </is>
      </c>
      <c r="F605" s="525" t="n">
        <v>46245</v>
      </c>
      <c r="G605" t="n">
        <v>19743</v>
      </c>
      <c r="H605" t="inlineStr">
        <is>
          <t>MACA VERDE KG</t>
        </is>
      </c>
      <c r="I605" t="inlineStr">
        <is>
          <t>ALIMENTOS</t>
        </is>
      </c>
      <c r="J605" t="n">
        <v>2.17</v>
      </c>
      <c r="K605" t="inlineStr">
        <is>
          <t>KG</t>
        </is>
      </c>
      <c r="L605" t="n">
        <v>30.16</v>
      </c>
      <c r="M605" t="n">
        <v>13.898618</v>
      </c>
      <c r="O605" t="inlineStr">
        <is>
          <t>08/2026</t>
        </is>
      </c>
    </row>
    <row r="606">
      <c r="A606" t="n">
        <v>256349</v>
      </c>
      <c r="B606" t="n">
        <v>180</v>
      </c>
      <c r="C606" t="inlineStr">
        <is>
          <t>Nuv Gastrobar</t>
        </is>
      </c>
      <c r="D606" t="inlineStr">
        <is>
          <t>MARIO PEDRO FELICIANO - HORTIFRUTI</t>
        </is>
      </c>
      <c r="E606" t="inlineStr">
        <is>
          <t>485895</t>
        </is>
      </c>
      <c r="F606" s="525" t="n">
        <v>46245</v>
      </c>
      <c r="G606" t="n">
        <v>19590</v>
      </c>
      <c r="H606" t="inlineStr">
        <is>
          <t>PEPINO COMUM KG</t>
        </is>
      </c>
      <c r="I606" t="inlineStr">
        <is>
          <t>ALIMENTOS</t>
        </is>
      </c>
      <c r="J606" t="n">
        <v>2</v>
      </c>
      <c r="K606" t="inlineStr">
        <is>
          <t>KG</t>
        </is>
      </c>
      <c r="L606" t="n">
        <v>7.16</v>
      </c>
      <c r="M606" t="n">
        <v>3.58</v>
      </c>
      <c r="O606" t="inlineStr">
        <is>
          <t>08/2026</t>
        </is>
      </c>
    </row>
    <row r="607">
      <c r="A607" t="n">
        <v>256348</v>
      </c>
      <c r="B607" t="n">
        <v>180</v>
      </c>
      <c r="C607" t="inlineStr">
        <is>
          <t>Nuv Gastrobar</t>
        </is>
      </c>
      <c r="D607" t="inlineStr">
        <is>
          <t>CECILIA TSUYACO ARAKI SILVA LTDA</t>
        </is>
      </c>
      <c r="E607" t="inlineStr">
        <is>
          <t>397238</t>
        </is>
      </c>
      <c r="F607" s="525" t="n">
        <v>46245</v>
      </c>
      <c r="G607" t="n">
        <v>19623</v>
      </c>
      <c r="H607" t="inlineStr">
        <is>
          <t>CEBOLA ROXA KG</t>
        </is>
      </c>
      <c r="I607" t="inlineStr">
        <is>
          <t>ALIMENTOS</t>
        </is>
      </c>
      <c r="J607" t="n">
        <v>10</v>
      </c>
      <c r="K607" t="inlineStr">
        <is>
          <t>KG</t>
        </is>
      </c>
      <c r="L607" t="n">
        <v>70</v>
      </c>
      <c r="M607" t="n">
        <v>7</v>
      </c>
      <c r="O607" t="inlineStr">
        <is>
          <t>08/2026</t>
        </is>
      </c>
    </row>
    <row r="608">
      <c r="A608" t="n">
        <v>256348</v>
      </c>
      <c r="B608" t="n">
        <v>180</v>
      </c>
      <c r="C608" t="inlineStr">
        <is>
          <t>Nuv Gastrobar</t>
        </is>
      </c>
      <c r="D608" t="inlineStr">
        <is>
          <t>CECILIA TSUYACO ARAKI SILVA LTDA</t>
        </is>
      </c>
      <c r="E608" t="inlineStr">
        <is>
          <t>397238</t>
        </is>
      </c>
      <c r="F608" s="525" t="n">
        <v>46245</v>
      </c>
      <c r="G608" t="n">
        <v>19465</v>
      </c>
      <c r="H608" t="inlineStr">
        <is>
          <t>SALSAO KG</t>
        </is>
      </c>
      <c r="I608" t="inlineStr">
        <is>
          <t>ALIMENTOS</t>
        </is>
      </c>
      <c r="J608" t="n">
        <v>5</v>
      </c>
      <c r="K608" t="inlineStr">
        <is>
          <t>KG</t>
        </is>
      </c>
      <c r="L608" t="n">
        <v>34</v>
      </c>
      <c r="M608" t="n">
        <v>6.8</v>
      </c>
      <c r="O608" t="inlineStr">
        <is>
          <t>08/2026</t>
        </is>
      </c>
    </row>
    <row r="609">
      <c r="A609" t="n">
        <v>256348</v>
      </c>
      <c r="B609" t="n">
        <v>180</v>
      </c>
      <c r="C609" t="inlineStr">
        <is>
          <t>Nuv Gastrobar</t>
        </is>
      </c>
      <c r="D609" t="inlineStr">
        <is>
          <t>CECILIA TSUYACO ARAKI SILVA LTDA</t>
        </is>
      </c>
      <c r="E609" t="inlineStr">
        <is>
          <t>397238</t>
        </is>
      </c>
      <c r="F609" s="525" t="n">
        <v>46245</v>
      </c>
      <c r="G609" t="n">
        <v>19552</v>
      </c>
      <c r="H609" t="inlineStr">
        <is>
          <t>REPOLHO ROXO KG</t>
        </is>
      </c>
      <c r="I609" t="inlineStr">
        <is>
          <t>ALIMENTOS</t>
        </is>
      </c>
      <c r="J609" t="n">
        <v>2</v>
      </c>
      <c r="K609" t="inlineStr">
        <is>
          <t>KG</t>
        </is>
      </c>
      <c r="L609" t="n">
        <v>13.6</v>
      </c>
      <c r="M609" t="n">
        <v>6.8</v>
      </c>
      <c r="O609" t="inlineStr">
        <is>
          <t>08/2026</t>
        </is>
      </c>
    </row>
    <row r="610">
      <c r="A610" t="n">
        <v>256348</v>
      </c>
      <c r="B610" t="n">
        <v>180</v>
      </c>
      <c r="C610" t="inlineStr">
        <is>
          <t>Nuv Gastrobar</t>
        </is>
      </c>
      <c r="D610" t="inlineStr">
        <is>
          <t>CECILIA TSUYACO ARAKI SILVA LTDA</t>
        </is>
      </c>
      <c r="E610" t="inlineStr">
        <is>
          <t>397238</t>
        </is>
      </c>
      <c r="F610" s="525" t="n">
        <v>46245</v>
      </c>
      <c r="G610" t="n">
        <v>19617</v>
      </c>
      <c r="H610" t="inlineStr">
        <is>
          <t>COENTRO KG</t>
        </is>
      </c>
      <c r="I610" t="inlineStr">
        <is>
          <t>ALIMENTOS</t>
        </is>
      </c>
      <c r="J610" t="n">
        <v>1</v>
      </c>
      <c r="K610" t="inlineStr">
        <is>
          <t>KG</t>
        </is>
      </c>
      <c r="L610" t="n">
        <v>10</v>
      </c>
      <c r="M610" t="n">
        <v>10</v>
      </c>
      <c r="O610" t="inlineStr">
        <is>
          <t>08/2026</t>
        </is>
      </c>
    </row>
    <row r="611">
      <c r="A611" t="n">
        <v>256348</v>
      </c>
      <c r="B611" t="n">
        <v>180</v>
      </c>
      <c r="C611" t="inlineStr">
        <is>
          <t>Nuv Gastrobar</t>
        </is>
      </c>
      <c r="D611" t="inlineStr">
        <is>
          <t>CECILIA TSUYACO ARAKI SILVA LTDA</t>
        </is>
      </c>
      <c r="E611" t="inlineStr">
        <is>
          <t>397238</t>
        </is>
      </c>
      <c r="F611" s="525" t="n">
        <v>46245</v>
      </c>
      <c r="G611" t="n">
        <v>19554</v>
      </c>
      <c r="H611" t="inlineStr">
        <is>
          <t>REPOLHO VERDE KG</t>
        </is>
      </c>
      <c r="I611" t="inlineStr">
        <is>
          <t>ALIMENTOS</t>
        </is>
      </c>
      <c r="J611" t="n">
        <v>2</v>
      </c>
      <c r="K611" t="inlineStr">
        <is>
          <t>KG</t>
        </is>
      </c>
      <c r="L611" t="n">
        <v>9</v>
      </c>
      <c r="M611" t="n">
        <v>4.5</v>
      </c>
      <c r="O611" t="inlineStr">
        <is>
          <t>08/2026</t>
        </is>
      </c>
    </row>
    <row r="612">
      <c r="A612" t="n">
        <v>256348</v>
      </c>
      <c r="B612" t="n">
        <v>180</v>
      </c>
      <c r="C612" t="inlineStr">
        <is>
          <t>Nuv Gastrobar</t>
        </is>
      </c>
      <c r="D612" t="inlineStr">
        <is>
          <t>CECILIA TSUYACO ARAKI SILVA LTDA</t>
        </is>
      </c>
      <c r="E612" t="inlineStr">
        <is>
          <t>397238</t>
        </is>
      </c>
      <c r="F612" s="525" t="n">
        <v>46245</v>
      </c>
      <c r="G612" t="n">
        <v>19647</v>
      </c>
      <c r="H612" t="inlineStr">
        <is>
          <t>ALHO PORO KG</t>
        </is>
      </c>
      <c r="I612" t="inlineStr">
        <is>
          <t>ALIMENTOS</t>
        </is>
      </c>
      <c r="J612" t="n">
        <v>8</v>
      </c>
      <c r="K612" t="inlineStr">
        <is>
          <t>KG</t>
        </is>
      </c>
      <c r="L612" t="n">
        <v>68</v>
      </c>
      <c r="M612" t="n">
        <v>8.5</v>
      </c>
      <c r="O612" t="inlineStr">
        <is>
          <t>08/2026</t>
        </is>
      </c>
    </row>
    <row r="613">
      <c r="A613" t="n">
        <v>256348</v>
      </c>
      <c r="B613" t="n">
        <v>180</v>
      </c>
      <c r="C613" t="inlineStr">
        <is>
          <t>Nuv Gastrobar</t>
        </is>
      </c>
      <c r="D613" t="inlineStr">
        <is>
          <t>CECILIA TSUYACO ARAKI SILVA LTDA</t>
        </is>
      </c>
      <c r="E613" t="inlineStr">
        <is>
          <t>397238</t>
        </is>
      </c>
      <c r="F613" s="525" t="n">
        <v>46245</v>
      </c>
      <c r="G613" t="n">
        <v>19480</v>
      </c>
      <c r="H613" t="inlineStr">
        <is>
          <t>HORTELA HIDROPONICA KG</t>
        </is>
      </c>
      <c r="I613" t="inlineStr">
        <is>
          <t>ALIMENTOS</t>
        </is>
      </c>
      <c r="J613" t="n">
        <v>0.5</v>
      </c>
      <c r="K613" t="inlineStr">
        <is>
          <t>KG</t>
        </is>
      </c>
      <c r="L613" t="n">
        <v>11</v>
      </c>
      <c r="M613" t="n">
        <v>22</v>
      </c>
      <c r="O613" t="inlineStr">
        <is>
          <t>08/2026</t>
        </is>
      </c>
    </row>
    <row r="614">
      <c r="A614" t="n">
        <v>256348</v>
      </c>
      <c r="B614" t="n">
        <v>180</v>
      </c>
      <c r="C614" t="inlineStr">
        <is>
          <t>Nuv Gastrobar</t>
        </is>
      </c>
      <c r="D614" t="inlineStr">
        <is>
          <t>CECILIA TSUYACO ARAKI SILVA LTDA</t>
        </is>
      </c>
      <c r="E614" t="inlineStr">
        <is>
          <t>397238</t>
        </is>
      </c>
      <c r="F614" s="525" t="n">
        <v>46245</v>
      </c>
      <c r="G614" t="n">
        <v>23113</v>
      </c>
      <c r="H614" t="inlineStr">
        <is>
          <t>SALSA KG</t>
        </is>
      </c>
      <c r="I614" t="inlineStr">
        <is>
          <t>ALIMENTOS</t>
        </is>
      </c>
      <c r="J614" t="n">
        <v>2</v>
      </c>
      <c r="K614" t="inlineStr">
        <is>
          <t>KG</t>
        </is>
      </c>
      <c r="L614" t="n">
        <v>12</v>
      </c>
      <c r="M614" t="n">
        <v>6</v>
      </c>
      <c r="O614" t="inlineStr">
        <is>
          <t>08/2026</t>
        </is>
      </c>
    </row>
    <row r="615">
      <c r="A615" t="n">
        <v>256348</v>
      </c>
      <c r="B615" t="n">
        <v>180</v>
      </c>
      <c r="C615" t="inlineStr">
        <is>
          <t>Nuv Gastrobar</t>
        </is>
      </c>
      <c r="D615" t="inlineStr">
        <is>
          <t>CECILIA TSUYACO ARAKI SILVA LTDA</t>
        </is>
      </c>
      <c r="E615" t="inlineStr">
        <is>
          <t>397238</t>
        </is>
      </c>
      <c r="F615" s="525" t="n">
        <v>46245</v>
      </c>
      <c r="G615" t="n">
        <v>19488</v>
      </c>
      <c r="H615" t="inlineStr">
        <is>
          <t>CEBOLINHA KG</t>
        </is>
      </c>
      <c r="I615" t="inlineStr">
        <is>
          <t>ALIMENTOS</t>
        </is>
      </c>
      <c r="J615" t="n">
        <v>1.5</v>
      </c>
      <c r="K615" t="inlineStr">
        <is>
          <t>KG</t>
        </is>
      </c>
      <c r="L615" t="n">
        <v>15</v>
      </c>
      <c r="M615" t="n">
        <v>10</v>
      </c>
      <c r="O615" t="inlineStr">
        <is>
          <t>08/2026</t>
        </is>
      </c>
    </row>
    <row r="616">
      <c r="A616" t="n">
        <v>256348</v>
      </c>
      <c r="B616" t="n">
        <v>180</v>
      </c>
      <c r="C616" t="inlineStr">
        <is>
          <t>Nuv Gastrobar</t>
        </is>
      </c>
      <c r="D616" t="inlineStr">
        <is>
          <t>CECILIA TSUYACO ARAKI SILVA LTDA</t>
        </is>
      </c>
      <c r="E616" t="inlineStr">
        <is>
          <t>397238</t>
        </is>
      </c>
      <c r="F616" s="525" t="n">
        <v>46245</v>
      </c>
      <c r="G616" t="n">
        <v>19751</v>
      </c>
      <c r="H616" t="inlineStr">
        <is>
          <t>LIMAO SICILIANO KG</t>
        </is>
      </c>
      <c r="I616" t="inlineStr">
        <is>
          <t>ALIMENTOS</t>
        </is>
      </c>
      <c r="J616" t="n">
        <v>3</v>
      </c>
      <c r="K616" t="inlineStr">
        <is>
          <t>KG</t>
        </is>
      </c>
      <c r="L616" t="n">
        <v>22.5</v>
      </c>
      <c r="M616" t="n">
        <v>7.5</v>
      </c>
      <c r="O616" t="inlineStr">
        <is>
          <t>08/2026</t>
        </is>
      </c>
    </row>
    <row r="617">
      <c r="A617" t="n">
        <v>256348</v>
      </c>
      <c r="B617" t="n">
        <v>180</v>
      </c>
      <c r="C617" t="inlineStr">
        <is>
          <t>Nuv Gastrobar</t>
        </is>
      </c>
      <c r="D617" t="inlineStr">
        <is>
          <t>CECILIA TSUYACO ARAKI SILVA LTDA</t>
        </is>
      </c>
      <c r="E617" t="inlineStr">
        <is>
          <t>397238</t>
        </is>
      </c>
      <c r="F617" s="525" t="n">
        <v>46245</v>
      </c>
      <c r="G617" t="n">
        <v>23108</v>
      </c>
      <c r="H617" t="inlineStr">
        <is>
          <t>TOMILHO KG</t>
        </is>
      </c>
      <c r="I617" t="inlineStr">
        <is>
          <t>ALIMENTOS</t>
        </is>
      </c>
      <c r="J617" t="n">
        <v>0.5</v>
      </c>
      <c r="K617" t="inlineStr">
        <is>
          <t>KG</t>
        </is>
      </c>
      <c r="L617" t="n">
        <v>40</v>
      </c>
      <c r="M617" t="n">
        <v>80</v>
      </c>
      <c r="O617" t="inlineStr">
        <is>
          <t>08/2026</t>
        </is>
      </c>
    </row>
    <row r="618">
      <c r="A618" t="n">
        <v>256348</v>
      </c>
      <c r="B618" t="n">
        <v>180</v>
      </c>
      <c r="C618" t="inlineStr">
        <is>
          <t>Nuv Gastrobar</t>
        </is>
      </c>
      <c r="D618" t="inlineStr">
        <is>
          <t>CECILIA TSUYACO ARAKI SILVA LTDA</t>
        </is>
      </c>
      <c r="E618" t="inlineStr">
        <is>
          <t>397238</t>
        </is>
      </c>
      <c r="F618" s="525" t="n">
        <v>46245</v>
      </c>
      <c r="G618" t="n">
        <v>24037</v>
      </c>
      <c r="H618" t="inlineStr">
        <is>
          <t>ALHO TRITURADO FRITO</t>
        </is>
      </c>
      <c r="I618" t="inlineStr">
        <is>
          <t>ALIMENTOS</t>
        </is>
      </c>
      <c r="J618" t="n">
        <v>2</v>
      </c>
      <c r="K618" t="inlineStr">
        <is>
          <t>KG</t>
        </is>
      </c>
      <c r="L618" t="n">
        <v>36</v>
      </c>
      <c r="M618" t="n">
        <v>18</v>
      </c>
      <c r="O618" t="inlineStr">
        <is>
          <t>08/2026</t>
        </is>
      </c>
    </row>
    <row r="619">
      <c r="A619" t="n">
        <v>256348</v>
      </c>
      <c r="B619" t="n">
        <v>180</v>
      </c>
      <c r="C619" t="inlineStr">
        <is>
          <t>Nuv Gastrobar</t>
        </is>
      </c>
      <c r="D619" t="inlineStr">
        <is>
          <t>CECILIA TSUYACO ARAKI SILVA LTDA</t>
        </is>
      </c>
      <c r="E619" t="inlineStr">
        <is>
          <t>397238</t>
        </is>
      </c>
      <c r="F619" s="525" t="n">
        <v>46245</v>
      </c>
      <c r="G619" t="n">
        <v>23095</v>
      </c>
      <c r="H619" t="inlineStr">
        <is>
          <t>OVO CAIPIRA UN</t>
        </is>
      </c>
      <c r="I619" t="inlineStr">
        <is>
          <t>ALIMENTOS</t>
        </is>
      </c>
      <c r="J619" t="n">
        <v>180</v>
      </c>
      <c r="K619" t="inlineStr">
        <is>
          <t>UN</t>
        </is>
      </c>
      <c r="L619" t="n">
        <v>165.6</v>
      </c>
      <c r="M619" t="n">
        <v>0.92</v>
      </c>
      <c r="O619" t="inlineStr">
        <is>
          <t>08/2026</t>
        </is>
      </c>
    </row>
    <row r="620">
      <c r="A620" t="n">
        <v>256348</v>
      </c>
      <c r="B620" t="n">
        <v>180</v>
      </c>
      <c r="C620" t="inlineStr">
        <is>
          <t>Nuv Gastrobar</t>
        </is>
      </c>
      <c r="D620" t="inlineStr">
        <is>
          <t>CECILIA TSUYACO ARAKI SILVA LTDA</t>
        </is>
      </c>
      <c r="E620" t="inlineStr">
        <is>
          <t>397238</t>
        </is>
      </c>
      <c r="F620" s="525" t="n">
        <v>46245</v>
      </c>
      <c r="G620" t="n">
        <v>19652</v>
      </c>
      <c r="H620" t="inlineStr">
        <is>
          <t>ALHO COMUM KG</t>
        </is>
      </c>
      <c r="I620" t="inlineStr">
        <is>
          <t>ALIMENTOS</t>
        </is>
      </c>
      <c r="J620" t="n">
        <v>2</v>
      </c>
      <c r="K620" t="inlineStr">
        <is>
          <t>KG</t>
        </is>
      </c>
      <c r="L620" t="n">
        <v>50</v>
      </c>
      <c r="M620" t="n">
        <v>25</v>
      </c>
      <c r="O620" t="inlineStr">
        <is>
          <t>08/2026</t>
        </is>
      </c>
    </row>
    <row r="621">
      <c r="A621" t="n">
        <v>256348</v>
      </c>
      <c r="B621" t="n">
        <v>180</v>
      </c>
      <c r="C621" t="inlineStr">
        <is>
          <t>Nuv Gastrobar</t>
        </is>
      </c>
      <c r="D621" t="inlineStr">
        <is>
          <t>CECILIA TSUYACO ARAKI SILVA LTDA</t>
        </is>
      </c>
      <c r="E621" t="inlineStr">
        <is>
          <t>397238</t>
        </is>
      </c>
      <c r="F621" s="525" t="n">
        <v>46245</v>
      </c>
      <c r="G621" t="n">
        <v>19752</v>
      </c>
      <c r="H621" t="inlineStr">
        <is>
          <t>LIMAO CRAVO KG</t>
        </is>
      </c>
      <c r="I621" t="inlineStr">
        <is>
          <t>ALIMENTOS</t>
        </is>
      </c>
      <c r="J621" t="n">
        <v>1</v>
      </c>
      <c r="K621" t="inlineStr">
        <is>
          <t>KG</t>
        </is>
      </c>
      <c r="L621" t="n">
        <v>7.5</v>
      </c>
      <c r="M621" t="n">
        <v>7.5</v>
      </c>
      <c r="O621" t="inlineStr">
        <is>
          <t>08/2026</t>
        </is>
      </c>
    </row>
    <row r="622">
      <c r="A622" t="n">
        <v>256347</v>
      </c>
      <c r="B622" t="n">
        <v>180</v>
      </c>
      <c r="C622" t="inlineStr">
        <is>
          <t>Nuv Gastrobar</t>
        </is>
      </c>
      <c r="D622" t="inlineStr">
        <is>
          <t>DTK COMERCIO DE ALIMENTOS LTDA</t>
        </is>
      </c>
      <c r="E622" t="inlineStr">
        <is>
          <t>94926</t>
        </is>
      </c>
      <c r="F622" s="525" t="n">
        <v>46246</v>
      </c>
      <c r="G622" t="n">
        <v>19923</v>
      </c>
      <c r="H622" t="inlineStr">
        <is>
          <t>PIMENTA PRETA EM GRAOS C/500G</t>
        </is>
      </c>
      <c r="I622" t="inlineStr">
        <is>
          <t>ALIMENTOS</t>
        </is>
      </c>
      <c r="J622" t="n">
        <v>2</v>
      </c>
      <c r="K622" t="inlineStr">
        <is>
          <t>UN</t>
        </is>
      </c>
      <c r="L622" t="n">
        <v>77.8</v>
      </c>
      <c r="M622" t="n">
        <v>38.9</v>
      </c>
      <c r="O622" t="inlineStr">
        <is>
          <t>08/2026</t>
        </is>
      </c>
    </row>
    <row r="623">
      <c r="A623" t="n">
        <v>256347</v>
      </c>
      <c r="B623" t="n">
        <v>180</v>
      </c>
      <c r="C623" t="inlineStr">
        <is>
          <t>Nuv Gastrobar</t>
        </is>
      </c>
      <c r="D623" t="inlineStr">
        <is>
          <t>DTK COMERCIO DE ALIMENTOS LTDA</t>
        </is>
      </c>
      <c r="E623" t="inlineStr">
        <is>
          <t>94926</t>
        </is>
      </c>
      <c r="F623" s="525" t="n">
        <v>46246</v>
      </c>
      <c r="G623" t="n">
        <v>21093</v>
      </c>
      <c r="H623" t="inlineStr">
        <is>
          <t>ACUCAR REFINADO UNIAO 1KG UN KG</t>
        </is>
      </c>
      <c r="I623" t="inlineStr">
        <is>
          <t>ALIMENTOS</t>
        </is>
      </c>
      <c r="J623" t="n">
        <v>10</v>
      </c>
      <c r="K623" t="inlineStr">
        <is>
          <t>UN</t>
        </is>
      </c>
      <c r="L623" t="n">
        <v>35.9</v>
      </c>
      <c r="M623" t="n">
        <v>3.59</v>
      </c>
      <c r="O623" t="inlineStr">
        <is>
          <t>08/2026</t>
        </is>
      </c>
    </row>
    <row r="624">
      <c r="A624" t="n">
        <v>256347</v>
      </c>
      <c r="B624" t="n">
        <v>180</v>
      </c>
      <c r="C624" t="inlineStr">
        <is>
          <t>Nuv Gastrobar</t>
        </is>
      </c>
      <c r="D624" t="inlineStr">
        <is>
          <t>DTK COMERCIO DE ALIMENTOS LTDA</t>
        </is>
      </c>
      <c r="E624" t="inlineStr">
        <is>
          <t>94926</t>
        </is>
      </c>
      <c r="F624" s="525" t="n">
        <v>46246</v>
      </c>
      <c r="G624" t="n">
        <v>23215</v>
      </c>
      <c r="H624" t="inlineStr">
        <is>
          <t>PIMENTA CALABRESA KG</t>
        </is>
      </c>
      <c r="I624" t="inlineStr">
        <is>
          <t>ALIMENTOS</t>
        </is>
      </c>
      <c r="J624" t="n">
        <v>1</v>
      </c>
      <c r="K624" t="inlineStr">
        <is>
          <t>KG</t>
        </is>
      </c>
      <c r="L624" t="n">
        <v>45</v>
      </c>
      <c r="M624" t="n">
        <v>45</v>
      </c>
      <c r="O624" t="inlineStr">
        <is>
          <t>08/2026</t>
        </is>
      </c>
    </row>
    <row r="625">
      <c r="A625" t="n">
        <v>256347</v>
      </c>
      <c r="B625" t="n">
        <v>180</v>
      </c>
      <c r="C625" t="inlineStr">
        <is>
          <t>Nuv Gastrobar</t>
        </is>
      </c>
      <c r="D625" t="inlineStr">
        <is>
          <t>DTK COMERCIO DE ALIMENTOS LTDA</t>
        </is>
      </c>
      <c r="E625" t="inlineStr">
        <is>
          <t>94926</t>
        </is>
      </c>
      <c r="F625" s="525" t="n">
        <v>46246</v>
      </c>
      <c r="G625" t="n">
        <v>20029</v>
      </c>
      <c r="H625" t="inlineStr">
        <is>
          <t>ESSENCIA DE BAUNILHA CEPERA 500ML</t>
        </is>
      </c>
      <c r="I625" t="inlineStr">
        <is>
          <t>ALIMENTOS</t>
        </is>
      </c>
      <c r="J625" t="n">
        <v>2</v>
      </c>
      <c r="K625" t="inlineStr">
        <is>
          <t>UN</t>
        </is>
      </c>
      <c r="L625" t="n">
        <v>32.56</v>
      </c>
      <c r="M625" t="n">
        <v>16.28</v>
      </c>
      <c r="O625" t="inlineStr">
        <is>
          <t>08/2026</t>
        </is>
      </c>
    </row>
    <row r="626">
      <c r="A626" t="n">
        <v>256347</v>
      </c>
      <c r="B626" t="n">
        <v>180</v>
      </c>
      <c r="C626" t="inlineStr">
        <is>
          <t>Nuv Gastrobar</t>
        </is>
      </c>
      <c r="D626" t="inlineStr">
        <is>
          <t>DTK COMERCIO DE ALIMENTOS LTDA</t>
        </is>
      </c>
      <c r="E626" t="inlineStr">
        <is>
          <t>94926</t>
        </is>
      </c>
      <c r="F626" s="525" t="n">
        <v>46246</v>
      </c>
      <c r="G626" t="n">
        <v>24039</v>
      </c>
      <c r="H626" t="inlineStr">
        <is>
          <t>AMENDOA INTEIRA CRUA SEM CASCA 1KG</t>
        </is>
      </c>
      <c r="I626" t="inlineStr">
        <is>
          <t>ALIMENTOS</t>
        </is>
      </c>
      <c r="J626" t="n">
        <v>1</v>
      </c>
      <c r="K626" t="inlineStr">
        <is>
          <t>Kg</t>
        </is>
      </c>
      <c r="L626" t="n">
        <v>76.79000000000001</v>
      </c>
      <c r="M626" t="n">
        <v>76.79000000000001</v>
      </c>
      <c r="O626" t="inlineStr">
        <is>
          <t>08/2026</t>
        </is>
      </c>
    </row>
    <row r="627">
      <c r="A627" t="n">
        <v>256347</v>
      </c>
      <c r="B627" t="n">
        <v>180</v>
      </c>
      <c r="C627" t="inlineStr">
        <is>
          <t>Nuv Gastrobar</t>
        </is>
      </c>
      <c r="D627" t="inlineStr">
        <is>
          <t>DTK COMERCIO DE ALIMENTOS LTDA</t>
        </is>
      </c>
      <c r="E627" t="inlineStr">
        <is>
          <t>94926</t>
        </is>
      </c>
      <c r="F627" s="525" t="n">
        <v>46246</v>
      </c>
      <c r="G627" t="n">
        <v>26388</v>
      </c>
      <c r="H627" t="inlineStr">
        <is>
          <t>MACARRAO RIGATONE GRANO DURO Nº17 DIVELLA C/500G</t>
        </is>
      </c>
      <c r="I627" t="inlineStr">
        <is>
          <t>ALIMENTOS</t>
        </is>
      </c>
      <c r="J627" t="n">
        <v>10</v>
      </c>
      <c r="K627" t="inlineStr">
        <is>
          <t>PC</t>
        </is>
      </c>
      <c r="L627" t="n">
        <v>86.90000000000001</v>
      </c>
      <c r="M627" t="n">
        <v>8.69</v>
      </c>
      <c r="O627" t="inlineStr">
        <is>
          <t>08/2026</t>
        </is>
      </c>
    </row>
    <row r="628">
      <c r="A628" t="n">
        <v>256347</v>
      </c>
      <c r="B628" t="n">
        <v>180</v>
      </c>
      <c r="C628" t="inlineStr">
        <is>
          <t>Nuv Gastrobar</t>
        </is>
      </c>
      <c r="D628" t="inlineStr">
        <is>
          <t>DTK COMERCIO DE ALIMENTOS LTDA</t>
        </is>
      </c>
      <c r="E628" t="inlineStr">
        <is>
          <t>94926</t>
        </is>
      </c>
      <c r="F628" s="525" t="n">
        <v>46246</v>
      </c>
      <c r="G628" t="n">
        <v>21010</v>
      </c>
      <c r="H628" t="inlineStr">
        <is>
          <t>OLEO DE CANOLA SAUDE C/900ML UN</t>
        </is>
      </c>
      <c r="I628" t="inlineStr">
        <is>
          <t>ALIMENTOS</t>
        </is>
      </c>
      <c r="J628" t="n">
        <v>7</v>
      </c>
      <c r="K628" t="inlineStr">
        <is>
          <t>UN</t>
        </is>
      </c>
      <c r="L628" t="n">
        <v>77.7</v>
      </c>
      <c r="M628" t="n">
        <v>11.1</v>
      </c>
      <c r="O628" t="inlineStr">
        <is>
          <t>08/2026</t>
        </is>
      </c>
    </row>
    <row r="629">
      <c r="A629" t="n">
        <v>256347</v>
      </c>
      <c r="B629" t="n">
        <v>180</v>
      </c>
      <c r="C629" t="inlineStr">
        <is>
          <t>Nuv Gastrobar</t>
        </is>
      </c>
      <c r="D629" t="inlineStr">
        <is>
          <t>DTK COMERCIO DE ALIMENTOS LTDA</t>
        </is>
      </c>
      <c r="E629" t="inlineStr">
        <is>
          <t>94926</t>
        </is>
      </c>
      <c r="F629" s="525" t="n">
        <v>46246</v>
      </c>
      <c r="G629" t="n">
        <v>21078</v>
      </c>
      <c r="H629" t="inlineStr">
        <is>
          <t>ADOCANTE SUCRALOSE SACHE LINEA 1000X5GR CX</t>
        </is>
      </c>
      <c r="I629" t="inlineStr">
        <is>
          <t>ALIMENTOS</t>
        </is>
      </c>
      <c r="J629" t="n">
        <v>3</v>
      </c>
      <c r="K629" t="inlineStr">
        <is>
          <t>CX</t>
        </is>
      </c>
      <c r="L629" t="n">
        <v>149.97</v>
      </c>
      <c r="M629" t="n">
        <v>49.99</v>
      </c>
      <c r="O629" t="inlineStr">
        <is>
          <t>08/2026</t>
        </is>
      </c>
    </row>
    <row r="630">
      <c r="A630" t="n">
        <v>256347</v>
      </c>
      <c r="B630" t="n">
        <v>180</v>
      </c>
      <c r="C630" t="inlineStr">
        <is>
          <t>Nuv Gastrobar</t>
        </is>
      </c>
      <c r="D630" t="inlineStr">
        <is>
          <t>DTK COMERCIO DE ALIMENTOS LTDA</t>
        </is>
      </c>
      <c r="E630" t="inlineStr">
        <is>
          <t>94926</t>
        </is>
      </c>
      <c r="F630" s="525" t="n">
        <v>46246</v>
      </c>
      <c r="G630" t="n">
        <v>19911</v>
      </c>
      <c r="H630" t="inlineStr">
        <is>
          <t>SAL REFINADO LEBRE C/1KG</t>
        </is>
      </c>
      <c r="I630" t="inlineStr">
        <is>
          <t>ALIMENTOS</t>
        </is>
      </c>
      <c r="J630" t="n">
        <v>20</v>
      </c>
      <c r="K630" t="inlineStr">
        <is>
          <t>UN</t>
        </is>
      </c>
      <c r="L630" t="n">
        <v>59.8</v>
      </c>
      <c r="M630" t="n">
        <v>2.99</v>
      </c>
      <c r="O630" t="inlineStr">
        <is>
          <t>08/2026</t>
        </is>
      </c>
    </row>
    <row r="631">
      <c r="A631" t="n">
        <v>256347</v>
      </c>
      <c r="B631" t="n">
        <v>180</v>
      </c>
      <c r="C631" t="inlineStr">
        <is>
          <t>Nuv Gastrobar</t>
        </is>
      </c>
      <c r="D631" t="inlineStr">
        <is>
          <t>DTK COMERCIO DE ALIMENTOS LTDA</t>
        </is>
      </c>
      <c r="E631" t="inlineStr">
        <is>
          <t>94926</t>
        </is>
      </c>
      <c r="F631" s="525" t="n">
        <v>46246</v>
      </c>
      <c r="G631" t="n">
        <v>20961</v>
      </c>
      <c r="H631" t="inlineStr">
        <is>
          <t>VINAGRE DE MACA CASTELO 750ML UN</t>
        </is>
      </c>
      <c r="I631" t="inlineStr">
        <is>
          <t>ALIMENTOS</t>
        </is>
      </c>
      <c r="J631" t="n">
        <v>12</v>
      </c>
      <c r="K631" t="inlineStr">
        <is>
          <t>UN</t>
        </is>
      </c>
      <c r="L631" t="n">
        <v>106.68</v>
      </c>
      <c r="M631" t="n">
        <v>8.890000000000001</v>
      </c>
      <c r="O631" t="inlineStr">
        <is>
          <t>08/2026</t>
        </is>
      </c>
    </row>
    <row r="632">
      <c r="A632" t="n">
        <v>256346</v>
      </c>
      <c r="B632" t="n">
        <v>180</v>
      </c>
      <c r="C632" t="inlineStr">
        <is>
          <t>Nuv Gastrobar</t>
        </is>
      </c>
      <c r="D632" t="inlineStr">
        <is>
          <t>FUNGO DE QUINTAL COMÉRCIO DE ALIMENTOS - ME</t>
        </is>
      </c>
      <c r="E632" t="inlineStr">
        <is>
          <t>149581</t>
        </is>
      </c>
      <c r="F632" s="525" t="n">
        <v>46246</v>
      </c>
      <c r="G632" t="n">
        <v>19845</v>
      </c>
      <c r="H632" t="inlineStr">
        <is>
          <t>COGUMELO PARIS GRANEL KG</t>
        </is>
      </c>
      <c r="I632" t="inlineStr">
        <is>
          <t>ALIMENTOS</t>
        </is>
      </c>
      <c r="J632" t="n">
        <v>10</v>
      </c>
      <c r="K632" t="inlineStr">
        <is>
          <t>KG</t>
        </is>
      </c>
      <c r="L632" t="n">
        <v>371</v>
      </c>
      <c r="M632" t="n">
        <v>37.1</v>
      </c>
      <c r="O632" t="inlineStr">
        <is>
          <t>08/2026</t>
        </is>
      </c>
    </row>
    <row r="633">
      <c r="A633" t="n">
        <v>256345</v>
      </c>
      <c r="B633" t="n">
        <v>180</v>
      </c>
      <c r="C633" t="inlineStr">
        <is>
          <t>Nuv Gastrobar</t>
        </is>
      </c>
      <c r="D633" t="inlineStr">
        <is>
          <t>FNS COMERCIO E IMPORTAÇÃO LTDA</t>
        </is>
      </c>
      <c r="E633" t="inlineStr">
        <is>
          <t>404013</t>
        </is>
      </c>
      <c r="F633" s="525" t="n">
        <v>46244</v>
      </c>
      <c r="G633" t="n">
        <v>30224</v>
      </c>
      <c r="H633" t="inlineStr">
        <is>
          <t>COPO PAPEL 270ML C/LOGO NUV C/1000UN</t>
        </is>
      </c>
      <c r="I633" t="inlineStr">
        <is>
          <t>DESCARTAVEIS/HIGIENE E LIMPEZA</t>
        </is>
      </c>
      <c r="J633" t="n">
        <v>2</v>
      </c>
      <c r="K633" t="inlineStr">
        <is>
          <t>CX</t>
        </is>
      </c>
      <c r="L633" t="n">
        <v>616.4</v>
      </c>
      <c r="M633" t="n">
        <v>308.2</v>
      </c>
      <c r="O633" t="inlineStr">
        <is>
          <t>08/2026</t>
        </is>
      </c>
    </row>
    <row r="634">
      <c r="A634" t="n">
        <v>256345</v>
      </c>
      <c r="B634" t="n">
        <v>180</v>
      </c>
      <c r="C634" t="inlineStr">
        <is>
          <t>Nuv Gastrobar</t>
        </is>
      </c>
      <c r="D634" t="inlineStr">
        <is>
          <t>FNS COMERCIO E IMPORTAÇÃO LTDA</t>
        </is>
      </c>
      <c r="E634" t="inlineStr">
        <is>
          <t>404013</t>
        </is>
      </c>
      <c r="F634" s="525" t="n">
        <v>46244</v>
      </c>
      <c r="G634" t="n">
        <v>30232</v>
      </c>
      <c r="H634" t="inlineStr">
        <is>
          <t>TAMPA COMFORT PRETA LIQUIDO QUENTE 80MM C/1000UN</t>
        </is>
      </c>
      <c r="I634" t="inlineStr">
        <is>
          <t>DESPESAS OPERACIONAIS</t>
        </is>
      </c>
      <c r="J634" t="n">
        <v>2</v>
      </c>
      <c r="K634" t="inlineStr">
        <is>
          <t>CX</t>
        </is>
      </c>
      <c r="L634" t="n">
        <v>360</v>
      </c>
      <c r="M634" t="n">
        <v>180</v>
      </c>
      <c r="O634" t="inlineStr">
        <is>
          <t>08/2026</t>
        </is>
      </c>
    </row>
    <row r="635">
      <c r="A635" t="n">
        <v>256345</v>
      </c>
      <c r="B635" t="n">
        <v>180</v>
      </c>
      <c r="C635" t="inlineStr">
        <is>
          <t>Nuv Gastrobar</t>
        </is>
      </c>
      <c r="D635" t="inlineStr">
        <is>
          <t>FNS COMERCIO E IMPORTAÇÃO LTDA</t>
        </is>
      </c>
      <c r="E635" t="inlineStr">
        <is>
          <t>404013</t>
        </is>
      </c>
      <c r="F635" s="525" t="n">
        <v>46244</v>
      </c>
      <c r="G635" t="n">
        <v>29105</v>
      </c>
      <c r="H635" t="inlineStr">
        <is>
          <t>TAMPA COMFORT PRETA LIQUIDO QUENTE 73MM C/1000</t>
        </is>
      </c>
      <c r="I635" t="inlineStr">
        <is>
          <t>DESPESAS OPERACIONAIS</t>
        </is>
      </c>
      <c r="J635" t="n">
        <v>2</v>
      </c>
      <c r="K635" t="inlineStr">
        <is>
          <t>CX</t>
        </is>
      </c>
      <c r="L635" t="n">
        <v>302.86</v>
      </c>
      <c r="M635" t="n">
        <v>151.43</v>
      </c>
      <c r="O635" t="inlineStr">
        <is>
          <t>08/2026</t>
        </is>
      </c>
    </row>
    <row r="636">
      <c r="A636" t="n">
        <v>256345</v>
      </c>
      <c r="B636" t="n">
        <v>180</v>
      </c>
      <c r="C636" t="inlineStr">
        <is>
          <t>Nuv Gastrobar</t>
        </is>
      </c>
      <c r="D636" t="inlineStr">
        <is>
          <t>FNS COMERCIO E IMPORTAÇÃO LTDA</t>
        </is>
      </c>
      <c r="E636" t="inlineStr">
        <is>
          <t>404013</t>
        </is>
      </c>
      <c r="F636" s="525" t="n">
        <v>46244</v>
      </c>
      <c r="G636" t="n">
        <v>30222</v>
      </c>
      <c r="H636" t="inlineStr">
        <is>
          <t>COPO PET 440ML C/LOGO NUV C/1000UN</t>
        </is>
      </c>
      <c r="I636" t="inlineStr">
        <is>
          <t>DESCARTAVEIS/HIGIENE E LIMPEZA</t>
        </is>
      </c>
      <c r="J636" t="n">
        <v>2</v>
      </c>
      <c r="K636" t="inlineStr">
        <is>
          <t>CX</t>
        </is>
      </c>
      <c r="L636" t="n">
        <v>779.12</v>
      </c>
      <c r="M636" t="n">
        <v>389.56</v>
      </c>
      <c r="O636" t="inlineStr">
        <is>
          <t>08/2026</t>
        </is>
      </c>
    </row>
    <row r="637">
      <c r="A637" t="n">
        <v>256345</v>
      </c>
      <c r="B637" t="n">
        <v>180</v>
      </c>
      <c r="C637" t="inlineStr">
        <is>
          <t>Nuv Gastrobar</t>
        </is>
      </c>
      <c r="D637" t="inlineStr">
        <is>
          <t>FNS COMERCIO E IMPORTAÇÃO LTDA</t>
        </is>
      </c>
      <c r="E637" t="inlineStr">
        <is>
          <t>404013</t>
        </is>
      </c>
      <c r="F637" s="525" t="n">
        <v>46244</v>
      </c>
      <c r="G637" t="n">
        <v>30223</v>
      </c>
      <c r="H637" t="inlineStr">
        <is>
          <t>COPO PAPEL 200ML C/LOGO NUV C/1000UN</t>
        </is>
      </c>
      <c r="I637" t="inlineStr">
        <is>
          <t>DESCARTAVEIS/HIGIENE E LIMPEZA</t>
        </is>
      </c>
      <c r="J637" t="n">
        <v>2</v>
      </c>
      <c r="K637" t="inlineStr">
        <is>
          <t>CX</t>
        </is>
      </c>
      <c r="L637" t="n">
        <v>453.76</v>
      </c>
      <c r="M637" t="n">
        <v>226.88</v>
      </c>
      <c r="O637" t="inlineStr">
        <is>
          <t>08/2026</t>
        </is>
      </c>
    </row>
    <row r="638">
      <c r="A638" t="n">
        <v>256345</v>
      </c>
      <c r="B638" t="n">
        <v>180</v>
      </c>
      <c r="C638" t="inlineStr">
        <is>
          <t>Nuv Gastrobar</t>
        </is>
      </c>
      <c r="D638" t="inlineStr">
        <is>
          <t>FNS COMERCIO E IMPORTAÇÃO LTDA</t>
        </is>
      </c>
      <c r="E638" t="inlineStr">
        <is>
          <t>404013</t>
        </is>
      </c>
      <c r="F638" s="525" t="n">
        <v>46244</v>
      </c>
      <c r="G638" t="n">
        <v>28935</v>
      </c>
      <c r="H638" t="inlineStr">
        <is>
          <t>TAMPA PET CRISTAL BOLHA FNS C/1000 UN</t>
        </is>
      </c>
      <c r="I638" t="inlineStr">
        <is>
          <t>DESPESAS OPERACIONAIS</t>
        </is>
      </c>
      <c r="J638" t="n">
        <v>2</v>
      </c>
      <c r="K638" t="inlineStr">
        <is>
          <t>CX</t>
        </is>
      </c>
      <c r="L638" t="n">
        <v>312.38</v>
      </c>
      <c r="M638" t="n">
        <v>156.19</v>
      </c>
      <c r="O638" t="inlineStr">
        <is>
          <t>08/2026</t>
        </is>
      </c>
    </row>
    <row r="639">
      <c r="A639" t="n">
        <v>256345</v>
      </c>
      <c r="B639" t="n">
        <v>180</v>
      </c>
      <c r="C639" t="inlineStr">
        <is>
          <t>Nuv Gastrobar</t>
        </is>
      </c>
      <c r="D639" t="inlineStr">
        <is>
          <t>FNS COMERCIO E IMPORTAÇÃO LTDA</t>
        </is>
      </c>
      <c r="E639" t="inlineStr">
        <is>
          <t>404013</t>
        </is>
      </c>
      <c r="F639" s="525" t="n">
        <v>46244</v>
      </c>
      <c r="G639" t="n">
        <v>30233</v>
      </c>
      <c r="H639" t="inlineStr">
        <is>
          <t>TAMPA PET CRISTAL PLANA COM FURO 92MM FNS C/1000 UN</t>
        </is>
      </c>
      <c r="I639" t="inlineStr">
        <is>
          <t>DESPESAS OPERACIONAIS</t>
        </is>
      </c>
      <c r="J639" t="n">
        <v>2</v>
      </c>
      <c r="K639" t="inlineStr">
        <is>
          <t>CX</t>
        </is>
      </c>
      <c r="L639" t="n">
        <v>291.24</v>
      </c>
      <c r="M639" t="n">
        <v>145.62</v>
      </c>
      <c r="O639" t="inlineStr">
        <is>
          <t>08/2026</t>
        </is>
      </c>
    </row>
    <row r="640">
      <c r="A640" t="n">
        <v>256344</v>
      </c>
      <c r="B640" t="n">
        <v>180</v>
      </c>
      <c r="C640" t="inlineStr">
        <is>
          <t>Nuv Gastrobar</t>
        </is>
      </c>
      <c r="D640" t="inlineStr">
        <is>
          <t>EMPORIO M&amp;L COMERCIO DE ALIM E BEBIDAS LTDA</t>
        </is>
      </c>
      <c r="E640" t="inlineStr">
        <is>
          <t>526987</t>
        </is>
      </c>
      <c r="F640" s="525" t="n">
        <v>46244</v>
      </c>
      <c r="G640" t="n">
        <v>19346</v>
      </c>
      <c r="H640" t="inlineStr">
        <is>
          <t>QUEIJO GORGONZOLA QUATA KG</t>
        </is>
      </c>
      <c r="I640" t="inlineStr">
        <is>
          <t>ALIMENTOS</t>
        </is>
      </c>
      <c r="J640" t="n">
        <v>9</v>
      </c>
      <c r="K640" t="inlineStr">
        <is>
          <t>Kg</t>
        </is>
      </c>
      <c r="L640" t="n">
        <v>522</v>
      </c>
      <c r="M640" t="n">
        <v>58</v>
      </c>
      <c r="O640" t="inlineStr">
        <is>
          <t>08/2026</t>
        </is>
      </c>
    </row>
    <row r="641">
      <c r="A641" t="n">
        <v>256344</v>
      </c>
      <c r="B641" t="n">
        <v>180</v>
      </c>
      <c r="C641" t="inlineStr">
        <is>
          <t>Nuv Gastrobar</t>
        </is>
      </c>
      <c r="D641" t="inlineStr">
        <is>
          <t>EMPORIO M&amp;L COMERCIO DE ALIM E BEBIDAS LTDA</t>
        </is>
      </c>
      <c r="E641" t="inlineStr">
        <is>
          <t>526987</t>
        </is>
      </c>
      <c r="F641" s="525" t="n">
        <v>46244</v>
      </c>
      <c r="G641" t="n">
        <v>21047</v>
      </c>
      <c r="H641" t="inlineStr">
        <is>
          <t>AZEITE EXTRA VIRGEM GALLO 2L</t>
        </is>
      </c>
      <c r="I641" t="inlineStr">
        <is>
          <t>ALIMENTOS</t>
        </is>
      </c>
      <c r="J641" t="n">
        <v>12</v>
      </c>
      <c r="K641" t="inlineStr">
        <is>
          <t>GALAO</t>
        </is>
      </c>
      <c r="L641" t="n">
        <v>1355.76</v>
      </c>
      <c r="M641" t="n">
        <v>112.98</v>
      </c>
      <c r="O641" t="inlineStr">
        <is>
          <t>08/2026</t>
        </is>
      </c>
    </row>
    <row r="642">
      <c r="A642" t="n">
        <v>256344</v>
      </c>
      <c r="B642" t="n">
        <v>180</v>
      </c>
      <c r="C642" t="inlineStr">
        <is>
          <t>Nuv Gastrobar</t>
        </is>
      </c>
      <c r="D642" t="inlineStr">
        <is>
          <t>EMPORIO M&amp;L COMERCIO DE ALIM E BEBIDAS LTDA</t>
        </is>
      </c>
      <c r="E642" t="inlineStr">
        <is>
          <t>526987</t>
        </is>
      </c>
      <c r="F642" s="525" t="n">
        <v>46244</v>
      </c>
      <c r="G642" t="n">
        <v>28467</v>
      </c>
      <c r="H642" t="inlineStr">
        <is>
          <t>FLOR DE SAL 500G UN</t>
        </is>
      </c>
      <c r="I642" t="inlineStr">
        <is>
          <t>ALIMENTOS</t>
        </is>
      </c>
      <c r="J642" t="n">
        <v>2</v>
      </c>
      <c r="K642" t="inlineStr">
        <is>
          <t>PC</t>
        </is>
      </c>
      <c r="L642" t="n">
        <v>31.8</v>
      </c>
      <c r="M642" t="n">
        <v>15.9</v>
      </c>
      <c r="O642" t="inlineStr">
        <is>
          <t>08/2026</t>
        </is>
      </c>
    </row>
    <row r="643">
      <c r="A643" t="n">
        <v>256344</v>
      </c>
      <c r="B643" t="n">
        <v>180</v>
      </c>
      <c r="C643" t="inlineStr">
        <is>
          <t>Nuv Gastrobar</t>
        </is>
      </c>
      <c r="D643" t="inlineStr">
        <is>
          <t>EMPORIO M&amp;L COMERCIO DE ALIM E BEBIDAS LTDA</t>
        </is>
      </c>
      <c r="E643" t="inlineStr">
        <is>
          <t>526987</t>
        </is>
      </c>
      <c r="F643" s="525" t="n">
        <v>46244</v>
      </c>
      <c r="G643" t="n">
        <v>20887</v>
      </c>
      <c r="H643" t="inlineStr">
        <is>
          <t>MEL PURO FLORA NECTAR C/1KG</t>
        </is>
      </c>
      <c r="I643" t="inlineStr">
        <is>
          <t>ALIMENTOS</t>
        </is>
      </c>
      <c r="J643" t="n">
        <v>5</v>
      </c>
      <c r="K643" t="inlineStr">
        <is>
          <t>PT</t>
        </is>
      </c>
      <c r="L643" t="n">
        <v>184.5</v>
      </c>
      <c r="M643" t="n">
        <v>36.9</v>
      </c>
      <c r="O643" t="inlineStr">
        <is>
          <t>08/2026</t>
        </is>
      </c>
    </row>
    <row r="644">
      <c r="A644" t="n">
        <v>256344</v>
      </c>
      <c r="B644" t="n">
        <v>180</v>
      </c>
      <c r="C644" t="inlineStr">
        <is>
          <t>Nuv Gastrobar</t>
        </is>
      </c>
      <c r="D644" t="inlineStr">
        <is>
          <t>EMPORIO M&amp;L COMERCIO DE ALIM E BEBIDAS LTDA</t>
        </is>
      </c>
      <c r="E644" t="inlineStr">
        <is>
          <t>526987</t>
        </is>
      </c>
      <c r="F644" s="525" t="n">
        <v>46244</v>
      </c>
      <c r="G644" t="n">
        <v>20122</v>
      </c>
      <c r="H644" t="inlineStr">
        <is>
          <t>MASSA DE TAPIOCA GRANULADA YOKI C/500G</t>
        </is>
      </c>
      <c r="I644" t="inlineStr">
        <is>
          <t>ALIMENTOS</t>
        </is>
      </c>
      <c r="J644" t="n">
        <v>24</v>
      </c>
      <c r="K644" t="inlineStr">
        <is>
          <t>PC</t>
        </is>
      </c>
      <c r="L644" t="n">
        <v>384</v>
      </c>
      <c r="M644" t="n">
        <v>16</v>
      </c>
      <c r="O644" t="inlineStr">
        <is>
          <t>08/2026</t>
        </is>
      </c>
    </row>
    <row r="645">
      <c r="A645" t="n">
        <v>256344</v>
      </c>
      <c r="B645" t="n">
        <v>180</v>
      </c>
      <c r="C645" t="inlineStr">
        <is>
          <t>Nuv Gastrobar</t>
        </is>
      </c>
      <c r="D645" t="inlineStr">
        <is>
          <t>EMPORIO M&amp;L COMERCIO DE ALIM E BEBIDAS LTDA</t>
        </is>
      </c>
      <c r="E645" t="inlineStr">
        <is>
          <t>526987</t>
        </is>
      </c>
      <c r="F645" s="525" t="n">
        <v>46244</v>
      </c>
      <c r="G645" t="n">
        <v>23502</v>
      </c>
      <c r="H645" t="inlineStr">
        <is>
          <t>PAPRICA DEFUMADA PCT 500G UN</t>
        </is>
      </c>
      <c r="I645" t="inlineStr">
        <is>
          <t>ALIMENTOS</t>
        </is>
      </c>
      <c r="J645" t="n">
        <v>4</v>
      </c>
      <c r="K645" t="inlineStr">
        <is>
          <t>KG</t>
        </is>
      </c>
      <c r="L645" t="n">
        <v>24.8</v>
      </c>
      <c r="M645" t="n">
        <v>6.2</v>
      </c>
      <c r="O645" t="inlineStr">
        <is>
          <t>08/2026</t>
        </is>
      </c>
    </row>
    <row r="646">
      <c r="A646" t="n">
        <v>256344</v>
      </c>
      <c r="B646" t="n">
        <v>180</v>
      </c>
      <c r="C646" t="inlineStr">
        <is>
          <t>Nuv Gastrobar</t>
        </is>
      </c>
      <c r="D646" t="inlineStr">
        <is>
          <t>EMPORIO M&amp;L COMERCIO DE ALIM E BEBIDAS LTDA</t>
        </is>
      </c>
      <c r="E646" t="inlineStr">
        <is>
          <t>526987</t>
        </is>
      </c>
      <c r="F646" s="525" t="n">
        <v>46244</v>
      </c>
      <c r="G646" t="n">
        <v>20689</v>
      </c>
      <c r="H646" t="inlineStr">
        <is>
          <t>CREME DE LEITE FRESCO QUATA C/1,01LT</t>
        </is>
      </c>
      <c r="I646" t="inlineStr">
        <is>
          <t>ALIMENTOS</t>
        </is>
      </c>
      <c r="J646" t="n">
        <v>28</v>
      </c>
      <c r="K646" t="inlineStr">
        <is>
          <t>UN</t>
        </is>
      </c>
      <c r="L646" t="n">
        <v>907.2</v>
      </c>
      <c r="M646" t="n">
        <v>32.4</v>
      </c>
      <c r="O646" t="inlineStr">
        <is>
          <t>08/2026</t>
        </is>
      </c>
    </row>
    <row r="647">
      <c r="A647" t="n">
        <v>256344</v>
      </c>
      <c r="B647" t="n">
        <v>180</v>
      </c>
      <c r="C647" t="inlineStr">
        <is>
          <t>Nuv Gastrobar</t>
        </is>
      </c>
      <c r="D647" t="inlineStr">
        <is>
          <t>EMPORIO M&amp;L COMERCIO DE ALIM E BEBIDAS LTDA</t>
        </is>
      </c>
      <c r="E647" t="inlineStr">
        <is>
          <t>526987</t>
        </is>
      </c>
      <c r="F647" s="525" t="n">
        <v>46244</v>
      </c>
      <c r="G647" t="n">
        <v>19374</v>
      </c>
      <c r="H647" t="inlineStr">
        <is>
          <t>QUEIJO BRIE FORMA QUATA C/1KG UN</t>
        </is>
      </c>
      <c r="I647" t="inlineStr">
        <is>
          <t>ALIMENTOS</t>
        </is>
      </c>
      <c r="J647" t="n">
        <v>8.74</v>
      </c>
      <c r="K647" t="inlineStr">
        <is>
          <t>Un</t>
        </is>
      </c>
      <c r="L647" t="n">
        <v>610.9299999999999</v>
      </c>
      <c r="M647" t="n">
        <v>69.900458</v>
      </c>
      <c r="O647" t="inlineStr">
        <is>
          <t>08/2026</t>
        </is>
      </c>
    </row>
    <row r="648">
      <c r="A648" t="n">
        <v>256343</v>
      </c>
      <c r="B648" t="n">
        <v>180</v>
      </c>
      <c r="C648" t="inlineStr">
        <is>
          <t>Nuv Gastrobar</t>
        </is>
      </c>
      <c r="D648" t="inlineStr">
        <is>
          <t>EMPORIO M&amp;L COMERCIO DE ALIM E BEBIDAS LTDA</t>
        </is>
      </c>
      <c r="E648" t="inlineStr">
        <is>
          <t>526919</t>
        </is>
      </c>
      <c r="F648" s="525" t="n">
        <v>46244</v>
      </c>
      <c r="G648" t="n">
        <v>17800</v>
      </c>
      <c r="H648" t="inlineStr">
        <is>
          <t>VINHO BRANCO ALMADEN RIESLING 750ML GR</t>
        </is>
      </c>
      <c r="I648" t="inlineStr">
        <is>
          <t>BEBIDAS</t>
        </is>
      </c>
      <c r="J648" t="n">
        <v>8</v>
      </c>
      <c r="K648" t="inlineStr">
        <is>
          <t>Gr</t>
        </is>
      </c>
      <c r="L648" t="n">
        <v>212</v>
      </c>
      <c r="M648" t="n">
        <v>26.5</v>
      </c>
      <c r="O648" t="inlineStr">
        <is>
          <t>08/2026</t>
        </is>
      </c>
    </row>
    <row r="649">
      <c r="A649" t="n">
        <v>256343</v>
      </c>
      <c r="B649" t="n">
        <v>180</v>
      </c>
      <c r="C649" t="inlineStr">
        <is>
          <t>Nuv Gastrobar</t>
        </is>
      </c>
      <c r="D649" t="inlineStr">
        <is>
          <t>EMPORIO M&amp;L COMERCIO DE ALIM E BEBIDAS LTDA</t>
        </is>
      </c>
      <c r="E649" t="inlineStr">
        <is>
          <t>526919</t>
        </is>
      </c>
      <c r="F649" s="525" t="n">
        <v>46244</v>
      </c>
      <c r="G649" t="n">
        <v>25336</v>
      </c>
      <c r="H649" t="inlineStr">
        <is>
          <t>LEITE DE AMENDOAS C/1L UN</t>
        </is>
      </c>
      <c r="I649" t="inlineStr">
        <is>
          <t>ALIMENTOS</t>
        </is>
      </c>
      <c r="J649" t="n">
        <v>12</v>
      </c>
      <c r="K649" t="inlineStr">
        <is>
          <t>Un</t>
        </is>
      </c>
      <c r="L649" t="n">
        <v>214.8</v>
      </c>
      <c r="M649" t="n">
        <v>17.9</v>
      </c>
      <c r="O649" t="inlineStr">
        <is>
          <t>08/2026</t>
        </is>
      </c>
    </row>
    <row r="650">
      <c r="A650" t="n">
        <v>256343</v>
      </c>
      <c r="B650" t="n">
        <v>180</v>
      </c>
      <c r="C650" t="inlineStr">
        <is>
          <t>Nuv Gastrobar</t>
        </is>
      </c>
      <c r="D650" t="inlineStr">
        <is>
          <t>EMPORIO M&amp;L COMERCIO DE ALIM E BEBIDAS LTDA</t>
        </is>
      </c>
      <c r="E650" t="inlineStr">
        <is>
          <t>526919</t>
        </is>
      </c>
      <c r="F650" s="525" t="n">
        <v>46244</v>
      </c>
      <c r="G650" t="n">
        <v>24683</v>
      </c>
      <c r="H650" t="inlineStr">
        <is>
          <t>CEREJA AMARENA FABBRI C/600GR</t>
        </is>
      </c>
      <c r="I650" t="inlineStr">
        <is>
          <t>ALIMENTOS</t>
        </is>
      </c>
      <c r="J650" t="n">
        <v>2</v>
      </c>
      <c r="K650" t="inlineStr">
        <is>
          <t>PT</t>
        </is>
      </c>
      <c r="L650" t="n">
        <v>239.8</v>
      </c>
      <c r="M650" t="n">
        <v>119.9</v>
      </c>
      <c r="O650" t="inlineStr">
        <is>
          <t>08/2026</t>
        </is>
      </c>
    </row>
    <row r="651">
      <c r="A651" t="n">
        <v>256342</v>
      </c>
      <c r="B651" t="n">
        <v>180</v>
      </c>
      <c r="C651" t="inlineStr">
        <is>
          <t>Nuv Gastrobar</t>
        </is>
      </c>
      <c r="D651" t="inlineStr">
        <is>
          <t>FARA INDUSTRIA E COMERCIO DE ALIMENTOS SAUDAVEIS LTDA</t>
        </is>
      </c>
      <c r="E651" t="inlineStr">
        <is>
          <t>24509</t>
        </is>
      </c>
      <c r="F651" s="525" t="n">
        <v>46244</v>
      </c>
      <c r="G651" t="n">
        <v>27619</v>
      </c>
      <c r="H651" t="inlineStr">
        <is>
          <t>CHOCOLATE VEGANO 70% CACAU S/ GLUTEN S/ LACTOSE S/ACUCAR 1,01KG  LOCKAU</t>
        </is>
      </c>
      <c r="I651" t="inlineStr">
        <is>
          <t>ALIMENTOS</t>
        </is>
      </c>
      <c r="J651" t="n">
        <v>4</v>
      </c>
      <c r="K651" t="inlineStr">
        <is>
          <t>UN</t>
        </is>
      </c>
      <c r="L651" t="n">
        <v>599.6</v>
      </c>
      <c r="M651" t="n">
        <v>149.9</v>
      </c>
      <c r="O651" t="inlineStr">
        <is>
          <t>08/2026</t>
        </is>
      </c>
    </row>
    <row r="652">
      <c r="A652" t="n">
        <v>256341</v>
      </c>
      <c r="B652" t="n">
        <v>180</v>
      </c>
      <c r="C652" t="inlineStr">
        <is>
          <t>Nuv Gastrobar</t>
        </is>
      </c>
      <c r="D652" t="inlineStr">
        <is>
          <t>BRUNO FELIPE DE ASSIS BORGES</t>
        </is>
      </c>
      <c r="E652" t="inlineStr">
        <is>
          <t>912</t>
        </is>
      </c>
      <c r="F652" s="525" t="n">
        <v>46244</v>
      </c>
      <c r="G652" t="n">
        <v>19002</v>
      </c>
      <c r="H652" t="inlineStr">
        <is>
          <t>PATO INTEIRO CONGELADO SEM TEMPERO KG</t>
        </is>
      </c>
      <c r="I652" t="inlineStr">
        <is>
          <t>ALIMENTOS</t>
        </is>
      </c>
      <c r="J652" t="n">
        <v>31.2</v>
      </c>
      <c r="K652" t="inlineStr">
        <is>
          <t>KG</t>
        </is>
      </c>
      <c r="L652" t="n">
        <v>1092</v>
      </c>
      <c r="M652" t="n">
        <v>35</v>
      </c>
      <c r="O652" t="inlineStr">
        <is>
          <t>08/2026</t>
        </is>
      </c>
    </row>
    <row r="653">
      <c r="A653" t="n">
        <v>256335</v>
      </c>
      <c r="B653" t="n">
        <v>180</v>
      </c>
      <c r="C653" t="inlineStr">
        <is>
          <t>Nuv Gastrobar</t>
        </is>
      </c>
      <c r="D653" t="inlineStr">
        <is>
          <t xml:space="preserve">FORTE ALIMENTOS COM. IMPORTAÇÃO LTDA </t>
        </is>
      </c>
      <c r="E653" t="inlineStr">
        <is>
          <t>388722</t>
        </is>
      </c>
      <c r="F653" s="525" t="n">
        <v>46244</v>
      </c>
      <c r="G653" t="n">
        <v>19017</v>
      </c>
      <c r="H653" t="inlineStr">
        <is>
          <t>FILE DE FRANGO KG</t>
        </is>
      </c>
      <c r="I653" t="inlineStr">
        <is>
          <t>ALIMENTOS</t>
        </is>
      </c>
      <c r="J653" t="n">
        <v>20</v>
      </c>
      <c r="K653" t="inlineStr">
        <is>
          <t>KG</t>
        </is>
      </c>
      <c r="L653" t="n">
        <v>285</v>
      </c>
      <c r="M653" t="n">
        <v>14.25</v>
      </c>
      <c r="O653" t="inlineStr">
        <is>
          <t>08/2026</t>
        </is>
      </c>
    </row>
    <row r="654">
      <c r="A654" t="n">
        <v>256330</v>
      </c>
      <c r="B654" t="n">
        <v>180</v>
      </c>
      <c r="C654" t="inlineStr">
        <is>
          <t>Nuv Gastrobar</t>
        </is>
      </c>
      <c r="D654" t="inlineStr">
        <is>
          <t>DISTRIBUIDORA ARENA VIP COMERCIO DE BEBIDAS LTDA</t>
        </is>
      </c>
      <c r="E654" t="inlineStr">
        <is>
          <t>18131</t>
        </is>
      </c>
      <c r="F654" s="525" t="n">
        <v>46241</v>
      </c>
      <c r="G654" t="n">
        <v>18545</v>
      </c>
      <c r="H654" t="inlineStr">
        <is>
          <t>APERITIVO CAMPARI 998ML</t>
        </is>
      </c>
      <c r="I654" t="inlineStr">
        <is>
          <t>BEBIDAS</t>
        </is>
      </c>
      <c r="J654" t="n">
        <v>12</v>
      </c>
      <c r="K654" t="inlineStr">
        <is>
          <t>GR</t>
        </is>
      </c>
      <c r="L654" t="n">
        <v>564</v>
      </c>
      <c r="M654" t="n">
        <v>47</v>
      </c>
      <c r="O654" t="inlineStr">
        <is>
          <t>08/2026</t>
        </is>
      </c>
    </row>
    <row r="655">
      <c r="A655" t="n">
        <v>256330</v>
      </c>
      <c r="B655" t="n">
        <v>180</v>
      </c>
      <c r="C655" t="inlineStr">
        <is>
          <t>Nuv Gastrobar</t>
        </is>
      </c>
      <c r="D655" t="inlineStr">
        <is>
          <t>DISTRIBUIDORA ARENA VIP COMERCIO DE BEBIDAS LTDA</t>
        </is>
      </c>
      <c r="E655" t="inlineStr">
        <is>
          <t>18131</t>
        </is>
      </c>
      <c r="F655" s="525" t="n">
        <v>46241</v>
      </c>
      <c r="G655" t="n">
        <v>18030</v>
      </c>
      <c r="H655" t="inlineStr">
        <is>
          <t>ESPUMANTE SALTON BRUT 750ML GR</t>
        </is>
      </c>
      <c r="I655" t="inlineStr">
        <is>
          <t>BEBIDAS</t>
        </is>
      </c>
      <c r="J655" t="n">
        <v>60</v>
      </c>
      <c r="K655" t="inlineStr">
        <is>
          <t>GR</t>
        </is>
      </c>
      <c r="L655" t="n">
        <v>1668</v>
      </c>
      <c r="M655" t="n">
        <v>27.8</v>
      </c>
      <c r="O655" t="inlineStr">
        <is>
          <t>08/2026</t>
        </is>
      </c>
    </row>
    <row r="656">
      <c r="A656" t="n">
        <v>256330</v>
      </c>
      <c r="B656" t="n">
        <v>180</v>
      </c>
      <c r="C656" t="inlineStr">
        <is>
          <t>Nuv Gastrobar</t>
        </is>
      </c>
      <c r="D656" t="inlineStr">
        <is>
          <t>DISTRIBUIDORA ARENA VIP COMERCIO DE BEBIDAS LTDA</t>
        </is>
      </c>
      <c r="E656" t="inlineStr">
        <is>
          <t>18131</t>
        </is>
      </c>
      <c r="F656" s="525" t="n">
        <v>46241</v>
      </c>
      <c r="G656" t="n">
        <v>18540</v>
      </c>
      <c r="H656" t="inlineStr">
        <is>
          <t>APERITIVO FERNET BRANCA FRATELLI 750ML</t>
        </is>
      </c>
      <c r="I656" t="inlineStr">
        <is>
          <t>BEBIDAS</t>
        </is>
      </c>
      <c r="J656" t="n">
        <v>6</v>
      </c>
      <c r="K656" t="inlineStr">
        <is>
          <t>GR</t>
        </is>
      </c>
      <c r="L656" t="n">
        <v>468</v>
      </c>
      <c r="M656" t="n">
        <v>78</v>
      </c>
      <c r="O656" t="inlineStr">
        <is>
          <t>08/2026</t>
        </is>
      </c>
    </row>
    <row r="657">
      <c r="A657" t="n">
        <v>256323</v>
      </c>
      <c r="B657" t="n">
        <v>180</v>
      </c>
      <c r="C657" t="inlineStr">
        <is>
          <t>Nuv Gastrobar</t>
        </is>
      </c>
      <c r="D657" t="inlineStr">
        <is>
          <t>REBAL COMERCIAL LTDA</t>
        </is>
      </c>
      <c r="E657" t="inlineStr">
        <is>
          <t>306824</t>
        </is>
      </c>
      <c r="F657" s="525" t="n">
        <v>46244</v>
      </c>
      <c r="G657" t="n">
        <v>30473</v>
      </c>
      <c r="H657" t="inlineStr">
        <is>
          <t>COADOR DE DRINKS STRAINER INOX 4 APOIOS BARPRO UN</t>
        </is>
      </c>
      <c r="I657" t="inlineStr">
        <is>
          <t>UTENSILIOS</t>
        </is>
      </c>
      <c r="J657" t="n">
        <v>5</v>
      </c>
      <c r="K657" t="inlineStr">
        <is>
          <t>UN</t>
        </is>
      </c>
      <c r="L657" t="n">
        <v>74.7</v>
      </c>
      <c r="M657" t="n">
        <v>14.94</v>
      </c>
      <c r="O657" t="inlineStr">
        <is>
          <t>08/2026</t>
        </is>
      </c>
    </row>
    <row r="658">
      <c r="A658" t="n">
        <v>256323</v>
      </c>
      <c r="B658" t="n">
        <v>180</v>
      </c>
      <c r="C658" t="inlineStr">
        <is>
          <t>Nuv Gastrobar</t>
        </is>
      </c>
      <c r="D658" t="inlineStr">
        <is>
          <t>REBAL COMERCIAL LTDA</t>
        </is>
      </c>
      <c r="E658" t="inlineStr">
        <is>
          <t>306824</t>
        </is>
      </c>
      <c r="F658" s="525" t="n">
        <v>46244</v>
      </c>
      <c r="G658" t="n">
        <v>30476</v>
      </c>
      <c r="H658" t="inlineStr">
        <is>
          <t>PEGADOR DE GELO INOX 17,5CM DI SOLLE UN</t>
        </is>
      </c>
      <c r="I658" t="inlineStr">
        <is>
          <t>UTENSILIOS</t>
        </is>
      </c>
      <c r="J658" t="n">
        <v>6</v>
      </c>
      <c r="K658" t="inlineStr">
        <is>
          <t>UN</t>
        </is>
      </c>
      <c r="L658" t="n">
        <v>45</v>
      </c>
      <c r="M658" t="n">
        <v>7.5</v>
      </c>
      <c r="O658" t="inlineStr">
        <is>
          <t>08/2026</t>
        </is>
      </c>
    </row>
    <row r="659">
      <c r="A659" t="n">
        <v>256323</v>
      </c>
      <c r="B659" t="n">
        <v>180</v>
      </c>
      <c r="C659" t="inlineStr">
        <is>
          <t>Nuv Gastrobar</t>
        </is>
      </c>
      <c r="D659" t="inlineStr">
        <is>
          <t>REBAL COMERCIAL LTDA</t>
        </is>
      </c>
      <c r="E659" t="inlineStr">
        <is>
          <t>306824</t>
        </is>
      </c>
      <c r="F659" s="525" t="n">
        <v>46244</v>
      </c>
      <c r="G659" t="n">
        <v>30472</v>
      </c>
      <c r="H659" t="inlineStr">
        <is>
          <t>DOSADOR DE BEBIDA INOX 25/50ML ALLISSAN INOX UN</t>
        </is>
      </c>
      <c r="I659" t="inlineStr">
        <is>
          <t>UTENSILIOS</t>
        </is>
      </c>
      <c r="J659" t="n">
        <v>8</v>
      </c>
      <c r="K659" t="inlineStr">
        <is>
          <t>UN</t>
        </is>
      </c>
      <c r="L659" t="n">
        <v>186.32</v>
      </c>
      <c r="M659" t="n">
        <v>23.29</v>
      </c>
      <c r="O659" t="inlineStr">
        <is>
          <t>08/2026</t>
        </is>
      </c>
    </row>
    <row r="660">
      <c r="A660" t="n">
        <v>256323</v>
      </c>
      <c r="B660" t="n">
        <v>180</v>
      </c>
      <c r="C660" t="inlineStr">
        <is>
          <t>Nuv Gastrobar</t>
        </is>
      </c>
      <c r="D660" t="inlineStr">
        <is>
          <t>REBAL COMERCIAL LTDA</t>
        </is>
      </c>
      <c r="E660" t="inlineStr">
        <is>
          <t>306824</t>
        </is>
      </c>
      <c r="F660" s="525" t="n">
        <v>46244</v>
      </c>
      <c r="G660" t="n">
        <v>30474</v>
      </c>
      <c r="H660" t="inlineStr">
        <is>
          <t>EXTRATOR DE SUCO 0,5CV MONO BIVOLT SKYSEN UN</t>
        </is>
      </c>
      <c r="I660" t="inlineStr">
        <is>
          <t>UTENSILIOS</t>
        </is>
      </c>
      <c r="J660" t="n">
        <v>2</v>
      </c>
      <c r="K660" t="inlineStr">
        <is>
          <t>UN</t>
        </is>
      </c>
      <c r="L660" t="n">
        <v>1536.22</v>
      </c>
      <c r="M660" t="n">
        <v>768.11</v>
      </c>
      <c r="O660" t="inlineStr">
        <is>
          <t>08/2026</t>
        </is>
      </c>
    </row>
    <row r="661">
      <c r="A661" t="n">
        <v>256323</v>
      </c>
      <c r="B661" t="n">
        <v>180</v>
      </c>
      <c r="C661" t="inlineStr">
        <is>
          <t>Nuv Gastrobar</t>
        </is>
      </c>
      <c r="D661" t="inlineStr">
        <is>
          <t>REBAL COMERCIAL LTDA</t>
        </is>
      </c>
      <c r="E661" t="inlineStr">
        <is>
          <t>306824</t>
        </is>
      </c>
      <c r="F661" s="525" t="n">
        <v>46244</v>
      </c>
      <c r="G661" t="n">
        <v>30470</v>
      </c>
      <c r="H661" t="inlineStr">
        <is>
          <t>COQUETELEIRA WECK EM AÇO INOX 800ML UN</t>
        </is>
      </c>
      <c r="I661" t="inlineStr">
        <is>
          <t>UTENSILIOS</t>
        </is>
      </c>
      <c r="J661" t="n">
        <v>6</v>
      </c>
      <c r="K661" t="inlineStr">
        <is>
          <t>UN</t>
        </is>
      </c>
      <c r="L661" t="n">
        <v>365.22</v>
      </c>
      <c r="M661" t="n">
        <v>60.87</v>
      </c>
      <c r="O661" t="inlineStr">
        <is>
          <t>08/2026</t>
        </is>
      </c>
    </row>
    <row r="662">
      <c r="A662" t="n">
        <v>256323</v>
      </c>
      <c r="B662" t="n">
        <v>180</v>
      </c>
      <c r="C662" t="inlineStr">
        <is>
          <t>Nuv Gastrobar</t>
        </is>
      </c>
      <c r="D662" t="inlineStr">
        <is>
          <t>REBAL COMERCIAL LTDA</t>
        </is>
      </c>
      <c r="E662" t="inlineStr">
        <is>
          <t>306824</t>
        </is>
      </c>
      <c r="F662" s="525" t="n">
        <v>46244</v>
      </c>
      <c r="G662" t="n">
        <v>30477</v>
      </c>
      <c r="H662" t="inlineStr">
        <is>
          <t>BALDE GELO INOX 1,4L LYON BRINOX UN</t>
        </is>
      </c>
      <c r="I662" t="inlineStr">
        <is>
          <t>UTENSILIOS</t>
        </is>
      </c>
      <c r="J662" t="n">
        <v>6</v>
      </c>
      <c r="K662" t="inlineStr">
        <is>
          <t>UN</t>
        </is>
      </c>
      <c r="L662" t="n">
        <v>600.66</v>
      </c>
      <c r="M662" t="n">
        <v>100.11</v>
      </c>
      <c r="O662" t="inlineStr">
        <is>
          <t>08/2026</t>
        </is>
      </c>
    </row>
    <row r="663">
      <c r="A663" t="n">
        <v>256323</v>
      </c>
      <c r="B663" t="n">
        <v>180</v>
      </c>
      <c r="C663" t="inlineStr">
        <is>
          <t>Nuv Gastrobar</t>
        </is>
      </c>
      <c r="D663" t="inlineStr">
        <is>
          <t>REBAL COMERCIAL LTDA</t>
        </is>
      </c>
      <c r="E663" t="inlineStr">
        <is>
          <t>306824</t>
        </is>
      </c>
      <c r="F663" s="525" t="n">
        <v>46244</v>
      </c>
      <c r="G663" t="n">
        <v>30471</v>
      </c>
      <c r="H663" t="inlineStr">
        <is>
          <t>COLHER REFRESCO 30,5CM ARIENZO BRINOX UN</t>
        </is>
      </c>
      <c r="I663" t="inlineStr">
        <is>
          <t>UTENSILIOS</t>
        </is>
      </c>
      <c r="J663" t="n">
        <v>8</v>
      </c>
      <c r="K663" t="inlineStr">
        <is>
          <t>UN</t>
        </is>
      </c>
      <c r="L663" t="n">
        <v>58.64</v>
      </c>
      <c r="M663" t="n">
        <v>7.33</v>
      </c>
      <c r="O663" t="inlineStr">
        <is>
          <t>08/2026</t>
        </is>
      </c>
    </row>
    <row r="664">
      <c r="A664" t="n">
        <v>256323</v>
      </c>
      <c r="B664" t="n">
        <v>180</v>
      </c>
      <c r="C664" t="inlineStr">
        <is>
          <t>Nuv Gastrobar</t>
        </is>
      </c>
      <c r="D664" t="inlineStr">
        <is>
          <t>REBAL COMERCIAL LTDA</t>
        </is>
      </c>
      <c r="E664" t="inlineStr">
        <is>
          <t>306824</t>
        </is>
      </c>
      <c r="F664" s="525" t="n">
        <v>46244</v>
      </c>
      <c r="G664" t="n">
        <v>30475</v>
      </c>
      <c r="H664" t="inlineStr">
        <is>
          <t>DESCASCADOR DE LEGUMES INOX 18CM WECK UN</t>
        </is>
      </c>
      <c r="I664" t="inlineStr">
        <is>
          <t>UTENSILIOS</t>
        </is>
      </c>
      <c r="J664" t="n">
        <v>2</v>
      </c>
      <c r="K664" t="inlineStr">
        <is>
          <t>UN</t>
        </is>
      </c>
      <c r="L664" t="n">
        <v>30.88</v>
      </c>
      <c r="M664" t="n">
        <v>15.44</v>
      </c>
      <c r="O664" t="inlineStr">
        <is>
          <t>08/2026</t>
        </is>
      </c>
    </row>
    <row r="665">
      <c r="A665" t="n">
        <v>256323</v>
      </c>
      <c r="B665" t="n">
        <v>180</v>
      </c>
      <c r="C665" t="inlineStr">
        <is>
          <t>Nuv Gastrobar</t>
        </is>
      </c>
      <c r="D665" t="inlineStr">
        <is>
          <t>REBAL COMERCIAL LTDA</t>
        </is>
      </c>
      <c r="E665" t="inlineStr">
        <is>
          <t>306824</t>
        </is>
      </c>
      <c r="F665" s="525" t="n">
        <v>46244</v>
      </c>
      <c r="G665" t="n">
        <v>30479</v>
      </c>
      <c r="H665" t="inlineStr">
        <is>
          <t>JARRA PLASTICA 2L COM TAMPA COLORIDA UN</t>
        </is>
      </c>
      <c r="I665" t="inlineStr">
        <is>
          <t>UTENSILIOS</t>
        </is>
      </c>
      <c r="J665" t="n">
        <v>3</v>
      </c>
      <c r="K665" t="inlineStr">
        <is>
          <t>UN</t>
        </is>
      </c>
      <c r="L665" t="n">
        <v>32.31</v>
      </c>
      <c r="M665" t="n">
        <v>10.77</v>
      </c>
      <c r="O665" t="inlineStr">
        <is>
          <t>08/2026</t>
        </is>
      </c>
    </row>
    <row r="666">
      <c r="A666" t="n">
        <v>256323</v>
      </c>
      <c r="B666" t="n">
        <v>180</v>
      </c>
      <c r="C666" t="inlineStr">
        <is>
          <t>Nuv Gastrobar</t>
        </is>
      </c>
      <c r="D666" t="inlineStr">
        <is>
          <t>REBAL COMERCIAL LTDA</t>
        </is>
      </c>
      <c r="E666" t="inlineStr">
        <is>
          <t>306824</t>
        </is>
      </c>
      <c r="F666" s="525" t="n">
        <v>46244</v>
      </c>
      <c r="G666" t="n">
        <v>30478</v>
      </c>
      <c r="H666" t="inlineStr">
        <is>
          <t>PORTA COMANDA ESPETO 19 X 8,1CM INOX ALLISSAN UN</t>
        </is>
      </c>
      <c r="I666" t="inlineStr">
        <is>
          <t>UTENSILIOS</t>
        </is>
      </c>
      <c r="J666" t="n">
        <v>4</v>
      </c>
      <c r="K666" t="inlineStr">
        <is>
          <t>UN</t>
        </is>
      </c>
      <c r="L666" t="n">
        <v>51.8</v>
      </c>
      <c r="M666" t="n">
        <v>12.95</v>
      </c>
      <c r="O666" t="inlineStr">
        <is>
          <t>08/2026</t>
        </is>
      </c>
    </row>
    <row r="667">
      <c r="A667" t="n">
        <v>256319</v>
      </c>
      <c r="B667" t="n">
        <v>180</v>
      </c>
      <c r="C667" t="inlineStr">
        <is>
          <t>Nuv Gastrobar</t>
        </is>
      </c>
      <c r="D667" t="inlineStr">
        <is>
          <t>REBAL COMERCIAL LTDA</t>
        </is>
      </c>
      <c r="E667" t="inlineStr">
        <is>
          <t>306822</t>
        </is>
      </c>
      <c r="F667" s="525" t="n">
        <v>46244</v>
      </c>
      <c r="G667" t="n">
        <v>30466</v>
      </c>
      <c r="H667" t="inlineStr">
        <is>
          <t>BATEDEIRA INDUSTRIAL PLANA 5L 1000W BIVOLT G-PANIZ UN</t>
        </is>
      </c>
      <c r="I667" t="inlineStr">
        <is>
          <t>UTENSILIOS</t>
        </is>
      </c>
      <c r="J667" t="n">
        <v>1</v>
      </c>
      <c r="K667" t="inlineStr">
        <is>
          <t>UN</t>
        </is>
      </c>
      <c r="L667" t="n">
        <v>3009.31</v>
      </c>
      <c r="M667" t="n">
        <v>3009.31</v>
      </c>
      <c r="O667" t="inlineStr">
        <is>
          <t>08/2026</t>
        </is>
      </c>
    </row>
    <row r="668">
      <c r="A668" t="n">
        <v>256319</v>
      </c>
      <c r="B668" t="n">
        <v>180</v>
      </c>
      <c r="C668" t="inlineStr">
        <is>
          <t>Nuv Gastrobar</t>
        </is>
      </c>
      <c r="D668" t="inlineStr">
        <is>
          <t>REBAL COMERCIAL LTDA</t>
        </is>
      </c>
      <c r="E668" t="inlineStr">
        <is>
          <t>306822</t>
        </is>
      </c>
      <c r="F668" s="525" t="n">
        <v>46244</v>
      </c>
      <c r="G668" t="n">
        <v>30464</v>
      </c>
      <c r="H668" t="inlineStr">
        <is>
          <t>ABRIDOR DE GARRAFA OU LATA MISTO PROFISSIONAL UN</t>
        </is>
      </c>
      <c r="I668" t="inlineStr">
        <is>
          <t>UTENSILIOS</t>
        </is>
      </c>
      <c r="J668" t="n">
        <v>4</v>
      </c>
      <c r="K668" t="inlineStr">
        <is>
          <t>UN</t>
        </is>
      </c>
      <c r="L668" t="n">
        <v>28.16</v>
      </c>
      <c r="M668" t="n">
        <v>7.04</v>
      </c>
      <c r="O668" t="inlineStr">
        <is>
          <t>08/2026</t>
        </is>
      </c>
    </row>
    <row r="669">
      <c r="A669" t="n">
        <v>256319</v>
      </c>
      <c r="B669" t="n">
        <v>180</v>
      </c>
      <c r="C669" t="inlineStr">
        <is>
          <t>Nuv Gastrobar</t>
        </is>
      </c>
      <c r="D669" t="inlineStr">
        <is>
          <t>REBAL COMERCIAL LTDA</t>
        </is>
      </c>
      <c r="E669" t="inlineStr">
        <is>
          <t>306822</t>
        </is>
      </c>
      <c r="F669" s="525" t="n">
        <v>46244</v>
      </c>
      <c r="G669" t="n">
        <v>30468</v>
      </c>
      <c r="H669" t="inlineStr">
        <is>
          <t>CORTADOR DE FRIOS AUTOMATICO ANODIZADO LAMINA 30CM 1/3CV BIVOLT UN</t>
        </is>
      </c>
      <c r="I669" t="inlineStr">
        <is>
          <t>UTENSILIOS</t>
        </is>
      </c>
      <c r="J669" t="n">
        <v>1</v>
      </c>
      <c r="K669" t="inlineStr">
        <is>
          <t>UN</t>
        </is>
      </c>
      <c r="L669" t="n">
        <v>7593.11</v>
      </c>
      <c r="M669" t="n">
        <v>7593.11</v>
      </c>
      <c r="O669" t="inlineStr">
        <is>
          <t>08/2026</t>
        </is>
      </c>
    </row>
    <row r="670">
      <c r="A670" t="n">
        <v>256319</v>
      </c>
      <c r="B670" t="n">
        <v>180</v>
      </c>
      <c r="C670" t="inlineStr">
        <is>
          <t>Nuv Gastrobar</t>
        </is>
      </c>
      <c r="D670" t="inlineStr">
        <is>
          <t>REBAL COMERCIAL LTDA</t>
        </is>
      </c>
      <c r="E670" t="inlineStr">
        <is>
          <t>306822</t>
        </is>
      </c>
      <c r="F670" s="525" t="n">
        <v>46244</v>
      </c>
      <c r="G670" t="n">
        <v>30461</v>
      </c>
      <c r="H670" t="inlineStr">
        <is>
          <t>MIXER 440W CAPACIDADE 50L MONOFASICO 220V UN</t>
        </is>
      </c>
      <c r="I670" t="inlineStr">
        <is>
          <t>UTENSILIOS</t>
        </is>
      </c>
      <c r="J670" t="n">
        <v>1</v>
      </c>
      <c r="K670" t="inlineStr">
        <is>
          <t>UN</t>
        </is>
      </c>
      <c r="L670" t="n">
        <v>3985.11</v>
      </c>
      <c r="M670" t="n">
        <v>3985.11</v>
      </c>
      <c r="O670" t="inlineStr">
        <is>
          <t>08/2026</t>
        </is>
      </c>
    </row>
    <row r="671">
      <c r="A671" t="n">
        <v>256319</v>
      </c>
      <c r="B671" t="n">
        <v>180</v>
      </c>
      <c r="C671" t="inlineStr">
        <is>
          <t>Nuv Gastrobar</t>
        </is>
      </c>
      <c r="D671" t="inlineStr">
        <is>
          <t>REBAL COMERCIAL LTDA</t>
        </is>
      </c>
      <c r="E671" t="inlineStr">
        <is>
          <t>306822</t>
        </is>
      </c>
      <c r="F671" s="525" t="n">
        <v>46244</v>
      </c>
      <c r="G671" t="n">
        <v>30465</v>
      </c>
      <c r="H671" t="inlineStr">
        <is>
          <t>PICADOR DE LEGUMES GRANDE C/TRIPE DE CHAO UN</t>
        </is>
      </c>
      <c r="I671" t="inlineStr">
        <is>
          <t>UTENSILIOS</t>
        </is>
      </c>
      <c r="J671" t="n">
        <v>1</v>
      </c>
      <c r="K671" t="inlineStr">
        <is>
          <t>UN</t>
        </is>
      </c>
      <c r="L671" t="n">
        <v>353.33</v>
      </c>
      <c r="M671" t="n">
        <v>353.33</v>
      </c>
      <c r="O671" t="inlineStr">
        <is>
          <t>08/2026</t>
        </is>
      </c>
    </row>
    <row r="672">
      <c r="A672" t="n">
        <v>256319</v>
      </c>
      <c r="B672" t="n">
        <v>180</v>
      </c>
      <c r="C672" t="inlineStr">
        <is>
          <t>Nuv Gastrobar</t>
        </is>
      </c>
      <c r="D672" t="inlineStr">
        <is>
          <t>REBAL COMERCIAL LTDA</t>
        </is>
      </c>
      <c r="E672" t="inlineStr">
        <is>
          <t>306822</t>
        </is>
      </c>
      <c r="F672" s="525" t="n">
        <v>46244</v>
      </c>
      <c r="G672" t="n">
        <v>30459</v>
      </c>
      <c r="H672" t="inlineStr">
        <is>
          <t>BALANCA ELETRICA COMPUT ONE 06/15/30KG C/3 FUNCOES BIVOLT UN</t>
        </is>
      </c>
      <c r="I672" t="inlineStr">
        <is>
          <t>UTENSILIOS</t>
        </is>
      </c>
      <c r="J672" t="n">
        <v>4</v>
      </c>
      <c r="K672" t="inlineStr">
        <is>
          <t>UN</t>
        </is>
      </c>
      <c r="L672" t="n">
        <v>3102.52</v>
      </c>
      <c r="M672" t="n">
        <v>775.63</v>
      </c>
      <c r="O672" t="inlineStr">
        <is>
          <t>08/2026</t>
        </is>
      </c>
    </row>
    <row r="673">
      <c r="A673" t="n">
        <v>256319</v>
      </c>
      <c r="B673" t="n">
        <v>180</v>
      </c>
      <c r="C673" t="inlineStr">
        <is>
          <t>Nuv Gastrobar</t>
        </is>
      </c>
      <c r="D673" t="inlineStr">
        <is>
          <t>REBAL COMERCIAL LTDA</t>
        </is>
      </c>
      <c r="E673" t="inlineStr">
        <is>
          <t>306822</t>
        </is>
      </c>
      <c r="F673" s="525" t="n">
        <v>46244</v>
      </c>
      <c r="G673" t="n">
        <v>30460</v>
      </c>
      <c r="H673" t="inlineStr">
        <is>
          <t>LIQUIDIFICADOR 4L COPO EM ALUMINIO 700W BIVOLT</t>
        </is>
      </c>
      <c r="I673" t="inlineStr">
        <is>
          <t>UTENSILIOS</t>
        </is>
      </c>
      <c r="J673" t="n">
        <v>2</v>
      </c>
      <c r="K673" t="inlineStr">
        <is>
          <t>UN</t>
        </is>
      </c>
      <c r="L673" t="n">
        <v>1771.02</v>
      </c>
      <c r="M673" t="n">
        <v>885.51</v>
      </c>
      <c r="O673" t="inlineStr">
        <is>
          <t>08/2026</t>
        </is>
      </c>
    </row>
    <row r="674">
      <c r="A674" t="n">
        <v>256319</v>
      </c>
      <c r="B674" t="n">
        <v>180</v>
      </c>
      <c r="C674" t="inlineStr">
        <is>
          <t>Nuv Gastrobar</t>
        </is>
      </c>
      <c r="D674" t="inlineStr">
        <is>
          <t>REBAL COMERCIAL LTDA</t>
        </is>
      </c>
      <c r="E674" t="inlineStr">
        <is>
          <t>306822</t>
        </is>
      </c>
      <c r="F674" s="525" t="n">
        <v>46244</v>
      </c>
      <c r="G674" t="n">
        <v>30462</v>
      </c>
      <c r="H674" t="inlineStr">
        <is>
          <t>PROCESSADOR DE ALIMENTOS C/ 7 DISCOS 0,5CV BIVOLT SKYSEN UN</t>
        </is>
      </c>
      <c r="I674" t="inlineStr">
        <is>
          <t>UTENSILIOS</t>
        </is>
      </c>
      <c r="J674" t="n">
        <v>1</v>
      </c>
      <c r="K674" t="inlineStr">
        <is>
          <t>UN</t>
        </is>
      </c>
      <c r="L674" t="n">
        <v>5190.51</v>
      </c>
      <c r="M674" t="n">
        <v>5190.51</v>
      </c>
      <c r="O674" t="inlineStr">
        <is>
          <t>08/2026</t>
        </is>
      </c>
    </row>
    <row r="675">
      <c r="A675" t="n">
        <v>256319</v>
      </c>
      <c r="B675" t="n">
        <v>180</v>
      </c>
      <c r="C675" t="inlineStr">
        <is>
          <t>Nuv Gastrobar</t>
        </is>
      </c>
      <c r="D675" t="inlineStr">
        <is>
          <t>REBAL COMERCIAL LTDA</t>
        </is>
      </c>
      <c r="E675" t="inlineStr">
        <is>
          <t>306822</t>
        </is>
      </c>
      <c r="F675" s="525" t="n">
        <v>46244</v>
      </c>
      <c r="G675" t="n">
        <v>30467</v>
      </c>
      <c r="H675" t="inlineStr">
        <is>
          <t>POTE PLASTICO C/ TAMPA BRANCA ROSQUEAVEL 1,8L 15,1 X 15,3CM PLASUTIL UN</t>
        </is>
      </c>
      <c r="I675" t="inlineStr">
        <is>
          <t>UTENSILIOS</t>
        </is>
      </c>
      <c r="J675" t="n">
        <v>1</v>
      </c>
      <c r="K675" t="inlineStr">
        <is>
          <t>UN</t>
        </is>
      </c>
      <c r="L675" t="n">
        <v>10.07</v>
      </c>
      <c r="M675" t="n">
        <v>10.07</v>
      </c>
      <c r="O675" t="inlineStr">
        <is>
          <t>08/2026</t>
        </is>
      </c>
    </row>
    <row r="676">
      <c r="A676" t="n">
        <v>256319</v>
      </c>
      <c r="B676" t="n">
        <v>180</v>
      </c>
      <c r="C676" t="inlineStr">
        <is>
          <t>Nuv Gastrobar</t>
        </is>
      </c>
      <c r="D676" t="inlineStr">
        <is>
          <t>REBAL COMERCIAL LTDA</t>
        </is>
      </c>
      <c r="E676" t="inlineStr">
        <is>
          <t>306822</t>
        </is>
      </c>
      <c r="F676" s="525" t="n">
        <v>46244</v>
      </c>
      <c r="G676" t="n">
        <v>30463</v>
      </c>
      <c r="H676" t="inlineStr">
        <is>
          <t>ABAFADOR DE ALUMINIO 21,7CM REDONDO DOUPAN UN</t>
        </is>
      </c>
      <c r="I676" t="inlineStr">
        <is>
          <t>UTENSILIOS</t>
        </is>
      </c>
      <c r="J676" t="n">
        <v>4</v>
      </c>
      <c r="K676" t="inlineStr">
        <is>
          <t>UN</t>
        </is>
      </c>
      <c r="L676" t="n">
        <v>108.2</v>
      </c>
      <c r="M676" t="n">
        <v>27.05</v>
      </c>
      <c r="O676" t="inlineStr">
        <is>
          <t>08/2026</t>
        </is>
      </c>
    </row>
    <row r="677">
      <c r="A677" t="n">
        <v>256318</v>
      </c>
      <c r="B677" t="n">
        <v>180</v>
      </c>
      <c r="C677" t="inlineStr">
        <is>
          <t>Nuv Gastrobar</t>
        </is>
      </c>
      <c r="D677" t="inlineStr">
        <is>
          <t>J.K. COMERCIO DE GENEROS ALIMENICIOS LTDA</t>
        </is>
      </c>
      <c r="E677" t="inlineStr">
        <is>
          <t>3924</t>
        </is>
      </c>
      <c r="F677" s="525" t="n">
        <v>46244</v>
      </c>
      <c r="G677" t="n">
        <v>25258</v>
      </c>
      <c r="H677" t="inlineStr">
        <is>
          <t>ZATAR KG</t>
        </is>
      </c>
      <c r="I677" t="inlineStr">
        <is>
          <t>ALIMENTOS</t>
        </is>
      </c>
      <c r="J677" t="n">
        <v>1</v>
      </c>
      <c r="K677" t="inlineStr">
        <is>
          <t>KG</t>
        </is>
      </c>
      <c r="L677" t="n">
        <v>49</v>
      </c>
      <c r="M677" t="n">
        <v>49</v>
      </c>
      <c r="O677" t="inlineStr">
        <is>
          <t>08/2026</t>
        </is>
      </c>
    </row>
    <row r="678">
      <c r="A678" t="n">
        <v>256318</v>
      </c>
      <c r="B678" t="n">
        <v>180</v>
      </c>
      <c r="C678" t="inlineStr">
        <is>
          <t>Nuv Gastrobar</t>
        </is>
      </c>
      <c r="D678" t="inlineStr">
        <is>
          <t>J.K. COMERCIO DE GENEROS ALIMENICIOS LTDA</t>
        </is>
      </c>
      <c r="E678" t="inlineStr">
        <is>
          <t>3924</t>
        </is>
      </c>
      <c r="F678" s="525" t="n">
        <v>46244</v>
      </c>
      <c r="G678" t="n">
        <v>19892</v>
      </c>
      <c r="H678" t="inlineStr">
        <is>
          <t>PIMENTA SIRIA KG</t>
        </is>
      </c>
      <c r="I678" t="inlineStr">
        <is>
          <t>ALIMENTOS</t>
        </is>
      </c>
      <c r="J678" t="n">
        <v>2</v>
      </c>
      <c r="K678" t="inlineStr">
        <is>
          <t>KG</t>
        </is>
      </c>
      <c r="L678" t="n">
        <v>276</v>
      </c>
      <c r="M678" t="n">
        <v>138</v>
      </c>
      <c r="O678" t="inlineStr">
        <is>
          <t>08/2026</t>
        </is>
      </c>
    </row>
    <row r="679">
      <c r="A679" t="n">
        <v>256313</v>
      </c>
      <c r="B679" t="n">
        <v>180</v>
      </c>
      <c r="C679" t="inlineStr">
        <is>
          <t>Nuv Gastrobar</t>
        </is>
      </c>
      <c r="D679" t="inlineStr">
        <is>
          <t>J.K. COMERCIO DE GENEROS ALIMENICIOS LTDA</t>
        </is>
      </c>
      <c r="E679" t="inlineStr">
        <is>
          <t>3917</t>
        </is>
      </c>
      <c r="F679" s="525" t="n">
        <v>46244</v>
      </c>
      <c r="G679" t="n">
        <v>18658</v>
      </c>
      <c r="H679" t="inlineStr">
        <is>
          <t>GUANCIALE/BOCHECHA DE PORCO KG</t>
        </is>
      </c>
      <c r="I679" t="inlineStr">
        <is>
          <t>ALIMENTOS</t>
        </is>
      </c>
      <c r="J679" t="n">
        <v>10</v>
      </c>
      <c r="K679" t="inlineStr">
        <is>
          <t>KG</t>
        </is>
      </c>
      <c r="L679" t="n">
        <v>1900</v>
      </c>
      <c r="M679" t="n">
        <v>190</v>
      </c>
      <c r="O679" t="inlineStr">
        <is>
          <t>08/2026</t>
        </is>
      </c>
    </row>
    <row r="680">
      <c r="A680" t="n">
        <v>256311</v>
      </c>
      <c r="B680" t="n">
        <v>180</v>
      </c>
      <c r="C680" t="inlineStr">
        <is>
          <t>Nuv Gastrobar</t>
        </is>
      </c>
      <c r="D680" t="inlineStr">
        <is>
          <t>TRAMONTINA SUDESTE S.A</t>
        </is>
      </c>
      <c r="E680" t="inlineStr">
        <is>
          <t>2508211</t>
        </is>
      </c>
      <c r="F680" s="525" t="n">
        <v>46244</v>
      </c>
      <c r="G680" t="n">
        <v>30420</v>
      </c>
      <c r="H680" t="inlineStr">
        <is>
          <t>FACA CHEF TRAMONTINA PREMIUM COM LAMINA EM AÇO INOX E CABO DE POLIPROPILENO BRANCO 10 POLEGADAS UM</t>
        </is>
      </c>
      <c r="I680" t="inlineStr">
        <is>
          <t>UTENSILIOS</t>
        </is>
      </c>
      <c r="J680" t="n">
        <v>4</v>
      </c>
      <c r="K680" t="inlineStr">
        <is>
          <t>UN</t>
        </is>
      </c>
      <c r="L680" t="n">
        <v>227.6</v>
      </c>
      <c r="M680" t="n">
        <v>56.9</v>
      </c>
      <c r="O680" t="inlineStr">
        <is>
          <t>08/2026</t>
        </is>
      </c>
    </row>
    <row r="681">
      <c r="A681" t="n">
        <v>256311</v>
      </c>
      <c r="B681" t="n">
        <v>180</v>
      </c>
      <c r="C681" t="inlineStr">
        <is>
          <t>Nuv Gastrobar</t>
        </is>
      </c>
      <c r="D681" t="inlineStr">
        <is>
          <t>TRAMONTINA SUDESTE S.A</t>
        </is>
      </c>
      <c r="E681" t="inlineStr">
        <is>
          <t>2508211</t>
        </is>
      </c>
      <c r="F681" s="525" t="n">
        <v>46244</v>
      </c>
      <c r="G681" t="n">
        <v>30415</v>
      </c>
      <c r="H681" t="inlineStr">
        <is>
          <t>COLHER TRAMONTINA UTILITY PARA ARROZ EM AÇO INOX COM BLISTER INDIVIDUAL UN</t>
        </is>
      </c>
      <c r="I681" t="inlineStr">
        <is>
          <t>UTENSILIOS</t>
        </is>
      </c>
      <c r="J681" t="n">
        <v>10</v>
      </c>
      <c r="K681" t="inlineStr">
        <is>
          <t>UN</t>
        </is>
      </c>
      <c r="L681" t="n">
        <v>374.6</v>
      </c>
      <c r="M681" t="n">
        <v>37.46</v>
      </c>
      <c r="O681" t="inlineStr">
        <is>
          <t>08/2026</t>
        </is>
      </c>
    </row>
    <row r="682">
      <c r="A682" t="n">
        <v>256311</v>
      </c>
      <c r="B682" t="n">
        <v>180</v>
      </c>
      <c r="C682" t="inlineStr">
        <is>
          <t>Nuv Gastrobar</t>
        </is>
      </c>
      <c r="D682" t="inlineStr">
        <is>
          <t>TRAMONTINA SUDESTE S.A</t>
        </is>
      </c>
      <c r="E682" t="inlineStr">
        <is>
          <t>2508211</t>
        </is>
      </c>
      <c r="F682" s="525" t="n">
        <v>46244</v>
      </c>
      <c r="G682" t="n">
        <v>30424</v>
      </c>
      <c r="H682" t="inlineStr">
        <is>
          <t>CUBA TRAMONTINA GN1/1 EM AÇO INOX SEM ALÇAS PROFUNDIADE 20MM AÇO INOX UN</t>
        </is>
      </c>
      <c r="I682" t="inlineStr">
        <is>
          <t>UTENSILIOS</t>
        </is>
      </c>
      <c r="J682" t="n">
        <v>10</v>
      </c>
      <c r="K682" t="inlineStr">
        <is>
          <t>UN</t>
        </is>
      </c>
      <c r="L682" t="n">
        <v>728.3</v>
      </c>
      <c r="M682" t="n">
        <v>72.83</v>
      </c>
      <c r="O682" t="inlineStr">
        <is>
          <t>08/2026</t>
        </is>
      </c>
    </row>
    <row r="683">
      <c r="A683" t="n">
        <v>256311</v>
      </c>
      <c r="B683" t="n">
        <v>180</v>
      </c>
      <c r="C683" t="inlineStr">
        <is>
          <t>Nuv Gastrobar</t>
        </is>
      </c>
      <c r="D683" t="inlineStr">
        <is>
          <t>TRAMONTINA SUDESTE S.A</t>
        </is>
      </c>
      <c r="E683" t="inlineStr">
        <is>
          <t>2508211</t>
        </is>
      </c>
      <c r="F683" s="525" t="n">
        <v>46244</v>
      </c>
      <c r="G683" t="n">
        <v>30418</v>
      </c>
      <c r="H683" t="inlineStr">
        <is>
          <t>FACA UTILITY TRAMONTINA PREMIUM COM LAMINA EM AÇO INOX E CABO DE POLIPROPILENO BRANCO 6 POLEGADAS UN</t>
        </is>
      </c>
      <c r="I683" t="inlineStr">
        <is>
          <t>UTENSILIOS</t>
        </is>
      </c>
      <c r="J683" t="n">
        <v>4</v>
      </c>
      <c r="K683" t="inlineStr">
        <is>
          <t>UN</t>
        </is>
      </c>
      <c r="L683" t="n">
        <v>116.16</v>
      </c>
      <c r="M683" t="n">
        <v>29.04</v>
      </c>
      <c r="O683" t="inlineStr">
        <is>
          <t>08/2026</t>
        </is>
      </c>
    </row>
    <row r="684">
      <c r="A684" t="n">
        <v>256311</v>
      </c>
      <c r="B684" t="n">
        <v>180</v>
      </c>
      <c r="C684" t="inlineStr">
        <is>
          <t>Nuv Gastrobar</t>
        </is>
      </c>
      <c r="D684" t="inlineStr">
        <is>
          <t>TRAMONTINA SUDESTE S.A</t>
        </is>
      </c>
      <c r="E684" t="inlineStr">
        <is>
          <t>2508211</t>
        </is>
      </c>
      <c r="F684" s="525" t="n">
        <v>46244</v>
      </c>
      <c r="G684" t="n">
        <v>30436</v>
      </c>
      <c r="H684" t="inlineStr">
        <is>
          <t>PINCEL TRAMONTINA SOFTTA DE SILICONE VERMELHO UN</t>
        </is>
      </c>
      <c r="I684" t="inlineStr">
        <is>
          <t>UTENSILIOS</t>
        </is>
      </c>
      <c r="J684" t="n">
        <v>3</v>
      </c>
      <c r="K684" t="inlineStr">
        <is>
          <t>UN</t>
        </is>
      </c>
      <c r="L684" t="n">
        <v>45.54</v>
      </c>
      <c r="M684" t="n">
        <v>15.18</v>
      </c>
      <c r="O684" t="inlineStr">
        <is>
          <t>08/2026</t>
        </is>
      </c>
    </row>
    <row r="685">
      <c r="A685" t="n">
        <v>256311</v>
      </c>
      <c r="B685" t="n">
        <v>180</v>
      </c>
      <c r="C685" t="inlineStr">
        <is>
          <t>Nuv Gastrobar</t>
        </is>
      </c>
      <c r="D685" t="inlineStr">
        <is>
          <t>TRAMONTINA SUDESTE S.A</t>
        </is>
      </c>
      <c r="E685" t="inlineStr">
        <is>
          <t>2508211</t>
        </is>
      </c>
      <c r="F685" s="525" t="n">
        <v>46244</v>
      </c>
      <c r="G685" t="n">
        <v>30422</v>
      </c>
      <c r="H685" t="inlineStr">
        <is>
          <t>FACA PARA BOLO/PÃO TRAMONTINA PROFISSIONAL COM LAMINA EM AÇO INOX E CABO DE POLIPROPILENO BRANCO 8 POLEGADAS UN</t>
        </is>
      </c>
      <c r="I685" t="inlineStr">
        <is>
          <t>UTENSILIOS</t>
        </is>
      </c>
      <c r="J685" t="n">
        <v>4</v>
      </c>
      <c r="K685" t="inlineStr">
        <is>
          <t>UN</t>
        </is>
      </c>
      <c r="L685" t="n">
        <v>225.28</v>
      </c>
      <c r="M685" t="n">
        <v>56.32</v>
      </c>
      <c r="O685" t="inlineStr">
        <is>
          <t>08/2026</t>
        </is>
      </c>
    </row>
    <row r="686">
      <c r="A686" t="n">
        <v>256311</v>
      </c>
      <c r="B686" t="n">
        <v>180</v>
      </c>
      <c r="C686" t="inlineStr">
        <is>
          <t>Nuv Gastrobar</t>
        </is>
      </c>
      <c r="D686" t="inlineStr">
        <is>
          <t>TRAMONTINA SUDESTE S.A</t>
        </is>
      </c>
      <c r="E686" t="inlineStr">
        <is>
          <t>2508211</t>
        </is>
      </c>
      <c r="F686" s="525" t="n">
        <v>46244</v>
      </c>
      <c r="G686" t="n">
        <v>30449</v>
      </c>
      <c r="H686" t="inlineStr">
        <is>
          <t>BICO DOSADOR TRAMONTINA EM AÇO INOX E SILICONE UN</t>
        </is>
      </c>
      <c r="I686" t="inlineStr">
        <is>
          <t>UTENSILIOS</t>
        </is>
      </c>
      <c r="J686" t="n">
        <v>10</v>
      </c>
      <c r="K686" t="inlineStr">
        <is>
          <t>UN</t>
        </is>
      </c>
      <c r="L686" t="n">
        <v>435.2</v>
      </c>
      <c r="M686" t="n">
        <v>43.52</v>
      </c>
      <c r="O686" t="inlineStr">
        <is>
          <t>08/2026</t>
        </is>
      </c>
    </row>
    <row r="687">
      <c r="A687" t="n">
        <v>256311</v>
      </c>
      <c r="B687" t="n">
        <v>180</v>
      </c>
      <c r="C687" t="inlineStr">
        <is>
          <t>Nuv Gastrobar</t>
        </is>
      </c>
      <c r="D687" t="inlineStr">
        <is>
          <t>TRAMONTINA SUDESTE S.A</t>
        </is>
      </c>
      <c r="E687" t="inlineStr">
        <is>
          <t>2508211</t>
        </is>
      </c>
      <c r="F687" s="525" t="n">
        <v>46244</v>
      </c>
      <c r="G687" t="n">
        <v>30444</v>
      </c>
      <c r="H687" t="inlineStr">
        <is>
          <t>COLHER BAILARINA ESPIRAL TRAMONTINA EM AÇO INOX 45CM UN</t>
        </is>
      </c>
      <c r="I687" t="inlineStr">
        <is>
          <t>UTENSILIOS</t>
        </is>
      </c>
      <c r="J687" t="n">
        <v>8</v>
      </c>
      <c r="K687" t="inlineStr">
        <is>
          <t>UN</t>
        </is>
      </c>
      <c r="L687" t="n">
        <v>279.44</v>
      </c>
      <c r="M687" t="n">
        <v>34.93</v>
      </c>
      <c r="O687" t="inlineStr">
        <is>
          <t>08/2026</t>
        </is>
      </c>
    </row>
    <row r="688">
      <c r="A688" t="n">
        <v>256311</v>
      </c>
      <c r="B688" t="n">
        <v>180</v>
      </c>
      <c r="C688" t="inlineStr">
        <is>
          <t>Nuv Gastrobar</t>
        </is>
      </c>
      <c r="D688" t="inlineStr">
        <is>
          <t>TRAMONTINA SUDESTE S.A</t>
        </is>
      </c>
      <c r="E688" t="inlineStr">
        <is>
          <t>2508211</t>
        </is>
      </c>
      <c r="F688" s="525" t="n">
        <v>46244</v>
      </c>
      <c r="G688" t="n">
        <v>30445</v>
      </c>
      <c r="H688" t="inlineStr">
        <is>
          <t>DOSADOR TRAMONTINA DUPLO PARA BEBIDAS EM AÇO INOX 25 E 50ML UN</t>
        </is>
      </c>
      <c r="I688" t="inlineStr">
        <is>
          <t>UTENSILIOS</t>
        </is>
      </c>
      <c r="J688" t="n">
        <v>8</v>
      </c>
      <c r="K688" t="inlineStr">
        <is>
          <t>UN</t>
        </is>
      </c>
      <c r="L688" t="n">
        <v>407.36</v>
      </c>
      <c r="M688" t="n">
        <v>50.92</v>
      </c>
      <c r="O688" t="inlineStr">
        <is>
          <t>08/2026</t>
        </is>
      </c>
    </row>
    <row r="689">
      <c r="A689" t="n">
        <v>256311</v>
      </c>
      <c r="B689" t="n">
        <v>180</v>
      </c>
      <c r="C689" t="inlineStr">
        <is>
          <t>Nuv Gastrobar</t>
        </is>
      </c>
      <c r="D689" t="inlineStr">
        <is>
          <t>TRAMONTINA SUDESTE S.A</t>
        </is>
      </c>
      <c r="E689" t="inlineStr">
        <is>
          <t>2508211</t>
        </is>
      </c>
      <c r="F689" s="525" t="n">
        <v>46244</v>
      </c>
      <c r="G689" t="n">
        <v>30433</v>
      </c>
      <c r="H689" t="inlineStr">
        <is>
          <t>PEGADOR TRAMONTINA UTILITA EM AÇO INOX COM CABO EMBORRACHADO CINZA 24CM UN</t>
        </is>
      </c>
      <c r="I689" t="inlineStr">
        <is>
          <t>UTENSILIOS</t>
        </is>
      </c>
      <c r="J689" t="n">
        <v>1</v>
      </c>
      <c r="K689" t="inlineStr">
        <is>
          <t>UN</t>
        </is>
      </c>
      <c r="L689" t="n">
        <v>29.2</v>
      </c>
      <c r="M689" t="n">
        <v>29.2</v>
      </c>
      <c r="O689" t="inlineStr">
        <is>
          <t>08/2026</t>
        </is>
      </c>
    </row>
    <row r="690">
      <c r="A690" t="n">
        <v>256311</v>
      </c>
      <c r="B690" t="n">
        <v>180</v>
      </c>
      <c r="C690" t="inlineStr">
        <is>
          <t>Nuv Gastrobar</t>
        </is>
      </c>
      <c r="D690" t="inlineStr">
        <is>
          <t>TRAMONTINA SUDESTE S.A</t>
        </is>
      </c>
      <c r="E690" t="inlineStr">
        <is>
          <t>2508211</t>
        </is>
      </c>
      <c r="F690" s="525" t="n">
        <v>46244</v>
      </c>
      <c r="G690" t="n">
        <v>30426</v>
      </c>
      <c r="H690" t="inlineStr">
        <is>
          <t>CUBA TRAMONTINA GN1/1 EM AÇO INOX SEM ALÇAS PROFUNDIDADE 100MM AÇO INOX UN</t>
        </is>
      </c>
      <c r="I690" t="inlineStr">
        <is>
          <t>UTENSILIOS</t>
        </is>
      </c>
      <c r="J690" t="n">
        <v>2</v>
      </c>
      <c r="K690" t="inlineStr">
        <is>
          <t>UN</t>
        </is>
      </c>
      <c r="L690" t="n">
        <v>223.02</v>
      </c>
      <c r="M690" t="n">
        <v>111.51</v>
      </c>
      <c r="O690" t="inlineStr">
        <is>
          <t>08/2026</t>
        </is>
      </c>
    </row>
    <row r="691">
      <c r="A691" t="n">
        <v>256311</v>
      </c>
      <c r="B691" t="n">
        <v>180</v>
      </c>
      <c r="C691" t="inlineStr">
        <is>
          <t>Nuv Gastrobar</t>
        </is>
      </c>
      <c r="D691" t="inlineStr">
        <is>
          <t>TRAMONTINA SUDESTE S.A</t>
        </is>
      </c>
      <c r="E691" t="inlineStr">
        <is>
          <t>2508211</t>
        </is>
      </c>
      <c r="F691" s="525" t="n">
        <v>46244</v>
      </c>
      <c r="G691" t="n">
        <v>30434</v>
      </c>
      <c r="H691" t="inlineStr">
        <is>
          <t>BATEDOR MANUAL TRAMONTINA PROFISSIONAL MASTER EM AÇO INOX COM CABO EM POLIPROPILENO BRANCO 30CM UN</t>
        </is>
      </c>
      <c r="I691" t="inlineStr">
        <is>
          <t>UTENSILIOS</t>
        </is>
      </c>
      <c r="J691" t="n">
        <v>2</v>
      </c>
      <c r="K691" t="inlineStr">
        <is>
          <t>UN</t>
        </is>
      </c>
      <c r="L691" t="n">
        <v>90.78</v>
      </c>
      <c r="M691" t="n">
        <v>45.39</v>
      </c>
      <c r="O691" t="inlineStr">
        <is>
          <t>08/2026</t>
        </is>
      </c>
    </row>
    <row r="692">
      <c r="A692" t="n">
        <v>256311</v>
      </c>
      <c r="B692" t="n">
        <v>180</v>
      </c>
      <c r="C692" t="inlineStr">
        <is>
          <t>Nuv Gastrobar</t>
        </is>
      </c>
      <c r="D692" t="inlineStr">
        <is>
          <t>TRAMONTINA SUDESTE S.A</t>
        </is>
      </c>
      <c r="E692" t="inlineStr">
        <is>
          <t>2508211</t>
        </is>
      </c>
      <c r="F692" s="525" t="n">
        <v>46244</v>
      </c>
      <c r="G692" t="n">
        <v>30457</v>
      </c>
      <c r="H692" t="inlineStr">
        <is>
          <t>CALDEIRAO TRAMONTINA PROFESSIONAL EM AÇO INOX FUNDO TRIPLO SEM TAMPA 40CM 30L UN</t>
        </is>
      </c>
      <c r="I692" t="inlineStr">
        <is>
          <t>UTENSILIOS</t>
        </is>
      </c>
      <c r="J692" t="n">
        <v>1</v>
      </c>
      <c r="K692" t="inlineStr">
        <is>
          <t>UN</t>
        </is>
      </c>
      <c r="L692" t="n">
        <v>1593.63</v>
      </c>
      <c r="M692" t="n">
        <v>1593.63</v>
      </c>
      <c r="O692" t="inlineStr">
        <is>
          <t>08/2026</t>
        </is>
      </c>
    </row>
    <row r="693">
      <c r="A693" t="n">
        <v>256311</v>
      </c>
      <c r="B693" t="n">
        <v>180</v>
      </c>
      <c r="C693" t="inlineStr">
        <is>
          <t>Nuv Gastrobar</t>
        </is>
      </c>
      <c r="D693" t="inlineStr">
        <is>
          <t>TRAMONTINA SUDESTE S.A</t>
        </is>
      </c>
      <c r="E693" t="inlineStr">
        <is>
          <t>2508211</t>
        </is>
      </c>
      <c r="F693" s="525" t="n">
        <v>46244</v>
      </c>
      <c r="G693" t="n">
        <v>30446</v>
      </c>
      <c r="H693" t="inlineStr">
        <is>
          <t>COADOR STRAINER TRAMONTINA PARA COQUETEL EM AÇO INOX UN</t>
        </is>
      </c>
      <c r="I693" t="inlineStr">
        <is>
          <t>UTENSILIOS</t>
        </is>
      </c>
      <c r="J693" t="n">
        <v>6</v>
      </c>
      <c r="K693" t="inlineStr">
        <is>
          <t>UN</t>
        </is>
      </c>
      <c r="L693" t="n">
        <v>290.22</v>
      </c>
      <c r="M693" t="n">
        <v>48.37</v>
      </c>
      <c r="O693" t="inlineStr">
        <is>
          <t>08/2026</t>
        </is>
      </c>
    </row>
    <row r="694">
      <c r="A694" t="n">
        <v>256311</v>
      </c>
      <c r="B694" t="n">
        <v>180</v>
      </c>
      <c r="C694" t="inlineStr">
        <is>
          <t>Nuv Gastrobar</t>
        </is>
      </c>
      <c r="D694" t="inlineStr">
        <is>
          <t>TRAMONTINA SUDESTE S.A</t>
        </is>
      </c>
      <c r="E694" t="inlineStr">
        <is>
          <t>2508211</t>
        </is>
      </c>
      <c r="F694" s="525" t="n">
        <v>46244</v>
      </c>
      <c r="G694" t="n">
        <v>30421</v>
      </c>
      <c r="H694" t="inlineStr">
        <is>
          <t>FACA PARA LEGUMES E FRUTAS TRAMONTINA PREMIUM COM LAMINA EM AÇO INOX E CABO DE POLIPPILENO BRANCO 4 POLEGADAS UN</t>
        </is>
      </c>
      <c r="I694" t="inlineStr">
        <is>
          <t>UTENSILIOS</t>
        </is>
      </c>
      <c r="J694" t="n">
        <v>5</v>
      </c>
      <c r="K694" t="inlineStr">
        <is>
          <t>UN</t>
        </is>
      </c>
      <c r="L694" t="n">
        <v>78.7</v>
      </c>
      <c r="M694" t="n">
        <v>15.74</v>
      </c>
      <c r="O694" t="inlineStr">
        <is>
          <t>08/2026</t>
        </is>
      </c>
    </row>
    <row r="695">
      <c r="A695" t="n">
        <v>256311</v>
      </c>
      <c r="B695" t="n">
        <v>180</v>
      </c>
      <c r="C695" t="inlineStr">
        <is>
          <t>Nuv Gastrobar</t>
        </is>
      </c>
      <c r="D695" t="inlineStr">
        <is>
          <t>TRAMONTINA SUDESTE S.A</t>
        </is>
      </c>
      <c r="E695" t="inlineStr">
        <is>
          <t>2508211</t>
        </is>
      </c>
      <c r="F695" s="525" t="n">
        <v>46244</v>
      </c>
      <c r="G695" t="n">
        <v>30428</v>
      </c>
      <c r="H695" t="inlineStr">
        <is>
          <t>CUBA TRAMONTINA GN1/2 EM AÇO INOX SEM ALÇAS PROFUNDIDADE 100MM AÇO INOX UN</t>
        </is>
      </c>
      <c r="I695" t="inlineStr">
        <is>
          <t>UTENSILIOS</t>
        </is>
      </c>
      <c r="J695" t="n">
        <v>6</v>
      </c>
      <c r="K695" t="inlineStr">
        <is>
          <t>UN</t>
        </is>
      </c>
      <c r="L695" t="n">
        <v>445.5</v>
      </c>
      <c r="M695" t="n">
        <v>74.25</v>
      </c>
      <c r="O695" t="inlineStr">
        <is>
          <t>08/2026</t>
        </is>
      </c>
    </row>
    <row r="696">
      <c r="A696" t="n">
        <v>256311</v>
      </c>
      <c r="B696" t="n">
        <v>180</v>
      </c>
      <c r="C696" t="inlineStr">
        <is>
          <t>Nuv Gastrobar</t>
        </is>
      </c>
      <c r="D696" t="inlineStr">
        <is>
          <t>TRAMONTINA SUDESTE S.A</t>
        </is>
      </c>
      <c r="E696" t="inlineStr">
        <is>
          <t>2508211</t>
        </is>
      </c>
      <c r="F696" s="525" t="n">
        <v>46244</v>
      </c>
      <c r="G696" t="n">
        <v>30443</v>
      </c>
      <c r="H696" t="inlineStr">
        <is>
          <t>COQUETELEIRA BOSTON TRAMONTINA EM AÇO INOX 700ML UN</t>
        </is>
      </c>
      <c r="I696" t="inlineStr">
        <is>
          <t>UTENSILIOS</t>
        </is>
      </c>
      <c r="J696" t="n">
        <v>6</v>
      </c>
      <c r="K696" t="inlineStr">
        <is>
          <t>UN</t>
        </is>
      </c>
      <c r="L696" t="n">
        <v>1167.9</v>
      </c>
      <c r="M696" t="n">
        <v>194.65</v>
      </c>
      <c r="O696" t="inlineStr">
        <is>
          <t>08/2026</t>
        </is>
      </c>
    </row>
    <row r="697">
      <c r="A697" t="n">
        <v>256311</v>
      </c>
      <c r="B697" t="n">
        <v>180</v>
      </c>
      <c r="C697" t="inlineStr">
        <is>
          <t>Nuv Gastrobar</t>
        </is>
      </c>
      <c r="D697" t="inlineStr">
        <is>
          <t>TRAMONTINA SUDESTE S.A</t>
        </is>
      </c>
      <c r="E697" t="inlineStr">
        <is>
          <t>2508211</t>
        </is>
      </c>
      <c r="F697" s="525" t="n">
        <v>46244</v>
      </c>
      <c r="G697" t="n">
        <v>30417</v>
      </c>
      <c r="H697" t="inlineStr">
        <is>
          <t>PEGADOR MULTIUSO 30,8CM TRAMONTINA SOFTTA CINZA EM SILICONE UN</t>
        </is>
      </c>
      <c r="I697" t="inlineStr">
        <is>
          <t>UTENSILIOS</t>
        </is>
      </c>
      <c r="J697" t="n">
        <v>8</v>
      </c>
      <c r="K697" t="inlineStr">
        <is>
          <t>UN</t>
        </is>
      </c>
      <c r="L697" t="n">
        <v>141.76</v>
      </c>
      <c r="M697" t="n">
        <v>17.72</v>
      </c>
      <c r="O697" t="inlineStr">
        <is>
          <t>08/2026</t>
        </is>
      </c>
    </row>
    <row r="698">
      <c r="A698" t="n">
        <v>256311</v>
      </c>
      <c r="B698" t="n">
        <v>180</v>
      </c>
      <c r="C698" t="inlineStr">
        <is>
          <t>Nuv Gastrobar</t>
        </is>
      </c>
      <c r="D698" t="inlineStr">
        <is>
          <t>TRAMONTINA SUDESTE S.A</t>
        </is>
      </c>
      <c r="E698" t="inlineStr">
        <is>
          <t>2508211</t>
        </is>
      </c>
      <c r="F698" s="525" t="n">
        <v>46244</v>
      </c>
      <c r="G698" t="n">
        <v>30456</v>
      </c>
      <c r="H698" t="inlineStr">
        <is>
          <t>CALDEIRAO TRAMONTINA PROFESSIONAL EM AÇO INOX FUNDO TRIPLO SEM TAMPA 30CM 20,8L UN</t>
        </is>
      </c>
      <c r="I698" t="inlineStr">
        <is>
          <t>UTENSILIOS</t>
        </is>
      </c>
      <c r="J698" t="n">
        <v>1</v>
      </c>
      <c r="K698" t="inlineStr">
        <is>
          <t>UN</t>
        </is>
      </c>
      <c r="L698" t="n">
        <v>449.68</v>
      </c>
      <c r="M698" t="n">
        <v>449.68</v>
      </c>
      <c r="O698" t="inlineStr">
        <is>
          <t>08/2026</t>
        </is>
      </c>
    </row>
    <row r="699">
      <c r="A699" t="n">
        <v>256311</v>
      </c>
      <c r="B699" t="n">
        <v>180</v>
      </c>
      <c r="C699" t="inlineStr">
        <is>
          <t>Nuv Gastrobar</t>
        </is>
      </c>
      <c r="D699" t="inlineStr">
        <is>
          <t>TRAMONTINA SUDESTE S.A</t>
        </is>
      </c>
      <c r="E699" t="inlineStr">
        <is>
          <t>2508211</t>
        </is>
      </c>
      <c r="F699" s="525" t="n">
        <v>46244</v>
      </c>
      <c r="G699" t="n">
        <v>30416</v>
      </c>
      <c r="H699" t="inlineStr">
        <is>
          <t>CONCHA TERRINA TRAMONTINA UTILITY EM AÇO INOX COM BLISTER INDIVIDUAL UN</t>
        </is>
      </c>
      <c r="I699" t="inlineStr">
        <is>
          <t>UTENSILIOS</t>
        </is>
      </c>
      <c r="J699" t="n">
        <v>5</v>
      </c>
      <c r="K699" t="inlineStr">
        <is>
          <t>UN</t>
        </is>
      </c>
      <c r="L699" t="n">
        <v>368.4</v>
      </c>
      <c r="M699" t="n">
        <v>73.68000000000001</v>
      </c>
      <c r="O699" t="inlineStr">
        <is>
          <t>08/2026</t>
        </is>
      </c>
    </row>
    <row r="700">
      <c r="A700" t="n">
        <v>256311</v>
      </c>
      <c r="B700" t="n">
        <v>180</v>
      </c>
      <c r="C700" t="inlineStr">
        <is>
          <t>Nuv Gastrobar</t>
        </is>
      </c>
      <c r="D700" t="inlineStr">
        <is>
          <t>TRAMONTINA SUDESTE S.A</t>
        </is>
      </c>
      <c r="E700" t="inlineStr">
        <is>
          <t>2508211</t>
        </is>
      </c>
      <c r="F700" s="525" t="n">
        <v>46244</v>
      </c>
      <c r="G700" t="n">
        <v>30429</v>
      </c>
      <c r="H700" t="inlineStr">
        <is>
          <t>CUBA TRAMONTINA GN1/2 EM AÇO INOX SEM ALÇAS PROFUNDIDADE 65MM AÇO INOX UN</t>
        </is>
      </c>
      <c r="I700" t="inlineStr">
        <is>
          <t>UTENSILIOS</t>
        </is>
      </c>
      <c r="J700" t="n">
        <v>4</v>
      </c>
      <c r="K700" t="inlineStr">
        <is>
          <t>UN</t>
        </is>
      </c>
      <c r="L700" t="n">
        <v>246.04</v>
      </c>
      <c r="M700" t="n">
        <v>61.51</v>
      </c>
      <c r="O700" t="inlineStr">
        <is>
          <t>08/2026</t>
        </is>
      </c>
    </row>
    <row r="701">
      <c r="A701" t="n">
        <v>256311</v>
      </c>
      <c r="B701" t="n">
        <v>180</v>
      </c>
      <c r="C701" t="inlineStr">
        <is>
          <t>Nuv Gastrobar</t>
        </is>
      </c>
      <c r="D701" t="inlineStr">
        <is>
          <t>TRAMONTINA SUDESTE S.A</t>
        </is>
      </c>
      <c r="E701" t="inlineStr">
        <is>
          <t>2508211</t>
        </is>
      </c>
      <c r="F701" s="525" t="n">
        <v>46244</v>
      </c>
      <c r="G701" t="n">
        <v>30427</v>
      </c>
      <c r="H701" t="inlineStr">
        <is>
          <t>CUBA TRAMONTINA GN1/1 EM AÇO INOX SEM ALÇAS PROFUNDIDADE 150MM AÇO INOX UN</t>
        </is>
      </c>
      <c r="I701" t="inlineStr">
        <is>
          <t>UTENSILIOS</t>
        </is>
      </c>
      <c r="J701" t="n">
        <v>2</v>
      </c>
      <c r="K701" t="inlineStr">
        <is>
          <t>UN</t>
        </is>
      </c>
      <c r="L701" t="n">
        <v>331.5</v>
      </c>
      <c r="M701" t="n">
        <v>165.75</v>
      </c>
      <c r="O701" t="inlineStr">
        <is>
          <t>08/2026</t>
        </is>
      </c>
    </row>
    <row r="702">
      <c r="A702" t="n">
        <v>256311</v>
      </c>
      <c r="B702" t="n">
        <v>180</v>
      </c>
      <c r="C702" t="inlineStr">
        <is>
          <t>Nuv Gastrobar</t>
        </is>
      </c>
      <c r="D702" t="inlineStr">
        <is>
          <t>TRAMONTINA SUDESTE S.A</t>
        </is>
      </c>
      <c r="E702" t="inlineStr">
        <is>
          <t>2508211</t>
        </is>
      </c>
      <c r="F702" s="525" t="n">
        <v>46244</v>
      </c>
      <c r="G702" t="n">
        <v>30439</v>
      </c>
      <c r="H702" t="inlineStr">
        <is>
          <t>PASSADOR CHINOY TRAMONTINA EM AÇO INOX 21CM UN</t>
        </is>
      </c>
      <c r="I702" t="inlineStr">
        <is>
          <t>UTENSILIOS</t>
        </is>
      </c>
      <c r="J702" t="n">
        <v>2</v>
      </c>
      <c r="K702" t="inlineStr">
        <is>
          <t>UN</t>
        </is>
      </c>
      <c r="L702" t="n">
        <v>456.08</v>
      </c>
      <c r="M702" t="n">
        <v>228.04</v>
      </c>
      <c r="O702" t="inlineStr">
        <is>
          <t>08/2026</t>
        </is>
      </c>
    </row>
    <row r="703">
      <c r="A703" t="n">
        <v>256311</v>
      </c>
      <c r="B703" t="n">
        <v>180</v>
      </c>
      <c r="C703" t="inlineStr">
        <is>
          <t>Nuv Gastrobar</t>
        </is>
      </c>
      <c r="D703" t="inlineStr">
        <is>
          <t>TRAMONTINA SUDESTE S.A</t>
        </is>
      </c>
      <c r="E703" t="inlineStr">
        <is>
          <t>2508211</t>
        </is>
      </c>
      <c r="F703" s="525" t="n">
        <v>46244</v>
      </c>
      <c r="G703" t="n">
        <v>30454</v>
      </c>
      <c r="H703" t="inlineStr">
        <is>
          <t>CALDEIRAO TRAMONTINA PROFESSIONAL EM AÇO INOX FUNDO TRIPLO COM TAMPA PLANA DEALHE SATINADO 28CM 11,9L UN</t>
        </is>
      </c>
      <c r="I703" t="inlineStr">
        <is>
          <t>UTENSILIOS</t>
        </is>
      </c>
      <c r="J703" t="n">
        <v>2</v>
      </c>
      <c r="K703" t="inlineStr">
        <is>
          <t>UN</t>
        </is>
      </c>
      <c r="L703" t="n">
        <v>1143.76</v>
      </c>
      <c r="M703" t="n">
        <v>571.88</v>
      </c>
      <c r="O703" t="inlineStr">
        <is>
          <t>08/2026</t>
        </is>
      </c>
    </row>
    <row r="704">
      <c r="A704" t="n">
        <v>256311</v>
      </c>
      <c r="B704" t="n">
        <v>180</v>
      </c>
      <c r="C704" t="inlineStr">
        <is>
          <t>Nuv Gastrobar</t>
        </is>
      </c>
      <c r="D704" t="inlineStr">
        <is>
          <t>TRAMONTINA SUDESTE S.A</t>
        </is>
      </c>
      <c r="E704" t="inlineStr">
        <is>
          <t>2508211</t>
        </is>
      </c>
      <c r="F704" s="525" t="n">
        <v>46244</v>
      </c>
      <c r="G704" t="n">
        <v>30441</v>
      </c>
      <c r="H704" t="inlineStr">
        <is>
          <t>PEDRA DE AFIAR TRAMONTINA PROFIO COM GRANULAÇÃO 800 E SUPORTE EMBORRACHADO UN</t>
        </is>
      </c>
      <c r="I704" t="inlineStr">
        <is>
          <t>UTENSILIOS</t>
        </is>
      </c>
      <c r="J704" t="n">
        <v>2</v>
      </c>
      <c r="K704" t="inlineStr">
        <is>
          <t>UN</t>
        </is>
      </c>
      <c r="L704" t="n">
        <v>161.4</v>
      </c>
      <c r="M704" t="n">
        <v>80.7</v>
      </c>
      <c r="O704" t="inlineStr">
        <is>
          <t>08/2026</t>
        </is>
      </c>
    </row>
    <row r="705">
      <c r="A705" t="n">
        <v>256311</v>
      </c>
      <c r="B705" t="n">
        <v>180</v>
      </c>
      <c r="C705" t="inlineStr">
        <is>
          <t>Nuv Gastrobar</t>
        </is>
      </c>
      <c r="D705" t="inlineStr">
        <is>
          <t>TRAMONTINA SUDESTE S.A</t>
        </is>
      </c>
      <c r="E705" t="inlineStr">
        <is>
          <t>2508211</t>
        </is>
      </c>
      <c r="F705" s="525" t="n">
        <v>46244</v>
      </c>
      <c r="G705" t="n">
        <v>30455</v>
      </c>
      <c r="H705" t="inlineStr">
        <is>
          <t>CALDEIRAO TRAMONTINA PROFESSIONAL EM AÇO INOX FUNDO TRIPLO COM TAMPA E ALÇAS 28CM 15,7L UN</t>
        </is>
      </c>
      <c r="I705" t="inlineStr">
        <is>
          <t>UTENSILIOS</t>
        </is>
      </c>
      <c r="J705" t="n">
        <v>1</v>
      </c>
      <c r="K705" t="inlineStr">
        <is>
          <t>UN</t>
        </is>
      </c>
      <c r="L705" t="n">
        <v>590.11</v>
      </c>
      <c r="M705" t="n">
        <v>590.11</v>
      </c>
      <c r="O705" t="inlineStr">
        <is>
          <t>08/2026</t>
        </is>
      </c>
    </row>
    <row r="706">
      <c r="A706" t="n">
        <v>256311</v>
      </c>
      <c r="B706" t="n">
        <v>180</v>
      </c>
      <c r="C706" t="inlineStr">
        <is>
          <t>Nuv Gastrobar</t>
        </is>
      </c>
      <c r="D706" t="inlineStr">
        <is>
          <t>TRAMONTINA SUDESTE S.A</t>
        </is>
      </c>
      <c r="E706" t="inlineStr">
        <is>
          <t>2508211</t>
        </is>
      </c>
      <c r="F706" s="525" t="n">
        <v>46244</v>
      </c>
      <c r="G706" t="n">
        <v>30447</v>
      </c>
      <c r="H706" t="inlineStr">
        <is>
          <t>PENEIRA TRAMONTINA EM AÇO INOX UN</t>
        </is>
      </c>
      <c r="I706" t="inlineStr">
        <is>
          <t>UTENSILIOS</t>
        </is>
      </c>
      <c r="J706" t="n">
        <v>4</v>
      </c>
      <c r="K706" t="inlineStr">
        <is>
          <t>UN</t>
        </is>
      </c>
      <c r="L706" t="n">
        <v>129.96</v>
      </c>
      <c r="M706" t="n">
        <v>32.49</v>
      </c>
      <c r="O706" t="inlineStr">
        <is>
          <t>08/2026</t>
        </is>
      </c>
    </row>
    <row r="707">
      <c r="A707" t="n">
        <v>256311</v>
      </c>
      <c r="B707" t="n">
        <v>180</v>
      </c>
      <c r="C707" t="inlineStr">
        <is>
          <t>Nuv Gastrobar</t>
        </is>
      </c>
      <c r="D707" t="inlineStr">
        <is>
          <t>TRAMONTINA SUDESTE S.A</t>
        </is>
      </c>
      <c r="E707" t="inlineStr">
        <is>
          <t>2508211</t>
        </is>
      </c>
      <c r="F707" s="525" t="n">
        <v>46244</v>
      </c>
      <c r="G707" t="n">
        <v>30448</v>
      </c>
      <c r="H707" t="inlineStr">
        <is>
          <t>BALDE PARA GELO TRAMONTINA COSMOS EM AÇO INOX FOSCO COM BORDA EM BRILHO 14CM 1,8L UN</t>
        </is>
      </c>
      <c r="I707" t="inlineStr">
        <is>
          <t>UTENSILIOS</t>
        </is>
      </c>
      <c r="J707" t="n">
        <v>10</v>
      </c>
      <c r="K707" t="inlineStr">
        <is>
          <t>UN</t>
        </is>
      </c>
      <c r="L707" t="n">
        <v>1795.3</v>
      </c>
      <c r="M707" t="n">
        <v>179.53</v>
      </c>
      <c r="O707" t="inlineStr">
        <is>
          <t>08/2026</t>
        </is>
      </c>
    </row>
    <row r="708">
      <c r="A708" t="n">
        <v>256311</v>
      </c>
      <c r="B708" t="n">
        <v>180</v>
      </c>
      <c r="C708" t="inlineStr">
        <is>
          <t>Nuv Gastrobar</t>
        </is>
      </c>
      <c r="D708" t="inlineStr">
        <is>
          <t>TRAMONTINA SUDESTE S.A</t>
        </is>
      </c>
      <c r="E708" t="inlineStr">
        <is>
          <t>2508211</t>
        </is>
      </c>
      <c r="F708" s="525" t="n">
        <v>46244</v>
      </c>
      <c r="G708" t="n">
        <v>30451</v>
      </c>
      <c r="H708" t="inlineStr">
        <is>
          <t>FRIGIDEIRA TRAMONTINA PROFESSIONAL RASA EM AÇO INOX FUNDO TRIPLO COM CABO 26CM 2,2L UN</t>
        </is>
      </c>
      <c r="I708" t="inlineStr">
        <is>
          <t>UTENSILIOS</t>
        </is>
      </c>
      <c r="J708" t="n">
        <v>3</v>
      </c>
      <c r="K708" t="inlineStr">
        <is>
          <t>UN</t>
        </is>
      </c>
      <c r="L708" t="n">
        <v>641.1900000000001</v>
      </c>
      <c r="M708" t="n">
        <v>213.73</v>
      </c>
      <c r="O708" t="inlineStr">
        <is>
          <t>08/2026</t>
        </is>
      </c>
    </row>
    <row r="709">
      <c r="A709" t="n">
        <v>256311</v>
      </c>
      <c r="B709" t="n">
        <v>180</v>
      </c>
      <c r="C709" t="inlineStr">
        <is>
          <t>Nuv Gastrobar</t>
        </is>
      </c>
      <c r="D709" t="inlineStr">
        <is>
          <t>TRAMONTINA SUDESTE S.A</t>
        </is>
      </c>
      <c r="E709" t="inlineStr">
        <is>
          <t>2508211</t>
        </is>
      </c>
      <c r="F709" s="525" t="n">
        <v>46244</v>
      </c>
      <c r="G709" t="n">
        <v>30452</v>
      </c>
      <c r="H709" t="inlineStr">
        <is>
          <t>FRIGIDEIRA TRAMONTINA PROFESSIONAL RASA EM AÇO INOX FUNDO TRIPLO COM CABO 30CM 2,9L UN</t>
        </is>
      </c>
      <c r="I709" t="inlineStr">
        <is>
          <t>UTENSILIOS</t>
        </is>
      </c>
      <c r="J709" t="n">
        <v>3</v>
      </c>
      <c r="K709" t="inlineStr">
        <is>
          <t>UN</t>
        </is>
      </c>
      <c r="L709" t="n">
        <v>798.42</v>
      </c>
      <c r="M709" t="n">
        <v>266.14</v>
      </c>
      <c r="O709" t="inlineStr">
        <is>
          <t>08/2026</t>
        </is>
      </c>
    </row>
    <row r="710">
      <c r="A710" t="n">
        <v>256311</v>
      </c>
      <c r="B710" t="n">
        <v>180</v>
      </c>
      <c r="C710" t="inlineStr">
        <is>
          <t>Nuv Gastrobar</t>
        </is>
      </c>
      <c r="D710" t="inlineStr">
        <is>
          <t>TRAMONTINA SUDESTE S.A</t>
        </is>
      </c>
      <c r="E710" t="inlineStr">
        <is>
          <t>2508211</t>
        </is>
      </c>
      <c r="F710" s="525" t="n">
        <v>46244</v>
      </c>
      <c r="G710" t="n">
        <v>30435</v>
      </c>
      <c r="H710" t="inlineStr">
        <is>
          <t>BATEDOR MANUAL TRAMONTINA PROFISSIONAL MASTER EM AÇO INOX COM CABO EM POLIPROPILENO BRANCO 35CM UN</t>
        </is>
      </c>
      <c r="I710" t="inlineStr">
        <is>
          <t>UTENSILIOS</t>
        </is>
      </c>
      <c r="J710" t="n">
        <v>1</v>
      </c>
      <c r="K710" t="inlineStr">
        <is>
          <t>UN</t>
        </is>
      </c>
      <c r="L710" t="n">
        <v>50.03</v>
      </c>
      <c r="M710" t="n">
        <v>50.03</v>
      </c>
      <c r="O710" t="inlineStr">
        <is>
          <t>08/2026</t>
        </is>
      </c>
    </row>
    <row r="711">
      <c r="A711" t="n">
        <v>256311</v>
      </c>
      <c r="B711" t="n">
        <v>180</v>
      </c>
      <c r="C711" t="inlineStr">
        <is>
          <t>Nuv Gastrobar</t>
        </is>
      </c>
      <c r="D711" t="inlineStr">
        <is>
          <t>TRAMONTINA SUDESTE S.A</t>
        </is>
      </c>
      <c r="E711" t="inlineStr">
        <is>
          <t>2508211</t>
        </is>
      </c>
      <c r="F711" s="525" t="n">
        <v>46244</v>
      </c>
      <c r="G711" t="n">
        <v>30430</v>
      </c>
      <c r="H711" t="inlineStr">
        <is>
          <t>CUBA TRAMONTINA GN1/6 EM AÇO INOX SEM ALÇAS PROFUNDIDADE 100MM AÇO INOX UN</t>
        </is>
      </c>
      <c r="I711" t="inlineStr">
        <is>
          <t>UTENSILIOS</t>
        </is>
      </c>
      <c r="J711" t="n">
        <v>20</v>
      </c>
      <c r="K711" t="inlineStr">
        <is>
          <t>UN</t>
        </is>
      </c>
      <c r="L711" t="n">
        <v>1534</v>
      </c>
      <c r="M711" t="n">
        <v>76.7</v>
      </c>
      <c r="O711" t="inlineStr">
        <is>
          <t>08/2026</t>
        </is>
      </c>
    </row>
    <row r="712">
      <c r="A712" t="n">
        <v>256311</v>
      </c>
      <c r="B712" t="n">
        <v>180</v>
      </c>
      <c r="C712" t="inlineStr">
        <is>
          <t>Nuv Gastrobar</t>
        </is>
      </c>
      <c r="D712" t="inlineStr">
        <is>
          <t>TRAMONTINA SUDESTE S.A</t>
        </is>
      </c>
      <c r="E712" t="inlineStr">
        <is>
          <t>2508211</t>
        </is>
      </c>
      <c r="F712" s="525" t="n">
        <v>46244</v>
      </c>
      <c r="G712" t="n">
        <v>30442</v>
      </c>
      <c r="H712" t="inlineStr">
        <is>
          <t>ESPATULA PARA HAMBURGUER TRAMONTINA PROFISSIONAL MASTER COM LAMINA EM AÇO INOX E CABO DE POLIPROPILENO BRANCO 7X4 1/4 POLEGADAS UN</t>
        </is>
      </c>
      <c r="I712" t="inlineStr">
        <is>
          <t>UTENSILIOS</t>
        </is>
      </c>
      <c r="J712" t="n">
        <v>2</v>
      </c>
      <c r="K712" t="inlineStr">
        <is>
          <t>UN</t>
        </is>
      </c>
      <c r="L712" t="n">
        <v>136.64</v>
      </c>
      <c r="M712" t="n">
        <v>68.31999999999999</v>
      </c>
      <c r="O712" t="inlineStr">
        <is>
          <t>08/2026</t>
        </is>
      </c>
    </row>
    <row r="713">
      <c r="A713" t="n">
        <v>256311</v>
      </c>
      <c r="B713" t="n">
        <v>180</v>
      </c>
      <c r="C713" t="inlineStr">
        <is>
          <t>Nuv Gastrobar</t>
        </is>
      </c>
      <c r="D713" t="inlineStr">
        <is>
          <t>TRAMONTINA SUDESTE S.A</t>
        </is>
      </c>
      <c r="E713" t="inlineStr">
        <is>
          <t>2508211</t>
        </is>
      </c>
      <c r="F713" s="525" t="n">
        <v>46244</v>
      </c>
      <c r="G713" t="n">
        <v>30440</v>
      </c>
      <c r="H713" t="inlineStr">
        <is>
          <t>CHAIRA ESTRIADA TRAMONTINA PROFISSIONAL MASTER COM HASTE EM AÇO CARBONO E CABO DE POLIPROPILENO BRANCO 10 POLEGADAS UN</t>
        </is>
      </c>
      <c r="I713" t="inlineStr">
        <is>
          <t>UTENSILIOS</t>
        </is>
      </c>
      <c r="J713" t="n">
        <v>2</v>
      </c>
      <c r="K713" t="inlineStr">
        <is>
          <t>UN</t>
        </is>
      </c>
      <c r="L713" t="n">
        <v>210.34</v>
      </c>
      <c r="M713" t="n">
        <v>105.17</v>
      </c>
      <c r="O713" t="inlineStr">
        <is>
          <t>08/2026</t>
        </is>
      </c>
    </row>
    <row r="714">
      <c r="A714" t="n">
        <v>256311</v>
      </c>
      <c r="B714" t="n">
        <v>180</v>
      </c>
      <c r="C714" t="inlineStr">
        <is>
          <t>Nuv Gastrobar</t>
        </is>
      </c>
      <c r="D714" t="inlineStr">
        <is>
          <t>TRAMONTINA SUDESTE S.A</t>
        </is>
      </c>
      <c r="E714" t="inlineStr">
        <is>
          <t>2508211</t>
        </is>
      </c>
      <c r="F714" s="525" t="n">
        <v>46244</v>
      </c>
      <c r="G714" t="n">
        <v>30432</v>
      </c>
      <c r="H714" t="inlineStr">
        <is>
          <t>CUBA TRAMONTINA GN1/9 EM AÇO INOX SEM ALÇAS PROFUNDIDADE 65MM AÇO INOX UN</t>
        </is>
      </c>
      <c r="I714" t="inlineStr">
        <is>
          <t>UTENSILIOS</t>
        </is>
      </c>
      <c r="J714" t="n">
        <v>20</v>
      </c>
      <c r="K714" t="inlineStr">
        <is>
          <t>UN</t>
        </is>
      </c>
      <c r="L714" t="n">
        <v>1196</v>
      </c>
      <c r="M714" t="n">
        <v>59.8</v>
      </c>
      <c r="O714" t="inlineStr">
        <is>
          <t>08/2026</t>
        </is>
      </c>
    </row>
    <row r="715">
      <c r="A715" t="n">
        <v>256311</v>
      </c>
      <c r="B715" t="n">
        <v>180</v>
      </c>
      <c r="C715" t="inlineStr">
        <is>
          <t>Nuv Gastrobar</t>
        </is>
      </c>
      <c r="D715" t="inlineStr">
        <is>
          <t>TRAMONTINA SUDESTE S.A</t>
        </is>
      </c>
      <c r="E715" t="inlineStr">
        <is>
          <t>2508211</t>
        </is>
      </c>
      <c r="F715" s="525" t="n">
        <v>46244</v>
      </c>
      <c r="G715" t="n">
        <v>30425</v>
      </c>
      <c r="H715" t="inlineStr">
        <is>
          <t>CUBA TRAMONTINA GN1/1 EM AÇO INOX SEM ALÇAS PROFUNDIDADE 65MM AÇO INOX UN</t>
        </is>
      </c>
      <c r="I715" t="inlineStr">
        <is>
          <t>UTENSILIOS</t>
        </is>
      </c>
      <c r="J715" t="n">
        <v>10</v>
      </c>
      <c r="K715" t="inlineStr">
        <is>
          <t>UN</t>
        </is>
      </c>
      <c r="L715" t="n">
        <v>858</v>
      </c>
      <c r="M715" t="n">
        <v>85.8</v>
      </c>
      <c r="O715" t="inlineStr">
        <is>
          <t>08/2026</t>
        </is>
      </c>
    </row>
    <row r="716">
      <c r="A716" t="n">
        <v>256311</v>
      </c>
      <c r="B716" t="n">
        <v>180</v>
      </c>
      <c r="C716" t="inlineStr">
        <is>
          <t>Nuv Gastrobar</t>
        </is>
      </c>
      <c r="D716" t="inlineStr">
        <is>
          <t>TRAMONTINA SUDESTE S.A</t>
        </is>
      </c>
      <c r="E716" t="inlineStr">
        <is>
          <t>2508211</t>
        </is>
      </c>
      <c r="F716" s="525" t="n">
        <v>46244</v>
      </c>
      <c r="G716" t="n">
        <v>30453</v>
      </c>
      <c r="H716" t="inlineStr">
        <is>
          <t>CALDEIRAO TRAMONTINA PROFESSIONAL EM AÇO INOX FUNDO TRIPLO COM TAMPA PLANA DEALHE SATINADO 20CM 4,6L UN</t>
        </is>
      </c>
      <c r="I716" t="inlineStr">
        <is>
          <t>UTENSILIOS</t>
        </is>
      </c>
      <c r="J716" t="n">
        <v>2</v>
      </c>
      <c r="K716" t="inlineStr">
        <is>
          <t>UN</t>
        </is>
      </c>
      <c r="L716" t="n">
        <v>625.8</v>
      </c>
      <c r="M716" t="n">
        <v>312.9</v>
      </c>
      <c r="O716" t="inlineStr">
        <is>
          <t>08/2026</t>
        </is>
      </c>
    </row>
    <row r="717">
      <c r="A717" t="n">
        <v>256311</v>
      </c>
      <c r="B717" t="n">
        <v>180</v>
      </c>
      <c r="C717" t="inlineStr">
        <is>
          <t>Nuv Gastrobar</t>
        </is>
      </c>
      <c r="D717" t="inlineStr">
        <is>
          <t>TRAMONTINA SUDESTE S.A</t>
        </is>
      </c>
      <c r="E717" t="inlineStr">
        <is>
          <t>2508211</t>
        </is>
      </c>
      <c r="F717" s="525" t="n">
        <v>46244</v>
      </c>
      <c r="G717" t="n">
        <v>30419</v>
      </c>
      <c r="H717" t="inlineStr">
        <is>
          <t>FACA UTILITY TRAMONTINA PREMIUM COM LAMINA EM AÇO INOX E CABO DE POLIPROPILENO BRANCO 8 POLEGADAS UN</t>
        </is>
      </c>
      <c r="I717" t="inlineStr">
        <is>
          <t>UTENSILIOS</t>
        </is>
      </c>
      <c r="J717" t="n">
        <v>6</v>
      </c>
      <c r="K717" t="inlineStr">
        <is>
          <t>UN</t>
        </is>
      </c>
      <c r="L717" t="n">
        <v>218.16</v>
      </c>
      <c r="M717" t="n">
        <v>36.36</v>
      </c>
      <c r="O717" t="inlineStr">
        <is>
          <t>08/2026</t>
        </is>
      </c>
    </row>
    <row r="718">
      <c r="A718" t="n">
        <v>256311</v>
      </c>
      <c r="B718" t="n">
        <v>180</v>
      </c>
      <c r="C718" t="inlineStr">
        <is>
          <t>Nuv Gastrobar</t>
        </is>
      </c>
      <c r="D718" t="inlineStr">
        <is>
          <t>TRAMONTINA SUDESTE S.A</t>
        </is>
      </c>
      <c r="E718" t="inlineStr">
        <is>
          <t>2508211</t>
        </is>
      </c>
      <c r="F718" s="525" t="n">
        <v>46244</v>
      </c>
      <c r="G718" t="n">
        <v>30431</v>
      </c>
      <c r="H718" t="inlineStr">
        <is>
          <t>CUBA TRAMONTINA GN1/6 EM AÇO INOX SEM ALÇAS PROFUNDIDADE 65MM AÇO INOX UN</t>
        </is>
      </c>
      <c r="I718" t="inlineStr">
        <is>
          <t>UTENSILIOS</t>
        </is>
      </c>
      <c r="J718" t="n">
        <v>10</v>
      </c>
      <c r="K718" t="inlineStr">
        <is>
          <t>UN</t>
        </is>
      </c>
      <c r="L718" t="n">
        <v>551</v>
      </c>
      <c r="M718" t="n">
        <v>55.1</v>
      </c>
      <c r="O718" t="inlineStr">
        <is>
          <t>08/2026</t>
        </is>
      </c>
    </row>
    <row r="719">
      <c r="A719" t="n">
        <v>256311</v>
      </c>
      <c r="B719" t="n">
        <v>180</v>
      </c>
      <c r="C719" t="inlineStr">
        <is>
          <t>Nuv Gastrobar</t>
        </is>
      </c>
      <c r="D719" t="inlineStr">
        <is>
          <t>TRAMONTINA SUDESTE S.A</t>
        </is>
      </c>
      <c r="E719" t="inlineStr">
        <is>
          <t>2508211</t>
        </is>
      </c>
      <c r="F719" s="525" t="n">
        <v>46244</v>
      </c>
      <c r="G719" t="n">
        <v>30437</v>
      </c>
      <c r="H719" t="inlineStr">
        <is>
          <t>ESPUMADEIRA TRAMONTINA UTILITY EM AÇO INOX COM BLISTER INDIVIDUAL UN</t>
        </is>
      </c>
      <c r="I719" t="inlineStr">
        <is>
          <t>UTENSILIOS</t>
        </is>
      </c>
      <c r="J719" t="n">
        <v>3</v>
      </c>
      <c r="K719" t="inlineStr">
        <is>
          <t>UN</t>
        </is>
      </c>
      <c r="L719" t="n">
        <v>216.78</v>
      </c>
      <c r="M719" t="n">
        <v>72.26000000000001</v>
      </c>
      <c r="O719" t="inlineStr">
        <is>
          <t>08/2026</t>
        </is>
      </c>
    </row>
    <row r="720">
      <c r="A720" t="n">
        <v>256311</v>
      </c>
      <c r="B720" t="n">
        <v>180</v>
      </c>
      <c r="C720" t="inlineStr">
        <is>
          <t>Nuv Gastrobar</t>
        </is>
      </c>
      <c r="D720" t="inlineStr">
        <is>
          <t>TRAMONTINA SUDESTE S.A</t>
        </is>
      </c>
      <c r="E720" t="inlineStr">
        <is>
          <t>2508211</t>
        </is>
      </c>
      <c r="F720" s="525" t="n">
        <v>46244</v>
      </c>
      <c r="G720" t="n">
        <v>30450</v>
      </c>
      <c r="H720" t="inlineStr">
        <is>
          <t>FRIGIDEIRA TRAMONTINA PROFESSIONAL RASA EM AÇO INOX FUNDO TRIPLO COM CABO 20CM 1,1L UN</t>
        </is>
      </c>
      <c r="I720" t="inlineStr">
        <is>
          <t>UTENSILIOS</t>
        </is>
      </c>
      <c r="J720" t="n">
        <v>3</v>
      </c>
      <c r="K720" t="inlineStr">
        <is>
          <t>UN</t>
        </is>
      </c>
      <c r="L720" t="n">
        <v>526.59</v>
      </c>
      <c r="M720" t="n">
        <v>175.53</v>
      </c>
      <c r="O720" t="inlineStr">
        <is>
          <t>08/2026</t>
        </is>
      </c>
    </row>
    <row r="721">
      <c r="A721" t="n">
        <v>256311</v>
      </c>
      <c r="B721" t="n">
        <v>180</v>
      </c>
      <c r="C721" t="inlineStr">
        <is>
          <t>Nuv Gastrobar</t>
        </is>
      </c>
      <c r="D721" t="inlineStr">
        <is>
          <t>TRAMONTINA SUDESTE S.A</t>
        </is>
      </c>
      <c r="E721" t="inlineStr">
        <is>
          <t>2508211</t>
        </is>
      </c>
      <c r="F721" s="525" t="n">
        <v>46244</v>
      </c>
      <c r="G721" t="n">
        <v>30438</v>
      </c>
      <c r="H721" t="inlineStr">
        <is>
          <t>RALADOR TRAMONTINAUTILITA EM AÇO INOX COM CABO DE POLIPROPILENO E BASE EMBORRACHADA ANTIDESLIZANTE PRETO UN</t>
        </is>
      </c>
      <c r="I721" t="inlineStr">
        <is>
          <t>UTENSILIOS</t>
        </is>
      </c>
      <c r="J721" t="n">
        <v>2</v>
      </c>
      <c r="K721" t="inlineStr">
        <is>
          <t>UN</t>
        </is>
      </c>
      <c r="L721" t="n">
        <v>111.82</v>
      </c>
      <c r="M721" t="n">
        <v>55.91</v>
      </c>
      <c r="O721" t="inlineStr">
        <is>
          <t>08/2026</t>
        </is>
      </c>
    </row>
    <row r="722">
      <c r="A722" t="n">
        <v>256308</v>
      </c>
      <c r="B722" t="n">
        <v>180</v>
      </c>
      <c r="C722" t="inlineStr">
        <is>
          <t>Nuv Gastrobar</t>
        </is>
      </c>
      <c r="D722" t="inlineStr">
        <is>
          <t>ATACADISTA KINGFOOD PRODUTOS ALIMENTICIO</t>
        </is>
      </c>
      <c r="E722" t="inlineStr">
        <is>
          <t>299903</t>
        </is>
      </c>
      <c r="F722" s="525" t="n">
        <v>46244</v>
      </c>
      <c r="G722" t="n">
        <v>20906</v>
      </c>
      <c r="H722" t="inlineStr">
        <is>
          <t>CREME DE AVELA NUTELLA 650G</t>
        </is>
      </c>
      <c r="I722" t="inlineStr">
        <is>
          <t>ALIMENTOS</t>
        </is>
      </c>
      <c r="J722" t="n">
        <v>4</v>
      </c>
      <c r="K722" t="inlineStr">
        <is>
          <t>UN</t>
        </is>
      </c>
      <c r="L722" t="n">
        <v>187.6</v>
      </c>
      <c r="M722" t="n">
        <v>46.9</v>
      </c>
      <c r="O722" t="inlineStr">
        <is>
          <t>08/2026</t>
        </is>
      </c>
    </row>
    <row r="723">
      <c r="A723" t="n">
        <v>256308</v>
      </c>
      <c r="B723" t="n">
        <v>180</v>
      </c>
      <c r="C723" t="inlineStr">
        <is>
          <t>Nuv Gastrobar</t>
        </is>
      </c>
      <c r="D723" t="inlineStr">
        <is>
          <t>ATACADISTA KINGFOOD PRODUTOS ALIMENTICIO</t>
        </is>
      </c>
      <c r="E723" t="inlineStr">
        <is>
          <t>299903</t>
        </is>
      </c>
      <c r="F723" s="525" t="n">
        <v>46244</v>
      </c>
      <c r="G723" t="n">
        <v>24118</v>
      </c>
      <c r="H723" t="inlineStr">
        <is>
          <t>CASTANHA DE CAJU CRUA KG</t>
        </is>
      </c>
      <c r="I723" t="inlineStr">
        <is>
          <t>ALIMENTOS</t>
        </is>
      </c>
      <c r="J723" t="n">
        <v>1</v>
      </c>
      <c r="K723" t="inlineStr">
        <is>
          <t>KG</t>
        </is>
      </c>
      <c r="L723" t="n">
        <v>68.90000000000001</v>
      </c>
      <c r="M723" t="n">
        <v>68.90000000000001</v>
      </c>
      <c r="O723" t="inlineStr">
        <is>
          <t>08/2026</t>
        </is>
      </c>
    </row>
    <row r="724">
      <c r="A724" t="n">
        <v>256308</v>
      </c>
      <c r="B724" t="n">
        <v>180</v>
      </c>
      <c r="C724" t="inlineStr">
        <is>
          <t>Nuv Gastrobar</t>
        </is>
      </c>
      <c r="D724" t="inlineStr">
        <is>
          <t>ATACADISTA KINGFOOD PRODUTOS ALIMENTICIO</t>
        </is>
      </c>
      <c r="E724" t="inlineStr">
        <is>
          <t>299903</t>
        </is>
      </c>
      <c r="F724" s="525" t="n">
        <v>46244</v>
      </c>
      <c r="G724" t="n">
        <v>24172</v>
      </c>
      <c r="H724" t="inlineStr">
        <is>
          <t>COGUMELO FUNGHI CHILENO KG</t>
        </is>
      </c>
      <c r="I724" t="inlineStr">
        <is>
          <t>ALIMENTOS</t>
        </is>
      </c>
      <c r="J724" t="n">
        <v>2</v>
      </c>
      <c r="K724" t="inlineStr">
        <is>
          <t>KG</t>
        </is>
      </c>
      <c r="L724" t="n">
        <v>139.8</v>
      </c>
      <c r="M724" t="n">
        <v>69.90000000000001</v>
      </c>
      <c r="O724" t="inlineStr">
        <is>
          <t>08/2026</t>
        </is>
      </c>
    </row>
    <row r="725">
      <c r="A725" t="n">
        <v>256308</v>
      </c>
      <c r="B725" t="n">
        <v>180</v>
      </c>
      <c r="C725" t="inlineStr">
        <is>
          <t>Nuv Gastrobar</t>
        </is>
      </c>
      <c r="D725" t="inlineStr">
        <is>
          <t>ATACADISTA KINGFOOD PRODUTOS ALIMENTICIO</t>
        </is>
      </c>
      <c r="E725" t="inlineStr">
        <is>
          <t>299903</t>
        </is>
      </c>
      <c r="F725" s="525" t="n">
        <v>46244</v>
      </c>
      <c r="G725" t="n">
        <v>20310</v>
      </c>
      <c r="H725" t="inlineStr">
        <is>
          <t>ARROZ ARBORIO LA PASTINA C/1KG</t>
        </is>
      </c>
      <c r="I725" t="inlineStr">
        <is>
          <t>ALIMENTOS</t>
        </is>
      </c>
      <c r="J725" t="n">
        <v>10</v>
      </c>
      <c r="K725" t="inlineStr">
        <is>
          <t>PC</t>
        </is>
      </c>
      <c r="L725" t="n">
        <v>189.8</v>
      </c>
      <c r="M725" t="n">
        <v>18.98</v>
      </c>
      <c r="O725" t="inlineStr">
        <is>
          <t>08/2026</t>
        </is>
      </c>
    </row>
    <row r="726">
      <c r="A726" t="n">
        <v>256305</v>
      </c>
      <c r="B726" t="n">
        <v>180</v>
      </c>
      <c r="C726" t="inlineStr">
        <is>
          <t>Nuv Gastrobar</t>
        </is>
      </c>
      <c r="D726" t="inlineStr">
        <is>
          <t>CG FOOD´S DISTRIBUIDORA DE ALIMENTOS LTDA</t>
        </is>
      </c>
      <c r="E726" t="inlineStr">
        <is>
          <t>198108</t>
        </is>
      </c>
      <c r="F726" s="525" t="n">
        <v>46245</v>
      </c>
      <c r="G726" t="n">
        <v>29160</v>
      </c>
      <c r="H726" t="inlineStr">
        <is>
          <t>PRESUNTO PARMA FATIADO C/100G UN</t>
        </is>
      </c>
      <c r="I726" t="inlineStr">
        <is>
          <t>ALIMENTOS</t>
        </is>
      </c>
      <c r="J726" t="n">
        <v>18</v>
      </c>
      <c r="K726" t="inlineStr">
        <is>
          <t>UN</t>
        </is>
      </c>
      <c r="L726" t="n">
        <v>374.4</v>
      </c>
      <c r="M726" t="n">
        <v>20.8</v>
      </c>
      <c r="O726" t="inlineStr">
        <is>
          <t>08/2026</t>
        </is>
      </c>
    </row>
    <row r="727">
      <c r="A727" t="n">
        <v>256297</v>
      </c>
      <c r="B727" t="n">
        <v>180</v>
      </c>
      <c r="C727" t="inlineStr">
        <is>
          <t>Nuv Gastrobar</t>
        </is>
      </c>
      <c r="D727" t="inlineStr">
        <is>
          <t xml:space="preserve"> FAMIGERADA COMERCIO E EXPORTACAO DE BEBIDAS LTDA</t>
        </is>
      </c>
      <c r="E727" t="inlineStr">
        <is>
          <t>2410</t>
        </is>
      </c>
      <c r="F727" s="525" t="n">
        <v>46244</v>
      </c>
      <c r="G727" t="n">
        <v>26560</v>
      </c>
      <c r="H727" t="inlineStr">
        <is>
          <t>CACHACA FAMIGERADA AMENDOIM 750ML</t>
        </is>
      </c>
      <c r="I727" t="inlineStr">
        <is>
          <t>BEBIDAS</t>
        </is>
      </c>
      <c r="J727" t="n">
        <v>36</v>
      </c>
      <c r="K727" t="inlineStr">
        <is>
          <t>GR</t>
        </is>
      </c>
      <c r="L727" t="n">
        <v>990</v>
      </c>
      <c r="M727" t="n">
        <v>27.5</v>
      </c>
      <c r="O727" t="inlineStr">
        <is>
          <t>08/2026</t>
        </is>
      </c>
    </row>
    <row r="728">
      <c r="A728" t="n">
        <v>256296</v>
      </c>
      <c r="B728" t="n">
        <v>180</v>
      </c>
      <c r="C728" t="inlineStr">
        <is>
          <t>Nuv Gastrobar</t>
        </is>
      </c>
      <c r="D728" t="inlineStr">
        <is>
          <t>WPP COMERCIO DE CARNES LTDA</t>
        </is>
      </c>
      <c r="E728" t="inlineStr">
        <is>
          <t>81106</t>
        </is>
      </c>
      <c r="F728" s="525" t="n">
        <v>46245</v>
      </c>
      <c r="G728" t="n">
        <v>24217</v>
      </c>
      <c r="H728" t="inlineStr">
        <is>
          <t>CUPIM KG</t>
        </is>
      </c>
      <c r="I728" t="inlineStr">
        <is>
          <t>ALIMENTOS</t>
        </is>
      </c>
      <c r="J728" t="n">
        <v>20.4</v>
      </c>
      <c r="K728" t="inlineStr">
        <is>
          <t>KG</t>
        </is>
      </c>
      <c r="L728" t="n">
        <v>713.8</v>
      </c>
      <c r="M728" t="n">
        <v>34.990196</v>
      </c>
      <c r="O728" t="inlineStr">
        <is>
          <t>08/2026</t>
        </is>
      </c>
    </row>
    <row r="729">
      <c r="A729" t="n">
        <v>256296</v>
      </c>
      <c r="B729" t="n">
        <v>180</v>
      </c>
      <c r="C729" t="inlineStr">
        <is>
          <t>Nuv Gastrobar</t>
        </is>
      </c>
      <c r="D729" t="inlineStr">
        <is>
          <t>WPP COMERCIO DE CARNES LTDA</t>
        </is>
      </c>
      <c r="E729" t="inlineStr">
        <is>
          <t>81106</t>
        </is>
      </c>
      <c r="F729" s="525" t="n">
        <v>46245</v>
      </c>
      <c r="G729" t="n">
        <v>25131</v>
      </c>
      <c r="H729" t="inlineStr">
        <is>
          <t>BLEND CARNE MOIDA 80% ACEM / 20% PEITO KG</t>
        </is>
      </c>
      <c r="I729" t="inlineStr">
        <is>
          <t>ALIMENTOS</t>
        </is>
      </c>
      <c r="J729" t="n">
        <v>31.1</v>
      </c>
      <c r="K729" t="inlineStr">
        <is>
          <t>KG</t>
        </is>
      </c>
      <c r="L729" t="n">
        <v>985.87</v>
      </c>
      <c r="M729" t="n">
        <v>31.7</v>
      </c>
      <c r="O729" t="inlineStr">
        <is>
          <t>08/2026</t>
        </is>
      </c>
    </row>
    <row r="730">
      <c r="A730" t="n">
        <v>256294</v>
      </c>
      <c r="B730" t="n">
        <v>180</v>
      </c>
      <c r="C730" t="inlineStr">
        <is>
          <t>Nuv Gastrobar</t>
        </is>
      </c>
      <c r="D730" t="inlineStr">
        <is>
          <t>WPP COMERCIO DE CARNES LTDA</t>
        </is>
      </c>
      <c r="E730" t="inlineStr">
        <is>
          <t>81072</t>
        </is>
      </c>
      <c r="F730" s="525" t="n">
        <v>46244</v>
      </c>
      <c r="G730" t="n">
        <v>24389</v>
      </c>
      <c r="H730" t="inlineStr">
        <is>
          <t>MUSCULO TRASEIRO KG</t>
        </is>
      </c>
      <c r="I730" t="inlineStr">
        <is>
          <t>ALIMENTOS</t>
        </is>
      </c>
      <c r="J730" t="n">
        <v>31.7</v>
      </c>
      <c r="K730" t="inlineStr">
        <is>
          <t>KG</t>
        </is>
      </c>
      <c r="L730" t="n">
        <v>1008.06</v>
      </c>
      <c r="M730" t="n">
        <v>31.8</v>
      </c>
      <c r="O730" t="inlineStr">
        <is>
          <t>08/2026</t>
        </is>
      </c>
    </row>
    <row r="731">
      <c r="A731" t="n">
        <v>256292</v>
      </c>
      <c r="B731" t="n">
        <v>180</v>
      </c>
      <c r="C731" t="inlineStr">
        <is>
          <t>Nuv Gastrobar</t>
        </is>
      </c>
      <c r="D731" t="inlineStr">
        <is>
          <t>WPP COMERCIO DE CARNES LTDA</t>
        </is>
      </c>
      <c r="E731" t="inlineStr">
        <is>
          <t>81102</t>
        </is>
      </c>
      <c r="F731" s="525" t="n">
        <v>46245</v>
      </c>
      <c r="G731" t="n">
        <v>19041</v>
      </c>
      <c r="H731" t="inlineStr">
        <is>
          <t>COXA E SOBRECOXA SEM OSSO E COM PELE KG</t>
        </is>
      </c>
      <c r="I731" t="inlineStr">
        <is>
          <t>ALIMENTOS</t>
        </is>
      </c>
      <c r="J731" t="n">
        <v>16.7</v>
      </c>
      <c r="K731" t="inlineStr">
        <is>
          <t>KG</t>
        </is>
      </c>
      <c r="L731" t="n">
        <v>250.33</v>
      </c>
      <c r="M731" t="n">
        <v>14.98982</v>
      </c>
      <c r="O731" t="inlineStr">
        <is>
          <t>08/2026</t>
        </is>
      </c>
    </row>
    <row r="732">
      <c r="A732" t="n">
        <v>256292</v>
      </c>
      <c r="B732" t="n">
        <v>180</v>
      </c>
      <c r="C732" t="inlineStr">
        <is>
          <t>Nuv Gastrobar</t>
        </is>
      </c>
      <c r="D732" t="inlineStr">
        <is>
          <t>WPP COMERCIO DE CARNES LTDA</t>
        </is>
      </c>
      <c r="E732" t="inlineStr">
        <is>
          <t>81102</t>
        </is>
      </c>
      <c r="F732" s="525" t="n">
        <v>46245</v>
      </c>
      <c r="G732" t="n">
        <v>24320</v>
      </c>
      <c r="H732" t="inlineStr">
        <is>
          <t>LAGARTO KG</t>
        </is>
      </c>
      <c r="I732" t="inlineStr">
        <is>
          <t>ALIMENTOS</t>
        </is>
      </c>
      <c r="J732" t="n">
        <v>24.6</v>
      </c>
      <c r="K732" t="inlineStr">
        <is>
          <t>KG</t>
        </is>
      </c>
      <c r="L732" t="n">
        <v>929.88</v>
      </c>
      <c r="M732" t="n">
        <v>37.8</v>
      </c>
      <c r="O732" t="inlineStr">
        <is>
          <t>08/2026</t>
        </is>
      </c>
    </row>
    <row r="733">
      <c r="A733" t="n">
        <v>256290</v>
      </c>
      <c r="B733" t="n">
        <v>180</v>
      </c>
      <c r="C733" t="inlineStr">
        <is>
          <t>Nuv Gastrobar</t>
        </is>
      </c>
      <c r="D733" t="inlineStr">
        <is>
          <t xml:space="preserve">FORTE ALIMENTOS COM. IMPORTAÇÃO LTDA </t>
        </is>
      </c>
      <c r="E733" t="inlineStr">
        <is>
          <t>388748</t>
        </is>
      </c>
      <c r="F733" s="525" t="n">
        <v>46244</v>
      </c>
      <c r="G733" t="n">
        <v>19324</v>
      </c>
      <c r="H733" t="inlineStr">
        <is>
          <t>QUEIJO MUSSARELA TRES MARIAS KG</t>
        </is>
      </c>
      <c r="I733" t="inlineStr">
        <is>
          <t>ALIMENTOS</t>
        </is>
      </c>
      <c r="J733" t="n">
        <v>8.06</v>
      </c>
      <c r="K733" t="inlineStr">
        <is>
          <t>KG</t>
        </is>
      </c>
      <c r="L733" t="n">
        <v>340.13</v>
      </c>
      <c r="M733" t="n">
        <v>42.199752</v>
      </c>
      <c r="O733" t="inlineStr">
        <is>
          <t>08/2026</t>
        </is>
      </c>
    </row>
    <row r="734">
      <c r="A734" t="n">
        <v>256290</v>
      </c>
      <c r="B734" t="n">
        <v>180</v>
      </c>
      <c r="C734" t="inlineStr">
        <is>
          <t>Nuv Gastrobar</t>
        </is>
      </c>
      <c r="D734" t="inlineStr">
        <is>
          <t xml:space="preserve">FORTE ALIMENTOS COM. IMPORTAÇÃO LTDA </t>
        </is>
      </c>
      <c r="E734" t="inlineStr">
        <is>
          <t>388748</t>
        </is>
      </c>
      <c r="F734" s="525" t="n">
        <v>46244</v>
      </c>
      <c r="G734" t="n">
        <v>19306</v>
      </c>
      <c r="H734" t="inlineStr">
        <is>
          <t>QUEIJO MUSSARELA FIOR CEREJA YEMA 330G</t>
        </is>
      </c>
      <c r="I734" t="inlineStr">
        <is>
          <t>ALIMENTOS</t>
        </is>
      </c>
      <c r="J734" t="n">
        <v>10</v>
      </c>
      <c r="K734" t="inlineStr">
        <is>
          <t>Pc</t>
        </is>
      </c>
      <c r="L734" t="n">
        <v>166.5</v>
      </c>
      <c r="M734" t="n">
        <v>16.65</v>
      </c>
      <c r="O734" t="inlineStr">
        <is>
          <t>08/2026</t>
        </is>
      </c>
    </row>
    <row r="735">
      <c r="A735" t="n">
        <v>256287</v>
      </c>
      <c r="B735" t="n">
        <v>180</v>
      </c>
      <c r="C735" t="inlineStr">
        <is>
          <t>Nuv Gastrobar</t>
        </is>
      </c>
      <c r="D735" t="inlineStr">
        <is>
          <t xml:space="preserve">FORTE ALIMENTOS COM. IMPORTAÇÃO LTDA </t>
        </is>
      </c>
      <c r="E735" t="inlineStr">
        <is>
          <t>388690</t>
        </is>
      </c>
      <c r="F735" s="525" t="n">
        <v>46244</v>
      </c>
      <c r="G735" t="n">
        <v>24339</v>
      </c>
      <c r="H735" t="inlineStr">
        <is>
          <t>LINGUICA PAIO KG</t>
        </is>
      </c>
      <c r="I735" t="inlineStr">
        <is>
          <t>ALIMENTOS</t>
        </is>
      </c>
      <c r="J735" t="n">
        <v>15</v>
      </c>
      <c r="K735" t="inlineStr">
        <is>
          <t>KG</t>
        </is>
      </c>
      <c r="L735" t="n">
        <v>367.5</v>
      </c>
      <c r="M735" t="n">
        <v>24.5</v>
      </c>
      <c r="O735" t="inlineStr">
        <is>
          <t>08/2026</t>
        </is>
      </c>
    </row>
    <row r="736">
      <c r="A736" t="n">
        <v>256284</v>
      </c>
      <c r="B736" t="n">
        <v>180</v>
      </c>
      <c r="C736" t="inlineStr">
        <is>
          <t>Nuv Gastrobar</t>
        </is>
      </c>
      <c r="D736" t="inlineStr">
        <is>
          <t xml:space="preserve">NOVA MIX </t>
        </is>
      </c>
      <c r="E736" t="inlineStr">
        <is>
          <t>2687929</t>
        </is>
      </c>
      <c r="F736" s="525" t="n">
        <v>46246</v>
      </c>
      <c r="G736" t="n">
        <v>29903</v>
      </c>
      <c r="H736" t="inlineStr">
        <is>
          <t>LEITE INTEGRAL QUATA 12x1 UN</t>
        </is>
      </c>
      <c r="I736" t="inlineStr">
        <is>
          <t>ALIMENTOS</t>
        </is>
      </c>
      <c r="J736" t="n">
        <v>7</v>
      </c>
      <c r="K736" t="inlineStr">
        <is>
          <t>CX</t>
        </is>
      </c>
      <c r="L736" t="n">
        <v>474.6</v>
      </c>
      <c r="M736" t="n">
        <v>67.8</v>
      </c>
      <c r="O736" t="inlineStr">
        <is>
          <t>08/2026</t>
        </is>
      </c>
    </row>
    <row r="737">
      <c r="A737" t="n">
        <v>255988</v>
      </c>
      <c r="B737" t="n">
        <v>180</v>
      </c>
      <c r="C737" t="inlineStr">
        <is>
          <t>Nuv Gastrobar</t>
        </is>
      </c>
      <c r="D737" t="inlineStr">
        <is>
          <t xml:space="preserve">NOVA MIX </t>
        </is>
      </c>
      <c r="E737" t="inlineStr">
        <is>
          <t>2685854 1/3</t>
        </is>
      </c>
      <c r="F737" s="525" t="n">
        <v>46244</v>
      </c>
      <c r="G737" t="n">
        <v>19356</v>
      </c>
      <c r="H737" t="inlineStr">
        <is>
          <t>QUEIJO COALHO QUATA KG</t>
        </is>
      </c>
      <c r="I737" t="inlineStr">
        <is>
          <t>ALIMENTOS</t>
        </is>
      </c>
      <c r="J737" t="n">
        <v>24.27</v>
      </c>
      <c r="K737" t="inlineStr">
        <is>
          <t>KG</t>
        </is>
      </c>
      <c r="L737" t="n">
        <v>1339.95</v>
      </c>
      <c r="M737" t="n">
        <v>55.210136</v>
      </c>
      <c r="N737" t="inlineStr">
        <is>
          <t>QUEIJO COALHO QUATA - PARCELA 1/3</t>
        </is>
      </c>
      <c r="O737" t="inlineStr">
        <is>
          <t>08/2026</t>
        </is>
      </c>
    </row>
    <row r="738">
      <c r="A738" t="n">
        <v>255940</v>
      </c>
      <c r="B738" t="n">
        <v>180</v>
      </c>
      <c r="C738" t="inlineStr">
        <is>
          <t>Nuv Gastrobar</t>
        </is>
      </c>
      <c r="D738" t="inlineStr">
        <is>
          <t>QUEIJARIA ATALAIA LTDA</t>
        </is>
      </c>
      <c r="E738" t="inlineStr">
        <is>
          <t>30667</t>
        </is>
      </c>
      <c r="F738" s="525" t="n">
        <v>46240</v>
      </c>
      <c r="G738" t="n">
        <v>30346</v>
      </c>
      <c r="H738" t="inlineStr">
        <is>
          <t>QUEIJO MANTIQUEIRA (MEIA CURA ATALAIA) FRACIONADO DE 300GR</t>
        </is>
      </c>
      <c r="I738" t="inlineStr">
        <is>
          <t>ALIMENTOS</t>
        </is>
      </c>
      <c r="J738" t="n">
        <v>11</v>
      </c>
      <c r="K738" t="inlineStr">
        <is>
          <t>UNIDADE</t>
        </is>
      </c>
      <c r="L738" t="n">
        <v>335.83</v>
      </c>
      <c r="M738" t="n">
        <v>30.53</v>
      </c>
      <c r="O738" t="inlineStr">
        <is>
          <t>08/2026</t>
        </is>
      </c>
    </row>
    <row r="739">
      <c r="A739" t="n">
        <v>255937</v>
      </c>
      <c r="B739" t="n">
        <v>180</v>
      </c>
      <c r="C739" t="inlineStr">
        <is>
          <t>Nuv Gastrobar</t>
        </is>
      </c>
      <c r="D739" t="inlineStr">
        <is>
          <t>FG7 COMERCIO E DISTRIBUICAO DE BEBIDAS LTDA</t>
        </is>
      </c>
      <c r="E739" t="inlineStr">
        <is>
          <t>835668</t>
        </is>
      </c>
      <c r="F739" s="525" t="n">
        <v>46242</v>
      </c>
      <c r="G739" t="n">
        <v>18377</v>
      </c>
      <c r="H739" t="inlineStr">
        <is>
          <t>GIN BEEFEATER 750ML</t>
        </is>
      </c>
      <c r="I739" t="inlineStr">
        <is>
          <t>BEBIDAS</t>
        </is>
      </c>
      <c r="J739" t="n">
        <v>24</v>
      </c>
      <c r="K739" t="inlineStr">
        <is>
          <t>GR</t>
        </is>
      </c>
      <c r="L739" t="n">
        <v>1605.6</v>
      </c>
      <c r="M739" t="n">
        <v>66.90000000000001</v>
      </c>
      <c r="O739" t="inlineStr">
        <is>
          <t>08/2026</t>
        </is>
      </c>
    </row>
    <row r="740">
      <c r="A740" t="n">
        <v>255937</v>
      </c>
      <c r="B740" t="n">
        <v>180</v>
      </c>
      <c r="C740" t="inlineStr">
        <is>
          <t>Nuv Gastrobar</t>
        </is>
      </c>
      <c r="D740" t="inlineStr">
        <is>
          <t>FG7 COMERCIO E DISTRIBUICAO DE BEBIDAS LTDA</t>
        </is>
      </c>
      <c r="E740" t="inlineStr">
        <is>
          <t>835668</t>
        </is>
      </c>
      <c r="F740" s="525" t="n">
        <v>46242</v>
      </c>
      <c r="G740" t="n">
        <v>18543</v>
      </c>
      <c r="H740" t="inlineStr">
        <is>
          <t>APERITIVO CYNAR 900ML</t>
        </is>
      </c>
      <c r="I740" t="inlineStr">
        <is>
          <t>BEBIDAS</t>
        </is>
      </c>
      <c r="J740" t="n">
        <v>6</v>
      </c>
      <c r="K740" t="inlineStr">
        <is>
          <t>GR</t>
        </is>
      </c>
      <c r="L740" t="n">
        <v>116.4</v>
      </c>
      <c r="M740" t="n">
        <v>19.4</v>
      </c>
      <c r="O740" t="inlineStr">
        <is>
          <t>08/2026</t>
        </is>
      </c>
    </row>
    <row r="741">
      <c r="A741" t="n">
        <v>255926</v>
      </c>
      <c r="B741" t="n">
        <v>180</v>
      </c>
      <c r="C741" t="inlineStr">
        <is>
          <t>Nuv Gastrobar</t>
        </is>
      </c>
      <c r="D741" t="inlineStr">
        <is>
          <t>PASTIFICIO J D MASSAS ARTESANAIS EIRELI</t>
        </is>
      </c>
      <c r="E741" t="inlineStr">
        <is>
          <t>3200</t>
        </is>
      </c>
      <c r="F741" s="525" t="n">
        <v>46245</v>
      </c>
      <c r="G741" t="n">
        <v>24666</v>
      </c>
      <c r="H741" t="inlineStr">
        <is>
          <t>RAVIOLE DE RICOTA COM DAMASCO E NOZES KG</t>
        </is>
      </c>
      <c r="I741" t="inlineStr">
        <is>
          <t>ALIMENTOS</t>
        </is>
      </c>
      <c r="J741" t="n">
        <v>15</v>
      </c>
      <c r="K741" t="inlineStr">
        <is>
          <t>KG</t>
        </is>
      </c>
      <c r="L741" t="n">
        <v>761.25</v>
      </c>
      <c r="M741" t="n">
        <v>50.75</v>
      </c>
      <c r="O741" t="inlineStr">
        <is>
          <t>08/2026</t>
        </is>
      </c>
    </row>
    <row r="742">
      <c r="A742" t="n">
        <v>255632</v>
      </c>
      <c r="B742" t="n">
        <v>180</v>
      </c>
      <c r="C742" t="inlineStr">
        <is>
          <t>Nuv Gastrobar</t>
        </is>
      </c>
      <c r="D742" t="inlineStr">
        <is>
          <t>B.B DISTRIBUIDORA DE CARNES LTDA</t>
        </is>
      </c>
      <c r="E742" t="inlineStr">
        <is>
          <t>428395</t>
        </is>
      </c>
      <c r="F742" s="525" t="n">
        <v>46244</v>
      </c>
      <c r="G742" t="n">
        <v>24259</v>
      </c>
      <c r="H742" t="inlineStr">
        <is>
          <t>FILE MIGNON 4/5 S/ CORDAO KG</t>
        </is>
      </c>
      <c r="I742" t="inlineStr">
        <is>
          <t>ALIMENTOS</t>
        </is>
      </c>
      <c r="J742" t="n">
        <v>19.3</v>
      </c>
      <c r="K742" t="inlineStr">
        <is>
          <t>KG</t>
        </is>
      </c>
      <c r="L742" t="n">
        <v>1758.23</v>
      </c>
      <c r="M742" t="n">
        <v>91.09999999999999</v>
      </c>
      <c r="O742" t="inlineStr">
        <is>
          <t>08/2026</t>
        </is>
      </c>
    </row>
    <row r="743">
      <c r="A743" t="n">
        <v>255614</v>
      </c>
      <c r="B743" t="n">
        <v>180</v>
      </c>
      <c r="C743" t="inlineStr">
        <is>
          <t>Nuv Gastrobar</t>
        </is>
      </c>
      <c r="D743" t="inlineStr">
        <is>
          <t>FRONT BEBIDAS LTDA</t>
        </is>
      </c>
      <c r="E743" t="inlineStr">
        <is>
          <t>814510</t>
        </is>
      </c>
      <c r="F743" s="525" t="n">
        <v>46241</v>
      </c>
      <c r="G743" t="n">
        <v>18373</v>
      </c>
      <c r="H743" t="inlineStr">
        <is>
          <t>GIN GORDONS 750ML GR</t>
        </is>
      </c>
      <c r="I743" t="inlineStr">
        <is>
          <t>BEBIDAS</t>
        </is>
      </c>
      <c r="J743" t="n">
        <v>24</v>
      </c>
      <c r="K743" t="inlineStr">
        <is>
          <t>GR</t>
        </is>
      </c>
      <c r="L743" t="n">
        <v>1317.6</v>
      </c>
      <c r="M743" t="n">
        <v>54.9</v>
      </c>
      <c r="O743" t="inlineStr">
        <is>
          <t>08/2026</t>
        </is>
      </c>
    </row>
    <row r="744">
      <c r="A744" t="n">
        <v>255613</v>
      </c>
      <c r="B744" t="n">
        <v>180</v>
      </c>
      <c r="C744" t="inlineStr">
        <is>
          <t>Nuv Gastrobar</t>
        </is>
      </c>
      <c r="D744" t="inlineStr">
        <is>
          <t>DTK COMERCIO DE ALIMENTOS LTDA</t>
        </is>
      </c>
      <c r="E744" t="inlineStr">
        <is>
          <t>94245</t>
        </is>
      </c>
      <c r="F744" s="525" t="n">
        <v>46242</v>
      </c>
      <c r="G744" t="n">
        <v>20022</v>
      </c>
      <c r="H744" t="inlineStr">
        <is>
          <t>FERMENTO QUIMICO ROYAL 250G</t>
        </is>
      </c>
      <c r="I744" t="inlineStr">
        <is>
          <t>ALIMENTOS</t>
        </is>
      </c>
      <c r="J744" t="n">
        <v>2</v>
      </c>
      <c r="K744" t="inlineStr">
        <is>
          <t>UN</t>
        </is>
      </c>
      <c r="L744" t="n">
        <v>21</v>
      </c>
      <c r="M744" t="n">
        <v>10.5</v>
      </c>
      <c r="O744" t="inlineStr">
        <is>
          <t>08/2026</t>
        </is>
      </c>
    </row>
    <row r="745">
      <c r="A745" t="n">
        <v>255613</v>
      </c>
      <c r="B745" t="n">
        <v>180</v>
      </c>
      <c r="C745" t="inlineStr">
        <is>
          <t>Nuv Gastrobar</t>
        </is>
      </c>
      <c r="D745" t="inlineStr">
        <is>
          <t>DTK COMERCIO DE ALIMENTOS LTDA</t>
        </is>
      </c>
      <c r="E745" t="inlineStr">
        <is>
          <t>94245</t>
        </is>
      </c>
      <c r="F745" s="525" t="n">
        <v>46242</v>
      </c>
      <c r="G745" t="n">
        <v>20662</v>
      </c>
      <c r="H745" t="inlineStr">
        <is>
          <t>LEITE CONDENSADO PIRACANJUBA C/2,5KG</t>
        </is>
      </c>
      <c r="I745" t="inlineStr">
        <is>
          <t>ALIMENTOS</t>
        </is>
      </c>
      <c r="J745" t="n">
        <v>8</v>
      </c>
      <c r="K745" t="inlineStr">
        <is>
          <t>PC</t>
        </is>
      </c>
      <c r="L745" t="n">
        <v>278.48</v>
      </c>
      <c r="M745" t="n">
        <v>34.81</v>
      </c>
      <c r="O745" t="inlineStr">
        <is>
          <t>08/2026</t>
        </is>
      </c>
    </row>
    <row r="746">
      <c r="A746" t="n">
        <v>255613</v>
      </c>
      <c r="B746" t="n">
        <v>180</v>
      </c>
      <c r="C746" t="inlineStr">
        <is>
          <t>Nuv Gastrobar</t>
        </is>
      </c>
      <c r="D746" t="inlineStr">
        <is>
          <t>DTK COMERCIO DE ALIMENTOS LTDA</t>
        </is>
      </c>
      <c r="E746" t="inlineStr">
        <is>
          <t>94245</t>
        </is>
      </c>
      <c r="F746" s="525" t="n">
        <v>46242</v>
      </c>
      <c r="G746" t="n">
        <v>20213</v>
      </c>
      <c r="H746" t="inlineStr">
        <is>
          <t>GRAO DE BICO CAMIL C/2KG</t>
        </is>
      </c>
      <c r="I746" t="inlineStr">
        <is>
          <t>ALIMENTOS</t>
        </is>
      </c>
      <c r="J746" t="n">
        <v>3</v>
      </c>
      <c r="K746" t="inlineStr">
        <is>
          <t>Pc</t>
        </is>
      </c>
      <c r="L746" t="n">
        <v>94.8</v>
      </c>
      <c r="M746" t="n">
        <v>31.6</v>
      </c>
      <c r="O746" t="inlineStr">
        <is>
          <t>08/2026</t>
        </is>
      </c>
    </row>
    <row r="747">
      <c r="A747" t="n">
        <v>255613</v>
      </c>
      <c r="B747" t="n">
        <v>180</v>
      </c>
      <c r="C747" t="inlineStr">
        <is>
          <t>Nuv Gastrobar</t>
        </is>
      </c>
      <c r="D747" t="inlineStr">
        <is>
          <t>DTK COMERCIO DE ALIMENTOS LTDA</t>
        </is>
      </c>
      <c r="E747" t="inlineStr">
        <is>
          <t>94245</t>
        </is>
      </c>
      <c r="F747" s="525" t="n">
        <v>46242</v>
      </c>
      <c r="G747" t="n">
        <v>20365</v>
      </c>
      <c r="H747" t="inlineStr">
        <is>
          <t>FARINHA DE TRIGO TP1 ANACONDA 1KG</t>
        </is>
      </c>
      <c r="I747" t="inlineStr">
        <is>
          <t>ALIMENTOS</t>
        </is>
      </c>
      <c r="J747" t="n">
        <v>30</v>
      </c>
      <c r="K747" t="inlineStr">
        <is>
          <t>UN</t>
        </is>
      </c>
      <c r="L747" t="n">
        <v>158.7</v>
      </c>
      <c r="M747" t="n">
        <v>5.29</v>
      </c>
      <c r="O747" t="inlineStr">
        <is>
          <t>08/2026</t>
        </is>
      </c>
    </row>
    <row r="748">
      <c r="A748" t="n">
        <v>255613</v>
      </c>
      <c r="B748" t="n">
        <v>180</v>
      </c>
      <c r="C748" t="inlineStr">
        <is>
          <t>Nuv Gastrobar</t>
        </is>
      </c>
      <c r="D748" t="inlineStr">
        <is>
          <t>DTK COMERCIO DE ALIMENTOS LTDA</t>
        </is>
      </c>
      <c r="E748" t="inlineStr">
        <is>
          <t>94245</t>
        </is>
      </c>
      <c r="F748" s="525" t="n">
        <v>46242</v>
      </c>
      <c r="G748" t="n">
        <v>20614</v>
      </c>
      <c r="H748" t="inlineStr">
        <is>
          <t>PASTA GERGELIM TAHINE ISTAMBUL 5006 LT</t>
        </is>
      </c>
      <c r="I748" t="inlineStr">
        <is>
          <t>ALIMENTOS</t>
        </is>
      </c>
      <c r="J748" t="n">
        <v>1</v>
      </c>
      <c r="K748" t="inlineStr">
        <is>
          <t>UN</t>
        </is>
      </c>
      <c r="L748" t="n">
        <v>32.43</v>
      </c>
      <c r="M748" t="n">
        <v>32.43</v>
      </c>
      <c r="O748" t="inlineStr">
        <is>
          <t>08/2026</t>
        </is>
      </c>
    </row>
    <row r="749">
      <c r="A749" t="n">
        <v>255613</v>
      </c>
      <c r="B749" t="n">
        <v>180</v>
      </c>
      <c r="C749" t="inlineStr">
        <is>
          <t>Nuv Gastrobar</t>
        </is>
      </c>
      <c r="D749" t="inlineStr">
        <is>
          <t>DTK COMERCIO DE ALIMENTOS LTDA</t>
        </is>
      </c>
      <c r="E749" t="inlineStr">
        <is>
          <t>94245</t>
        </is>
      </c>
      <c r="F749" s="525" t="n">
        <v>46242</v>
      </c>
      <c r="G749" t="n">
        <v>19967</v>
      </c>
      <c r="H749" t="inlineStr">
        <is>
          <t>MOSTARDA AM HEMMER 3,6KG</t>
        </is>
      </c>
      <c r="I749" t="inlineStr">
        <is>
          <t>ALIMENTOS</t>
        </is>
      </c>
      <c r="J749" t="n">
        <v>1</v>
      </c>
      <c r="K749" t="inlineStr">
        <is>
          <t>UN</t>
        </is>
      </c>
      <c r="L749" t="n">
        <v>49.28</v>
      </c>
      <c r="M749" t="n">
        <v>49.28</v>
      </c>
      <c r="O749" t="inlineStr">
        <is>
          <t>08/2026</t>
        </is>
      </c>
    </row>
    <row r="750">
      <c r="A750" t="n">
        <v>255611</v>
      </c>
      <c r="B750" t="n">
        <v>180</v>
      </c>
      <c r="C750" t="inlineStr">
        <is>
          <t>Nuv Gastrobar</t>
        </is>
      </c>
      <c r="D750" t="inlineStr">
        <is>
          <t>RL SISTEMAS DE HIGIENE LTDA</t>
        </is>
      </c>
      <c r="E750" t="inlineStr">
        <is>
          <t>335155</t>
        </is>
      </c>
      <c r="F750" s="525" t="n">
        <v>46240</v>
      </c>
      <c r="G750" t="n">
        <v>30309</v>
      </c>
      <c r="H750" t="inlineStr">
        <is>
          <t>DESINFETANTE CLORADO 5L</t>
        </is>
      </c>
      <c r="I750" t="inlineStr">
        <is>
          <t>DESCARTAVEIS/HIGIENE E LIMPEZA</t>
        </is>
      </c>
      <c r="J750" t="n">
        <v>2</v>
      </c>
      <c r="K750" t="inlineStr">
        <is>
          <t>UN</t>
        </is>
      </c>
      <c r="L750" t="n">
        <v>212.18</v>
      </c>
      <c r="M750" t="n">
        <v>106.09</v>
      </c>
      <c r="O750" t="inlineStr">
        <is>
          <t>08/2026</t>
        </is>
      </c>
    </row>
    <row r="751">
      <c r="A751" t="n">
        <v>255611</v>
      </c>
      <c r="B751" t="n">
        <v>180</v>
      </c>
      <c r="C751" t="inlineStr">
        <is>
          <t>Nuv Gastrobar</t>
        </is>
      </c>
      <c r="D751" t="inlineStr">
        <is>
          <t>RL SISTEMAS DE HIGIENE LTDA</t>
        </is>
      </c>
      <c r="E751" t="inlineStr">
        <is>
          <t>335155</t>
        </is>
      </c>
      <c r="F751" s="525" t="n">
        <v>46240</v>
      </c>
      <c r="G751" t="n">
        <v>30308</v>
      </c>
      <c r="H751" t="inlineStr">
        <is>
          <t>DESINFETANTE PARA LAVAR COZINHA E SALAO 5L</t>
        </is>
      </c>
      <c r="I751" t="inlineStr">
        <is>
          <t>DESCARTAVEIS/HIGIENE E LIMPEZA</t>
        </is>
      </c>
      <c r="J751" t="n">
        <v>1</v>
      </c>
      <c r="K751" t="inlineStr">
        <is>
          <t>UN</t>
        </is>
      </c>
      <c r="L751" t="n">
        <v>91.53</v>
      </c>
      <c r="M751" t="n">
        <v>91.53</v>
      </c>
      <c r="O751" t="inlineStr">
        <is>
          <t>08/2026</t>
        </is>
      </c>
    </row>
    <row r="752">
      <c r="A752" t="n">
        <v>255611</v>
      </c>
      <c r="B752" t="n">
        <v>180</v>
      </c>
      <c r="C752" t="inlineStr">
        <is>
          <t>Nuv Gastrobar</t>
        </is>
      </c>
      <c r="D752" t="inlineStr">
        <is>
          <t>RL SISTEMAS DE HIGIENE LTDA</t>
        </is>
      </c>
      <c r="E752" t="inlineStr">
        <is>
          <t>335155</t>
        </is>
      </c>
      <c r="F752" s="525" t="n">
        <v>46240</v>
      </c>
      <c r="G752" t="n">
        <v>30301</v>
      </c>
      <c r="H752" t="inlineStr">
        <is>
          <t>PAPEL TOALHA ESSENCIAL BASICO INTERFOLHADO C/2000 FOLHAS CX</t>
        </is>
      </c>
      <c r="I752" t="inlineStr">
        <is>
          <t>DESCARTAVEIS/HIGIENE E LIMPEZA</t>
        </is>
      </c>
      <c r="J752" t="n">
        <v>3</v>
      </c>
      <c r="K752" t="inlineStr">
        <is>
          <t>CX</t>
        </is>
      </c>
      <c r="L752" t="n">
        <v>184.38</v>
      </c>
      <c r="M752" t="n">
        <v>61.46</v>
      </c>
      <c r="O752" t="inlineStr">
        <is>
          <t>08/2026</t>
        </is>
      </c>
    </row>
    <row r="753">
      <c r="A753" t="n">
        <v>255611</v>
      </c>
      <c r="B753" t="n">
        <v>180</v>
      </c>
      <c r="C753" t="inlineStr">
        <is>
          <t>Nuv Gastrobar</t>
        </is>
      </c>
      <c r="D753" t="inlineStr">
        <is>
          <t>RL SISTEMAS DE HIGIENE LTDA</t>
        </is>
      </c>
      <c r="E753" t="inlineStr">
        <is>
          <t>335155</t>
        </is>
      </c>
      <c r="F753" s="525" t="n">
        <v>46240</v>
      </c>
      <c r="G753" t="n">
        <v>30300</v>
      </c>
      <c r="H753" t="inlineStr">
        <is>
          <t>PAPEL TOALHA ESSENCIAL BASICO AUTO CORTE 6 ROLOS C/200M CX</t>
        </is>
      </c>
      <c r="I753" t="inlineStr">
        <is>
          <t>DESCARTAVEIS/HIGIENE E LIMPEZA</t>
        </is>
      </c>
      <c r="J753" t="n">
        <v>3</v>
      </c>
      <c r="K753" t="inlineStr">
        <is>
          <t>CX</t>
        </is>
      </c>
      <c r="L753" t="n">
        <v>458.25</v>
      </c>
      <c r="M753" t="n">
        <v>152.75</v>
      </c>
      <c r="O753" t="inlineStr">
        <is>
          <t>08/2026</t>
        </is>
      </c>
    </row>
    <row r="754">
      <c r="A754" t="n">
        <v>255611</v>
      </c>
      <c r="B754" t="n">
        <v>180</v>
      </c>
      <c r="C754" t="inlineStr">
        <is>
          <t>Nuv Gastrobar</t>
        </is>
      </c>
      <c r="D754" t="inlineStr">
        <is>
          <t>RL SISTEMAS DE HIGIENE LTDA</t>
        </is>
      </c>
      <c r="E754" t="inlineStr">
        <is>
          <t>335155</t>
        </is>
      </c>
      <c r="F754" s="525" t="n">
        <v>46240</v>
      </c>
      <c r="G754" t="n">
        <v>30312</v>
      </c>
      <c r="H754" t="inlineStr">
        <is>
          <t>SECANTE MAQUINA DE LAVAR LOUÇA 5L</t>
        </is>
      </c>
      <c r="I754" t="inlineStr">
        <is>
          <t>DESCARTAVEIS/HIGIENE E LIMPEZA</t>
        </is>
      </c>
      <c r="J754" t="n">
        <v>1</v>
      </c>
      <c r="K754" t="inlineStr">
        <is>
          <t>UN</t>
        </is>
      </c>
      <c r="L754" t="n">
        <v>118.19</v>
      </c>
      <c r="M754" t="n">
        <v>118.19</v>
      </c>
      <c r="O754" t="inlineStr">
        <is>
          <t>08/2026</t>
        </is>
      </c>
    </row>
    <row r="755">
      <c r="A755" t="n">
        <v>255611</v>
      </c>
      <c r="B755" t="n">
        <v>180</v>
      </c>
      <c r="C755" t="inlineStr">
        <is>
          <t>Nuv Gastrobar</t>
        </is>
      </c>
      <c r="D755" t="inlineStr">
        <is>
          <t>RL SISTEMAS DE HIGIENE LTDA</t>
        </is>
      </c>
      <c r="E755" t="inlineStr">
        <is>
          <t>335155</t>
        </is>
      </c>
      <c r="F755" s="525" t="n">
        <v>46240</v>
      </c>
      <c r="G755" t="n">
        <v>30305</v>
      </c>
      <c r="H755" t="inlineStr">
        <is>
          <t>DETERGENTE PARA LAVAR LOUÇA 5L</t>
        </is>
      </c>
      <c r="I755" t="inlineStr">
        <is>
          <t>DESCARTAVEIS/HIGIENE E LIMPEZA</t>
        </is>
      </c>
      <c r="J755" t="n">
        <v>5</v>
      </c>
      <c r="K755" t="inlineStr">
        <is>
          <t>UN</t>
        </is>
      </c>
      <c r="L755" t="n">
        <v>445</v>
      </c>
      <c r="M755" t="n">
        <v>89</v>
      </c>
      <c r="O755" t="inlineStr">
        <is>
          <t>08/2026</t>
        </is>
      </c>
    </row>
    <row r="756">
      <c r="A756" t="n">
        <v>255611</v>
      </c>
      <c r="B756" t="n">
        <v>180</v>
      </c>
      <c r="C756" t="inlineStr">
        <is>
          <t>Nuv Gastrobar</t>
        </is>
      </c>
      <c r="D756" t="inlineStr">
        <is>
          <t>RL SISTEMAS DE HIGIENE LTDA</t>
        </is>
      </c>
      <c r="E756" t="inlineStr">
        <is>
          <t>335155</t>
        </is>
      </c>
      <c r="F756" s="525" t="n">
        <v>46240</v>
      </c>
      <c r="G756" t="n">
        <v>30307</v>
      </c>
      <c r="H756" t="inlineStr">
        <is>
          <t>DESINFETANTE PARA FLV 5L</t>
        </is>
      </c>
      <c r="I756" t="inlineStr">
        <is>
          <t>DESCARTAVEIS/HIGIENE E LIMPEZA</t>
        </is>
      </c>
      <c r="J756" t="n">
        <v>1</v>
      </c>
      <c r="K756" t="inlineStr">
        <is>
          <t>UN</t>
        </is>
      </c>
      <c r="L756" t="n">
        <v>70.91</v>
      </c>
      <c r="M756" t="n">
        <v>70.91</v>
      </c>
      <c r="O756" t="inlineStr">
        <is>
          <t>08/2026</t>
        </is>
      </c>
    </row>
    <row r="757">
      <c r="A757" t="n">
        <v>255611</v>
      </c>
      <c r="B757" t="n">
        <v>180</v>
      </c>
      <c r="C757" t="inlineStr">
        <is>
          <t>Nuv Gastrobar</t>
        </is>
      </c>
      <c r="D757" t="inlineStr">
        <is>
          <t>RL SISTEMAS DE HIGIENE LTDA</t>
        </is>
      </c>
      <c r="E757" t="inlineStr">
        <is>
          <t>335155</t>
        </is>
      </c>
      <c r="F757" s="525" t="n">
        <v>46240</v>
      </c>
      <c r="G757" t="n">
        <v>30304</v>
      </c>
      <c r="H757" t="inlineStr">
        <is>
          <t>DESINFETANTE PARA BANHEIRO 5L</t>
        </is>
      </c>
      <c r="I757" t="inlineStr">
        <is>
          <t>DESCARTAVEIS/HIGIENE E LIMPEZA</t>
        </is>
      </c>
      <c r="J757" t="n">
        <v>1</v>
      </c>
      <c r="K757" t="inlineStr">
        <is>
          <t>UN</t>
        </is>
      </c>
      <c r="L757" t="n">
        <v>86.63</v>
      </c>
      <c r="M757" t="n">
        <v>86.63</v>
      </c>
      <c r="O757" t="inlineStr">
        <is>
          <t>08/2026</t>
        </is>
      </c>
    </row>
    <row r="758">
      <c r="A758" t="n">
        <v>255611</v>
      </c>
      <c r="B758" t="n">
        <v>180</v>
      </c>
      <c r="C758" t="inlineStr">
        <is>
          <t>Nuv Gastrobar</t>
        </is>
      </c>
      <c r="D758" t="inlineStr">
        <is>
          <t>RL SISTEMAS DE HIGIENE LTDA</t>
        </is>
      </c>
      <c r="E758" t="inlineStr">
        <is>
          <t>335155</t>
        </is>
      </c>
      <c r="F758" s="525" t="n">
        <v>46240</v>
      </c>
      <c r="G758" t="n">
        <v>30302</v>
      </c>
      <c r="H758" t="inlineStr">
        <is>
          <t>ALCOOL REFIL 600ML UN</t>
        </is>
      </c>
      <c r="I758" t="inlineStr">
        <is>
          <t>DESCARTAVEIS/HIGIENE E LIMPEZA</t>
        </is>
      </c>
      <c r="J758" t="n">
        <v>4</v>
      </c>
      <c r="K758" t="inlineStr">
        <is>
          <t>UN</t>
        </is>
      </c>
      <c r="L758" t="n">
        <v>144.6</v>
      </c>
      <c r="M758" t="n">
        <v>36.15</v>
      </c>
      <c r="O758" t="inlineStr">
        <is>
          <t>08/2026</t>
        </is>
      </c>
    </row>
    <row r="759">
      <c r="A759" t="n">
        <v>255611</v>
      </c>
      <c r="B759" t="n">
        <v>180</v>
      </c>
      <c r="C759" t="inlineStr">
        <is>
          <t>Nuv Gastrobar</t>
        </is>
      </c>
      <c r="D759" t="inlineStr">
        <is>
          <t>RL SISTEMAS DE HIGIENE LTDA</t>
        </is>
      </c>
      <c r="E759" t="inlineStr">
        <is>
          <t>335155</t>
        </is>
      </c>
      <c r="F759" s="525" t="n">
        <v>46240</v>
      </c>
      <c r="G759" t="n">
        <v>30306</v>
      </c>
      <c r="H759" t="inlineStr">
        <is>
          <t>LIMPA ALUMINIO DESENGORDURANTE DESINCRUSTANTE 5L</t>
        </is>
      </c>
      <c r="I759" t="inlineStr">
        <is>
          <t>DESCARTAVEIS/HIGIENE E LIMPEZA</t>
        </is>
      </c>
      <c r="J759" t="n">
        <v>1</v>
      </c>
      <c r="K759" t="inlineStr">
        <is>
          <t>UN</t>
        </is>
      </c>
      <c r="L759" t="n">
        <v>151.52</v>
      </c>
      <c r="M759" t="n">
        <v>151.52</v>
      </c>
      <c r="O759" t="inlineStr">
        <is>
          <t>08/2026</t>
        </is>
      </c>
    </row>
    <row r="760">
      <c r="A760" t="n">
        <v>255611</v>
      </c>
      <c r="B760" t="n">
        <v>180</v>
      </c>
      <c r="C760" t="inlineStr">
        <is>
          <t>Nuv Gastrobar</t>
        </is>
      </c>
      <c r="D760" t="inlineStr">
        <is>
          <t>RL SISTEMAS DE HIGIENE LTDA</t>
        </is>
      </c>
      <c r="E760" t="inlineStr">
        <is>
          <t>335155</t>
        </is>
      </c>
      <c r="F760" s="525" t="n">
        <v>46240</v>
      </c>
      <c r="G760" t="n">
        <v>30311</v>
      </c>
      <c r="H760" t="inlineStr">
        <is>
          <t>DETERGENTE MAQUINA DE LAVAR LOUÇA 5L</t>
        </is>
      </c>
      <c r="I760" t="inlineStr">
        <is>
          <t>DESCARTAVEIS/HIGIENE E LIMPEZA</t>
        </is>
      </c>
      <c r="J760" t="n">
        <v>1</v>
      </c>
      <c r="K760" t="inlineStr">
        <is>
          <t>UN</t>
        </is>
      </c>
      <c r="L760" t="n">
        <v>91.91</v>
      </c>
      <c r="M760" t="n">
        <v>91.91</v>
      </c>
      <c r="O760" t="inlineStr">
        <is>
          <t>08/2026</t>
        </is>
      </c>
    </row>
    <row r="761">
      <c r="A761" t="n">
        <v>255611</v>
      </c>
      <c r="B761" t="n">
        <v>180</v>
      </c>
      <c r="C761" t="inlineStr">
        <is>
          <t>Nuv Gastrobar</t>
        </is>
      </c>
      <c r="D761" t="inlineStr">
        <is>
          <t>RL SISTEMAS DE HIGIENE LTDA</t>
        </is>
      </c>
      <c r="E761" t="inlineStr">
        <is>
          <t>335155</t>
        </is>
      </c>
      <c r="F761" s="525" t="n">
        <v>46240</v>
      </c>
      <c r="G761" t="n">
        <v>30310</v>
      </c>
      <c r="H761" t="inlineStr">
        <is>
          <t>DESINCRUSTANTE INOX 5L</t>
        </is>
      </c>
      <c r="I761" t="inlineStr">
        <is>
          <t>DESCARTAVEIS/HIGIENE E LIMPEZA</t>
        </is>
      </c>
      <c r="J761" t="n">
        <v>2</v>
      </c>
      <c r="K761" t="inlineStr">
        <is>
          <t>UN</t>
        </is>
      </c>
      <c r="L761" t="n">
        <v>235.3</v>
      </c>
      <c r="M761" t="n">
        <v>117.65</v>
      </c>
      <c r="O761" t="inlineStr">
        <is>
          <t>08/2026</t>
        </is>
      </c>
    </row>
    <row r="762">
      <c r="A762" t="n">
        <v>255611</v>
      </c>
      <c r="B762" t="n">
        <v>180</v>
      </c>
      <c r="C762" t="inlineStr">
        <is>
          <t>Nuv Gastrobar</t>
        </is>
      </c>
      <c r="D762" t="inlineStr">
        <is>
          <t>RL SISTEMAS DE HIGIENE LTDA</t>
        </is>
      </c>
      <c r="E762" t="inlineStr">
        <is>
          <t>335155</t>
        </is>
      </c>
      <c r="F762" s="525" t="n">
        <v>46240</v>
      </c>
      <c r="G762" t="n">
        <v>30303</v>
      </c>
      <c r="H762" t="inlineStr">
        <is>
          <t>SABONETE COZINHA SPRAY 6 UNIDADES C/600ML CX</t>
        </is>
      </c>
      <c r="I762" t="inlineStr">
        <is>
          <t>DESCARTAVEIS/HIGIENE E LIMPEZA</t>
        </is>
      </c>
      <c r="J762" t="n">
        <v>4</v>
      </c>
      <c r="K762" t="inlineStr">
        <is>
          <t>CX</t>
        </is>
      </c>
      <c r="L762" t="n">
        <v>140.16</v>
      </c>
      <c r="M762" t="n">
        <v>35.04</v>
      </c>
      <c r="O762" t="inlineStr">
        <is>
          <t>08/2026</t>
        </is>
      </c>
    </row>
    <row r="763">
      <c r="A763" t="n">
        <v>255609</v>
      </c>
      <c r="B763" t="n">
        <v>180</v>
      </c>
      <c r="C763" t="inlineStr">
        <is>
          <t>Nuv Gastrobar</t>
        </is>
      </c>
      <c r="D763" t="inlineStr">
        <is>
          <t>PIRAMIDES COMERCIO DE AGUAS MINEIRAIS E BEBIDAS EM GERAL LTDA</t>
        </is>
      </c>
      <c r="E763" t="inlineStr">
        <is>
          <t>175920</t>
        </is>
      </c>
      <c r="F763" s="525" t="n">
        <v>46241</v>
      </c>
      <c r="G763" t="n">
        <v>29194</v>
      </c>
      <c r="H763" t="inlineStr">
        <is>
          <t>SUCO CRANBERRY SEM ACUCAR YAI 1L</t>
        </is>
      </c>
      <c r="I763" t="inlineStr">
        <is>
          <t>BEBIDAS</t>
        </is>
      </c>
      <c r="J763" t="n">
        <v>24</v>
      </c>
      <c r="K763" t="inlineStr">
        <is>
          <t>UN</t>
        </is>
      </c>
      <c r="L763" t="n">
        <v>236.16</v>
      </c>
      <c r="M763" t="n">
        <v>9.84</v>
      </c>
      <c r="O763" t="inlineStr">
        <is>
          <t>08/2026</t>
        </is>
      </c>
    </row>
    <row r="764">
      <c r="A764" t="n">
        <v>255607</v>
      </c>
      <c r="B764" t="n">
        <v>180</v>
      </c>
      <c r="C764" t="inlineStr">
        <is>
          <t>Nuv Gastrobar</t>
        </is>
      </c>
      <c r="D764" t="inlineStr">
        <is>
          <t>EMPORIO M&amp;L COMERCIO DE ALIM E BEBIDAS LTDA</t>
        </is>
      </c>
      <c r="E764" t="inlineStr">
        <is>
          <t>525875</t>
        </is>
      </c>
      <c r="F764" s="525" t="n">
        <v>46238</v>
      </c>
      <c r="G764" t="n">
        <v>20390</v>
      </c>
      <c r="H764" t="inlineStr">
        <is>
          <t>FARINHA DE MILHO AMARELA YOKI C/2KG</t>
        </is>
      </c>
      <c r="I764" t="inlineStr">
        <is>
          <t>ALIMENTOS</t>
        </is>
      </c>
      <c r="J764" t="n">
        <v>1</v>
      </c>
      <c r="K764" t="inlineStr">
        <is>
          <t>PC</t>
        </is>
      </c>
      <c r="L764" t="n">
        <v>23.99</v>
      </c>
      <c r="M764" t="n">
        <v>23.99</v>
      </c>
      <c r="O764" t="inlineStr">
        <is>
          <t>08/2026</t>
        </is>
      </c>
    </row>
    <row r="765">
      <c r="A765" t="n">
        <v>255607</v>
      </c>
      <c r="B765" t="n">
        <v>180</v>
      </c>
      <c r="C765" t="inlineStr">
        <is>
          <t>Nuv Gastrobar</t>
        </is>
      </c>
      <c r="D765" t="inlineStr">
        <is>
          <t>EMPORIO M&amp;L COMERCIO DE ALIM E BEBIDAS LTDA</t>
        </is>
      </c>
      <c r="E765" t="inlineStr">
        <is>
          <t>525875</t>
        </is>
      </c>
      <c r="F765" s="525" t="n">
        <v>46238</v>
      </c>
      <c r="G765" t="n">
        <v>24123</v>
      </c>
      <c r="H765" t="inlineStr">
        <is>
          <t>CASTANHA DO PARA S/ CASCA MEDIA C/1KG</t>
        </is>
      </c>
      <c r="I765" t="inlineStr">
        <is>
          <t>ALIMENTOS</t>
        </is>
      </c>
      <c r="J765" t="n">
        <v>1</v>
      </c>
      <c r="K765" t="inlineStr">
        <is>
          <t>PC</t>
        </is>
      </c>
      <c r="L765" t="n">
        <v>78.90000000000001</v>
      </c>
      <c r="M765" t="n">
        <v>78.90000000000001</v>
      </c>
      <c r="O765" t="inlineStr">
        <is>
          <t>08/2026</t>
        </is>
      </c>
    </row>
    <row r="766">
      <c r="A766" t="n">
        <v>255606</v>
      </c>
      <c r="B766" t="n">
        <v>180</v>
      </c>
      <c r="C766" t="inlineStr">
        <is>
          <t>Nuv Gastrobar</t>
        </is>
      </c>
      <c r="D766" t="inlineStr">
        <is>
          <t>CECILIA TSUYACO ARAKI SILVA LTDA</t>
        </is>
      </c>
      <c r="E766" t="inlineStr">
        <is>
          <t>396679</t>
        </is>
      </c>
      <c r="F766" s="525" t="n">
        <v>46237</v>
      </c>
      <c r="G766" t="n">
        <v>19589</v>
      </c>
      <c r="H766" t="inlineStr">
        <is>
          <t>PEPINO JAPONES KG</t>
        </is>
      </c>
      <c r="I766" t="inlineStr">
        <is>
          <t>ALIMENTOS</t>
        </is>
      </c>
      <c r="J766" t="n">
        <v>2</v>
      </c>
      <c r="K766" t="inlineStr">
        <is>
          <t>KG</t>
        </is>
      </c>
      <c r="L766" t="n">
        <v>12.4</v>
      </c>
      <c r="M766" t="n">
        <v>6.2</v>
      </c>
      <c r="O766" t="inlineStr">
        <is>
          <t>08/2026</t>
        </is>
      </c>
    </row>
    <row r="767">
      <c r="A767" t="n">
        <v>255605</v>
      </c>
      <c r="B767" t="n">
        <v>180</v>
      </c>
      <c r="C767" t="inlineStr">
        <is>
          <t>Nuv Gastrobar</t>
        </is>
      </c>
      <c r="D767" t="inlineStr">
        <is>
          <t>DO CHEF DISTRIBUIDORA DE ALIMENTOS LTDA</t>
        </is>
      </c>
      <c r="E767" t="inlineStr">
        <is>
          <t>3509</t>
        </is>
      </c>
      <c r="F767" s="525" t="n">
        <v>46237</v>
      </c>
      <c r="G767" t="n">
        <v>23330</v>
      </c>
      <c r="H767" t="inlineStr">
        <is>
          <t>POLPA DE CUPUACU CONGELADA KG</t>
        </is>
      </c>
      <c r="I767" t="inlineStr">
        <is>
          <t>ALIMENTOS</t>
        </is>
      </c>
      <c r="J767" t="n">
        <v>3</v>
      </c>
      <c r="K767" t="inlineStr">
        <is>
          <t>KG</t>
        </is>
      </c>
      <c r="L767" t="n">
        <v>96</v>
      </c>
      <c r="M767" t="n">
        <v>32</v>
      </c>
      <c r="O767" t="inlineStr">
        <is>
          <t>08/2026</t>
        </is>
      </c>
    </row>
    <row r="768">
      <c r="A768" t="n">
        <v>255602</v>
      </c>
      <c r="B768" t="n">
        <v>180</v>
      </c>
      <c r="C768" t="inlineStr">
        <is>
          <t>Nuv Gastrobar</t>
        </is>
      </c>
      <c r="D768" t="inlineStr">
        <is>
          <t>MONOUSO COMERCIO E IMPORTACAO LTDA</t>
        </is>
      </c>
      <c r="E768" t="inlineStr">
        <is>
          <t>49526</t>
        </is>
      </c>
      <c r="F768" s="525" t="n">
        <v>46235</v>
      </c>
      <c r="G768" t="n">
        <v>29961</v>
      </c>
      <c r="H768" t="inlineStr">
        <is>
          <t>MEXEDOR DE CAFÉ 11CM C/10.000 UN</t>
        </is>
      </c>
      <c r="I768" t="inlineStr">
        <is>
          <t>DESCARTAVEIS/HIGIENE E LIMPEZA</t>
        </is>
      </c>
      <c r="J768" t="n">
        <v>10</v>
      </c>
      <c r="K768" t="inlineStr">
        <is>
          <t>CX</t>
        </is>
      </c>
      <c r="L768" t="n">
        <v>120</v>
      </c>
      <c r="M768" t="n">
        <v>12</v>
      </c>
      <c r="O768" t="inlineStr">
        <is>
          <t>08/2026</t>
        </is>
      </c>
    </row>
    <row r="769">
      <c r="A769" t="n">
        <v>255602</v>
      </c>
      <c r="B769" t="n">
        <v>180</v>
      </c>
      <c r="C769" t="inlineStr">
        <is>
          <t>Nuv Gastrobar</t>
        </is>
      </c>
      <c r="D769" t="inlineStr">
        <is>
          <t>MONOUSO COMERCIO E IMPORTACAO LTDA</t>
        </is>
      </c>
      <c r="E769" t="inlineStr">
        <is>
          <t>49526</t>
        </is>
      </c>
      <c r="F769" s="525" t="n">
        <v>46235</v>
      </c>
      <c r="G769" t="n">
        <v>29380</v>
      </c>
      <c r="H769" t="inlineStr">
        <is>
          <t>SUPORTE PARA 2 COPOS PACOTE C/500 UN</t>
        </is>
      </c>
      <c r="I769" t="inlineStr">
        <is>
          <t>DESPESAS OPERACIONAIS</t>
        </is>
      </c>
      <c r="J769" t="n">
        <v>2</v>
      </c>
      <c r="K769" t="inlineStr">
        <is>
          <t>CX</t>
        </is>
      </c>
      <c r="L769" t="n">
        <v>699.78</v>
      </c>
      <c r="M769" t="n">
        <v>349.89</v>
      </c>
      <c r="O769" t="inlineStr">
        <is>
          <t>08/2026</t>
        </is>
      </c>
    </row>
    <row r="770">
      <c r="A770" t="n">
        <v>255599</v>
      </c>
      <c r="B770" t="n">
        <v>180</v>
      </c>
      <c r="C770" t="inlineStr">
        <is>
          <t>Nuv Gastrobar</t>
        </is>
      </c>
      <c r="D770" t="inlineStr">
        <is>
          <t>A CASA DO PRODUTOR LTDA</t>
        </is>
      </c>
      <c r="E770" t="inlineStr">
        <is>
          <t>23994</t>
        </is>
      </c>
      <c r="F770" s="525" t="n">
        <v>46239</v>
      </c>
      <c r="G770" t="n">
        <v>27398</v>
      </c>
      <c r="H770" t="inlineStr">
        <is>
          <t>COALHADA SECA DE OVELHA RIMA 200G</t>
        </is>
      </c>
      <c r="I770" t="inlineStr">
        <is>
          <t>ALIMENTOS</t>
        </is>
      </c>
      <c r="J770" t="n">
        <v>4</v>
      </c>
      <c r="K770" t="inlineStr">
        <is>
          <t>UN</t>
        </is>
      </c>
      <c r="L770" t="n">
        <v>164</v>
      </c>
      <c r="M770" t="n">
        <v>41</v>
      </c>
      <c r="O770" t="inlineStr">
        <is>
          <t>08/2026</t>
        </is>
      </c>
    </row>
    <row r="771">
      <c r="A771" t="n">
        <v>255597</v>
      </c>
      <c r="B771" t="n">
        <v>180</v>
      </c>
      <c r="C771" t="inlineStr">
        <is>
          <t>Nuv Gastrobar</t>
        </is>
      </c>
      <c r="D771" t="inlineStr">
        <is>
          <t>MURILLO S DUARTE COMERCIAL LTDA</t>
        </is>
      </c>
      <c r="E771" t="inlineStr">
        <is>
          <t>2600</t>
        </is>
      </c>
      <c r="F771" s="525" t="n">
        <v>46237</v>
      </c>
      <c r="G771" t="n">
        <v>19894</v>
      </c>
      <c r="H771" t="inlineStr">
        <is>
          <t>FUMACA LIQUIDA BOMBAY 900ML</t>
        </is>
      </c>
      <c r="I771" t="inlineStr">
        <is>
          <t>ALIMENTOS</t>
        </is>
      </c>
      <c r="J771" t="n">
        <v>1</v>
      </c>
      <c r="K771" t="inlineStr">
        <is>
          <t>UN</t>
        </is>
      </c>
      <c r="L771" t="n">
        <v>101.59</v>
      </c>
      <c r="M771" t="n">
        <v>101.59</v>
      </c>
      <c r="O771" t="inlineStr">
        <is>
          <t>08/2026</t>
        </is>
      </c>
    </row>
    <row r="772">
      <c r="A772" t="n">
        <v>255597</v>
      </c>
      <c r="B772" t="n">
        <v>180</v>
      </c>
      <c r="C772" t="inlineStr">
        <is>
          <t>Nuv Gastrobar</t>
        </is>
      </c>
      <c r="D772" t="inlineStr">
        <is>
          <t>MURILLO S DUARTE COMERCIAL LTDA</t>
        </is>
      </c>
      <c r="E772" t="inlineStr">
        <is>
          <t>2600</t>
        </is>
      </c>
      <c r="F772" s="525" t="n">
        <v>46237</v>
      </c>
      <c r="G772" t="n">
        <v>25347</v>
      </c>
      <c r="H772" t="inlineStr">
        <is>
          <t>VINAGRE DE JEREZ FERNANDO DE CASTILHA C/375ML UN</t>
        </is>
      </c>
      <c r="I772" t="inlineStr">
        <is>
          <t>ALIMENTOS</t>
        </is>
      </c>
      <c r="J772" t="n">
        <v>1</v>
      </c>
      <c r="K772" t="inlineStr">
        <is>
          <t>UN</t>
        </is>
      </c>
      <c r="L772" t="n">
        <v>119</v>
      </c>
      <c r="M772" t="n">
        <v>119</v>
      </c>
      <c r="O772" t="inlineStr">
        <is>
          <t>08/2026</t>
        </is>
      </c>
    </row>
    <row r="773">
      <c r="A773" t="n">
        <v>255596</v>
      </c>
      <c r="B773" t="n">
        <v>180</v>
      </c>
      <c r="C773" t="inlineStr">
        <is>
          <t>Nuv Gastrobar</t>
        </is>
      </c>
      <c r="D773" t="inlineStr">
        <is>
          <t>WPP COMERCIO DE CARNES LTDA</t>
        </is>
      </c>
      <c r="E773" t="inlineStr">
        <is>
          <t>80996</t>
        </is>
      </c>
      <c r="F773" s="525" t="n">
        <v>46240</v>
      </c>
      <c r="G773" t="n">
        <v>24217</v>
      </c>
      <c r="H773" t="inlineStr">
        <is>
          <t>CUPIM KG</t>
        </is>
      </c>
      <c r="I773" t="inlineStr">
        <is>
          <t>ALIMENTOS</t>
        </is>
      </c>
      <c r="J773" t="n">
        <v>5.4</v>
      </c>
      <c r="K773" t="inlineStr">
        <is>
          <t>KG</t>
        </is>
      </c>
      <c r="L773" t="n">
        <v>188.95</v>
      </c>
      <c r="M773" t="n">
        <v>34.990741</v>
      </c>
      <c r="O773" t="inlineStr">
        <is>
          <t>08/2026</t>
        </is>
      </c>
    </row>
    <row r="774">
      <c r="A774" t="n">
        <v>255596</v>
      </c>
      <c r="B774" t="n">
        <v>180</v>
      </c>
      <c r="C774" t="inlineStr">
        <is>
          <t>Nuv Gastrobar</t>
        </is>
      </c>
      <c r="D774" t="inlineStr">
        <is>
          <t>WPP COMERCIO DE CARNES LTDA</t>
        </is>
      </c>
      <c r="E774" t="inlineStr">
        <is>
          <t>80996</t>
        </is>
      </c>
      <c r="F774" s="525" t="n">
        <v>46240</v>
      </c>
      <c r="G774" t="n">
        <v>25131</v>
      </c>
      <c r="H774" t="inlineStr">
        <is>
          <t>BLEND CARNE MOIDA 80% ACEM / 20% PEITO KG</t>
        </is>
      </c>
      <c r="I774" t="inlineStr">
        <is>
          <t>ALIMENTOS</t>
        </is>
      </c>
      <c r="J774" t="n">
        <v>2</v>
      </c>
      <c r="K774" t="inlineStr">
        <is>
          <t>KG</t>
        </is>
      </c>
      <c r="L774" t="n">
        <v>63.4</v>
      </c>
      <c r="M774" t="n">
        <v>31.7</v>
      </c>
      <c r="O774" t="inlineStr">
        <is>
          <t>08/2026</t>
        </is>
      </c>
    </row>
    <row r="775">
      <c r="A775" t="n">
        <v>255594</v>
      </c>
      <c r="B775" t="n">
        <v>180</v>
      </c>
      <c r="C775" t="inlineStr">
        <is>
          <t>Nuv Gastrobar</t>
        </is>
      </c>
      <c r="D775" t="inlineStr">
        <is>
          <t>MURILLO S DUARTE COMERCIAL LTDA</t>
        </is>
      </c>
      <c r="E775" t="inlineStr">
        <is>
          <t>2625</t>
        </is>
      </c>
      <c r="F775" s="525" t="n">
        <v>46238</v>
      </c>
      <c r="G775" t="n">
        <v>23229</v>
      </c>
      <c r="H775" t="inlineStr">
        <is>
          <t>CHIPS DE MANDIOCA KG</t>
        </is>
      </c>
      <c r="I775" t="inlineStr">
        <is>
          <t>ALIMENTOS</t>
        </is>
      </c>
      <c r="J775" t="n">
        <v>1</v>
      </c>
      <c r="K775" t="inlineStr">
        <is>
          <t>KG</t>
        </is>
      </c>
      <c r="L775" t="n">
        <v>129.9</v>
      </c>
      <c r="M775" t="n">
        <v>129.9</v>
      </c>
      <c r="O775" t="inlineStr">
        <is>
          <t>08/2026</t>
        </is>
      </c>
    </row>
    <row r="776">
      <c r="A776" t="n">
        <v>255594</v>
      </c>
      <c r="B776" t="n">
        <v>180</v>
      </c>
      <c r="C776" t="inlineStr">
        <is>
          <t>Nuv Gastrobar</t>
        </is>
      </c>
      <c r="D776" t="inlineStr">
        <is>
          <t>MURILLO S DUARTE COMERCIAL LTDA</t>
        </is>
      </c>
      <c r="E776" t="inlineStr">
        <is>
          <t>2625</t>
        </is>
      </c>
      <c r="F776" s="525" t="n">
        <v>46238</v>
      </c>
      <c r="G776" t="n">
        <v>20632</v>
      </c>
      <c r="H776" t="inlineStr">
        <is>
          <t>PALMITO PICADO PUPUNHA CUBO C/1,8KG</t>
        </is>
      </c>
      <c r="I776" t="inlineStr">
        <is>
          <t>ALIMENTOS</t>
        </is>
      </c>
      <c r="J776" t="n">
        <v>1</v>
      </c>
      <c r="K776" t="inlineStr">
        <is>
          <t>Un</t>
        </is>
      </c>
      <c r="L776" t="n">
        <v>51.8</v>
      </c>
      <c r="M776" t="n">
        <v>51.8</v>
      </c>
      <c r="O776" t="inlineStr">
        <is>
          <t>08/2026</t>
        </is>
      </c>
    </row>
    <row r="777">
      <c r="A777" t="n">
        <v>255593</v>
      </c>
      <c r="B777" t="n">
        <v>180</v>
      </c>
      <c r="C777" t="inlineStr">
        <is>
          <t>Nuv Gastrobar</t>
        </is>
      </c>
      <c r="D777" t="inlineStr">
        <is>
          <t>JR GAIOTTO ALIMENTOS LTDA</t>
        </is>
      </c>
      <c r="E777" t="inlineStr">
        <is>
          <t>103642</t>
        </is>
      </c>
      <c r="F777" s="525" t="n">
        <v>46239</v>
      </c>
      <c r="G777" t="n">
        <v>19792</v>
      </c>
      <c r="H777" t="inlineStr">
        <is>
          <t>FOLHA CAPUCHINHA 130G</t>
        </is>
      </c>
      <c r="I777" t="inlineStr">
        <is>
          <t>ALIMENTOS</t>
        </is>
      </c>
      <c r="J777" t="n">
        <v>2</v>
      </c>
      <c r="K777" t="inlineStr">
        <is>
          <t>BD</t>
        </is>
      </c>
      <c r="L777" t="n">
        <v>98.36</v>
      </c>
      <c r="M777" t="n">
        <v>49.18</v>
      </c>
      <c r="O777" t="inlineStr">
        <is>
          <t>08/2026</t>
        </is>
      </c>
    </row>
    <row r="778">
      <c r="A778" t="n">
        <v>255592</v>
      </c>
      <c r="B778" t="n">
        <v>180</v>
      </c>
      <c r="C778" t="inlineStr">
        <is>
          <t>Nuv Gastrobar</t>
        </is>
      </c>
      <c r="D778" t="inlineStr">
        <is>
          <t>MARIO PEDRO FELICIANO - HORTIFRUTI</t>
        </is>
      </c>
      <c r="E778" t="inlineStr">
        <is>
          <t>484939</t>
        </is>
      </c>
      <c r="F778" s="525" t="n">
        <v>46237</v>
      </c>
      <c r="G778" t="n">
        <v>27518</v>
      </c>
      <c r="H778" t="inlineStr">
        <is>
          <t xml:space="preserve">SHISSO C/10 UN </t>
        </is>
      </c>
      <c r="I778" t="inlineStr">
        <is>
          <t>ALIMENTOS</t>
        </is>
      </c>
      <c r="J778" t="n">
        <v>2</v>
      </c>
      <c r="K778" t="inlineStr">
        <is>
          <t>PC</t>
        </is>
      </c>
      <c r="L778" t="n">
        <v>19.96</v>
      </c>
      <c r="M778" t="n">
        <v>9.98</v>
      </c>
      <c r="O778" t="inlineStr">
        <is>
          <t>08/2026</t>
        </is>
      </c>
    </row>
    <row r="779">
      <c r="A779" t="n">
        <v>255592</v>
      </c>
      <c r="B779" t="n">
        <v>180</v>
      </c>
      <c r="C779" t="inlineStr">
        <is>
          <t>Nuv Gastrobar</t>
        </is>
      </c>
      <c r="D779" t="inlineStr">
        <is>
          <t>MARIO PEDRO FELICIANO - HORTIFRUTI</t>
        </is>
      </c>
      <c r="E779" t="inlineStr">
        <is>
          <t>484939</t>
        </is>
      </c>
      <c r="F779" s="525" t="n">
        <v>46237</v>
      </c>
      <c r="G779" t="n">
        <v>19743</v>
      </c>
      <c r="H779" t="inlineStr">
        <is>
          <t>MACA VERDE KG</t>
        </is>
      </c>
      <c r="I779" t="inlineStr">
        <is>
          <t>ALIMENTOS</t>
        </is>
      </c>
      <c r="J779" t="n">
        <v>1</v>
      </c>
      <c r="K779" t="inlineStr">
        <is>
          <t>KG</t>
        </is>
      </c>
      <c r="L779" t="n">
        <v>13.9</v>
      </c>
      <c r="M779" t="n">
        <v>13.9</v>
      </c>
      <c r="O779" t="inlineStr">
        <is>
          <t>08/2026</t>
        </is>
      </c>
    </row>
    <row r="780">
      <c r="A780" t="n">
        <v>255591</v>
      </c>
      <c r="B780" t="n">
        <v>180</v>
      </c>
      <c r="C780" t="inlineStr">
        <is>
          <t>Nuv Gastrobar</t>
        </is>
      </c>
      <c r="D780" t="inlineStr">
        <is>
          <t>CECILIA TSUYACO ARAKI SILVA LTDA</t>
        </is>
      </c>
      <c r="E780" t="inlineStr">
        <is>
          <t>396760</t>
        </is>
      </c>
      <c r="F780" s="525" t="n">
        <v>46238</v>
      </c>
      <c r="G780" t="n">
        <v>19752</v>
      </c>
      <c r="H780" t="inlineStr">
        <is>
          <t>LIMAO CRAVO KG</t>
        </is>
      </c>
      <c r="I780" t="inlineStr">
        <is>
          <t>ALIMENTOS</t>
        </is>
      </c>
      <c r="J780" t="n">
        <v>3</v>
      </c>
      <c r="K780" t="inlineStr">
        <is>
          <t>KG</t>
        </is>
      </c>
      <c r="L780" t="n">
        <v>22.5</v>
      </c>
      <c r="M780" t="n">
        <v>7.5</v>
      </c>
      <c r="O780" t="inlineStr">
        <is>
          <t>08/2026</t>
        </is>
      </c>
    </row>
    <row r="781">
      <c r="A781" t="n">
        <v>255591</v>
      </c>
      <c r="B781" t="n">
        <v>180</v>
      </c>
      <c r="C781" t="inlineStr">
        <is>
          <t>Nuv Gastrobar</t>
        </is>
      </c>
      <c r="D781" t="inlineStr">
        <is>
          <t>CECILIA TSUYACO ARAKI SILVA LTDA</t>
        </is>
      </c>
      <c r="E781" t="inlineStr">
        <is>
          <t>396760</t>
        </is>
      </c>
      <c r="F781" s="525" t="n">
        <v>46238</v>
      </c>
      <c r="G781" t="n">
        <v>19658</v>
      </c>
      <c r="H781" t="inlineStr">
        <is>
          <t>ABOBORA JAPONESA / CABOTIAN KG</t>
        </is>
      </c>
      <c r="I781" t="inlineStr">
        <is>
          <t>ALIMENTOS</t>
        </is>
      </c>
      <c r="J781" t="n">
        <v>3</v>
      </c>
      <c r="K781" t="inlineStr">
        <is>
          <t>KG</t>
        </is>
      </c>
      <c r="L781" t="n">
        <v>10.2</v>
      </c>
      <c r="M781" t="n">
        <v>3.4</v>
      </c>
      <c r="O781" t="inlineStr">
        <is>
          <t>08/2026</t>
        </is>
      </c>
    </row>
    <row r="782">
      <c r="A782" t="n">
        <v>255591</v>
      </c>
      <c r="B782" t="n">
        <v>180</v>
      </c>
      <c r="C782" t="inlineStr">
        <is>
          <t>Nuv Gastrobar</t>
        </is>
      </c>
      <c r="D782" t="inlineStr">
        <is>
          <t>CECILIA TSUYACO ARAKI SILVA LTDA</t>
        </is>
      </c>
      <c r="E782" t="inlineStr">
        <is>
          <t>396760</t>
        </is>
      </c>
      <c r="F782" s="525" t="n">
        <v>46238</v>
      </c>
      <c r="G782" t="n">
        <v>23108</v>
      </c>
      <c r="H782" t="inlineStr">
        <is>
          <t>TOMILHO KG</t>
        </is>
      </c>
      <c r="I782" t="inlineStr">
        <is>
          <t>ALIMENTOS</t>
        </is>
      </c>
      <c r="J782" t="n">
        <v>0.15</v>
      </c>
      <c r="K782" t="inlineStr">
        <is>
          <t>KG</t>
        </is>
      </c>
      <c r="L782" t="n">
        <v>12</v>
      </c>
      <c r="M782" t="n">
        <v>80</v>
      </c>
      <c r="O782" t="inlineStr">
        <is>
          <t>08/2026</t>
        </is>
      </c>
    </row>
    <row r="783">
      <c r="A783" t="n">
        <v>255591</v>
      </c>
      <c r="B783" t="n">
        <v>180</v>
      </c>
      <c r="C783" t="inlineStr">
        <is>
          <t>Nuv Gastrobar</t>
        </is>
      </c>
      <c r="D783" t="inlineStr">
        <is>
          <t>CECILIA TSUYACO ARAKI SILVA LTDA</t>
        </is>
      </c>
      <c r="E783" t="inlineStr">
        <is>
          <t>396760</t>
        </is>
      </c>
      <c r="F783" s="525" t="n">
        <v>46238</v>
      </c>
      <c r="G783" t="n">
        <v>19575</v>
      </c>
      <c r="H783" t="inlineStr">
        <is>
          <t>PIMENTA DE CHEIRO VERDE KG</t>
        </is>
      </c>
      <c r="I783" t="inlineStr">
        <is>
          <t>ALIMENTOS</t>
        </is>
      </c>
      <c r="J783" t="n">
        <v>0.1</v>
      </c>
      <c r="K783" t="inlineStr">
        <is>
          <t>KG</t>
        </is>
      </c>
      <c r="L783" t="n">
        <v>4</v>
      </c>
      <c r="M783" t="n">
        <v>40</v>
      </c>
      <c r="O783" t="inlineStr">
        <is>
          <t>08/2026</t>
        </is>
      </c>
    </row>
    <row r="784">
      <c r="A784" t="n">
        <v>255591</v>
      </c>
      <c r="B784" t="n">
        <v>180</v>
      </c>
      <c r="C784" t="inlineStr">
        <is>
          <t>Nuv Gastrobar</t>
        </is>
      </c>
      <c r="D784" t="inlineStr">
        <is>
          <t>CECILIA TSUYACO ARAKI SILVA LTDA</t>
        </is>
      </c>
      <c r="E784" t="inlineStr">
        <is>
          <t>396760</t>
        </is>
      </c>
      <c r="F784" s="525" t="n">
        <v>46238</v>
      </c>
      <c r="G784" t="n">
        <v>19558</v>
      </c>
      <c r="H784" t="inlineStr">
        <is>
          <t>QUIABO KG</t>
        </is>
      </c>
      <c r="I784" t="inlineStr">
        <is>
          <t>ALIMENTOS</t>
        </is>
      </c>
      <c r="J784" t="n">
        <v>1</v>
      </c>
      <c r="K784" t="inlineStr">
        <is>
          <t>KG</t>
        </is>
      </c>
      <c r="L784" t="n">
        <v>15</v>
      </c>
      <c r="M784" t="n">
        <v>15</v>
      </c>
      <c r="O784" t="inlineStr">
        <is>
          <t>08/2026</t>
        </is>
      </c>
    </row>
    <row r="785">
      <c r="A785" t="n">
        <v>255591</v>
      </c>
      <c r="B785" t="n">
        <v>180</v>
      </c>
      <c r="C785" t="inlineStr">
        <is>
          <t>Nuv Gastrobar</t>
        </is>
      </c>
      <c r="D785" t="inlineStr">
        <is>
          <t>CECILIA TSUYACO ARAKI SILVA LTDA</t>
        </is>
      </c>
      <c r="E785" t="inlineStr">
        <is>
          <t>396760</t>
        </is>
      </c>
      <c r="F785" s="525" t="n">
        <v>46238</v>
      </c>
      <c r="G785" t="n">
        <v>23390</v>
      </c>
      <c r="H785" t="inlineStr">
        <is>
          <t>BANANA DA TERRA KG</t>
        </is>
      </c>
      <c r="I785" t="inlineStr">
        <is>
          <t>ALIMENTOS</t>
        </is>
      </c>
      <c r="J785" t="n">
        <v>2</v>
      </c>
      <c r="K785" t="inlineStr">
        <is>
          <t>KG</t>
        </is>
      </c>
      <c r="L785" t="n">
        <v>22</v>
      </c>
      <c r="M785" t="n">
        <v>11</v>
      </c>
      <c r="O785" t="inlineStr">
        <is>
          <t>08/2026</t>
        </is>
      </c>
    </row>
    <row r="786">
      <c r="A786" t="n">
        <v>255589</v>
      </c>
      <c r="B786" t="n">
        <v>180</v>
      </c>
      <c r="C786" t="inlineStr">
        <is>
          <t>Nuv Gastrobar</t>
        </is>
      </c>
      <c r="D786" t="inlineStr">
        <is>
          <t>CECILIA TSUYACO ARAKI SILVA LTDA</t>
        </is>
      </c>
      <c r="E786" t="inlineStr">
        <is>
          <t>397010</t>
        </is>
      </c>
      <c r="F786" s="525" t="n">
        <v>46241</v>
      </c>
      <c r="G786" t="n">
        <v>19740</v>
      </c>
      <c r="H786" t="inlineStr">
        <is>
          <t>MARACUJA AZEDO KG</t>
        </is>
      </c>
      <c r="I786" t="inlineStr">
        <is>
          <t>ALIMENTOS</t>
        </is>
      </c>
      <c r="J786" t="n">
        <v>35</v>
      </c>
      <c r="K786" t="inlineStr">
        <is>
          <t>KG</t>
        </is>
      </c>
      <c r="L786" t="n">
        <v>455</v>
      </c>
      <c r="M786" t="n">
        <v>13</v>
      </c>
      <c r="O786" t="inlineStr">
        <is>
          <t>08/2026</t>
        </is>
      </c>
    </row>
    <row r="787">
      <c r="A787" t="n">
        <v>255589</v>
      </c>
      <c r="B787" t="n">
        <v>180</v>
      </c>
      <c r="C787" t="inlineStr">
        <is>
          <t>Nuv Gastrobar</t>
        </is>
      </c>
      <c r="D787" t="inlineStr">
        <is>
          <t>CECILIA TSUYACO ARAKI SILVA LTDA</t>
        </is>
      </c>
      <c r="E787" t="inlineStr">
        <is>
          <t>397010</t>
        </is>
      </c>
      <c r="F787" s="525" t="n">
        <v>46241</v>
      </c>
      <c r="G787" t="n">
        <v>19751</v>
      </c>
      <c r="H787" t="inlineStr">
        <is>
          <t>LIMAO SICILIANO KG</t>
        </is>
      </c>
      <c r="I787" t="inlineStr">
        <is>
          <t>ALIMENTOS</t>
        </is>
      </c>
      <c r="J787" t="n">
        <v>30</v>
      </c>
      <c r="K787" t="inlineStr">
        <is>
          <t>KG</t>
        </is>
      </c>
      <c r="L787" t="n">
        <v>240</v>
      </c>
      <c r="M787" t="n">
        <v>8</v>
      </c>
      <c r="O787" t="inlineStr">
        <is>
          <t>08/2026</t>
        </is>
      </c>
    </row>
    <row r="788">
      <c r="A788" t="n">
        <v>255587</v>
      </c>
      <c r="B788" t="n">
        <v>180</v>
      </c>
      <c r="C788" t="inlineStr">
        <is>
          <t>Nuv Gastrobar</t>
        </is>
      </c>
      <c r="D788" t="inlineStr">
        <is>
          <t>DO CHEF DISTRIBUIDORA DE ALIMENTOS LTDA</t>
        </is>
      </c>
      <c r="E788" t="inlineStr">
        <is>
          <t>3655</t>
        </is>
      </c>
      <c r="F788" s="525" t="n">
        <v>46241</v>
      </c>
      <c r="G788" t="n">
        <v>23361</v>
      </c>
      <c r="H788" t="inlineStr">
        <is>
          <t>LARANJA PERA KG</t>
        </is>
      </c>
      <c r="I788" t="inlineStr">
        <is>
          <t>ALIMENTOS</t>
        </is>
      </c>
      <c r="J788" t="n">
        <v>80</v>
      </c>
      <c r="K788" t="inlineStr">
        <is>
          <t>KG</t>
        </is>
      </c>
      <c r="L788" t="n">
        <v>199.2</v>
      </c>
      <c r="M788" t="n">
        <v>2.49</v>
      </c>
      <c r="O788" t="inlineStr">
        <is>
          <t>08/2026</t>
        </is>
      </c>
    </row>
    <row r="789">
      <c r="A789" t="n">
        <v>255586</v>
      </c>
      <c r="B789" t="n">
        <v>180</v>
      </c>
      <c r="C789" t="inlineStr">
        <is>
          <t>Nuv Gastrobar</t>
        </is>
      </c>
      <c r="D789" t="inlineStr">
        <is>
          <t>MARIO PEDRO FELICIANO - HORTIFRUTI</t>
        </is>
      </c>
      <c r="E789" t="inlineStr">
        <is>
          <t>485478</t>
        </is>
      </c>
      <c r="F789" s="525" t="n">
        <v>46241</v>
      </c>
      <c r="G789" t="n">
        <v>19476</v>
      </c>
      <c r="H789" t="inlineStr">
        <is>
          <t>MANJERICAO KG</t>
        </is>
      </c>
      <c r="I789" t="inlineStr">
        <is>
          <t>ALIMENTOS</t>
        </is>
      </c>
      <c r="J789" t="n">
        <v>0.57</v>
      </c>
      <c r="K789" t="inlineStr">
        <is>
          <t>KG</t>
        </is>
      </c>
      <c r="L789" t="n">
        <v>32.6</v>
      </c>
      <c r="M789" t="n">
        <v>57.192982</v>
      </c>
      <c r="O789" t="inlineStr">
        <is>
          <t>08/2026</t>
        </is>
      </c>
    </row>
    <row r="790">
      <c r="A790" t="n">
        <v>255586</v>
      </c>
      <c r="B790" t="n">
        <v>180</v>
      </c>
      <c r="C790" t="inlineStr">
        <is>
          <t>Nuv Gastrobar</t>
        </is>
      </c>
      <c r="D790" t="inlineStr">
        <is>
          <t>MARIO PEDRO FELICIANO - HORTIFRUTI</t>
        </is>
      </c>
      <c r="E790" t="inlineStr">
        <is>
          <t>485478</t>
        </is>
      </c>
      <c r="F790" s="525" t="n">
        <v>46241</v>
      </c>
      <c r="G790" t="n">
        <v>23359</v>
      </c>
      <c r="H790" t="inlineStr">
        <is>
          <t>LIMAO TAHITI KG</t>
        </is>
      </c>
      <c r="I790" t="inlineStr">
        <is>
          <t>ALIMENTOS</t>
        </is>
      </c>
      <c r="J790" t="n">
        <v>30</v>
      </c>
      <c r="K790" t="inlineStr">
        <is>
          <t>KG</t>
        </is>
      </c>
      <c r="L790" t="n">
        <v>204</v>
      </c>
      <c r="M790" t="n">
        <v>6.8</v>
      </c>
      <c r="O790" t="inlineStr">
        <is>
          <t>08/2026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ID_Contagem</t>
        </is>
      </c>
      <c r="B1" t="inlineStr">
        <is>
          <t>ID_Loja</t>
        </is>
      </c>
      <c r="C1" t="inlineStr">
        <is>
          <t>Loja</t>
        </is>
      </c>
      <c r="D1" t="inlineStr">
        <is>
          <t>Data_Contagem</t>
        </is>
      </c>
      <c r="E1" t="inlineStr">
        <is>
          <t>ID_Insumo</t>
        </is>
      </c>
      <c r="F1" t="inlineStr">
        <is>
          <t>Insumo</t>
        </is>
      </c>
      <c r="G1" t="inlineStr">
        <is>
          <t>ID_Nivel_4</t>
        </is>
      </c>
      <c r="H1" t="inlineStr">
        <is>
          <t>Quantidade</t>
        </is>
      </c>
      <c r="I1" t="inlineStr">
        <is>
          <t>Unidade_Medida</t>
        </is>
      </c>
      <c r="J1" t="inlineStr">
        <is>
          <t>Categoria_Insumo</t>
        </is>
      </c>
      <c r="K1" t="inlineStr">
        <is>
          <t>Mes_Texto</t>
        </is>
      </c>
      <c r="L1" t="inlineStr">
        <is>
          <t>Preco_Medio_Pago_no_Mes</t>
        </is>
      </c>
      <c r="M1" t="inlineStr">
        <is>
          <t>Data_Ultima_Compra</t>
        </is>
      </c>
      <c r="N1" t="inlineStr">
        <is>
          <t>Valor_Ultima_Compra</t>
        </is>
      </c>
      <c r="O1" t="inlineStr">
        <is>
          <t>Valor_Ultima_Compra_Global</t>
        </is>
      </c>
      <c r="P1" t="inlineStr">
        <is>
          <t>Valor_em_Estoque</t>
        </is>
      </c>
      <c r="Q1" t="inlineStr">
        <is>
          <t>Observacao</t>
        </is>
      </c>
      <c r="R1" t="inlineStr">
        <is>
          <t>ID_Agrupam_Contagens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ID_Insumo_Nivel_5</t>
        </is>
      </c>
      <c r="C1" t="inlineStr">
        <is>
          <t>Nome_Insumo_Nivel_5</t>
        </is>
      </c>
      <c r="D1" t="inlineStr">
        <is>
          <t>Mes_Texto</t>
        </is>
      </c>
      <c r="E1" t="inlineStr">
        <is>
          <t>Quantidade_Comprada_no_Mes</t>
        </is>
      </c>
      <c r="F1" t="inlineStr">
        <is>
          <t>Valor_Total_Pago_no_Mes</t>
        </is>
      </c>
      <c r="G1" t="inlineStr">
        <is>
          <t>Preco_Medio_Pago_no_Mes</t>
        </is>
      </c>
    </row>
    <row r="2">
      <c r="A2" t="inlineStr">
        <is>
          <t>Nuv Gastrobar</t>
        </is>
      </c>
      <c r="B2" t="n">
        <v>19789</v>
      </c>
      <c r="C2" t="inlineStr">
        <is>
          <t>ABACATE AVOCADO KG</t>
        </is>
      </c>
      <c r="D2" t="inlineStr">
        <is>
          <t>09/2026</t>
        </is>
      </c>
      <c r="E2" t="n">
        <v>0.5</v>
      </c>
      <c r="F2" t="n">
        <v>5.01</v>
      </c>
      <c r="G2" t="n">
        <v>10.02</v>
      </c>
    </row>
    <row r="3">
      <c r="A3" t="inlineStr">
        <is>
          <t>Nuv Gastrobar</t>
        </is>
      </c>
      <c r="B3" t="n">
        <v>19658</v>
      </c>
      <c r="C3" t="inlineStr">
        <is>
          <t>ABOBORA JAPONESA / CABOTIAN KG</t>
        </is>
      </c>
      <c r="D3" t="inlineStr">
        <is>
          <t>09/2026</t>
        </is>
      </c>
      <c r="E3" t="n">
        <v>3.1</v>
      </c>
      <c r="F3" t="n">
        <v>9.609999999999999</v>
      </c>
      <c r="G3" t="n">
        <v>3.1</v>
      </c>
    </row>
    <row r="4">
      <c r="A4" t="inlineStr">
        <is>
          <t>Nuv Gastrobar</t>
        </is>
      </c>
      <c r="B4" t="n">
        <v>28954</v>
      </c>
      <c r="C4" t="inlineStr">
        <is>
          <t>AGUA MINERAL COM GAS MAMBA 350ML C/12</t>
        </is>
      </c>
      <c r="D4" t="inlineStr">
        <is>
          <t>09/2026</t>
        </is>
      </c>
      <c r="E4" t="n">
        <v>40</v>
      </c>
      <c r="F4" t="n">
        <v>1305.6</v>
      </c>
      <c r="G4" t="n">
        <v>32.64</v>
      </c>
    </row>
    <row r="5">
      <c r="A5" t="inlineStr">
        <is>
          <t>Nuv Gastrobar</t>
        </is>
      </c>
      <c r="B5" t="n">
        <v>17266</v>
      </c>
      <c r="C5" t="inlineStr">
        <is>
          <t>ALCOOL 46º LIQUIDO 1L UN</t>
        </is>
      </c>
      <c r="D5" t="inlineStr">
        <is>
          <t>09/2026</t>
        </is>
      </c>
      <c r="E5" t="n">
        <v>20</v>
      </c>
      <c r="F5" t="n">
        <v>104</v>
      </c>
      <c r="G5" t="n">
        <v>5.2</v>
      </c>
    </row>
    <row r="6">
      <c r="A6" t="inlineStr">
        <is>
          <t>Nuv Gastrobar</t>
        </is>
      </c>
      <c r="B6" t="n">
        <v>19457</v>
      </c>
      <c r="C6" t="inlineStr">
        <is>
          <t>ALFACE AMERICANA HIGIENIZADO KG</t>
        </is>
      </c>
      <c r="D6" t="inlineStr">
        <is>
          <t>09/2026</t>
        </is>
      </c>
      <c r="E6" t="n">
        <v>1</v>
      </c>
      <c r="F6" t="n">
        <v>25.39</v>
      </c>
      <c r="G6" t="n">
        <v>25.39</v>
      </c>
    </row>
    <row r="7">
      <c r="A7" t="inlineStr">
        <is>
          <t>Nuv Gastrobar</t>
        </is>
      </c>
      <c r="B7" t="n">
        <v>26628</v>
      </c>
      <c r="C7" t="inlineStr">
        <is>
          <t>ALFACE ROXA CRESPA HIGIENIZADA KG</t>
        </is>
      </c>
      <c r="D7" t="inlineStr">
        <is>
          <t>09/2026</t>
        </is>
      </c>
      <c r="E7" t="n">
        <v>1</v>
      </c>
      <c r="F7" t="n">
        <v>25.42</v>
      </c>
      <c r="G7" t="n">
        <v>25.42</v>
      </c>
    </row>
    <row r="8">
      <c r="A8" t="inlineStr">
        <is>
          <t>Nuv Gastrobar</t>
        </is>
      </c>
      <c r="B8" t="n">
        <v>20301</v>
      </c>
      <c r="C8" t="inlineStr">
        <is>
          <t>ARROZ BRANCO TIPO 1 CAMIL C/5KG</t>
        </is>
      </c>
      <c r="D8" t="inlineStr">
        <is>
          <t>09/2026</t>
        </is>
      </c>
      <c r="E8" t="n">
        <v>20</v>
      </c>
      <c r="F8" t="n">
        <v>405</v>
      </c>
      <c r="G8" t="n">
        <v>20.25</v>
      </c>
    </row>
    <row r="9">
      <c r="A9" t="inlineStr">
        <is>
          <t>Nuv Gastrobar</t>
        </is>
      </c>
      <c r="B9" t="n">
        <v>19632</v>
      </c>
      <c r="C9" t="inlineStr">
        <is>
          <t>BETERRABA KG</t>
        </is>
      </c>
      <c r="D9" t="inlineStr">
        <is>
          <t>09/2026</t>
        </is>
      </c>
      <c r="E9" t="n">
        <v>2</v>
      </c>
      <c r="F9" t="n">
        <v>5.72</v>
      </c>
      <c r="G9" t="n">
        <v>2.86</v>
      </c>
    </row>
    <row r="10">
      <c r="A10" t="inlineStr">
        <is>
          <t>Nuv Gastrobar</t>
        </is>
      </c>
      <c r="B10" t="n">
        <v>23826</v>
      </c>
      <c r="C10" t="inlineStr">
        <is>
          <t>BISCOITO DE MAIZENA NESTLE TOSTINES 200G</t>
        </is>
      </c>
      <c r="D10" t="inlineStr">
        <is>
          <t>09/2026</t>
        </is>
      </c>
      <c r="E10" t="n">
        <v>10</v>
      </c>
      <c r="F10" t="n">
        <v>36.8</v>
      </c>
      <c r="G10" t="n">
        <v>3.68</v>
      </c>
    </row>
    <row r="11">
      <c r="A11" t="inlineStr">
        <is>
          <t>Nuv Gastrobar</t>
        </is>
      </c>
      <c r="B11" t="n">
        <v>25131</v>
      </c>
      <c r="C11" t="inlineStr">
        <is>
          <t>BLEND CARNE MOIDA 80% ACEM / 20% PEITO KG</t>
        </is>
      </c>
      <c r="D11" t="inlineStr">
        <is>
          <t>09/2026</t>
        </is>
      </c>
      <c r="E11" t="n">
        <v>15.5</v>
      </c>
      <c r="F11" t="n">
        <v>523.9</v>
      </c>
      <c r="G11" t="n">
        <v>33.8</v>
      </c>
    </row>
    <row r="12">
      <c r="A12" t="inlineStr">
        <is>
          <t>Nuv Gastrobar</t>
        </is>
      </c>
      <c r="B12" t="n">
        <v>17564</v>
      </c>
      <c r="C12" t="inlineStr">
        <is>
          <t>BOBINA DE PLÁSTICO FILME PVC  60CMX600M UN</t>
        </is>
      </c>
      <c r="D12" t="inlineStr">
        <is>
          <t>09/2026</t>
        </is>
      </c>
      <c r="E12" t="n">
        <v>2</v>
      </c>
      <c r="F12" t="n">
        <v>249.04</v>
      </c>
      <c r="G12" t="n">
        <v>124.52</v>
      </c>
    </row>
    <row r="13">
      <c r="A13" t="inlineStr">
        <is>
          <t>Nuv Gastrobar</t>
        </is>
      </c>
      <c r="B13" t="n">
        <v>19621</v>
      </c>
      <c r="C13" t="inlineStr">
        <is>
          <t>CENOURA KG</t>
        </is>
      </c>
      <c r="D13" t="inlineStr">
        <is>
          <t>09/2026</t>
        </is>
      </c>
      <c r="E13" t="n">
        <v>2</v>
      </c>
      <c r="F13" t="n">
        <v>9.6</v>
      </c>
      <c r="G13" t="n">
        <v>4.8</v>
      </c>
    </row>
    <row r="14">
      <c r="A14" t="inlineStr">
        <is>
          <t>Nuv Gastrobar</t>
        </is>
      </c>
      <c r="B14" t="n">
        <v>23229</v>
      </c>
      <c r="C14" t="inlineStr">
        <is>
          <t>CHIPS DE MANDIOCA KG</t>
        </is>
      </c>
      <c r="D14" t="inlineStr">
        <is>
          <t>09/2026</t>
        </is>
      </c>
      <c r="E14" t="n">
        <v>2</v>
      </c>
      <c r="F14" t="n">
        <v>254</v>
      </c>
      <c r="G14" t="n">
        <v>127</v>
      </c>
    </row>
    <row r="15">
      <c r="A15" t="inlineStr">
        <is>
          <t>Nuv Gastrobar</t>
        </is>
      </c>
      <c r="B15" t="n">
        <v>26187</v>
      </c>
      <c r="C15" t="inlineStr">
        <is>
          <t>CHOCOLATE EM GOTAS BRANCO SICAO 2,05KG UN</t>
        </is>
      </c>
      <c r="D15" t="inlineStr">
        <is>
          <t>09/2026</t>
        </is>
      </c>
      <c r="E15" t="n">
        <v>2</v>
      </c>
      <c r="F15" t="n">
        <v>399.98</v>
      </c>
      <c r="G15" t="n">
        <v>199.99</v>
      </c>
    </row>
    <row r="16">
      <c r="A16" t="inlineStr">
        <is>
          <t>Nuv Gastrobar</t>
        </is>
      </c>
      <c r="B16" t="n">
        <v>20941</v>
      </c>
      <c r="C16" t="inlineStr">
        <is>
          <t>CHOCOLATE EM GOTAS MEIO AMARGO SICAO C/2,05KG</t>
        </is>
      </c>
      <c r="D16" t="inlineStr">
        <is>
          <t>09/2026</t>
        </is>
      </c>
      <c r="E16" t="n">
        <v>4</v>
      </c>
      <c r="F16" t="n">
        <v>729.2</v>
      </c>
      <c r="G16" t="n">
        <v>182.3</v>
      </c>
    </row>
    <row r="17">
      <c r="A17" t="inlineStr">
        <is>
          <t>Nuv Gastrobar</t>
        </is>
      </c>
      <c r="B17" t="n">
        <v>18395</v>
      </c>
      <c r="C17" t="inlineStr">
        <is>
          <t>CONHAQUE DOMECQ 1L GR</t>
        </is>
      </c>
      <c r="D17" t="inlineStr">
        <is>
          <t>09/2026</t>
        </is>
      </c>
      <c r="E17" t="n">
        <v>2</v>
      </c>
      <c r="F17" t="n">
        <v>63.8</v>
      </c>
      <c r="G17" t="n">
        <v>31.9</v>
      </c>
    </row>
    <row r="18">
      <c r="A18" t="inlineStr">
        <is>
          <t>Nuv Gastrobar</t>
        </is>
      </c>
      <c r="B18" t="n">
        <v>18844</v>
      </c>
      <c r="C18" t="inlineStr">
        <is>
          <t>CONTRA FILE COM NOIX KG</t>
        </is>
      </c>
      <c r="D18" t="inlineStr">
        <is>
          <t>09/2026</t>
        </is>
      </c>
      <c r="E18" t="n">
        <v>19.1</v>
      </c>
      <c r="F18" t="n">
        <v>882.42</v>
      </c>
      <c r="G18" t="n">
        <v>46.2</v>
      </c>
    </row>
    <row r="19">
      <c r="A19" t="inlineStr">
        <is>
          <t>Nuv Gastrobar</t>
        </is>
      </c>
      <c r="B19" t="n">
        <v>30202</v>
      </c>
      <c r="C19" t="inlineStr">
        <is>
          <t>COULIS SIET PC C/250GM UN</t>
        </is>
      </c>
      <c r="D19" t="inlineStr">
        <is>
          <t>09/2026</t>
        </is>
      </c>
      <c r="E19" t="n">
        <v>2</v>
      </c>
      <c r="F19" t="n">
        <v>28.24</v>
      </c>
      <c r="G19" t="n">
        <v>14.12</v>
      </c>
    </row>
    <row r="20">
      <c r="A20" t="inlineStr">
        <is>
          <t>Nuv Gastrobar</t>
        </is>
      </c>
      <c r="B20" t="n">
        <v>19034</v>
      </c>
      <c r="C20" t="inlineStr">
        <is>
          <t>COXA E SOBRECOXA COM OSSO E COM PELE KG</t>
        </is>
      </c>
      <c r="D20" t="inlineStr">
        <is>
          <t>09/2026</t>
        </is>
      </c>
      <c r="E20" t="n">
        <v>16</v>
      </c>
      <c r="F20" t="n">
        <v>156.8</v>
      </c>
      <c r="G20" t="n">
        <v>9.800000000000001</v>
      </c>
    </row>
    <row r="21">
      <c r="A21" t="inlineStr">
        <is>
          <t>Nuv Gastrobar</t>
        </is>
      </c>
      <c r="B21" t="n">
        <v>20689</v>
      </c>
      <c r="C21" t="inlineStr">
        <is>
          <t>CREME DE LEITE FRESCO QUATA C/1,01LT</t>
        </is>
      </c>
      <c r="D21" t="inlineStr">
        <is>
          <t>09/2026</t>
        </is>
      </c>
      <c r="E21" t="n">
        <v>12</v>
      </c>
      <c r="F21" t="n">
        <v>378.6</v>
      </c>
      <c r="G21" t="n">
        <v>31.55</v>
      </c>
    </row>
    <row r="22">
      <c r="A22" t="inlineStr">
        <is>
          <t>Nuv Gastrobar</t>
        </is>
      </c>
      <c r="B22" t="n">
        <v>27477</v>
      </c>
      <c r="C22" t="inlineStr">
        <is>
          <t>CROISSANT PREMIUM 70G C/ 18 UNIDADES CX</t>
        </is>
      </c>
      <c r="D22" t="inlineStr">
        <is>
          <t>09/2026</t>
        </is>
      </c>
      <c r="E22" t="n">
        <v>10</v>
      </c>
      <c r="F22" t="n">
        <v>1233</v>
      </c>
      <c r="G22" t="n">
        <v>123.3</v>
      </c>
    </row>
    <row r="23">
      <c r="A23" t="inlineStr">
        <is>
          <t>Nuv Gastrobar</t>
        </is>
      </c>
      <c r="B23" t="n">
        <v>30367</v>
      </c>
      <c r="C23" t="inlineStr">
        <is>
          <t>ESPUMANTE LYS D'OR BRUT BORDEUAX 750ML UN</t>
        </is>
      </c>
      <c r="D23" t="inlineStr">
        <is>
          <t>09/2026</t>
        </is>
      </c>
      <c r="E23" t="n">
        <v>13</v>
      </c>
      <c r="F23" t="n">
        <v>802.75</v>
      </c>
      <c r="G23" t="n">
        <v>61.75</v>
      </c>
    </row>
    <row r="24">
      <c r="A24" t="inlineStr">
        <is>
          <t>Nuv Gastrobar</t>
        </is>
      </c>
      <c r="B24" t="n">
        <v>26366</v>
      </c>
      <c r="C24" t="inlineStr">
        <is>
          <t>ETIQUETA ROLO BOPP 60X40MM C/1000UN</t>
        </is>
      </c>
      <c r="D24" t="inlineStr">
        <is>
          <t>09/2026</t>
        </is>
      </c>
      <c r="E24" t="n">
        <v>3</v>
      </c>
      <c r="F24" t="n">
        <v>224.7</v>
      </c>
      <c r="G24" t="n">
        <v>74.90000000000001</v>
      </c>
    </row>
    <row r="25">
      <c r="A25" t="inlineStr">
        <is>
          <t>Nuv Gastrobar</t>
        </is>
      </c>
      <c r="B25" t="n">
        <v>17902</v>
      </c>
      <c r="C25" t="inlineStr">
        <is>
          <t>FANTA GUARANA LATA 350ML C/6</t>
        </is>
      </c>
      <c r="D25" t="inlineStr">
        <is>
          <t>09/2026</t>
        </is>
      </c>
      <c r="E25" t="n">
        <v>10</v>
      </c>
      <c r="F25" t="n">
        <v>180.1</v>
      </c>
      <c r="G25" t="n">
        <v>18.01</v>
      </c>
    </row>
    <row r="26">
      <c r="A26" t="inlineStr">
        <is>
          <t>Nuv Gastrobar</t>
        </is>
      </c>
      <c r="B26" t="n">
        <v>19017</v>
      </c>
      <c r="C26" t="inlineStr">
        <is>
          <t>FILE DE FRANGO KG</t>
        </is>
      </c>
      <c r="D26" t="inlineStr">
        <is>
          <t>09/2026</t>
        </is>
      </c>
      <c r="E26" t="n">
        <v>20</v>
      </c>
      <c r="F26" t="n">
        <v>299.8</v>
      </c>
      <c r="G26" t="n">
        <v>14.99</v>
      </c>
    </row>
    <row r="27">
      <c r="A27" t="inlineStr">
        <is>
          <t>Nuv Gastrobar</t>
        </is>
      </c>
      <c r="B27" t="n">
        <v>30376</v>
      </c>
      <c r="C27" t="inlineStr">
        <is>
          <t>FOLHADO DE MAÇA E CANELA LPQ 45G CX C/100 UN</t>
        </is>
      </c>
      <c r="D27" t="inlineStr">
        <is>
          <t>09/2026</t>
        </is>
      </c>
      <c r="E27" t="n">
        <v>2</v>
      </c>
      <c r="F27" t="n">
        <v>550</v>
      </c>
      <c r="G27" t="n">
        <v>275</v>
      </c>
    </row>
    <row r="28">
      <c r="A28" t="inlineStr">
        <is>
          <t>Nuv Gastrobar</t>
        </is>
      </c>
      <c r="B28" t="n">
        <v>20861</v>
      </c>
      <c r="C28" t="inlineStr">
        <is>
          <t>GEMA DE OVO PASTEURIZADA NETTO C/1KG UN</t>
        </is>
      </c>
      <c r="D28" t="inlineStr">
        <is>
          <t>09/2026</t>
        </is>
      </c>
      <c r="E28" t="n">
        <v>12</v>
      </c>
      <c r="F28" t="n">
        <v>560.4</v>
      </c>
      <c r="G28" t="n">
        <v>46.7</v>
      </c>
    </row>
    <row r="29">
      <c r="A29" t="inlineStr">
        <is>
          <t>Nuv Gastrobar</t>
        </is>
      </c>
      <c r="B29" t="n">
        <v>23365</v>
      </c>
      <c r="C29" t="inlineStr">
        <is>
          <t>KIWI KG</t>
        </is>
      </c>
      <c r="D29" t="inlineStr">
        <is>
          <t>09/2026</t>
        </is>
      </c>
      <c r="E29" t="n">
        <v>1</v>
      </c>
      <c r="F29" t="n">
        <v>27</v>
      </c>
      <c r="G29" t="n">
        <v>27</v>
      </c>
    </row>
    <row r="30">
      <c r="A30" t="inlineStr">
        <is>
          <t>Nuv Gastrobar</t>
        </is>
      </c>
      <c r="B30" t="n">
        <v>19759</v>
      </c>
      <c r="C30" t="inlineStr">
        <is>
          <t>LARANJA BAHIA KG</t>
        </is>
      </c>
      <c r="D30" t="inlineStr">
        <is>
          <t>09/2026</t>
        </is>
      </c>
      <c r="E30" t="n">
        <v>10</v>
      </c>
      <c r="F30" t="n">
        <v>57.9</v>
      </c>
      <c r="G30" t="n">
        <v>5.79</v>
      </c>
    </row>
    <row r="31">
      <c r="A31" t="inlineStr">
        <is>
          <t>Nuv Gastrobar</t>
        </is>
      </c>
      <c r="B31" t="n">
        <v>19751</v>
      </c>
      <c r="C31" t="inlineStr">
        <is>
          <t>LIMAO SICILIANO KG</t>
        </is>
      </c>
      <c r="D31" t="inlineStr">
        <is>
          <t>09/2026</t>
        </is>
      </c>
      <c r="E31" t="n">
        <v>10</v>
      </c>
      <c r="F31" t="n">
        <v>62</v>
      </c>
      <c r="G31" t="n">
        <v>6.2</v>
      </c>
    </row>
    <row r="32">
      <c r="A32" t="inlineStr">
        <is>
          <t>Nuv Gastrobar</t>
        </is>
      </c>
      <c r="B32" t="n">
        <v>20136</v>
      </c>
      <c r="C32" t="inlineStr">
        <is>
          <t>MACARRAO ESPAGUETE C/ OVOS ADRIA C/500G</t>
        </is>
      </c>
      <c r="D32" t="inlineStr">
        <is>
          <t>09/2026</t>
        </is>
      </c>
      <c r="E32" t="n">
        <v>15</v>
      </c>
      <c r="F32" t="n">
        <v>64.5</v>
      </c>
      <c r="G32" t="n">
        <v>4.3</v>
      </c>
    </row>
    <row r="33">
      <c r="A33" t="inlineStr">
        <is>
          <t>Nuv Gastrobar</t>
        </is>
      </c>
      <c r="B33" t="n">
        <v>23346</v>
      </c>
      <c r="C33" t="inlineStr">
        <is>
          <t>MANGA PALMER KG</t>
        </is>
      </c>
      <c r="D33" t="inlineStr">
        <is>
          <t>09/2026</t>
        </is>
      </c>
      <c r="E33" t="n">
        <v>1</v>
      </c>
      <c r="F33" t="n">
        <v>6.25</v>
      </c>
      <c r="G33" t="n">
        <v>6.25</v>
      </c>
    </row>
    <row r="34">
      <c r="A34" t="inlineStr">
        <is>
          <t>Nuv Gastrobar</t>
        </is>
      </c>
      <c r="B34" t="n">
        <v>19405</v>
      </c>
      <c r="C34" t="inlineStr">
        <is>
          <t>MANTEIGA S/ SAL TRES MARIAS 5KG KG UN</t>
        </is>
      </c>
      <c r="D34" t="inlineStr">
        <is>
          <t>09/2026</t>
        </is>
      </c>
      <c r="E34" t="n">
        <v>3</v>
      </c>
      <c r="F34" t="n">
        <v>503.7</v>
      </c>
      <c r="G34" t="n">
        <v>167.9</v>
      </c>
    </row>
    <row r="35">
      <c r="A35" t="inlineStr">
        <is>
          <t>Nuv Gastrobar</t>
        </is>
      </c>
      <c r="B35" t="n">
        <v>19740</v>
      </c>
      <c r="C35" t="inlineStr">
        <is>
          <t>MARACUJA AZEDO KG</t>
        </is>
      </c>
      <c r="D35" t="inlineStr">
        <is>
          <t>09/2026</t>
        </is>
      </c>
      <c r="E35" t="n">
        <v>20</v>
      </c>
      <c r="F35" t="n">
        <v>286</v>
      </c>
      <c r="G35" t="n">
        <v>14.3</v>
      </c>
    </row>
    <row r="36">
      <c r="A36" t="inlineStr">
        <is>
          <t>Nuv Gastrobar</t>
        </is>
      </c>
      <c r="B36" t="n">
        <v>19805</v>
      </c>
      <c r="C36" t="inlineStr">
        <is>
          <t>MATCHA KG</t>
        </is>
      </c>
      <c r="D36" t="inlineStr">
        <is>
          <t>09/2026</t>
        </is>
      </c>
      <c r="E36" t="n">
        <v>1</v>
      </c>
      <c r="F36" t="n">
        <v>1122</v>
      </c>
      <c r="G36" t="n">
        <v>1122</v>
      </c>
    </row>
    <row r="37">
      <c r="A37" t="inlineStr">
        <is>
          <t>Nuv Gastrobar</t>
        </is>
      </c>
      <c r="B37" t="n">
        <v>23335</v>
      </c>
      <c r="C37" t="inlineStr">
        <is>
          <t>MORANGO KG</t>
        </is>
      </c>
      <c r="D37" t="inlineStr">
        <is>
          <t>09/2026</t>
        </is>
      </c>
      <c r="E37" t="n">
        <v>1</v>
      </c>
      <c r="F37" t="n">
        <v>16</v>
      </c>
      <c r="G37" t="n">
        <v>16</v>
      </c>
    </row>
    <row r="38">
      <c r="A38" t="inlineStr">
        <is>
          <t>Nuv Gastrobar</t>
        </is>
      </c>
      <c r="B38" t="n">
        <v>30375</v>
      </c>
      <c r="C38" t="inlineStr">
        <is>
          <t>PAIN AU CHOCOLAT LPQ 80G CX C/18 UN</t>
        </is>
      </c>
      <c r="D38" t="inlineStr">
        <is>
          <t>09/2026</t>
        </is>
      </c>
      <c r="E38" t="n">
        <v>5</v>
      </c>
      <c r="F38" t="n">
        <v>792</v>
      </c>
      <c r="G38" t="n">
        <v>158.4</v>
      </c>
    </row>
    <row r="39">
      <c r="A39" t="inlineStr">
        <is>
          <t>Nuv Gastrobar</t>
        </is>
      </c>
      <c r="B39" t="n">
        <v>17162</v>
      </c>
      <c r="C39" t="inlineStr">
        <is>
          <t>PANO MULTIUSO 28X240 C/600PANOS UM</t>
        </is>
      </c>
      <c r="D39" t="inlineStr">
        <is>
          <t>09/2026</t>
        </is>
      </c>
      <c r="E39" t="n">
        <v>3</v>
      </c>
      <c r="F39" t="n">
        <v>162</v>
      </c>
      <c r="G39" t="n">
        <v>54</v>
      </c>
    </row>
    <row r="40">
      <c r="A40" t="inlineStr">
        <is>
          <t>Nuv Gastrobar</t>
        </is>
      </c>
      <c r="B40" t="n">
        <v>19150</v>
      </c>
      <c r="C40" t="inlineStr">
        <is>
          <t>PAO DA CASA BATARD UN</t>
        </is>
      </c>
      <c r="D40" t="inlineStr">
        <is>
          <t>09/2026</t>
        </is>
      </c>
      <c r="E40" t="n">
        <v>20</v>
      </c>
      <c r="F40" t="n">
        <v>483</v>
      </c>
      <c r="G40" t="n">
        <v>24.15</v>
      </c>
    </row>
    <row r="41">
      <c r="A41" t="inlineStr">
        <is>
          <t>Nuv Gastrobar</t>
        </is>
      </c>
      <c r="B41" t="n">
        <v>28568</v>
      </c>
      <c r="C41" t="inlineStr">
        <is>
          <t>PAO DE HAMBURGUER BRIOCHE 60G UN CX C/24UN LE PAIN</t>
        </is>
      </c>
      <c r="D41" t="inlineStr">
        <is>
          <t>09/2026</t>
        </is>
      </c>
      <c r="E41" t="n">
        <v>5</v>
      </c>
      <c r="F41" t="n">
        <v>354</v>
      </c>
      <c r="G41" t="n">
        <v>70.8</v>
      </c>
    </row>
    <row r="42">
      <c r="A42" t="inlineStr">
        <is>
          <t>Nuv Gastrobar</t>
        </is>
      </c>
      <c r="B42" t="n">
        <v>30374</v>
      </c>
      <c r="C42" t="inlineStr">
        <is>
          <t>PAO DE HOTDOG LPQ 60G CX C/ 24UN</t>
        </is>
      </c>
      <c r="D42" t="inlineStr">
        <is>
          <t>09/2026</t>
        </is>
      </c>
      <c r="E42" t="n">
        <v>2</v>
      </c>
      <c r="F42" t="n">
        <v>141.6</v>
      </c>
      <c r="G42" t="n">
        <v>70.8</v>
      </c>
    </row>
    <row r="43">
      <c r="A43" t="inlineStr">
        <is>
          <t>Nuv Gastrobar</t>
        </is>
      </c>
      <c r="B43" t="n">
        <v>30370</v>
      </c>
      <c r="C43" t="inlineStr">
        <is>
          <t>PAO DE QUEIJO LPQ 60G (CX C/4 PCT DE 1KG) CX</t>
        </is>
      </c>
      <c r="D43" t="inlineStr">
        <is>
          <t>09/2026</t>
        </is>
      </c>
      <c r="E43" t="n">
        <v>18</v>
      </c>
      <c r="F43" t="n">
        <v>3060</v>
      </c>
      <c r="G43" t="n">
        <v>170</v>
      </c>
    </row>
    <row r="44">
      <c r="A44" t="inlineStr">
        <is>
          <t>Nuv Gastrobar</t>
        </is>
      </c>
      <c r="B44" t="n">
        <v>17418</v>
      </c>
      <c r="C44" t="inlineStr">
        <is>
          <t>PAPEL TOALHA BOBINA LUXO BIA PAPER C/6X20X200M C/6 ROLOS</t>
        </is>
      </c>
      <c r="D44" t="inlineStr">
        <is>
          <t>09/2026</t>
        </is>
      </c>
      <c r="E44" t="n">
        <v>1</v>
      </c>
      <c r="F44" t="n">
        <v>58.9</v>
      </c>
      <c r="G44" t="n">
        <v>58.9</v>
      </c>
    </row>
    <row r="45">
      <c r="A45" t="inlineStr">
        <is>
          <t>Nuv Gastrobar</t>
        </is>
      </c>
      <c r="B45" t="n">
        <v>19374</v>
      </c>
      <c r="C45" t="inlineStr">
        <is>
          <t>QUEIJO BRIE FORMA QUATA C/1KG UN</t>
        </is>
      </c>
      <c r="D45" t="inlineStr">
        <is>
          <t>09/2026</t>
        </is>
      </c>
      <c r="E45" t="n">
        <v>8</v>
      </c>
      <c r="F45" t="n">
        <v>511.2</v>
      </c>
      <c r="G45" t="n">
        <v>63.9</v>
      </c>
    </row>
    <row r="46">
      <c r="A46" t="inlineStr">
        <is>
          <t>Nuv Gastrobar</t>
        </is>
      </c>
      <c r="B46" t="n">
        <v>26445</v>
      </c>
      <c r="C46" t="inlineStr">
        <is>
          <t>RUCULA SELVAGEM HIGIENIZADA KG</t>
        </is>
      </c>
      <c r="D46" t="inlineStr">
        <is>
          <t>09/2026</t>
        </is>
      </c>
      <c r="E46" t="n">
        <v>1</v>
      </c>
      <c r="F46" t="n">
        <v>83.05</v>
      </c>
      <c r="G46" t="n">
        <v>83.05</v>
      </c>
    </row>
    <row r="47">
      <c r="A47" t="inlineStr">
        <is>
          <t>Nuv Gastrobar</t>
        </is>
      </c>
      <c r="B47" t="n">
        <v>18268</v>
      </c>
      <c r="C47" t="inlineStr">
        <is>
          <t>RUM HAVANA CLUB 3 ANOS 750ML GR</t>
        </is>
      </c>
      <c r="D47" t="inlineStr">
        <is>
          <t>09/2026</t>
        </is>
      </c>
      <c r="E47" t="n">
        <v>6</v>
      </c>
      <c r="F47" t="n">
        <v>423.48</v>
      </c>
      <c r="G47" t="n">
        <v>70.58</v>
      </c>
    </row>
    <row r="48">
      <c r="A48" t="inlineStr">
        <is>
          <t>Nuv Gastrobar</t>
        </is>
      </c>
      <c r="B48" t="n">
        <v>21665</v>
      </c>
      <c r="C48" t="inlineStr">
        <is>
          <t>SACO DE LIXO 200L PRETO REFORCADO</t>
        </is>
      </c>
      <c r="D48" t="inlineStr">
        <is>
          <t>09/2026</t>
        </is>
      </c>
      <c r="E48" t="n">
        <v>1</v>
      </c>
      <c r="F48" t="n">
        <v>33.1</v>
      </c>
      <c r="G48" t="n">
        <v>33.1</v>
      </c>
    </row>
    <row r="49">
      <c r="A49" t="inlineStr">
        <is>
          <t>Nuv Gastrobar</t>
        </is>
      </c>
      <c r="B49" t="n">
        <v>30373</v>
      </c>
      <c r="C49" t="inlineStr">
        <is>
          <t>SHOKUPAN LPQ 600G CX C/8 UN</t>
        </is>
      </c>
      <c r="D49" t="inlineStr">
        <is>
          <t>09/2026</t>
        </is>
      </c>
      <c r="E49" t="n">
        <v>6</v>
      </c>
      <c r="F49" t="n">
        <v>715.5</v>
      </c>
      <c r="G49" t="n">
        <v>119.25</v>
      </c>
    </row>
    <row r="50">
      <c r="A50" t="inlineStr">
        <is>
          <t>Nuv Gastrobar</t>
        </is>
      </c>
      <c r="B50" t="n">
        <v>30402</v>
      </c>
      <c r="C50" t="inlineStr">
        <is>
          <t>WL BROWNIE COM NOZES 80G CX C/ 100UN</t>
        </is>
      </c>
      <c r="D50" t="inlineStr">
        <is>
          <t>09/2026</t>
        </is>
      </c>
      <c r="E50" t="n">
        <v>1</v>
      </c>
      <c r="F50" t="n">
        <v>485</v>
      </c>
      <c r="G50" t="n">
        <v>485</v>
      </c>
    </row>
    <row r="51">
      <c r="A51" t="inlineStr">
        <is>
          <t>Nuv Gastrobar</t>
        </is>
      </c>
      <c r="B51" t="n">
        <v>30401</v>
      </c>
      <c r="C51" t="inlineStr">
        <is>
          <t>WL CHEESECAKE 950G UN</t>
        </is>
      </c>
      <c r="D51" t="inlineStr">
        <is>
          <t>09/2026</t>
        </is>
      </c>
      <c r="E51" t="n">
        <v>5</v>
      </c>
      <c r="F51" t="n">
        <v>475</v>
      </c>
      <c r="G51" t="n">
        <v>95</v>
      </c>
    </row>
    <row r="52">
      <c r="A52" t="inlineStr">
        <is>
          <t>Nuv Gastrobar</t>
        </is>
      </c>
      <c r="B52" t="n">
        <v>30403</v>
      </c>
      <c r="C52" t="inlineStr">
        <is>
          <t>WL RECHEIO DE CHOCOLATE KG</t>
        </is>
      </c>
      <c r="D52" t="inlineStr">
        <is>
          <t>09/2026</t>
        </is>
      </c>
      <c r="E52" t="n">
        <v>5</v>
      </c>
      <c r="F52" t="n">
        <v>275</v>
      </c>
      <c r="G52" t="n">
        <v>55</v>
      </c>
    </row>
    <row r="53">
      <c r="A53" t="inlineStr">
        <is>
          <t>Nuv Gastrobar</t>
        </is>
      </c>
      <c r="B53" t="n">
        <v>19789</v>
      </c>
      <c r="C53" t="inlineStr">
        <is>
          <t>ABACATE AVOCADO KG</t>
        </is>
      </c>
      <c r="D53" t="inlineStr">
        <is>
          <t>08/2026</t>
        </is>
      </c>
      <c r="E53" t="n">
        <v>2</v>
      </c>
      <c r="F53" t="n">
        <v>20.02</v>
      </c>
      <c r="G53" t="n">
        <v>10.01</v>
      </c>
    </row>
    <row r="54">
      <c r="A54" t="inlineStr">
        <is>
          <t>Nuv Gastrobar</t>
        </is>
      </c>
      <c r="B54" t="n">
        <v>30463</v>
      </c>
      <c r="C54" t="inlineStr">
        <is>
          <t>ABAFADOR DE ALUMINIO 21,7CM REDONDO DOUPAN UN</t>
        </is>
      </c>
      <c r="D54" t="inlineStr">
        <is>
          <t>08/2026</t>
        </is>
      </c>
      <c r="E54" t="n">
        <v>4</v>
      </c>
      <c r="F54" t="n">
        <v>108.2</v>
      </c>
      <c r="G54" t="n">
        <v>27.05</v>
      </c>
    </row>
    <row r="55">
      <c r="A55" t="inlineStr">
        <is>
          <t>Nuv Gastrobar</t>
        </is>
      </c>
      <c r="B55" t="n">
        <v>30504</v>
      </c>
      <c r="C55" t="inlineStr">
        <is>
          <t>ABAFADOR DE HAMBURGER 16CM VIGOR UN</t>
        </is>
      </c>
      <c r="D55" t="inlineStr">
        <is>
          <t>08/2026</t>
        </is>
      </c>
      <c r="E55" t="n">
        <v>4</v>
      </c>
      <c r="F55" t="n">
        <v>115.76</v>
      </c>
      <c r="G55" t="n">
        <v>28.94</v>
      </c>
    </row>
    <row r="56">
      <c r="A56" t="inlineStr">
        <is>
          <t>Nuv Gastrobar</t>
        </is>
      </c>
      <c r="B56" t="n">
        <v>19658</v>
      </c>
      <c r="C56" t="inlineStr">
        <is>
          <t>ABOBORA JAPONESA / CABOTIAN KG</t>
        </is>
      </c>
      <c r="D56" t="inlineStr">
        <is>
          <t>08/2026</t>
        </is>
      </c>
      <c r="E56" t="n">
        <v>29.79</v>
      </c>
      <c r="F56" t="n">
        <v>86.8</v>
      </c>
      <c r="G56" t="n">
        <v>2.91</v>
      </c>
    </row>
    <row r="57">
      <c r="A57" t="inlineStr">
        <is>
          <t>Nuv Gastrobar</t>
        </is>
      </c>
      <c r="B57" t="n">
        <v>19654</v>
      </c>
      <c r="C57" t="inlineStr">
        <is>
          <t>ABOBRINHA ITALIANA GRAUDA KG</t>
        </is>
      </c>
      <c r="D57" t="inlineStr">
        <is>
          <t>08/2026</t>
        </is>
      </c>
      <c r="E57" t="n">
        <v>10.5</v>
      </c>
      <c r="F57" t="n">
        <v>35.37</v>
      </c>
      <c r="G57" t="n">
        <v>3.37</v>
      </c>
    </row>
    <row r="58">
      <c r="A58" t="inlineStr">
        <is>
          <t>Nuv Gastrobar</t>
        </is>
      </c>
      <c r="B58" t="n">
        <v>30464</v>
      </c>
      <c r="C58" t="inlineStr">
        <is>
          <t>ABRIDOR DE GARRAFA OU LATA MISTO PROFISSIONAL UN</t>
        </is>
      </c>
      <c r="D58" t="inlineStr">
        <is>
          <t>08/2026</t>
        </is>
      </c>
      <c r="E58" t="n">
        <v>4</v>
      </c>
      <c r="F58" t="n">
        <v>28.16</v>
      </c>
      <c r="G58" t="n">
        <v>7.04</v>
      </c>
    </row>
    <row r="59">
      <c r="A59" t="inlineStr">
        <is>
          <t>Nuv Gastrobar</t>
        </is>
      </c>
      <c r="B59" t="n">
        <v>21068</v>
      </c>
      <c r="C59" t="inlineStr">
        <is>
          <t>ACETO BALSAMICO LA PASTINA 500ML</t>
        </is>
      </c>
      <c r="D59" t="inlineStr">
        <is>
          <t>08/2026</t>
        </is>
      </c>
      <c r="E59" t="n">
        <v>2</v>
      </c>
      <c r="F59" t="n">
        <v>33.2</v>
      </c>
      <c r="G59" t="n">
        <v>16.6</v>
      </c>
    </row>
    <row r="60">
      <c r="A60" t="inlineStr">
        <is>
          <t>Nuv Gastrobar</t>
        </is>
      </c>
      <c r="B60" t="n">
        <v>27473</v>
      </c>
      <c r="C60" t="inlineStr">
        <is>
          <t>ACUCAR MASCAVO JR C/1KG</t>
        </is>
      </c>
      <c r="D60" t="inlineStr">
        <is>
          <t>08/2026</t>
        </is>
      </c>
      <c r="E60" t="n">
        <v>6</v>
      </c>
      <c r="F60" t="n">
        <v>41.4</v>
      </c>
      <c r="G60" t="n">
        <v>6.9</v>
      </c>
    </row>
    <row r="61">
      <c r="A61" t="inlineStr">
        <is>
          <t>Nuv Gastrobar</t>
        </is>
      </c>
      <c r="B61" t="n">
        <v>29875</v>
      </c>
      <c r="C61" t="inlineStr">
        <is>
          <t>ACUCAR REFINADO SACHE UNIAO 400X5G UN</t>
        </is>
      </c>
      <c r="D61" t="inlineStr">
        <is>
          <t>08/2026</t>
        </is>
      </c>
      <c r="E61" t="n">
        <v>3</v>
      </c>
      <c r="F61" t="n">
        <v>55.5</v>
      </c>
      <c r="G61" t="n">
        <v>18.5</v>
      </c>
    </row>
    <row r="62">
      <c r="A62" t="inlineStr">
        <is>
          <t>Nuv Gastrobar</t>
        </is>
      </c>
      <c r="B62" t="n">
        <v>21093</v>
      </c>
      <c r="C62" t="inlineStr">
        <is>
          <t>ACUCAR REFINADO UNIAO 1KG UN KG</t>
        </is>
      </c>
      <c r="D62" t="inlineStr">
        <is>
          <t>08/2026</t>
        </is>
      </c>
      <c r="E62" t="n">
        <v>40</v>
      </c>
      <c r="F62" t="n">
        <v>143.6</v>
      </c>
      <c r="G62" t="n">
        <v>3.59</v>
      </c>
    </row>
    <row r="63">
      <c r="A63" t="inlineStr">
        <is>
          <t>Nuv Gastrobar</t>
        </is>
      </c>
      <c r="B63" t="n">
        <v>21078</v>
      </c>
      <c r="C63" t="inlineStr">
        <is>
          <t>ADOCANTE SUCRALOSE SACHE LINEA 1000X5GR CX</t>
        </is>
      </c>
      <c r="D63" t="inlineStr">
        <is>
          <t>08/2026</t>
        </is>
      </c>
      <c r="E63" t="n">
        <v>3</v>
      </c>
      <c r="F63" t="n">
        <v>149.97</v>
      </c>
      <c r="G63" t="n">
        <v>49.99</v>
      </c>
    </row>
    <row r="64">
      <c r="A64" t="inlineStr">
        <is>
          <t>Nuv Gastrobar</t>
        </is>
      </c>
      <c r="B64" t="n">
        <v>17950</v>
      </c>
      <c r="C64" t="inlineStr">
        <is>
          <t>AGUA MINERAL COM GAS LINDOIA PREMIUM 310ML C/12 PC</t>
        </is>
      </c>
      <c r="D64" t="inlineStr">
        <is>
          <t>08/2026</t>
        </is>
      </c>
      <c r="E64" t="n">
        <v>60</v>
      </c>
      <c r="F64" t="n">
        <v>1096.8</v>
      </c>
      <c r="G64" t="n">
        <v>18.28</v>
      </c>
    </row>
    <row r="65">
      <c r="A65" t="inlineStr">
        <is>
          <t>Nuv Gastrobar</t>
        </is>
      </c>
      <c r="B65" t="n">
        <v>28954</v>
      </c>
      <c r="C65" t="inlineStr">
        <is>
          <t>AGUA MINERAL COM GAS MAMBA 350ML C/12</t>
        </is>
      </c>
      <c r="D65" t="inlineStr">
        <is>
          <t>08/2026</t>
        </is>
      </c>
      <c r="E65" t="n">
        <v>40</v>
      </c>
      <c r="F65" t="n">
        <v>1291.2</v>
      </c>
      <c r="G65" t="n">
        <v>32.28</v>
      </c>
    </row>
    <row r="66">
      <c r="A66" t="inlineStr">
        <is>
          <t>Nuv Gastrobar</t>
        </is>
      </c>
      <c r="B66" t="n">
        <v>17958</v>
      </c>
      <c r="C66" t="inlineStr">
        <is>
          <t>AGUA MINERAL SEM GAS LINDOIA PREMIUM  310ML C/12</t>
        </is>
      </c>
      <c r="D66" t="inlineStr">
        <is>
          <t>08/2026</t>
        </is>
      </c>
      <c r="E66" t="n">
        <v>100</v>
      </c>
      <c r="F66" t="n">
        <v>1748</v>
      </c>
      <c r="G66" t="n">
        <v>17.48</v>
      </c>
    </row>
    <row r="67">
      <c r="A67" t="inlineStr">
        <is>
          <t>Nuv Gastrobar</t>
        </is>
      </c>
      <c r="B67" t="n">
        <v>28955</v>
      </c>
      <c r="C67" t="inlineStr">
        <is>
          <t>AGUA MINERAL SEM GAS MAMBA 350ML C/12</t>
        </is>
      </c>
      <c r="D67" t="inlineStr">
        <is>
          <t>08/2026</t>
        </is>
      </c>
      <c r="E67" t="n">
        <v>60</v>
      </c>
      <c r="F67" t="n">
        <v>1792.8</v>
      </c>
      <c r="G67" t="n">
        <v>29.88</v>
      </c>
    </row>
    <row r="68">
      <c r="A68" t="inlineStr">
        <is>
          <t>Nuv Gastrobar</t>
        </is>
      </c>
      <c r="B68" t="n">
        <v>20757</v>
      </c>
      <c r="C68" t="inlineStr">
        <is>
          <t>ALCAPARRA MEDIA DI SALERNO C/2KG</t>
        </is>
      </c>
      <c r="D68" t="inlineStr">
        <is>
          <t>08/2026</t>
        </is>
      </c>
      <c r="E68" t="n">
        <v>3</v>
      </c>
      <c r="F68" t="n">
        <v>236.7</v>
      </c>
      <c r="G68" t="n">
        <v>78.90000000000001</v>
      </c>
    </row>
    <row r="69">
      <c r="A69" t="inlineStr">
        <is>
          <t>Nuv Gastrobar</t>
        </is>
      </c>
      <c r="B69" t="n">
        <v>17266</v>
      </c>
      <c r="C69" t="inlineStr">
        <is>
          <t>ALCOOL 46º LIQUIDO 1L UN</t>
        </is>
      </c>
      <c r="D69" t="inlineStr">
        <is>
          <t>08/2026</t>
        </is>
      </c>
      <c r="E69" t="n">
        <v>60</v>
      </c>
      <c r="F69" t="n">
        <v>312</v>
      </c>
      <c r="G69" t="n">
        <v>5.2</v>
      </c>
    </row>
    <row r="70">
      <c r="A70" t="inlineStr">
        <is>
          <t>Nuv Gastrobar</t>
        </is>
      </c>
      <c r="B70" t="n">
        <v>30302</v>
      </c>
      <c r="C70" t="inlineStr">
        <is>
          <t>ALCOOL REFIL 600ML UN</t>
        </is>
      </c>
      <c r="D70" t="inlineStr">
        <is>
          <t>08/2026</t>
        </is>
      </c>
      <c r="E70" t="n">
        <v>5</v>
      </c>
      <c r="F70" t="n">
        <v>180.75</v>
      </c>
      <c r="G70" t="n">
        <v>36.15</v>
      </c>
    </row>
    <row r="71">
      <c r="A71" t="inlineStr">
        <is>
          <t>Nuv Gastrobar</t>
        </is>
      </c>
      <c r="B71" t="n">
        <v>19506</v>
      </c>
      <c r="C71" t="inlineStr">
        <is>
          <t>ALECRIM KG</t>
        </is>
      </c>
      <c r="D71" t="inlineStr">
        <is>
          <t>08/2026</t>
        </is>
      </c>
      <c r="E71" t="n">
        <v>0.3</v>
      </c>
      <c r="F71" t="n">
        <v>18</v>
      </c>
      <c r="G71" t="n">
        <v>60</v>
      </c>
    </row>
    <row r="72">
      <c r="A72" t="inlineStr">
        <is>
          <t>Nuv Gastrobar</t>
        </is>
      </c>
      <c r="B72" t="n">
        <v>19457</v>
      </c>
      <c r="C72" t="inlineStr">
        <is>
          <t>ALFACE AMERICANA HIGIENIZADO KG</t>
        </is>
      </c>
      <c r="D72" t="inlineStr">
        <is>
          <t>08/2026</t>
        </is>
      </c>
      <c r="E72" t="n">
        <v>8</v>
      </c>
      <c r="F72" t="n">
        <v>203.12</v>
      </c>
      <c r="G72" t="n">
        <v>25.39</v>
      </c>
    </row>
    <row r="73">
      <c r="A73" t="inlineStr">
        <is>
          <t>Nuv Gastrobar</t>
        </is>
      </c>
      <c r="B73" t="n">
        <v>23101</v>
      </c>
      <c r="C73" t="inlineStr">
        <is>
          <t>ALFACE CRESPA HIGIENIZADO KG</t>
        </is>
      </c>
      <c r="D73" t="inlineStr">
        <is>
          <t>08/2026</t>
        </is>
      </c>
      <c r="E73" t="n">
        <v>4.5</v>
      </c>
      <c r="F73" t="n">
        <v>122.49</v>
      </c>
      <c r="G73" t="n">
        <v>27.22</v>
      </c>
    </row>
    <row r="74">
      <c r="A74" t="inlineStr">
        <is>
          <t>Nuv Gastrobar</t>
        </is>
      </c>
      <c r="B74" t="n">
        <v>19503</v>
      </c>
      <c r="C74" t="inlineStr">
        <is>
          <t>ALFACE CRESPA KG</t>
        </is>
      </c>
      <c r="D74" t="inlineStr">
        <is>
          <t>08/2026</t>
        </is>
      </c>
      <c r="E74" t="n">
        <v>1</v>
      </c>
      <c r="F74" t="n">
        <v>8.5</v>
      </c>
      <c r="G74" t="n">
        <v>8.5</v>
      </c>
    </row>
    <row r="75">
      <c r="A75" t="inlineStr">
        <is>
          <t>Nuv Gastrobar</t>
        </is>
      </c>
      <c r="B75" t="n">
        <v>19502</v>
      </c>
      <c r="C75" t="inlineStr">
        <is>
          <t>ALFACE CRESPA ROXA KG</t>
        </is>
      </c>
      <c r="D75" t="inlineStr">
        <is>
          <t>08/2026</t>
        </is>
      </c>
      <c r="E75" t="n">
        <v>3.04</v>
      </c>
      <c r="F75" t="n">
        <v>34.37</v>
      </c>
      <c r="G75" t="n">
        <v>11.31</v>
      </c>
    </row>
    <row r="76">
      <c r="A76" t="inlineStr">
        <is>
          <t>Nuv Gastrobar</t>
        </is>
      </c>
      <c r="B76" t="n">
        <v>26628</v>
      </c>
      <c r="C76" t="inlineStr">
        <is>
          <t>ALFACE ROXA CRESPA HIGIENIZADA KG</t>
        </is>
      </c>
      <c r="D76" t="inlineStr">
        <is>
          <t>08/2026</t>
        </is>
      </c>
      <c r="E76" t="n">
        <v>4.5</v>
      </c>
      <c r="F76" t="n">
        <v>179.15</v>
      </c>
      <c r="G76" t="n">
        <v>39.81</v>
      </c>
    </row>
    <row r="77">
      <c r="A77" t="inlineStr">
        <is>
          <t>Nuv Gastrobar</t>
        </is>
      </c>
      <c r="B77" t="n">
        <v>19652</v>
      </c>
      <c r="C77" t="inlineStr">
        <is>
          <t>ALHO COMUM KG</t>
        </is>
      </c>
      <c r="D77" t="inlineStr">
        <is>
          <t>08/2026</t>
        </is>
      </c>
      <c r="E77" t="n">
        <v>2</v>
      </c>
      <c r="F77" t="n">
        <v>50</v>
      </c>
      <c r="G77" t="n">
        <v>25</v>
      </c>
    </row>
    <row r="78">
      <c r="A78" t="inlineStr">
        <is>
          <t>Nuv Gastrobar</t>
        </is>
      </c>
      <c r="B78" t="n">
        <v>24036</v>
      </c>
      <c r="C78" t="inlineStr">
        <is>
          <t>ALHO EM PO 1KG UN</t>
        </is>
      </c>
      <c r="D78" t="inlineStr">
        <is>
          <t>08/2026</t>
        </is>
      </c>
      <c r="E78" t="n">
        <v>1</v>
      </c>
      <c r="F78" t="n">
        <v>14.3</v>
      </c>
      <c r="G78" t="n">
        <v>14.3</v>
      </c>
    </row>
    <row r="79">
      <c r="A79" t="inlineStr">
        <is>
          <t>Nuv Gastrobar</t>
        </is>
      </c>
      <c r="B79" t="n">
        <v>19647</v>
      </c>
      <c r="C79" t="inlineStr">
        <is>
          <t>ALHO PORO KG</t>
        </is>
      </c>
      <c r="D79" t="inlineStr">
        <is>
          <t>08/2026</t>
        </is>
      </c>
      <c r="E79" t="n">
        <v>11</v>
      </c>
      <c r="F79" t="n">
        <v>94.5</v>
      </c>
      <c r="G79" t="n">
        <v>8.59</v>
      </c>
    </row>
    <row r="80">
      <c r="A80" t="inlineStr">
        <is>
          <t>Nuv Gastrobar</t>
        </is>
      </c>
      <c r="B80" t="n">
        <v>24037</v>
      </c>
      <c r="C80" t="inlineStr">
        <is>
          <t>ALHO TRITURADO FRITO</t>
        </is>
      </c>
      <c r="D80" t="inlineStr">
        <is>
          <t>08/2026</t>
        </is>
      </c>
      <c r="E80" t="n">
        <v>4</v>
      </c>
      <c r="F80" t="n">
        <v>71.5</v>
      </c>
      <c r="G80" t="n">
        <v>17.88</v>
      </c>
    </row>
    <row r="81">
      <c r="A81" t="inlineStr">
        <is>
          <t>Nuv Gastrobar</t>
        </is>
      </c>
      <c r="B81" t="n">
        <v>24039</v>
      </c>
      <c r="C81" t="inlineStr">
        <is>
          <t>AMENDOA INTEIRA CRUA SEM CASCA 1KG</t>
        </is>
      </c>
      <c r="D81" t="inlineStr">
        <is>
          <t>08/2026</t>
        </is>
      </c>
      <c r="E81" t="n">
        <v>3</v>
      </c>
      <c r="F81" t="n">
        <v>200.79</v>
      </c>
      <c r="G81" t="n">
        <v>66.93000000000001</v>
      </c>
    </row>
    <row r="82">
      <c r="A82" t="inlineStr">
        <is>
          <t>Nuv Gastrobar</t>
        </is>
      </c>
      <c r="B82" t="n">
        <v>24040</v>
      </c>
      <c r="C82" t="inlineStr">
        <is>
          <t>AMENDOA LAMINADA KG</t>
        </is>
      </c>
      <c r="D82" t="inlineStr">
        <is>
          <t>08/2026</t>
        </is>
      </c>
      <c r="E82" t="n">
        <v>2</v>
      </c>
      <c r="F82" t="n">
        <v>145.98</v>
      </c>
      <c r="G82" t="n">
        <v>72.98999999999999</v>
      </c>
    </row>
    <row r="83">
      <c r="A83" t="inlineStr">
        <is>
          <t>Nuv Gastrobar</t>
        </is>
      </c>
      <c r="B83" t="n">
        <v>24041</v>
      </c>
      <c r="C83" t="inlineStr">
        <is>
          <t>AMENDOIM CRU S/ PELE KG</t>
        </is>
      </c>
      <c r="D83" t="inlineStr">
        <is>
          <t>08/2026</t>
        </is>
      </c>
      <c r="E83" t="n">
        <v>2</v>
      </c>
      <c r="F83" t="n">
        <v>33.8</v>
      </c>
      <c r="G83" t="n">
        <v>16.9</v>
      </c>
    </row>
    <row r="84">
      <c r="A84" t="inlineStr">
        <is>
          <t>Nuv Gastrobar</t>
        </is>
      </c>
      <c r="B84" t="n">
        <v>20190</v>
      </c>
      <c r="C84" t="inlineStr">
        <is>
          <t>AMENDOIM CRU S/ SAL S/ PELE 1KG</t>
        </is>
      </c>
      <c r="D84" t="inlineStr">
        <is>
          <t>08/2026</t>
        </is>
      </c>
      <c r="E84" t="n">
        <v>1</v>
      </c>
      <c r="F84" t="n">
        <v>16.9</v>
      </c>
      <c r="G84" t="n">
        <v>16.9</v>
      </c>
    </row>
    <row r="85">
      <c r="A85" t="inlineStr">
        <is>
          <t>Nuv Gastrobar</t>
        </is>
      </c>
      <c r="B85" t="n">
        <v>26014</v>
      </c>
      <c r="C85" t="inlineStr">
        <is>
          <t>APERITIVO ANGOSTURA 473ML</t>
        </is>
      </c>
      <c r="D85" t="inlineStr">
        <is>
          <t>08/2026</t>
        </is>
      </c>
      <c r="E85" t="n">
        <v>4</v>
      </c>
      <c r="F85" t="n">
        <v>1503.2</v>
      </c>
      <c r="G85" t="n">
        <v>375.8</v>
      </c>
    </row>
    <row r="86">
      <c r="A86" t="inlineStr">
        <is>
          <t>Nuv Gastrobar</t>
        </is>
      </c>
      <c r="B86" t="n">
        <v>18545</v>
      </c>
      <c r="C86" t="inlineStr">
        <is>
          <t>APERITIVO CAMPARI 998ML</t>
        </is>
      </c>
      <c r="D86" t="inlineStr">
        <is>
          <t>08/2026</t>
        </is>
      </c>
      <c r="E86" t="n">
        <v>12</v>
      </c>
      <c r="F86" t="n">
        <v>564</v>
      </c>
      <c r="G86" t="n">
        <v>47</v>
      </c>
    </row>
    <row r="87">
      <c r="A87" t="inlineStr">
        <is>
          <t>Nuv Gastrobar</t>
        </is>
      </c>
      <c r="B87" t="n">
        <v>18543</v>
      </c>
      <c r="C87" t="inlineStr">
        <is>
          <t>APERITIVO CYNAR 900ML</t>
        </is>
      </c>
      <c r="D87" t="inlineStr">
        <is>
          <t>08/2026</t>
        </is>
      </c>
      <c r="E87" t="n">
        <v>6</v>
      </c>
      <c r="F87" t="n">
        <v>116.4</v>
      </c>
      <c r="G87" t="n">
        <v>19.4</v>
      </c>
    </row>
    <row r="88">
      <c r="A88" t="inlineStr">
        <is>
          <t>Nuv Gastrobar</t>
        </is>
      </c>
      <c r="B88" t="n">
        <v>18540</v>
      </c>
      <c r="C88" t="inlineStr">
        <is>
          <t>APERITIVO FERNET BRANCA FRATELLI 750ML</t>
        </is>
      </c>
      <c r="D88" t="inlineStr">
        <is>
          <t>08/2026</t>
        </is>
      </c>
      <c r="E88" t="n">
        <v>6</v>
      </c>
      <c r="F88" t="n">
        <v>468</v>
      </c>
      <c r="G88" t="n">
        <v>78</v>
      </c>
    </row>
    <row r="89">
      <c r="A89" t="inlineStr">
        <is>
          <t>Nuv Gastrobar</t>
        </is>
      </c>
      <c r="B89" t="n">
        <v>20310</v>
      </c>
      <c r="C89" t="inlineStr">
        <is>
          <t>ARROZ ARBORIO LA PASTINA C/1KG</t>
        </is>
      </c>
      <c r="D89" t="inlineStr">
        <is>
          <t>08/2026</t>
        </is>
      </c>
      <c r="E89" t="n">
        <v>13</v>
      </c>
      <c r="F89" t="n">
        <v>252.65</v>
      </c>
      <c r="G89" t="n">
        <v>19.43</v>
      </c>
    </row>
    <row r="90">
      <c r="A90" t="inlineStr">
        <is>
          <t>Nuv Gastrobar</t>
        </is>
      </c>
      <c r="B90" t="n">
        <v>20301</v>
      </c>
      <c r="C90" t="inlineStr">
        <is>
          <t>ARROZ BRANCO TIPO 1 CAMIL C/5KG</t>
        </is>
      </c>
      <c r="D90" t="inlineStr">
        <is>
          <t>08/2026</t>
        </is>
      </c>
      <c r="E90" t="n">
        <v>18</v>
      </c>
      <c r="F90" t="n">
        <v>373.5</v>
      </c>
      <c r="G90" t="n">
        <v>20.75</v>
      </c>
    </row>
    <row r="91">
      <c r="A91" t="inlineStr">
        <is>
          <t>Nuv Gastrobar</t>
        </is>
      </c>
      <c r="B91" t="n">
        <v>25796</v>
      </c>
      <c r="C91" t="inlineStr">
        <is>
          <t>AVEIA EM FLOCOS GROSSO (NAO PODE SER YOKI)</t>
        </is>
      </c>
      <c r="D91" t="inlineStr">
        <is>
          <t>08/2026</t>
        </is>
      </c>
      <c r="E91" t="n">
        <v>1</v>
      </c>
      <c r="F91" t="n">
        <v>7.5</v>
      </c>
      <c r="G91" t="n">
        <v>7.5</v>
      </c>
    </row>
    <row r="92">
      <c r="A92" t="inlineStr">
        <is>
          <t>Nuv Gastrobar</t>
        </is>
      </c>
      <c r="B92" t="n">
        <v>23312</v>
      </c>
      <c r="C92" t="inlineStr">
        <is>
          <t>AVELA SEM CASCA</t>
        </is>
      </c>
      <c r="D92" t="inlineStr">
        <is>
          <t>08/2026</t>
        </is>
      </c>
      <c r="E92" t="n">
        <v>2</v>
      </c>
      <c r="F92" t="n">
        <v>175.55</v>
      </c>
      <c r="G92" t="n">
        <v>87.78</v>
      </c>
    </row>
    <row r="93">
      <c r="A93" t="inlineStr">
        <is>
          <t>Nuv Gastrobar</t>
        </is>
      </c>
      <c r="B93" t="n">
        <v>21047</v>
      </c>
      <c r="C93" t="inlineStr">
        <is>
          <t>AZEITE EXTRA VIRGEM GALLO 2L</t>
        </is>
      </c>
      <c r="D93" t="inlineStr">
        <is>
          <t>08/2026</t>
        </is>
      </c>
      <c r="E93" t="n">
        <v>26</v>
      </c>
      <c r="F93" t="n">
        <v>2937.48</v>
      </c>
      <c r="G93" t="n">
        <v>112.98</v>
      </c>
    </row>
    <row r="94">
      <c r="A94" t="inlineStr">
        <is>
          <t>Nuv Gastrobar</t>
        </is>
      </c>
      <c r="B94" t="n">
        <v>20738</v>
      </c>
      <c r="C94" t="inlineStr">
        <is>
          <t>AZEITONA PRETA AZAPA S/ CAROCO DI SALERNO C/1,8KG</t>
        </is>
      </c>
      <c r="D94" t="inlineStr">
        <is>
          <t>08/2026</t>
        </is>
      </c>
      <c r="E94" t="n">
        <v>1</v>
      </c>
      <c r="F94" t="n">
        <v>92.90000000000001</v>
      </c>
      <c r="G94" t="n">
        <v>92.90000000000001</v>
      </c>
    </row>
    <row r="95">
      <c r="A95" t="inlineStr">
        <is>
          <t>Nuv Gastrobar</t>
        </is>
      </c>
      <c r="B95" t="n">
        <v>20743</v>
      </c>
      <c r="C95" t="inlineStr">
        <is>
          <t>AZEITONA PRETA S/ CAROCO YGUARA 2KG</t>
        </is>
      </c>
      <c r="D95" t="inlineStr">
        <is>
          <t>08/2026</t>
        </is>
      </c>
      <c r="E95" t="n">
        <v>3</v>
      </c>
      <c r="F95" t="n">
        <v>215.7</v>
      </c>
      <c r="G95" t="n">
        <v>71.90000000000001</v>
      </c>
    </row>
    <row r="96">
      <c r="A96" t="inlineStr">
        <is>
          <t>Nuv Gastrobar</t>
        </is>
      </c>
      <c r="B96" t="n">
        <v>20724</v>
      </c>
      <c r="C96" t="inlineStr">
        <is>
          <t>AZEITONA VERDE GORDAL 80/90 DI SALERNO C/2KG</t>
        </is>
      </c>
      <c r="D96" t="inlineStr">
        <is>
          <t>08/2026</t>
        </is>
      </c>
      <c r="E96" t="n">
        <v>2</v>
      </c>
      <c r="F96" t="n">
        <v>137.76</v>
      </c>
      <c r="G96" t="n">
        <v>68.88</v>
      </c>
    </row>
    <row r="97">
      <c r="A97" t="inlineStr">
        <is>
          <t>Nuv Gastrobar</t>
        </is>
      </c>
      <c r="B97" t="n">
        <v>22721</v>
      </c>
      <c r="C97" t="inlineStr">
        <is>
          <t>BACON MANTA KG</t>
        </is>
      </c>
      <c r="D97" t="inlineStr">
        <is>
          <t>08/2026</t>
        </is>
      </c>
      <c r="E97" t="n">
        <v>15.9</v>
      </c>
      <c r="F97" t="n">
        <v>469.05</v>
      </c>
      <c r="G97" t="n">
        <v>29.5</v>
      </c>
    </row>
    <row r="98">
      <c r="A98" t="inlineStr">
        <is>
          <t>Nuv Gastrobar</t>
        </is>
      </c>
      <c r="B98" t="n">
        <v>19168</v>
      </c>
      <c r="C98" t="inlineStr">
        <is>
          <t>BAGUETE LEVAIN 570GR UN</t>
        </is>
      </c>
      <c r="D98" t="inlineStr">
        <is>
          <t>08/2026</t>
        </is>
      </c>
      <c r="E98" t="n">
        <v>50</v>
      </c>
      <c r="F98" t="n">
        <v>910</v>
      </c>
      <c r="G98" t="n">
        <v>18.2</v>
      </c>
    </row>
    <row r="99">
      <c r="A99" t="inlineStr">
        <is>
          <t>Nuv Gastrobar</t>
        </is>
      </c>
      <c r="B99" t="n">
        <v>30459</v>
      </c>
      <c r="C99" t="inlineStr">
        <is>
          <t>BALANCA ELETRICA COMPUT ONE 06/15/30KG C/3 FUNCOES BIVOLT UN</t>
        </is>
      </c>
      <c r="D99" t="inlineStr">
        <is>
          <t>08/2026</t>
        </is>
      </c>
      <c r="E99" t="n">
        <v>4</v>
      </c>
      <c r="F99" t="n">
        <v>3102.52</v>
      </c>
      <c r="G99" t="n">
        <v>775.63</v>
      </c>
    </row>
    <row r="100">
      <c r="A100" t="inlineStr">
        <is>
          <t>Nuv Gastrobar</t>
        </is>
      </c>
      <c r="B100" t="n">
        <v>30477</v>
      </c>
      <c r="C100" t="inlineStr">
        <is>
          <t>BALDE GELO INOX 1,4L LYON BRINOX UN</t>
        </is>
      </c>
      <c r="D100" t="inlineStr">
        <is>
          <t>08/2026</t>
        </is>
      </c>
      <c r="E100" t="n">
        <v>6</v>
      </c>
      <c r="F100" t="n">
        <v>600.66</v>
      </c>
      <c r="G100" t="n">
        <v>100.11</v>
      </c>
    </row>
    <row r="101">
      <c r="A101" t="inlineStr">
        <is>
          <t>Nuv Gastrobar</t>
        </is>
      </c>
      <c r="B101" t="n">
        <v>30448</v>
      </c>
      <c r="C101" t="inlineStr">
        <is>
          <t>BALDE PARA GELO TRAMONTINA COSMOS EM AÇO INOX FOSCO COM BORDA EM BRILHO 14CM 1,8L UN</t>
        </is>
      </c>
      <c r="D101" t="inlineStr">
        <is>
          <t>08/2026</t>
        </is>
      </c>
      <c r="E101" t="n">
        <v>10</v>
      </c>
      <c r="F101" t="n">
        <v>1795.3</v>
      </c>
      <c r="G101" t="n">
        <v>179.53</v>
      </c>
    </row>
    <row r="102">
      <c r="A102" t="inlineStr">
        <is>
          <t>Nuv Gastrobar</t>
        </is>
      </c>
      <c r="B102" t="n">
        <v>23390</v>
      </c>
      <c r="C102" t="inlineStr">
        <is>
          <t>BANANA DA TERRA KG</t>
        </is>
      </c>
      <c r="D102" t="inlineStr">
        <is>
          <t>08/2026</t>
        </is>
      </c>
      <c r="E102" t="n">
        <v>14.3</v>
      </c>
      <c r="F102" t="n">
        <v>148.08</v>
      </c>
      <c r="G102" t="n">
        <v>10.36</v>
      </c>
    </row>
    <row r="103">
      <c r="A103" t="inlineStr">
        <is>
          <t>Nuv Gastrobar</t>
        </is>
      </c>
      <c r="B103" t="n">
        <v>30494</v>
      </c>
      <c r="C103" t="inlineStr">
        <is>
          <t>BANDEJA ANTIADERENTE 40CM UN</t>
        </is>
      </c>
      <c r="D103" t="inlineStr">
        <is>
          <t>08/2026</t>
        </is>
      </c>
      <c r="E103" t="n">
        <v>10</v>
      </c>
      <c r="F103" t="n">
        <v>352.8</v>
      </c>
      <c r="G103" t="n">
        <v>35.28</v>
      </c>
    </row>
    <row r="104">
      <c r="A104" t="inlineStr">
        <is>
          <t>Nuv Gastrobar</t>
        </is>
      </c>
      <c r="B104" t="n">
        <v>29444</v>
      </c>
      <c r="C104" t="inlineStr">
        <is>
          <t>BASE SOB TORTA IND 70MM- CX C/ 64 UN</t>
        </is>
      </c>
      <c r="D104" t="inlineStr">
        <is>
          <t>08/2026</t>
        </is>
      </c>
      <c r="E104" t="n">
        <v>16</v>
      </c>
      <c r="F104" t="n">
        <v>1553.28</v>
      </c>
      <c r="G104" t="n">
        <v>97.08</v>
      </c>
    </row>
    <row r="105">
      <c r="A105" t="inlineStr">
        <is>
          <t>Nuv Gastrobar</t>
        </is>
      </c>
      <c r="B105" t="n">
        <v>24083</v>
      </c>
      <c r="C105" t="inlineStr">
        <is>
          <t>BATATA ASTERIX GRAUDA NOIVA KG</t>
        </is>
      </c>
      <c r="D105" t="inlineStr">
        <is>
          <t>08/2026</t>
        </is>
      </c>
      <c r="E105" t="n">
        <v>200</v>
      </c>
      <c r="F105" t="n">
        <v>1189.5</v>
      </c>
      <c r="G105" t="n">
        <v>5.95</v>
      </c>
    </row>
    <row r="106">
      <c r="A106" t="inlineStr">
        <is>
          <t>Nuv Gastrobar</t>
        </is>
      </c>
      <c r="B106" t="n">
        <v>30466</v>
      </c>
      <c r="C106" t="inlineStr">
        <is>
          <t>BATEDEIRA INDUSTRIAL PLANA 5L 1000W BIVOLT G-PANIZ UN</t>
        </is>
      </c>
      <c r="D106" t="inlineStr">
        <is>
          <t>08/2026</t>
        </is>
      </c>
      <c r="E106" t="n">
        <v>1</v>
      </c>
      <c r="F106" t="n">
        <v>3009.31</v>
      </c>
      <c r="G106" t="n">
        <v>3009.31</v>
      </c>
    </row>
    <row r="107">
      <c r="A107" t="inlineStr">
        <is>
          <t>Nuv Gastrobar</t>
        </is>
      </c>
      <c r="B107" t="n">
        <v>30434</v>
      </c>
      <c r="C107" t="inlineStr">
        <is>
          <t>BATEDOR MANUAL TRAMONTINA PROFISSIONAL MASTER EM AÇO INOX COM CABO EM POLIPROPILENO BRANCO 30CM UN</t>
        </is>
      </c>
      <c r="D107" t="inlineStr">
        <is>
          <t>08/2026</t>
        </is>
      </c>
      <c r="E107" t="n">
        <v>2</v>
      </c>
      <c r="F107" t="n">
        <v>90.78</v>
      </c>
      <c r="G107" t="n">
        <v>45.39</v>
      </c>
    </row>
    <row r="108">
      <c r="A108" t="inlineStr">
        <is>
          <t>Nuv Gastrobar</t>
        </is>
      </c>
      <c r="B108" t="n">
        <v>30435</v>
      </c>
      <c r="C108" t="inlineStr">
        <is>
          <t>BATEDOR MANUAL TRAMONTINA PROFISSIONAL MASTER EM AÇO INOX COM CABO EM POLIPROPILENO BRANCO 35CM UN</t>
        </is>
      </c>
      <c r="D108" t="inlineStr">
        <is>
          <t>08/2026</t>
        </is>
      </c>
      <c r="E108" t="n">
        <v>1</v>
      </c>
      <c r="F108" t="n">
        <v>50.03</v>
      </c>
      <c r="G108" t="n">
        <v>50.03</v>
      </c>
    </row>
    <row r="109">
      <c r="A109" t="inlineStr">
        <is>
          <t>Nuv Gastrobar</t>
        </is>
      </c>
      <c r="B109" t="n">
        <v>19634</v>
      </c>
      <c r="C109" t="inlineStr">
        <is>
          <t>BERINJELA KG</t>
        </is>
      </c>
      <c r="D109" t="inlineStr">
        <is>
          <t>08/2026</t>
        </is>
      </c>
      <c r="E109" t="n">
        <v>4</v>
      </c>
      <c r="F109" t="n">
        <v>31.2</v>
      </c>
      <c r="G109" t="n">
        <v>7.8</v>
      </c>
    </row>
    <row r="110">
      <c r="A110" t="inlineStr">
        <is>
          <t>Nuv Gastrobar</t>
        </is>
      </c>
      <c r="B110" t="n">
        <v>19632</v>
      </c>
      <c r="C110" t="inlineStr">
        <is>
          <t>BETERRABA KG</t>
        </is>
      </c>
      <c r="D110" t="inlineStr">
        <is>
          <t>08/2026</t>
        </is>
      </c>
      <c r="E110" t="n">
        <v>11.11</v>
      </c>
      <c r="F110" t="n">
        <v>32.34</v>
      </c>
      <c r="G110" t="n">
        <v>2.91</v>
      </c>
    </row>
    <row r="111">
      <c r="A111" t="inlineStr">
        <is>
          <t>Nuv Gastrobar</t>
        </is>
      </c>
      <c r="B111" t="n">
        <v>30449</v>
      </c>
      <c r="C111" t="inlineStr">
        <is>
          <t>BICO DOSADOR TRAMONTINA EM AÇO INOX E SILICONE UN</t>
        </is>
      </c>
      <c r="D111" t="inlineStr">
        <is>
          <t>08/2026</t>
        </is>
      </c>
      <c r="E111" t="n">
        <v>10</v>
      </c>
      <c r="F111" t="n">
        <v>435.2</v>
      </c>
      <c r="G111" t="n">
        <v>43.52</v>
      </c>
    </row>
    <row r="112">
      <c r="A112" t="inlineStr">
        <is>
          <t>Nuv Gastrobar</t>
        </is>
      </c>
      <c r="B112" t="n">
        <v>23826</v>
      </c>
      <c r="C112" t="inlineStr">
        <is>
          <t>BISCOITO DE MAIZENA NESTLE TOSTINES 200G</t>
        </is>
      </c>
      <c r="D112" t="inlineStr">
        <is>
          <t>08/2026</t>
        </is>
      </c>
      <c r="E112" t="n">
        <v>20</v>
      </c>
      <c r="F112" t="n">
        <v>73.59999999999999</v>
      </c>
      <c r="G112" t="n">
        <v>3.68</v>
      </c>
    </row>
    <row r="113">
      <c r="A113" t="inlineStr">
        <is>
          <t>Nuv Gastrobar</t>
        </is>
      </c>
      <c r="B113" t="n">
        <v>30488</v>
      </c>
      <c r="C113" t="inlineStr">
        <is>
          <t>BISNAGA INVERTIDA EM PLASTICO TRANSPARENTE 480ML LE GALO UN</t>
        </is>
      </c>
      <c r="D113" t="inlineStr">
        <is>
          <t>08/2026</t>
        </is>
      </c>
      <c r="E113" t="n">
        <v>15</v>
      </c>
      <c r="F113" t="n">
        <v>335.25</v>
      </c>
      <c r="G113" t="n">
        <v>22.35</v>
      </c>
    </row>
    <row r="114">
      <c r="A114" t="inlineStr">
        <is>
          <t>Nuv Gastrobar</t>
        </is>
      </c>
      <c r="B114" t="n">
        <v>26148</v>
      </c>
      <c r="C114" t="inlineStr">
        <is>
          <t xml:space="preserve">BITTER ANGOSTURA ORANGE 200ML </t>
        </is>
      </c>
      <c r="D114" t="inlineStr">
        <is>
          <t>08/2026</t>
        </is>
      </c>
      <c r="E114" t="n">
        <v>4</v>
      </c>
      <c r="F114" t="n">
        <v>755.6</v>
      </c>
      <c r="G114" t="n">
        <v>188.9</v>
      </c>
    </row>
    <row r="115">
      <c r="A115" t="inlineStr">
        <is>
          <t>Nuv Gastrobar</t>
        </is>
      </c>
      <c r="B115" t="n">
        <v>25131</v>
      </c>
      <c r="C115" t="inlineStr">
        <is>
          <t>BLEND CARNE MOIDA 80% ACEM / 20% PEITO KG</t>
        </is>
      </c>
      <c r="D115" t="inlineStr">
        <is>
          <t>08/2026</t>
        </is>
      </c>
      <c r="E115" t="n">
        <v>43.3</v>
      </c>
      <c r="F115" t="n">
        <v>1394.03</v>
      </c>
      <c r="G115" t="n">
        <v>32.19</v>
      </c>
    </row>
    <row r="116">
      <c r="A116" t="inlineStr">
        <is>
          <t>Nuv Gastrobar</t>
        </is>
      </c>
      <c r="B116" t="n">
        <v>17564</v>
      </c>
      <c r="C116" t="inlineStr">
        <is>
          <t>BOBINA DE PLÁSTICO FILME PVC  60CMX600M UN</t>
        </is>
      </c>
      <c r="D116" t="inlineStr">
        <is>
          <t>08/2026</t>
        </is>
      </c>
      <c r="E116" t="n">
        <v>3</v>
      </c>
      <c r="F116" t="n">
        <v>307.86</v>
      </c>
      <c r="G116" t="n">
        <v>102.62</v>
      </c>
    </row>
    <row r="117">
      <c r="A117" t="inlineStr">
        <is>
          <t>Nuv Gastrobar</t>
        </is>
      </c>
      <c r="B117" t="n">
        <v>17573</v>
      </c>
      <c r="C117" t="inlineStr">
        <is>
          <t>BOBINA TERMICA DE PDV PALHA 80X30 C/30UN</t>
        </is>
      </c>
      <c r="D117" t="inlineStr">
        <is>
          <t>08/2026</t>
        </is>
      </c>
      <c r="E117" t="n">
        <v>1</v>
      </c>
      <c r="F117" t="n">
        <v>74.90000000000001</v>
      </c>
      <c r="G117" t="n">
        <v>74.90000000000001</v>
      </c>
    </row>
    <row r="118">
      <c r="A118" t="inlineStr">
        <is>
          <t>Nuv Gastrobar</t>
        </is>
      </c>
      <c r="B118" t="n">
        <v>28857</v>
      </c>
      <c r="C118" t="inlineStr">
        <is>
          <t>BOLACHA DE CHOPP PERSONALIZADA COM 10000 UN</t>
        </is>
      </c>
      <c r="D118" t="inlineStr">
        <is>
          <t>08/2026</t>
        </is>
      </c>
      <c r="E118" t="n">
        <v>10</v>
      </c>
      <c r="F118" t="n">
        <v>2900</v>
      </c>
      <c r="G118" t="n">
        <v>290</v>
      </c>
    </row>
    <row r="119">
      <c r="A119" t="inlineStr">
        <is>
          <t>Nuv Gastrobar</t>
        </is>
      </c>
      <c r="B119" t="n">
        <v>21587</v>
      </c>
      <c r="C119" t="inlineStr">
        <is>
          <t>BORRIFADOR PULVERIZADOR SPRAY PLASTICO 500ML UN</t>
        </is>
      </c>
      <c r="D119" t="inlineStr">
        <is>
          <t>08/2026</t>
        </is>
      </c>
      <c r="E119" t="n">
        <v>15</v>
      </c>
      <c r="F119" t="n">
        <v>97.5</v>
      </c>
      <c r="G119" t="n">
        <v>6.5</v>
      </c>
    </row>
    <row r="120">
      <c r="A120" t="inlineStr">
        <is>
          <t>Nuv Gastrobar</t>
        </is>
      </c>
      <c r="B120" t="n">
        <v>30240</v>
      </c>
      <c r="C120" t="inlineStr">
        <is>
          <t>BOWL ASSIMÉTRICO PORCELANA Ø18CM H5,5CM 470ML VAGO GRAPHITE BONNAMIX UN</t>
        </is>
      </c>
      <c r="D120" t="inlineStr">
        <is>
          <t>08/2026</t>
        </is>
      </c>
      <c r="E120" t="n">
        <v>36</v>
      </c>
      <c r="F120" t="n">
        <v>2875.68</v>
      </c>
      <c r="G120" t="n">
        <v>79.88</v>
      </c>
    </row>
    <row r="121">
      <c r="A121" t="inlineStr">
        <is>
          <t>Nuv Gastrobar</t>
        </is>
      </c>
      <c r="B121" t="n">
        <v>30630</v>
      </c>
      <c r="C121" t="inlineStr">
        <is>
          <t>BOWL COM TAMPA TRANSPARENTE EM AÇO INOX COM CAPACIDADE DE 1,6L FREEZINOX UN</t>
        </is>
      </c>
      <c r="D121" t="inlineStr">
        <is>
          <t>08/2026</t>
        </is>
      </c>
      <c r="E121" t="n">
        <v>4</v>
      </c>
      <c r="F121" t="n">
        <v>316.76</v>
      </c>
      <c r="G121" t="n">
        <v>79.19</v>
      </c>
    </row>
    <row r="122">
      <c r="A122" t="inlineStr">
        <is>
          <t>Nuv Gastrobar</t>
        </is>
      </c>
      <c r="B122" t="n">
        <v>30631</v>
      </c>
      <c r="C122" t="inlineStr">
        <is>
          <t>BOWL COM TAMPA TRANSPARENTE EM AÇO INOX COM CAPACIDADE DE 2,2L FREEZINOX UN</t>
        </is>
      </c>
      <c r="D122" t="inlineStr">
        <is>
          <t>08/2026</t>
        </is>
      </c>
      <c r="E122" t="n">
        <v>2</v>
      </c>
      <c r="F122" t="n">
        <v>188.44</v>
      </c>
      <c r="G122" t="n">
        <v>94.22</v>
      </c>
    </row>
    <row r="123">
      <c r="A123" t="inlineStr">
        <is>
          <t>Nuv Gastrobar</t>
        </is>
      </c>
      <c r="B123" t="n">
        <v>30632</v>
      </c>
      <c r="C123" t="inlineStr">
        <is>
          <t>BOWL COM TAMPA TRANSPARENTE EM AÇO INOX COM CAPACIDADE DE 2,9L FREEZINOX UN</t>
        </is>
      </c>
      <c r="D123" t="inlineStr">
        <is>
          <t>08/2026</t>
        </is>
      </c>
      <c r="E123" t="n">
        <v>2</v>
      </c>
      <c r="F123" t="n">
        <v>231.5</v>
      </c>
      <c r="G123" t="n">
        <v>115.75</v>
      </c>
    </row>
    <row r="124">
      <c r="A124" t="inlineStr">
        <is>
          <t>Nuv Gastrobar</t>
        </is>
      </c>
      <c r="B124" t="n">
        <v>30628</v>
      </c>
      <c r="C124" t="inlineStr">
        <is>
          <t>BOWL COM TAMPA TRANSPARENTE EM AÇO INOX COM CAPACIDADE DE 300ML FREEZINOX UN</t>
        </is>
      </c>
      <c r="D124" t="inlineStr">
        <is>
          <t>08/2026</t>
        </is>
      </c>
      <c r="E124" t="n">
        <v>4</v>
      </c>
      <c r="F124" t="n">
        <v>168.52</v>
      </c>
      <c r="G124" t="n">
        <v>42.13</v>
      </c>
    </row>
    <row r="125">
      <c r="A125" t="inlineStr">
        <is>
          <t>Nuv Gastrobar</t>
        </is>
      </c>
      <c r="B125" t="n">
        <v>30634</v>
      </c>
      <c r="C125" t="inlineStr">
        <is>
          <t>BOWL COM TAMPA TRANSPARENTE EM AÇO INOX COM CAPACIDADE DE 5,8L FREEZINOX UN</t>
        </is>
      </c>
      <c r="D125" t="inlineStr">
        <is>
          <t>08/2026</t>
        </is>
      </c>
      <c r="E125" t="n">
        <v>2</v>
      </c>
      <c r="F125" t="n">
        <v>274.08</v>
      </c>
      <c r="G125" t="n">
        <v>137.04</v>
      </c>
    </row>
    <row r="126">
      <c r="A126" t="inlineStr">
        <is>
          <t>Nuv Gastrobar</t>
        </is>
      </c>
      <c r="B126" t="n">
        <v>30629</v>
      </c>
      <c r="C126" t="inlineStr">
        <is>
          <t>BOWL COM TAMPA TRANSPARENTE EM AÇO INOX COM CAPACIDADE DE 800ML FREEZINOX UN</t>
        </is>
      </c>
      <c r="D126" t="inlineStr">
        <is>
          <t>08/2026</t>
        </is>
      </c>
      <c r="E126" t="n">
        <v>4</v>
      </c>
      <c r="F126" t="n">
        <v>187.12</v>
      </c>
      <c r="G126" t="n">
        <v>46.78</v>
      </c>
    </row>
    <row r="127">
      <c r="A127" t="inlineStr">
        <is>
          <t>Nuv Gastrobar</t>
        </is>
      </c>
      <c r="B127" t="n">
        <v>28241</v>
      </c>
      <c r="C127" t="inlineStr">
        <is>
          <t>BOWL INOX 10L</t>
        </is>
      </c>
      <c r="D127" t="inlineStr">
        <is>
          <t>08/2026</t>
        </is>
      </c>
      <c r="E127" t="n">
        <v>2</v>
      </c>
      <c r="F127" t="n">
        <v>370.6</v>
      </c>
      <c r="G127" t="n">
        <v>185.3</v>
      </c>
    </row>
    <row r="128">
      <c r="A128" t="inlineStr">
        <is>
          <t>Nuv Gastrobar</t>
        </is>
      </c>
      <c r="B128" t="n">
        <v>26560</v>
      </c>
      <c r="C128" t="inlineStr">
        <is>
          <t>CACHACA FAMIGERADA AMENDOIM 750ML</t>
        </is>
      </c>
      <c r="D128" t="inlineStr">
        <is>
          <t>08/2026</t>
        </is>
      </c>
      <c r="E128" t="n">
        <v>36</v>
      </c>
      <c r="F128" t="n">
        <v>990</v>
      </c>
      <c r="G128" t="n">
        <v>27.5</v>
      </c>
    </row>
    <row r="129">
      <c r="A129" t="inlineStr">
        <is>
          <t>Nuv Gastrobar</t>
        </is>
      </c>
      <c r="B129" t="n">
        <v>28948</v>
      </c>
      <c r="C129" t="inlineStr">
        <is>
          <t>CAFE MARTINS EM GRAOS 1KG CONSUMO UN</t>
        </is>
      </c>
      <c r="D129" t="inlineStr">
        <is>
          <t>08/2026</t>
        </is>
      </c>
      <c r="E129" t="n">
        <v>30</v>
      </c>
      <c r="F129" t="n">
        <v>2556.9</v>
      </c>
      <c r="G129" t="n">
        <v>85.23</v>
      </c>
    </row>
    <row r="130">
      <c r="A130" t="inlineStr">
        <is>
          <t>Nuv Gastrobar</t>
        </is>
      </c>
      <c r="B130" t="n">
        <v>26126</v>
      </c>
      <c r="C130" t="inlineStr">
        <is>
          <t>CAFE MARTINS EM GRAOS 250G</t>
        </is>
      </c>
      <c r="D130" t="inlineStr">
        <is>
          <t>08/2026</t>
        </is>
      </c>
      <c r="E130" t="n">
        <v>50</v>
      </c>
      <c r="F130" t="n">
        <v>1292</v>
      </c>
      <c r="G130" t="n">
        <v>25.84</v>
      </c>
    </row>
    <row r="131">
      <c r="A131" t="inlineStr">
        <is>
          <t>Nuv Gastrobar</t>
        </is>
      </c>
      <c r="B131" t="n">
        <v>16974</v>
      </c>
      <c r="C131" t="inlineStr">
        <is>
          <t>CAFE NESPRESSO RISTRETTO PRO CAPSULA C/50</t>
        </is>
      </c>
      <c r="D131" t="inlineStr">
        <is>
          <t>08/2026</t>
        </is>
      </c>
      <c r="E131" t="n">
        <v>80</v>
      </c>
      <c r="F131" t="n">
        <v>10280</v>
      </c>
      <c r="G131" t="n">
        <v>128.5</v>
      </c>
    </row>
    <row r="132">
      <c r="A132" t="inlineStr">
        <is>
          <t>Nuv Gastrobar</t>
        </is>
      </c>
      <c r="B132" t="n">
        <v>20809</v>
      </c>
      <c r="C132" t="inlineStr">
        <is>
          <t>CAFE PILAO ALMOFADA 500G</t>
        </is>
      </c>
      <c r="D132" t="inlineStr">
        <is>
          <t>08/2026</t>
        </is>
      </c>
      <c r="E132" t="n">
        <v>5</v>
      </c>
      <c r="F132" t="n">
        <v>149.5</v>
      </c>
      <c r="G132" t="n">
        <v>29.9</v>
      </c>
    </row>
    <row r="133">
      <c r="A133" t="inlineStr">
        <is>
          <t>Nuv Gastrobar</t>
        </is>
      </c>
      <c r="B133" t="n">
        <v>30481</v>
      </c>
      <c r="C133" t="inlineStr">
        <is>
          <t>CAIXA BRANCA POLIPROPILENO 62 X 38,5CM 36L BOLIVAR UN</t>
        </is>
      </c>
      <c r="D133" t="inlineStr">
        <is>
          <t>08/2026</t>
        </is>
      </c>
      <c r="E133" t="n">
        <v>1</v>
      </c>
      <c r="F133" t="n">
        <v>88.78</v>
      </c>
      <c r="G133" t="n">
        <v>88.78</v>
      </c>
    </row>
    <row r="134">
      <c r="A134" t="inlineStr">
        <is>
          <t>Nuv Gastrobar</t>
        </is>
      </c>
      <c r="B134" t="n">
        <v>30502</v>
      </c>
      <c r="C134" t="inlineStr">
        <is>
          <t>CAIXA PARA ARMAZENAMENTO COM TAMPA 15L SUPERCRON UN</t>
        </is>
      </c>
      <c r="D134" t="inlineStr">
        <is>
          <t>08/2026</t>
        </is>
      </c>
      <c r="E134" t="n">
        <v>30</v>
      </c>
      <c r="F134" t="n">
        <v>2399.1</v>
      </c>
      <c r="G134" t="n">
        <v>79.97</v>
      </c>
    </row>
    <row r="135">
      <c r="A135" t="inlineStr">
        <is>
          <t>Nuv Gastrobar</t>
        </is>
      </c>
      <c r="B135" t="n">
        <v>30503</v>
      </c>
      <c r="C135" t="inlineStr">
        <is>
          <t>CAIXA PARA ARMAZENAMENTO COM TAMPA 6,5L SUPERCRON UN</t>
        </is>
      </c>
      <c r="D135" t="inlineStr">
        <is>
          <t>08/2026</t>
        </is>
      </c>
      <c r="E135" t="n">
        <v>10</v>
      </c>
      <c r="F135" t="n">
        <v>465.8</v>
      </c>
      <c r="G135" t="n">
        <v>46.58</v>
      </c>
    </row>
    <row r="136">
      <c r="A136" t="inlineStr">
        <is>
          <t>Nuv Gastrobar</t>
        </is>
      </c>
      <c r="B136" t="n">
        <v>23385</v>
      </c>
      <c r="C136" t="inlineStr">
        <is>
          <t>CAJU KG</t>
        </is>
      </c>
      <c r="D136" t="inlineStr">
        <is>
          <t>08/2026</t>
        </is>
      </c>
      <c r="E136" t="n">
        <v>1.8</v>
      </c>
      <c r="F136" t="n">
        <v>57.37</v>
      </c>
      <c r="G136" t="n">
        <v>31.87</v>
      </c>
    </row>
    <row r="137">
      <c r="A137" t="inlineStr">
        <is>
          <t>Nuv Gastrobar</t>
        </is>
      </c>
      <c r="B137" t="n">
        <v>28877</v>
      </c>
      <c r="C137" t="inlineStr">
        <is>
          <t xml:space="preserve">CALCADO PROFISSIONAL TIPO CROCS PAR ANTIDERRAPANTE N 35 </t>
        </is>
      </c>
      <c r="D137" t="inlineStr">
        <is>
          <t>08/2026</t>
        </is>
      </c>
      <c r="E137" t="n">
        <v>1</v>
      </c>
      <c r="F137" t="n">
        <v>96.12</v>
      </c>
      <c r="G137" t="n">
        <v>96.12</v>
      </c>
    </row>
    <row r="138">
      <c r="A138" t="inlineStr">
        <is>
          <t>Nuv Gastrobar</t>
        </is>
      </c>
      <c r="B138" t="n">
        <v>27212</v>
      </c>
      <c r="C138" t="inlineStr">
        <is>
          <t xml:space="preserve">CALCADO PROFISSIONAL TIPO CROCS PAR ANTIDERRAPANTE N 37 </t>
        </is>
      </c>
      <c r="D138" t="inlineStr">
        <is>
          <t>08/2026</t>
        </is>
      </c>
      <c r="E138" t="n">
        <v>3</v>
      </c>
      <c r="F138" t="n">
        <v>288.36</v>
      </c>
      <c r="G138" t="n">
        <v>96.12</v>
      </c>
    </row>
    <row r="139">
      <c r="A139" t="inlineStr">
        <is>
          <t>Nuv Gastrobar</t>
        </is>
      </c>
      <c r="B139" t="n">
        <v>27213</v>
      </c>
      <c r="C139" t="inlineStr">
        <is>
          <t xml:space="preserve">CALCADO PROFISSIONAL TIPO CROCS PAR ANTIDERRAPANTE N 38 </t>
        </is>
      </c>
      <c r="D139" t="inlineStr">
        <is>
          <t>08/2026</t>
        </is>
      </c>
      <c r="E139" t="n">
        <v>2</v>
      </c>
      <c r="F139" t="n">
        <v>192.24</v>
      </c>
      <c r="G139" t="n">
        <v>96.12</v>
      </c>
    </row>
    <row r="140">
      <c r="A140" t="inlineStr">
        <is>
          <t>Nuv Gastrobar</t>
        </is>
      </c>
      <c r="B140" t="n">
        <v>27215</v>
      </c>
      <c r="C140" t="inlineStr">
        <is>
          <t>CALCADO PROFISSIONAL TIPO CROCS PAR ANTIDERRAPANTE N 41</t>
        </is>
      </c>
      <c r="D140" t="inlineStr">
        <is>
          <t>08/2026</t>
        </is>
      </c>
      <c r="E140" t="n">
        <v>2</v>
      </c>
      <c r="F140" t="n">
        <v>192.24</v>
      </c>
      <c r="G140" t="n">
        <v>96.12</v>
      </c>
    </row>
    <row r="141">
      <c r="A141" t="inlineStr">
        <is>
          <t>Nuv Gastrobar</t>
        </is>
      </c>
      <c r="B141" t="n">
        <v>28135</v>
      </c>
      <c r="C141" t="inlineStr">
        <is>
          <t>CALCADO PROFISSIONAL TIPO CROCS PAR ANTIDERRAPANTE N42</t>
        </is>
      </c>
      <c r="D141" t="inlineStr">
        <is>
          <t>08/2026</t>
        </is>
      </c>
      <c r="E141" t="n">
        <v>2</v>
      </c>
      <c r="F141" t="n">
        <v>192.24</v>
      </c>
      <c r="G141" t="n">
        <v>96.12</v>
      </c>
    </row>
    <row r="142">
      <c r="A142" t="inlineStr">
        <is>
          <t>Nuv Gastrobar</t>
        </is>
      </c>
      <c r="B142" t="n">
        <v>30455</v>
      </c>
      <c r="C142" t="inlineStr">
        <is>
          <t>CALDEIRAO TRAMONTINA PROFESSIONAL EM AÇO INOX FUNDO TRIPLO COM TAMPA E ALÇAS 28CM 15,7L UN</t>
        </is>
      </c>
      <c r="D142" t="inlineStr">
        <is>
          <t>08/2026</t>
        </is>
      </c>
      <c r="E142" t="n">
        <v>1</v>
      </c>
      <c r="F142" t="n">
        <v>590.11</v>
      </c>
      <c r="G142" t="n">
        <v>590.11</v>
      </c>
    </row>
    <row r="143">
      <c r="A143" t="inlineStr">
        <is>
          <t>Nuv Gastrobar</t>
        </is>
      </c>
      <c r="B143" t="n">
        <v>30453</v>
      </c>
      <c r="C143" t="inlineStr">
        <is>
          <t>CALDEIRAO TRAMONTINA PROFESSIONAL EM AÇO INOX FUNDO TRIPLO COM TAMPA PLANA DEALHE SATINADO 20CM 4,6L UN</t>
        </is>
      </c>
      <c r="D143" t="inlineStr">
        <is>
          <t>08/2026</t>
        </is>
      </c>
      <c r="E143" t="n">
        <v>2</v>
      </c>
      <c r="F143" t="n">
        <v>625.8</v>
      </c>
      <c r="G143" t="n">
        <v>312.9</v>
      </c>
    </row>
    <row r="144">
      <c r="A144" t="inlineStr">
        <is>
          <t>Nuv Gastrobar</t>
        </is>
      </c>
      <c r="B144" t="n">
        <v>30454</v>
      </c>
      <c r="C144" t="inlineStr">
        <is>
          <t>CALDEIRAO TRAMONTINA PROFESSIONAL EM AÇO INOX FUNDO TRIPLO COM TAMPA PLANA DEALHE SATINADO 28CM 11,9L UN</t>
        </is>
      </c>
      <c r="D144" t="inlineStr">
        <is>
          <t>08/2026</t>
        </is>
      </c>
      <c r="E144" t="n">
        <v>2</v>
      </c>
      <c r="F144" t="n">
        <v>1143.76</v>
      </c>
      <c r="G144" t="n">
        <v>571.88</v>
      </c>
    </row>
    <row r="145">
      <c r="A145" t="inlineStr">
        <is>
          <t>Nuv Gastrobar</t>
        </is>
      </c>
      <c r="B145" t="n">
        <v>30456</v>
      </c>
      <c r="C145" t="inlineStr">
        <is>
          <t>CALDEIRAO TRAMONTINA PROFESSIONAL EM AÇO INOX FUNDO TRIPLO SEM TAMPA 30CM 20,8L UN</t>
        </is>
      </c>
      <c r="D145" t="inlineStr">
        <is>
          <t>08/2026</t>
        </is>
      </c>
      <c r="E145" t="n">
        <v>1</v>
      </c>
      <c r="F145" t="n">
        <v>449.68</v>
      </c>
      <c r="G145" t="n">
        <v>449.68</v>
      </c>
    </row>
    <row r="146">
      <c r="A146" t="inlineStr">
        <is>
          <t>Nuv Gastrobar</t>
        </is>
      </c>
      <c r="B146" t="n">
        <v>30457</v>
      </c>
      <c r="C146" t="inlineStr">
        <is>
          <t>CALDEIRAO TRAMONTINA PROFESSIONAL EM AÇO INOX FUNDO TRIPLO SEM TAMPA 40CM 30L UN</t>
        </is>
      </c>
      <c r="D146" t="inlineStr">
        <is>
          <t>08/2026</t>
        </is>
      </c>
      <c r="E146" t="n">
        <v>1</v>
      </c>
      <c r="F146" t="n">
        <v>1593.63</v>
      </c>
      <c r="G146" t="n">
        <v>1593.63</v>
      </c>
    </row>
    <row r="147">
      <c r="A147" t="inlineStr">
        <is>
          <t>Nuv Gastrobar</t>
        </is>
      </c>
      <c r="B147" t="n">
        <v>23548</v>
      </c>
      <c r="C147" t="inlineStr">
        <is>
          <t>CANELA EM PAU KG</t>
        </is>
      </c>
      <c r="D147" t="inlineStr">
        <is>
          <t>08/2026</t>
        </is>
      </c>
      <c r="E147" t="n">
        <v>1</v>
      </c>
      <c r="F147" t="n">
        <v>43.98</v>
      </c>
      <c r="G147" t="n">
        <v>43.98</v>
      </c>
    </row>
    <row r="148">
      <c r="A148" t="inlineStr">
        <is>
          <t>Nuv Gastrobar</t>
        </is>
      </c>
      <c r="B148" t="n">
        <v>24110</v>
      </c>
      <c r="C148" t="inlineStr">
        <is>
          <t>CANELA EM PO KG</t>
        </is>
      </c>
      <c r="D148" t="inlineStr">
        <is>
          <t>08/2026</t>
        </is>
      </c>
      <c r="E148" t="n">
        <v>1</v>
      </c>
      <c r="F148" t="n">
        <v>16.5</v>
      </c>
      <c r="G148" t="n">
        <v>16.5</v>
      </c>
    </row>
    <row r="149">
      <c r="A149" t="inlineStr">
        <is>
          <t>Nuv Gastrobar</t>
        </is>
      </c>
      <c r="B149" t="n">
        <v>17553</v>
      </c>
      <c r="C149" t="inlineStr">
        <is>
          <t>CANUDO BIODEGRADAVEL JUMBO 9MM C/2000 UN</t>
        </is>
      </c>
      <c r="D149" t="inlineStr">
        <is>
          <t>08/2026</t>
        </is>
      </c>
      <c r="E149" t="n">
        <v>10</v>
      </c>
      <c r="F149" t="n">
        <v>80</v>
      </c>
      <c r="G149" t="n">
        <v>8</v>
      </c>
    </row>
    <row r="150">
      <c r="A150" t="inlineStr">
        <is>
          <t>Nuv Gastrobar</t>
        </is>
      </c>
      <c r="B150" t="n">
        <v>28212</v>
      </c>
      <c r="C150" t="inlineStr">
        <is>
          <t>CARNE SECA COXÃO DURO DI CALLANI KG</t>
        </is>
      </c>
      <c r="D150" t="inlineStr">
        <is>
          <t>08/2026</t>
        </is>
      </c>
      <c r="E150" t="n">
        <v>5.1</v>
      </c>
      <c r="F150" t="n">
        <v>244.8</v>
      </c>
      <c r="G150" t="n">
        <v>48</v>
      </c>
    </row>
    <row r="151">
      <c r="A151" t="inlineStr">
        <is>
          <t>Nuv Gastrobar</t>
        </is>
      </c>
      <c r="B151" t="n">
        <v>24118</v>
      </c>
      <c r="C151" t="inlineStr">
        <is>
          <t>CASTANHA DE CAJU CRUA KG</t>
        </is>
      </c>
      <c r="D151" t="inlineStr">
        <is>
          <t>08/2026</t>
        </is>
      </c>
      <c r="E151" t="n">
        <v>4</v>
      </c>
      <c r="F151" t="n">
        <v>273.58</v>
      </c>
      <c r="G151" t="n">
        <v>68.40000000000001</v>
      </c>
    </row>
    <row r="152">
      <c r="A152" t="inlineStr">
        <is>
          <t>Nuv Gastrobar</t>
        </is>
      </c>
      <c r="B152" t="n">
        <v>23648</v>
      </c>
      <c r="C152" t="inlineStr">
        <is>
          <t>CASTANHA DO PARA KG</t>
        </is>
      </c>
      <c r="D152" t="inlineStr">
        <is>
          <t>08/2026</t>
        </is>
      </c>
      <c r="E152" t="n">
        <v>4</v>
      </c>
      <c r="F152" t="n">
        <v>319.6</v>
      </c>
      <c r="G152" t="n">
        <v>79.90000000000001</v>
      </c>
    </row>
    <row r="153">
      <c r="A153" t="inlineStr">
        <is>
          <t>Nuv Gastrobar</t>
        </is>
      </c>
      <c r="B153" t="n">
        <v>24123</v>
      </c>
      <c r="C153" t="inlineStr">
        <is>
          <t>CASTANHA DO PARA S/ CASCA MEDIA C/1KG</t>
        </is>
      </c>
      <c r="D153" t="inlineStr">
        <is>
          <t>08/2026</t>
        </is>
      </c>
      <c r="E153" t="n">
        <v>1</v>
      </c>
      <c r="F153" t="n">
        <v>78.90000000000001</v>
      </c>
      <c r="G153" t="n">
        <v>78.90000000000001</v>
      </c>
    </row>
    <row r="154">
      <c r="A154" t="inlineStr">
        <is>
          <t>Nuv Gastrobar</t>
        </is>
      </c>
      <c r="B154" t="n">
        <v>24509</v>
      </c>
      <c r="C154" t="inlineStr">
        <is>
          <t>CEBOLA BRANCA KG</t>
        </is>
      </c>
      <c r="D154" t="inlineStr">
        <is>
          <t>08/2026</t>
        </is>
      </c>
      <c r="E154" t="n">
        <v>20.15</v>
      </c>
      <c r="F154" t="n">
        <v>86.56999999999999</v>
      </c>
      <c r="G154" t="n">
        <v>4.3</v>
      </c>
    </row>
    <row r="155">
      <c r="A155" t="inlineStr">
        <is>
          <t>Nuv Gastrobar</t>
        </is>
      </c>
      <c r="B155" t="n">
        <v>24125</v>
      </c>
      <c r="C155" t="inlineStr">
        <is>
          <t>CEBOLA EM PO KG</t>
        </is>
      </c>
      <c r="D155" t="inlineStr">
        <is>
          <t>08/2026</t>
        </is>
      </c>
      <c r="E155" t="n">
        <v>1</v>
      </c>
      <c r="F155" t="n">
        <v>11.9</v>
      </c>
      <c r="G155" t="n">
        <v>11.9</v>
      </c>
    </row>
    <row r="156">
      <c r="A156" t="inlineStr">
        <is>
          <t>Nuv Gastrobar</t>
        </is>
      </c>
      <c r="B156" t="n">
        <v>19623</v>
      </c>
      <c r="C156" t="inlineStr">
        <is>
          <t>CEBOLA ROXA KG</t>
        </is>
      </c>
      <c r="D156" t="inlineStr">
        <is>
          <t>08/2026</t>
        </is>
      </c>
      <c r="E156" t="n">
        <v>34.25</v>
      </c>
      <c r="F156" t="n">
        <v>222.23</v>
      </c>
      <c r="G156" t="n">
        <v>6.49</v>
      </c>
    </row>
    <row r="157">
      <c r="A157" t="inlineStr">
        <is>
          <t>Nuv Gastrobar</t>
        </is>
      </c>
      <c r="B157" t="n">
        <v>19488</v>
      </c>
      <c r="C157" t="inlineStr">
        <is>
          <t>CEBOLINHA KG</t>
        </is>
      </c>
      <c r="D157" t="inlineStr">
        <is>
          <t>08/2026</t>
        </is>
      </c>
      <c r="E157" t="n">
        <v>5.5</v>
      </c>
      <c r="F157" t="n">
        <v>70.06999999999999</v>
      </c>
      <c r="G157" t="n">
        <v>12.74</v>
      </c>
    </row>
    <row r="158">
      <c r="A158" t="inlineStr">
        <is>
          <t>Nuv Gastrobar</t>
        </is>
      </c>
      <c r="B158" t="n">
        <v>19621</v>
      </c>
      <c r="C158" t="inlineStr">
        <is>
          <t>CENOURA KG</t>
        </is>
      </c>
      <c r="D158" t="inlineStr">
        <is>
          <t>08/2026</t>
        </is>
      </c>
      <c r="E158" t="n">
        <v>21.41</v>
      </c>
      <c r="F158" t="n">
        <v>105.52</v>
      </c>
      <c r="G158" t="n">
        <v>4.93</v>
      </c>
    </row>
    <row r="159">
      <c r="A159" t="inlineStr">
        <is>
          <t>Nuv Gastrobar</t>
        </is>
      </c>
      <c r="B159" t="n">
        <v>24683</v>
      </c>
      <c r="C159" t="inlineStr">
        <is>
          <t>CEREJA AMARENA FABBRI C/600GR</t>
        </is>
      </c>
      <c r="D159" t="inlineStr">
        <is>
          <t>08/2026</t>
        </is>
      </c>
      <c r="E159" t="n">
        <v>2</v>
      </c>
      <c r="F159" t="n">
        <v>239.8</v>
      </c>
      <c r="G159" t="n">
        <v>119.9</v>
      </c>
    </row>
    <row r="160">
      <c r="A160" t="inlineStr">
        <is>
          <t>Nuv Gastrobar</t>
        </is>
      </c>
      <c r="B160" t="n">
        <v>24138</v>
      </c>
      <c r="C160" t="inlineStr">
        <is>
          <t>CERVEJA HEINEKEN LONG NECK 330ML C/24</t>
        </is>
      </c>
      <c r="D160" t="inlineStr">
        <is>
          <t>08/2026</t>
        </is>
      </c>
      <c r="E160" t="n">
        <v>60</v>
      </c>
      <c r="F160" t="n">
        <v>9201.6</v>
      </c>
      <c r="G160" t="n">
        <v>153.36</v>
      </c>
    </row>
    <row r="161">
      <c r="A161" t="inlineStr">
        <is>
          <t>Nuv Gastrobar</t>
        </is>
      </c>
      <c r="B161" t="n">
        <v>18562</v>
      </c>
      <c r="C161" t="inlineStr">
        <is>
          <t>CERVEJA HEINEKEN ZERO LONG NECK 330ML C/24</t>
        </is>
      </c>
      <c r="D161" t="inlineStr">
        <is>
          <t>08/2026</t>
        </is>
      </c>
      <c r="E161" t="n">
        <v>12</v>
      </c>
      <c r="F161" t="n">
        <v>1802.16</v>
      </c>
      <c r="G161" t="n">
        <v>150.18</v>
      </c>
    </row>
    <row r="162">
      <c r="A162" t="inlineStr">
        <is>
          <t>Nuv Gastrobar</t>
        </is>
      </c>
      <c r="B162" t="n">
        <v>30440</v>
      </c>
      <c r="C162" t="inlineStr">
        <is>
          <t>CHAIRA ESTRIADA TRAMONTINA PROFISSIONAL MASTER COM HASTE EM AÇO CARBONO E CABO DE POLIPROPILENO BRANCO 10 POLEGADAS UN</t>
        </is>
      </c>
      <c r="D162" t="inlineStr">
        <is>
          <t>08/2026</t>
        </is>
      </c>
      <c r="E162" t="n">
        <v>2</v>
      </c>
      <c r="F162" t="n">
        <v>210.34</v>
      </c>
      <c r="G162" t="n">
        <v>105.17</v>
      </c>
    </row>
    <row r="163">
      <c r="A163" t="inlineStr">
        <is>
          <t>Nuv Gastrobar</t>
        </is>
      </c>
      <c r="B163" t="n">
        <v>20044</v>
      </c>
      <c r="C163" t="inlineStr">
        <is>
          <t>CHIMICHURRI KG</t>
        </is>
      </c>
      <c r="D163" t="inlineStr">
        <is>
          <t>08/2026</t>
        </is>
      </c>
      <c r="E163" t="n">
        <v>2</v>
      </c>
      <c r="F163" t="n">
        <v>41</v>
      </c>
      <c r="G163" t="n">
        <v>20.5</v>
      </c>
    </row>
    <row r="164">
      <c r="A164" t="inlineStr">
        <is>
          <t>Nuv Gastrobar</t>
        </is>
      </c>
      <c r="B164" t="n">
        <v>28644</v>
      </c>
      <c r="C164" t="inlineStr">
        <is>
          <t>CHIMICHURRI SEM PIMENTA KG</t>
        </is>
      </c>
      <c r="D164" t="inlineStr">
        <is>
          <t>08/2026</t>
        </is>
      </c>
      <c r="E164" t="n">
        <v>1</v>
      </c>
      <c r="F164" t="n">
        <v>19.9</v>
      </c>
      <c r="G164" t="n">
        <v>19.9</v>
      </c>
    </row>
    <row r="165">
      <c r="A165" t="inlineStr">
        <is>
          <t>Nuv Gastrobar</t>
        </is>
      </c>
      <c r="B165" t="n">
        <v>23229</v>
      </c>
      <c r="C165" t="inlineStr">
        <is>
          <t>CHIPS DE MANDIOCA KG</t>
        </is>
      </c>
      <c r="D165" t="inlineStr">
        <is>
          <t>08/2026</t>
        </is>
      </c>
      <c r="E165" t="n">
        <v>4</v>
      </c>
      <c r="F165" t="n">
        <v>510.9</v>
      </c>
      <c r="G165" t="n">
        <v>127.73</v>
      </c>
    </row>
    <row r="166">
      <c r="A166" t="inlineStr">
        <is>
          <t>Nuv Gastrobar</t>
        </is>
      </c>
      <c r="B166" t="n">
        <v>27977</v>
      </c>
      <c r="C166" t="inlineStr">
        <is>
          <t>CHOCOLATE AMARGO GOTAS 70% CACAU NOBRE SICAO 1,01KG</t>
        </is>
      </c>
      <c r="D166" t="inlineStr">
        <is>
          <t>08/2026</t>
        </is>
      </c>
      <c r="E166" t="n">
        <v>6</v>
      </c>
      <c r="F166" t="n">
        <v>959.4</v>
      </c>
      <c r="G166" t="n">
        <v>159.9</v>
      </c>
    </row>
    <row r="167">
      <c r="A167" t="inlineStr">
        <is>
          <t>Nuv Gastrobar</t>
        </is>
      </c>
      <c r="B167" t="n">
        <v>26187</v>
      </c>
      <c r="C167" t="inlineStr">
        <is>
          <t>CHOCOLATE EM GOTAS BRANCO SICAO 2,05KG UN</t>
        </is>
      </c>
      <c r="D167" t="inlineStr">
        <is>
          <t>08/2026</t>
        </is>
      </c>
      <c r="E167" t="n">
        <v>2</v>
      </c>
      <c r="F167" t="n">
        <v>419.8</v>
      </c>
      <c r="G167" t="n">
        <v>209.9</v>
      </c>
    </row>
    <row r="168">
      <c r="A168" t="inlineStr">
        <is>
          <t>Nuv Gastrobar</t>
        </is>
      </c>
      <c r="B168" t="n">
        <v>20941</v>
      </c>
      <c r="C168" t="inlineStr">
        <is>
          <t>CHOCOLATE EM GOTAS MEIO AMARGO SICAO C/2,05KG</t>
        </is>
      </c>
      <c r="D168" t="inlineStr">
        <is>
          <t>08/2026</t>
        </is>
      </c>
      <c r="E168" t="n">
        <v>8</v>
      </c>
      <c r="F168" t="n">
        <v>1458.4</v>
      </c>
      <c r="G168" t="n">
        <v>182.3</v>
      </c>
    </row>
    <row r="169">
      <c r="A169" t="inlineStr">
        <is>
          <t>Nuv Gastrobar</t>
        </is>
      </c>
      <c r="B169" t="n">
        <v>27619</v>
      </c>
      <c r="C169" t="inlineStr">
        <is>
          <t>CHOCOLATE VEGANO 70% CACAU S/ GLUTEN S/ LACTOSE S/ACUCAR 1,01KG  LOCKAU</t>
        </is>
      </c>
      <c r="D169" t="inlineStr">
        <is>
          <t>08/2026</t>
        </is>
      </c>
      <c r="E169" t="n">
        <v>4</v>
      </c>
      <c r="F169" t="n">
        <v>599.6</v>
      </c>
      <c r="G169" t="n">
        <v>149.9</v>
      </c>
    </row>
    <row r="170">
      <c r="A170" t="inlineStr">
        <is>
          <t>Nuv Gastrobar</t>
        </is>
      </c>
      <c r="B170" t="n">
        <v>30473</v>
      </c>
      <c r="C170" t="inlineStr">
        <is>
          <t>COADOR DE DRINKS STRAINER INOX 4 APOIOS BARPRO UN</t>
        </is>
      </c>
      <c r="D170" t="inlineStr">
        <is>
          <t>08/2026</t>
        </is>
      </c>
      <c r="E170" t="n">
        <v>5</v>
      </c>
      <c r="F170" t="n">
        <v>74.7</v>
      </c>
      <c r="G170" t="n">
        <v>14.94</v>
      </c>
    </row>
    <row r="171">
      <c r="A171" t="inlineStr">
        <is>
          <t>Nuv Gastrobar</t>
        </is>
      </c>
      <c r="B171" t="n">
        <v>30446</v>
      </c>
      <c r="C171" t="inlineStr">
        <is>
          <t>COADOR STRAINER TRAMONTINA PARA COQUETEL EM AÇO INOX UN</t>
        </is>
      </c>
      <c r="D171" t="inlineStr">
        <is>
          <t>08/2026</t>
        </is>
      </c>
      <c r="E171" t="n">
        <v>6</v>
      </c>
      <c r="F171" t="n">
        <v>290.22</v>
      </c>
      <c r="G171" t="n">
        <v>48.37</v>
      </c>
    </row>
    <row r="172">
      <c r="A172" t="inlineStr">
        <is>
          <t>Nuv Gastrobar</t>
        </is>
      </c>
      <c r="B172" t="n">
        <v>27398</v>
      </c>
      <c r="C172" t="inlineStr">
        <is>
          <t>COALHADA SECA DE OVELHA RIMA 200G</t>
        </is>
      </c>
      <c r="D172" t="inlineStr">
        <is>
          <t>08/2026</t>
        </is>
      </c>
      <c r="E172" t="n">
        <v>19</v>
      </c>
      <c r="F172" t="n">
        <v>779</v>
      </c>
      <c r="G172" t="n">
        <v>41</v>
      </c>
    </row>
    <row r="173">
      <c r="A173" t="inlineStr">
        <is>
          <t>Nuv Gastrobar</t>
        </is>
      </c>
      <c r="B173" t="n">
        <v>24167</v>
      </c>
      <c r="C173" t="inlineStr">
        <is>
          <t>COALHADA SECA KG</t>
        </is>
      </c>
      <c r="D173" t="inlineStr">
        <is>
          <t>08/2026</t>
        </is>
      </c>
      <c r="E173" t="n">
        <v>23</v>
      </c>
      <c r="F173" t="n">
        <v>618.7</v>
      </c>
      <c r="G173" t="n">
        <v>26.9</v>
      </c>
    </row>
    <row r="174">
      <c r="A174" t="inlineStr">
        <is>
          <t>Nuv Gastrobar</t>
        </is>
      </c>
      <c r="B174" t="n">
        <v>17893</v>
      </c>
      <c r="C174" t="inlineStr">
        <is>
          <t>COCA-COLA LATA 350ML C/12UN</t>
        </is>
      </c>
      <c r="D174" t="inlineStr">
        <is>
          <t>08/2026</t>
        </is>
      </c>
      <c r="E174" t="n">
        <v>60</v>
      </c>
      <c r="F174" t="n">
        <v>2685.6</v>
      </c>
      <c r="G174" t="n">
        <v>44.76</v>
      </c>
    </row>
    <row r="175">
      <c r="A175" t="inlineStr">
        <is>
          <t>Nuv Gastrobar</t>
        </is>
      </c>
      <c r="B175" t="n">
        <v>17888</v>
      </c>
      <c r="C175" t="inlineStr">
        <is>
          <t>COCA-COLA PET 2L C/6</t>
        </is>
      </c>
      <c r="D175" t="inlineStr">
        <is>
          <t>08/2026</t>
        </is>
      </c>
      <c r="E175" t="n">
        <v>6</v>
      </c>
      <c r="F175" t="n">
        <v>453.36</v>
      </c>
      <c r="G175" t="n">
        <v>75.56</v>
      </c>
    </row>
    <row r="176">
      <c r="A176" t="inlineStr">
        <is>
          <t>Nuv Gastrobar</t>
        </is>
      </c>
      <c r="B176" t="n">
        <v>17885</v>
      </c>
      <c r="C176" t="inlineStr">
        <is>
          <t>COCA-COLA ZERO LATA 350ML C/12UN</t>
        </is>
      </c>
      <c r="D176" t="inlineStr">
        <is>
          <t>08/2026</t>
        </is>
      </c>
      <c r="E176" t="n">
        <v>80</v>
      </c>
      <c r="F176" t="n">
        <v>3580.8</v>
      </c>
      <c r="G176" t="n">
        <v>44.76</v>
      </c>
    </row>
    <row r="177">
      <c r="A177" t="inlineStr">
        <is>
          <t>Nuv Gastrobar</t>
        </is>
      </c>
      <c r="B177" t="n">
        <v>17889</v>
      </c>
      <c r="C177" t="inlineStr">
        <is>
          <t>COCA-COLA ZERO PET 2L C/6</t>
        </is>
      </c>
      <c r="D177" t="inlineStr">
        <is>
          <t>08/2026</t>
        </is>
      </c>
      <c r="E177" t="n">
        <v>6</v>
      </c>
      <c r="F177" t="n">
        <v>461.76</v>
      </c>
      <c r="G177" t="n">
        <v>76.95999999999999</v>
      </c>
    </row>
    <row r="178">
      <c r="A178" t="inlineStr">
        <is>
          <t>Nuv Gastrobar</t>
        </is>
      </c>
      <c r="B178" t="n">
        <v>23642</v>
      </c>
      <c r="C178" t="inlineStr">
        <is>
          <t>COCO EM FITA KG</t>
        </is>
      </c>
      <c r="D178" t="inlineStr">
        <is>
          <t>08/2026</t>
        </is>
      </c>
      <c r="E178" t="n">
        <v>2</v>
      </c>
      <c r="F178" t="n">
        <v>101.8</v>
      </c>
      <c r="G178" t="n">
        <v>50.9</v>
      </c>
    </row>
    <row r="179">
      <c r="A179" t="inlineStr">
        <is>
          <t>Nuv Gastrobar</t>
        </is>
      </c>
      <c r="B179" t="n">
        <v>20254</v>
      </c>
      <c r="C179" t="inlineStr">
        <is>
          <t>COCO FRESCO RALADO KG</t>
        </is>
      </c>
      <c r="D179" t="inlineStr">
        <is>
          <t>08/2026</t>
        </is>
      </c>
      <c r="E179" t="n">
        <v>3</v>
      </c>
      <c r="F179" t="n">
        <v>93.59999999999999</v>
      </c>
      <c r="G179" t="n">
        <v>31.2</v>
      </c>
    </row>
    <row r="180">
      <c r="A180" t="inlineStr">
        <is>
          <t>Nuv Gastrobar</t>
        </is>
      </c>
      <c r="B180" t="n">
        <v>20257</v>
      </c>
      <c r="C180" t="inlineStr">
        <is>
          <t>COCO RALADO FRESCO CONGELADO VITA COCO C/1KG</t>
        </is>
      </c>
      <c r="D180" t="inlineStr">
        <is>
          <t>08/2026</t>
        </is>
      </c>
      <c r="E180" t="n">
        <v>4</v>
      </c>
      <c r="F180" t="n">
        <v>124.8</v>
      </c>
      <c r="G180" t="n">
        <v>31.2</v>
      </c>
    </row>
    <row r="181">
      <c r="A181" t="inlineStr">
        <is>
          <t>Nuv Gastrobar</t>
        </is>
      </c>
      <c r="B181" t="n">
        <v>24170</v>
      </c>
      <c r="C181" t="inlineStr">
        <is>
          <t>COENTRO EM GRAO KG</t>
        </is>
      </c>
      <c r="D181" t="inlineStr">
        <is>
          <t>08/2026</t>
        </is>
      </c>
      <c r="E181" t="n">
        <v>1</v>
      </c>
      <c r="F181" t="n">
        <v>11.9</v>
      </c>
      <c r="G181" t="n">
        <v>11.9</v>
      </c>
    </row>
    <row r="182">
      <c r="A182" t="inlineStr">
        <is>
          <t>Nuv Gastrobar</t>
        </is>
      </c>
      <c r="B182" t="n">
        <v>19617</v>
      </c>
      <c r="C182" t="inlineStr">
        <is>
          <t>COENTRO KG</t>
        </is>
      </c>
      <c r="D182" t="inlineStr">
        <is>
          <t>08/2026</t>
        </is>
      </c>
      <c r="E182" t="n">
        <v>3.7</v>
      </c>
      <c r="F182" t="n">
        <v>41.35</v>
      </c>
      <c r="G182" t="n">
        <v>11.18</v>
      </c>
    </row>
    <row r="183">
      <c r="A183" t="inlineStr">
        <is>
          <t>Nuv Gastrobar</t>
        </is>
      </c>
      <c r="B183" t="n">
        <v>24172</v>
      </c>
      <c r="C183" t="inlineStr">
        <is>
          <t>COGUMELO FUNGHI CHILENO KG</t>
        </is>
      </c>
      <c r="D183" t="inlineStr">
        <is>
          <t>08/2026</t>
        </is>
      </c>
      <c r="E183" t="n">
        <v>2</v>
      </c>
      <c r="F183" t="n">
        <v>139.8</v>
      </c>
      <c r="G183" t="n">
        <v>69.90000000000001</v>
      </c>
    </row>
    <row r="184">
      <c r="A184" t="inlineStr">
        <is>
          <t>Nuv Gastrobar</t>
        </is>
      </c>
      <c r="B184" t="n">
        <v>19845</v>
      </c>
      <c r="C184" t="inlineStr">
        <is>
          <t>COGUMELO PARIS GRANEL KG</t>
        </is>
      </c>
      <c r="D184" t="inlineStr">
        <is>
          <t>08/2026</t>
        </is>
      </c>
      <c r="E184" t="n">
        <v>14</v>
      </c>
      <c r="F184" t="n">
        <v>519.4</v>
      </c>
      <c r="G184" t="n">
        <v>37.1</v>
      </c>
    </row>
    <row r="185">
      <c r="A185" t="inlineStr">
        <is>
          <t>Nuv Gastrobar</t>
        </is>
      </c>
      <c r="B185" t="n">
        <v>23440</v>
      </c>
      <c r="C185" t="inlineStr">
        <is>
          <t>COGUMELO PORTO BELLO GRANEL KG</t>
        </is>
      </c>
      <c r="D185" t="inlineStr">
        <is>
          <t>08/2026</t>
        </is>
      </c>
      <c r="E185" t="n">
        <v>6</v>
      </c>
      <c r="F185" t="n">
        <v>228</v>
      </c>
      <c r="G185" t="n">
        <v>38</v>
      </c>
    </row>
    <row r="186">
      <c r="A186" t="inlineStr">
        <is>
          <t>Nuv Gastrobar</t>
        </is>
      </c>
      <c r="B186" t="n">
        <v>30444</v>
      </c>
      <c r="C186" t="inlineStr">
        <is>
          <t>COLHER BAILARINA ESPIRAL TRAMONTINA EM AÇO INOX 45CM UN</t>
        </is>
      </c>
      <c r="D186" t="inlineStr">
        <is>
          <t>08/2026</t>
        </is>
      </c>
      <c r="E186" t="n">
        <v>8</v>
      </c>
      <c r="F186" t="n">
        <v>279.44</v>
      </c>
      <c r="G186" t="n">
        <v>34.93</v>
      </c>
    </row>
    <row r="187">
      <c r="A187" t="inlineStr">
        <is>
          <t>Nuv Gastrobar</t>
        </is>
      </c>
      <c r="B187" t="n">
        <v>30252</v>
      </c>
      <c r="C187" t="inlineStr">
        <is>
          <t>COLHER CAFÉ INOX 11CM SOFIA WMF1MIX UN</t>
        </is>
      </c>
      <c r="D187" t="inlineStr">
        <is>
          <t>08/2026</t>
        </is>
      </c>
      <c r="E187" t="n">
        <v>156</v>
      </c>
      <c r="F187" t="n">
        <v>1396.2</v>
      </c>
      <c r="G187" t="n">
        <v>8.949999999999999</v>
      </c>
    </row>
    <row r="188">
      <c r="A188" t="inlineStr">
        <is>
          <t>Nuv Gastrobar</t>
        </is>
      </c>
      <c r="B188" t="n">
        <v>30246</v>
      </c>
      <c r="C188" t="inlineStr">
        <is>
          <t>COLHER MESA INOX 21,5CM SOFIA WMF1MIX UN</t>
        </is>
      </c>
      <c r="D188" t="inlineStr">
        <is>
          <t>08/2026</t>
        </is>
      </c>
      <c r="E188" t="n">
        <v>48</v>
      </c>
      <c r="F188" t="n">
        <v>738.24</v>
      </c>
      <c r="G188" t="n">
        <v>15.38</v>
      </c>
    </row>
    <row r="189">
      <c r="A189" t="inlineStr">
        <is>
          <t>Nuv Gastrobar</t>
        </is>
      </c>
      <c r="B189" t="n">
        <v>30941</v>
      </c>
      <c r="C189" t="inlineStr">
        <is>
          <t>COLHER MESA ITAPARICA CABO PLASTICO PRETO PARA FUNCIONARIO BRINOX UN</t>
        </is>
      </c>
      <c r="D189" t="inlineStr">
        <is>
          <t>08/2026</t>
        </is>
      </c>
      <c r="E189" t="n">
        <v>20</v>
      </c>
      <c r="F189" t="n">
        <v>33</v>
      </c>
      <c r="G189" t="n">
        <v>1.65</v>
      </c>
    </row>
    <row r="190">
      <c r="A190" t="inlineStr">
        <is>
          <t>Nuv Gastrobar</t>
        </is>
      </c>
      <c r="B190" t="n">
        <v>30487</v>
      </c>
      <c r="C190" t="inlineStr">
        <is>
          <t>COLHER PARA SORVETE EM ALUMINIO POLIDA 18CM UN</t>
        </is>
      </c>
      <c r="D190" t="inlineStr">
        <is>
          <t>08/2026</t>
        </is>
      </c>
      <c r="E190" t="n">
        <v>5</v>
      </c>
      <c r="F190" t="n">
        <v>108.15</v>
      </c>
      <c r="G190" t="n">
        <v>21.63</v>
      </c>
    </row>
    <row r="191">
      <c r="A191" t="inlineStr">
        <is>
          <t>Nuv Gastrobar</t>
        </is>
      </c>
      <c r="B191" t="n">
        <v>30471</v>
      </c>
      <c r="C191" t="inlineStr">
        <is>
          <t>COLHER REFRESCO 30,5CM ARIENZO BRINOX UN</t>
        </is>
      </c>
      <c r="D191" t="inlineStr">
        <is>
          <t>08/2026</t>
        </is>
      </c>
      <c r="E191" t="n">
        <v>8</v>
      </c>
      <c r="F191" t="n">
        <v>58.64</v>
      </c>
      <c r="G191" t="n">
        <v>7.33</v>
      </c>
    </row>
    <row r="192">
      <c r="A192" t="inlineStr">
        <is>
          <t>Nuv Gastrobar</t>
        </is>
      </c>
      <c r="B192" t="n">
        <v>30248</v>
      </c>
      <c r="C192" t="inlineStr">
        <is>
          <t>COLHER SOBREMESA INOX 19CM SOFIA WMF1MIX UN</t>
        </is>
      </c>
      <c r="D192" t="inlineStr">
        <is>
          <t>08/2026</t>
        </is>
      </c>
      <c r="E192" t="n">
        <v>36</v>
      </c>
      <c r="F192" t="n">
        <v>521.64</v>
      </c>
      <c r="G192" t="n">
        <v>14.49</v>
      </c>
    </row>
    <row r="193">
      <c r="A193" t="inlineStr">
        <is>
          <t>Nuv Gastrobar</t>
        </is>
      </c>
      <c r="B193" t="n">
        <v>30415</v>
      </c>
      <c r="C193" t="inlineStr">
        <is>
          <t>COLHER TRAMONTINA UTILITY PARA ARROZ EM AÇO INOX COM BLISTER INDIVIDUAL UN</t>
        </is>
      </c>
      <c r="D193" t="inlineStr">
        <is>
          <t>08/2026</t>
        </is>
      </c>
      <c r="E193" t="n">
        <v>10</v>
      </c>
      <c r="F193" t="n">
        <v>374.6</v>
      </c>
      <c r="G193" t="n">
        <v>37.46</v>
      </c>
    </row>
    <row r="194">
      <c r="A194" t="inlineStr">
        <is>
          <t>Nuv Gastrobar</t>
        </is>
      </c>
      <c r="B194" t="n">
        <v>25328</v>
      </c>
      <c r="C194" t="inlineStr">
        <is>
          <t>COMINHO EM GRAOS KG</t>
        </is>
      </c>
      <c r="D194" t="inlineStr">
        <is>
          <t>08/2026</t>
        </is>
      </c>
      <c r="E194" t="n">
        <v>1</v>
      </c>
      <c r="F194" t="n">
        <v>16.9</v>
      </c>
      <c r="G194" t="n">
        <v>16.9</v>
      </c>
    </row>
    <row r="195">
      <c r="A195" t="inlineStr">
        <is>
          <t>Nuv Gastrobar</t>
        </is>
      </c>
      <c r="B195" t="n">
        <v>30416</v>
      </c>
      <c r="C195" t="inlineStr">
        <is>
          <t>CONCHA TERRINA TRAMONTINA UTILITY EM AÇO INOX COM BLISTER INDIVIDUAL UN</t>
        </is>
      </c>
      <c r="D195" t="inlineStr">
        <is>
          <t>08/2026</t>
        </is>
      </c>
      <c r="E195" t="n">
        <v>5</v>
      </c>
      <c r="F195" t="n">
        <v>368.4</v>
      </c>
      <c r="G195" t="n">
        <v>73.68000000000001</v>
      </c>
    </row>
    <row r="196">
      <c r="A196" t="inlineStr">
        <is>
          <t>Nuv Gastrobar</t>
        </is>
      </c>
      <c r="B196" t="n">
        <v>17532</v>
      </c>
      <c r="C196" t="inlineStr">
        <is>
          <t>COPO DESCARTAVEL KEROCOPO 200ML C/25X100</t>
        </is>
      </c>
      <c r="D196" t="inlineStr">
        <is>
          <t>08/2026</t>
        </is>
      </c>
      <c r="E196" t="n">
        <v>1</v>
      </c>
      <c r="F196" t="n">
        <v>98</v>
      </c>
      <c r="G196" t="n">
        <v>98</v>
      </c>
    </row>
    <row r="197">
      <c r="A197" t="inlineStr">
        <is>
          <t>Nuv Gastrobar</t>
        </is>
      </c>
      <c r="B197" t="n">
        <v>30235</v>
      </c>
      <c r="C197" t="inlineStr">
        <is>
          <t>COPO LONG DRINK CRYSTAL GLASS 480ML Ø7,5CM H15,5CM EXPERIENCEMIX UN</t>
        </is>
      </c>
      <c r="D197" t="inlineStr">
        <is>
          <t>08/2026</t>
        </is>
      </c>
      <c r="E197" t="n">
        <v>60</v>
      </c>
      <c r="F197" t="n">
        <v>1534.8</v>
      </c>
      <c r="G197" t="n">
        <v>25.58</v>
      </c>
    </row>
    <row r="198">
      <c r="A198" t="inlineStr">
        <is>
          <t>Nuv Gastrobar</t>
        </is>
      </c>
      <c r="B198" t="n">
        <v>30236</v>
      </c>
      <c r="C198" t="inlineStr">
        <is>
          <t>COPO MIXING GLASS VIDRO 670ML Ø9CM H16CM MAHALOMIX UN</t>
        </is>
      </c>
      <c r="D198" t="inlineStr">
        <is>
          <t>08/2026</t>
        </is>
      </c>
      <c r="E198" t="n">
        <v>3</v>
      </c>
      <c r="F198" t="n">
        <v>381.6</v>
      </c>
      <c r="G198" t="n">
        <v>127.2</v>
      </c>
    </row>
    <row r="199">
      <c r="A199" t="inlineStr">
        <is>
          <t>Nuv Gastrobar</t>
        </is>
      </c>
      <c r="B199" t="n">
        <v>30223</v>
      </c>
      <c r="C199" t="inlineStr">
        <is>
          <t>COPO PAPEL 200ML C/LOGO NUV C/1000UN</t>
        </is>
      </c>
      <c r="D199" t="inlineStr">
        <is>
          <t>08/2026</t>
        </is>
      </c>
      <c r="E199" t="n">
        <v>2</v>
      </c>
      <c r="F199" t="n">
        <v>453.76</v>
      </c>
      <c r="G199" t="n">
        <v>226.88</v>
      </c>
    </row>
    <row r="200">
      <c r="A200" t="inlineStr">
        <is>
          <t>Nuv Gastrobar</t>
        </is>
      </c>
      <c r="B200" t="n">
        <v>30224</v>
      </c>
      <c r="C200" t="inlineStr">
        <is>
          <t>COPO PAPEL 270ML C/LOGO NUV C/1000UN</t>
        </is>
      </c>
      <c r="D200" t="inlineStr">
        <is>
          <t>08/2026</t>
        </is>
      </c>
      <c r="E200" t="n">
        <v>2</v>
      </c>
      <c r="F200" t="n">
        <v>616.4</v>
      </c>
      <c r="G200" t="n">
        <v>308.2</v>
      </c>
    </row>
    <row r="201">
      <c r="A201" t="inlineStr">
        <is>
          <t>Nuv Gastrobar</t>
        </is>
      </c>
      <c r="B201" t="n">
        <v>30222</v>
      </c>
      <c r="C201" t="inlineStr">
        <is>
          <t>COPO PET 440ML C/LOGO NUV C/1000UN</t>
        </is>
      </c>
      <c r="D201" t="inlineStr">
        <is>
          <t>08/2026</t>
        </is>
      </c>
      <c r="E201" t="n">
        <v>2</v>
      </c>
      <c r="F201" t="n">
        <v>779.12</v>
      </c>
      <c r="G201" t="n">
        <v>389.56</v>
      </c>
    </row>
    <row r="202">
      <c r="A202" t="inlineStr">
        <is>
          <t>Nuv Gastrobar</t>
        </is>
      </c>
      <c r="B202" t="n">
        <v>30237</v>
      </c>
      <c r="C202" t="inlineStr">
        <is>
          <t>COPO SHOT VIDRO 60ML Ø5CM H7CM ELYSIAMIX UN</t>
        </is>
      </c>
      <c r="D202" t="inlineStr">
        <is>
          <t>08/2026</t>
        </is>
      </c>
      <c r="E202" t="n">
        <v>48</v>
      </c>
      <c r="F202" t="n">
        <v>529.4400000000001</v>
      </c>
      <c r="G202" t="n">
        <v>11.03</v>
      </c>
    </row>
    <row r="203">
      <c r="A203" t="inlineStr">
        <is>
          <t>Nuv Gastrobar</t>
        </is>
      </c>
      <c r="B203" t="n">
        <v>30234</v>
      </c>
      <c r="C203" t="inlineStr">
        <is>
          <t>COPO WHISKY CRYSTAL GLASS 300ML Ø7,5CM H8,5CM BERLINMIX UN</t>
        </is>
      </c>
      <c r="D203" t="inlineStr">
        <is>
          <t>08/2026</t>
        </is>
      </c>
      <c r="E203" t="n">
        <v>36</v>
      </c>
      <c r="F203" t="n">
        <v>1038.24</v>
      </c>
      <c r="G203" t="n">
        <v>28.84</v>
      </c>
    </row>
    <row r="204">
      <c r="A204" t="inlineStr">
        <is>
          <t>Nuv Gastrobar</t>
        </is>
      </c>
      <c r="B204" t="n">
        <v>30443</v>
      </c>
      <c r="C204" t="inlineStr">
        <is>
          <t>COQUETELEIRA BOSTON TRAMONTINA EM AÇO INOX 700ML UN</t>
        </is>
      </c>
      <c r="D204" t="inlineStr">
        <is>
          <t>08/2026</t>
        </is>
      </c>
      <c r="E204" t="n">
        <v>6</v>
      </c>
      <c r="F204" t="n">
        <v>1167.9</v>
      </c>
      <c r="G204" t="n">
        <v>194.65</v>
      </c>
    </row>
    <row r="205">
      <c r="A205" t="inlineStr">
        <is>
          <t>Nuv Gastrobar</t>
        </is>
      </c>
      <c r="B205" t="n">
        <v>30470</v>
      </c>
      <c r="C205" t="inlineStr">
        <is>
          <t>COQUETELEIRA WECK EM AÇO INOX 800ML UN</t>
        </is>
      </c>
      <c r="D205" t="inlineStr">
        <is>
          <t>08/2026</t>
        </is>
      </c>
      <c r="E205" t="n">
        <v>6</v>
      </c>
      <c r="F205" t="n">
        <v>365.22</v>
      </c>
      <c r="G205" t="n">
        <v>60.87</v>
      </c>
    </row>
    <row r="206">
      <c r="A206" t="inlineStr">
        <is>
          <t>Nuv Gastrobar</t>
        </is>
      </c>
      <c r="B206" t="n">
        <v>30468</v>
      </c>
      <c r="C206" t="inlineStr">
        <is>
          <t>CORTADOR DE FRIOS AUTOMATICO ANODIZADO LAMINA 30CM 1/3CV BIVOLT UN</t>
        </is>
      </c>
      <c r="D206" t="inlineStr">
        <is>
          <t>08/2026</t>
        </is>
      </c>
      <c r="E206" t="n">
        <v>1</v>
      </c>
      <c r="F206" t="n">
        <v>7593.11</v>
      </c>
      <c r="G206" t="n">
        <v>7593.11</v>
      </c>
    </row>
    <row r="207">
      <c r="A207" t="inlineStr">
        <is>
          <t>Nuv Gastrobar</t>
        </is>
      </c>
      <c r="B207" t="n">
        <v>19034</v>
      </c>
      <c r="C207" t="inlineStr">
        <is>
          <t>COXA E SOBRECOXA COM OSSO E COM PELE KG</t>
        </is>
      </c>
      <c r="D207" t="inlineStr">
        <is>
          <t>08/2026</t>
        </is>
      </c>
      <c r="E207" t="n">
        <v>20</v>
      </c>
      <c r="F207" t="n">
        <v>165.6</v>
      </c>
      <c r="G207" t="n">
        <v>8.279999999999999</v>
      </c>
    </row>
    <row r="208">
      <c r="A208" t="inlineStr">
        <is>
          <t>Nuv Gastrobar</t>
        </is>
      </c>
      <c r="B208" t="n">
        <v>19041</v>
      </c>
      <c r="C208" t="inlineStr">
        <is>
          <t>COXA E SOBRECOXA SEM OSSO E COM PELE KG</t>
        </is>
      </c>
      <c r="D208" t="inlineStr">
        <is>
          <t>08/2026</t>
        </is>
      </c>
      <c r="E208" t="n">
        <v>26.9</v>
      </c>
      <c r="F208" t="n">
        <v>403.23</v>
      </c>
      <c r="G208" t="n">
        <v>14.99</v>
      </c>
    </row>
    <row r="209">
      <c r="A209" t="inlineStr">
        <is>
          <t>Nuv Gastrobar</t>
        </is>
      </c>
      <c r="B209" t="n">
        <v>19439</v>
      </c>
      <c r="C209" t="inlineStr">
        <is>
          <t>CREAM CHEESE DANUBIO C/1KG</t>
        </is>
      </c>
      <c r="D209" t="inlineStr">
        <is>
          <t>08/2026</t>
        </is>
      </c>
      <c r="E209" t="n">
        <v>12</v>
      </c>
      <c r="F209" t="n">
        <v>334.8</v>
      </c>
      <c r="G209" t="n">
        <v>27.9</v>
      </c>
    </row>
    <row r="210">
      <c r="A210" t="inlineStr">
        <is>
          <t>Nuv Gastrobar</t>
        </is>
      </c>
      <c r="B210" t="n">
        <v>20906</v>
      </c>
      <c r="C210" t="inlineStr">
        <is>
          <t>CREME DE AVELA NUTELLA 650G</t>
        </is>
      </c>
      <c r="D210" t="inlineStr">
        <is>
          <t>08/2026</t>
        </is>
      </c>
      <c r="E210" t="n">
        <v>4</v>
      </c>
      <c r="F210" t="n">
        <v>187.6</v>
      </c>
      <c r="G210" t="n">
        <v>46.9</v>
      </c>
    </row>
    <row r="211">
      <c r="A211" t="inlineStr">
        <is>
          <t>Nuv Gastrobar</t>
        </is>
      </c>
      <c r="B211" t="n">
        <v>20689</v>
      </c>
      <c r="C211" t="inlineStr">
        <is>
          <t>CREME DE LEITE FRESCO QUATA C/1,01LT</t>
        </is>
      </c>
      <c r="D211" t="inlineStr">
        <is>
          <t>08/2026</t>
        </is>
      </c>
      <c r="E211" t="n">
        <v>64</v>
      </c>
      <c r="F211" t="n">
        <v>2046.96</v>
      </c>
      <c r="G211" t="n">
        <v>31.98</v>
      </c>
    </row>
    <row r="212">
      <c r="A212" t="inlineStr">
        <is>
          <t>Nuv Gastrobar</t>
        </is>
      </c>
      <c r="B212" t="n">
        <v>27477</v>
      </c>
      <c r="C212" t="inlineStr">
        <is>
          <t>CROISSANT PREMIUM 70G C/ 18 UNIDADES CX</t>
        </is>
      </c>
      <c r="D212" t="inlineStr">
        <is>
          <t>08/2026</t>
        </is>
      </c>
      <c r="E212" t="n">
        <v>6</v>
      </c>
      <c r="F212" t="n">
        <v>739.8</v>
      </c>
      <c r="G212" t="n">
        <v>123.3</v>
      </c>
    </row>
    <row r="213">
      <c r="A213" t="inlineStr">
        <is>
          <t>Nuv Gastrobar</t>
        </is>
      </c>
      <c r="B213" t="n">
        <v>30424</v>
      </c>
      <c r="C213" t="inlineStr">
        <is>
          <t>CUBA TRAMONTINA GN1/1 EM AÇO INOX SEM ALÇAS PROFUNDIADE 20MM AÇO INOX UN</t>
        </is>
      </c>
      <c r="D213" t="inlineStr">
        <is>
          <t>08/2026</t>
        </is>
      </c>
      <c r="E213" t="n">
        <v>10</v>
      </c>
      <c r="F213" t="n">
        <v>728.3</v>
      </c>
      <c r="G213" t="n">
        <v>72.83</v>
      </c>
    </row>
    <row r="214">
      <c r="A214" t="inlineStr">
        <is>
          <t>Nuv Gastrobar</t>
        </is>
      </c>
      <c r="B214" t="n">
        <v>30426</v>
      </c>
      <c r="C214" t="inlineStr">
        <is>
          <t>CUBA TRAMONTINA GN1/1 EM AÇO INOX SEM ALÇAS PROFUNDIDADE 100MM AÇO INOX UN</t>
        </is>
      </c>
      <c r="D214" t="inlineStr">
        <is>
          <t>08/2026</t>
        </is>
      </c>
      <c r="E214" t="n">
        <v>2</v>
      </c>
      <c r="F214" t="n">
        <v>223.02</v>
      </c>
      <c r="G214" t="n">
        <v>111.51</v>
      </c>
    </row>
    <row r="215">
      <c r="A215" t="inlineStr">
        <is>
          <t>Nuv Gastrobar</t>
        </is>
      </c>
      <c r="B215" t="n">
        <v>30427</v>
      </c>
      <c r="C215" t="inlineStr">
        <is>
          <t>CUBA TRAMONTINA GN1/1 EM AÇO INOX SEM ALÇAS PROFUNDIDADE 150MM AÇO INOX UN</t>
        </is>
      </c>
      <c r="D215" t="inlineStr">
        <is>
          <t>08/2026</t>
        </is>
      </c>
      <c r="E215" t="n">
        <v>2</v>
      </c>
      <c r="F215" t="n">
        <v>331.5</v>
      </c>
      <c r="G215" t="n">
        <v>165.75</v>
      </c>
    </row>
    <row r="216">
      <c r="A216" t="inlineStr">
        <is>
          <t>Nuv Gastrobar</t>
        </is>
      </c>
      <c r="B216" t="n">
        <v>30425</v>
      </c>
      <c r="C216" t="inlineStr">
        <is>
          <t>CUBA TRAMONTINA GN1/1 EM AÇO INOX SEM ALÇAS PROFUNDIDADE 65MM AÇO INOX UN</t>
        </is>
      </c>
      <c r="D216" t="inlineStr">
        <is>
          <t>08/2026</t>
        </is>
      </c>
      <c r="E216" t="n">
        <v>10</v>
      </c>
      <c r="F216" t="n">
        <v>858</v>
      </c>
      <c r="G216" t="n">
        <v>85.8</v>
      </c>
    </row>
    <row r="217">
      <c r="A217" t="inlineStr">
        <is>
          <t>Nuv Gastrobar</t>
        </is>
      </c>
      <c r="B217" t="n">
        <v>30428</v>
      </c>
      <c r="C217" t="inlineStr">
        <is>
          <t>CUBA TRAMONTINA GN1/2 EM AÇO INOX SEM ALÇAS PROFUNDIDADE 100MM AÇO INOX UN</t>
        </is>
      </c>
      <c r="D217" t="inlineStr">
        <is>
          <t>08/2026</t>
        </is>
      </c>
      <c r="E217" t="n">
        <v>6</v>
      </c>
      <c r="F217" t="n">
        <v>445.5</v>
      </c>
      <c r="G217" t="n">
        <v>74.25</v>
      </c>
    </row>
    <row r="218">
      <c r="A218" t="inlineStr">
        <is>
          <t>Nuv Gastrobar</t>
        </is>
      </c>
      <c r="B218" t="n">
        <v>30429</v>
      </c>
      <c r="C218" t="inlineStr">
        <is>
          <t>CUBA TRAMONTINA GN1/2 EM AÇO INOX SEM ALÇAS PROFUNDIDADE 65MM AÇO INOX UN</t>
        </is>
      </c>
      <c r="D218" t="inlineStr">
        <is>
          <t>08/2026</t>
        </is>
      </c>
      <c r="E218" t="n">
        <v>4</v>
      </c>
      <c r="F218" t="n">
        <v>246.04</v>
      </c>
      <c r="G218" t="n">
        <v>61.51</v>
      </c>
    </row>
    <row r="219">
      <c r="A219" t="inlineStr">
        <is>
          <t>Nuv Gastrobar</t>
        </is>
      </c>
      <c r="B219" t="n">
        <v>30430</v>
      </c>
      <c r="C219" t="inlineStr">
        <is>
          <t>CUBA TRAMONTINA GN1/6 EM AÇO INOX SEM ALÇAS PROFUNDIDADE 100MM AÇO INOX UN</t>
        </is>
      </c>
      <c r="D219" t="inlineStr">
        <is>
          <t>08/2026</t>
        </is>
      </c>
      <c r="E219" t="n">
        <v>20</v>
      </c>
      <c r="F219" t="n">
        <v>1534</v>
      </c>
      <c r="G219" t="n">
        <v>76.7</v>
      </c>
    </row>
    <row r="220">
      <c r="A220" t="inlineStr">
        <is>
          <t>Nuv Gastrobar</t>
        </is>
      </c>
      <c r="B220" t="n">
        <v>30431</v>
      </c>
      <c r="C220" t="inlineStr">
        <is>
          <t>CUBA TRAMONTINA GN1/6 EM AÇO INOX SEM ALÇAS PROFUNDIDADE 65MM AÇO INOX UN</t>
        </is>
      </c>
      <c r="D220" t="inlineStr">
        <is>
          <t>08/2026</t>
        </is>
      </c>
      <c r="E220" t="n">
        <v>10</v>
      </c>
      <c r="F220" t="n">
        <v>551</v>
      </c>
      <c r="G220" t="n">
        <v>55.1</v>
      </c>
    </row>
    <row r="221">
      <c r="A221" t="inlineStr">
        <is>
          <t>Nuv Gastrobar</t>
        </is>
      </c>
      <c r="B221" t="n">
        <v>30432</v>
      </c>
      <c r="C221" t="inlineStr">
        <is>
          <t>CUBA TRAMONTINA GN1/9 EM AÇO INOX SEM ALÇAS PROFUNDIDADE 65MM AÇO INOX UN</t>
        </is>
      </c>
      <c r="D221" t="inlineStr">
        <is>
          <t>08/2026</t>
        </is>
      </c>
      <c r="E221" t="n">
        <v>20</v>
      </c>
      <c r="F221" t="n">
        <v>1196</v>
      </c>
      <c r="G221" t="n">
        <v>59.8</v>
      </c>
    </row>
    <row r="222">
      <c r="A222" t="inlineStr">
        <is>
          <t>Nuv Gastrobar</t>
        </is>
      </c>
      <c r="B222" t="n">
        <v>24217</v>
      </c>
      <c r="C222" t="inlineStr">
        <is>
          <t>CUPIM KG</t>
        </is>
      </c>
      <c r="D222" t="inlineStr">
        <is>
          <t>08/2026</t>
        </is>
      </c>
      <c r="E222" t="n">
        <v>25.8</v>
      </c>
      <c r="F222" t="n">
        <v>902.75</v>
      </c>
      <c r="G222" t="n">
        <v>34.99</v>
      </c>
    </row>
    <row r="223">
      <c r="A223" t="inlineStr">
        <is>
          <t>Nuv Gastrobar</t>
        </is>
      </c>
      <c r="B223" t="n">
        <v>23480</v>
      </c>
      <c r="C223" t="inlineStr">
        <is>
          <t>CURCUMA KG</t>
        </is>
      </c>
      <c r="D223" t="inlineStr">
        <is>
          <t>08/2026</t>
        </is>
      </c>
      <c r="E223" t="n">
        <v>2</v>
      </c>
      <c r="F223" t="n">
        <v>22.4</v>
      </c>
      <c r="G223" t="n">
        <v>11.2</v>
      </c>
    </row>
    <row r="224">
      <c r="A224" t="inlineStr">
        <is>
          <t>Nuv Gastrobar</t>
        </is>
      </c>
      <c r="B224" t="n">
        <v>30475</v>
      </c>
      <c r="C224" t="inlineStr">
        <is>
          <t>DESCASCADOR DE LEGUMES INOX 18CM WECK UN</t>
        </is>
      </c>
      <c r="D224" t="inlineStr">
        <is>
          <t>08/2026</t>
        </is>
      </c>
      <c r="E224" t="n">
        <v>2</v>
      </c>
      <c r="F224" t="n">
        <v>30.88</v>
      </c>
      <c r="G224" t="n">
        <v>15.44</v>
      </c>
    </row>
    <row r="225">
      <c r="A225" t="inlineStr">
        <is>
          <t>Nuv Gastrobar</t>
        </is>
      </c>
      <c r="B225" t="n">
        <v>30310</v>
      </c>
      <c r="C225" t="inlineStr">
        <is>
          <t>DESINCRUSTANTE INOX 5L</t>
        </is>
      </c>
      <c r="D225" t="inlineStr">
        <is>
          <t>08/2026</t>
        </is>
      </c>
      <c r="E225" t="n">
        <v>2</v>
      </c>
      <c r="F225" t="n">
        <v>235.3</v>
      </c>
      <c r="G225" t="n">
        <v>117.65</v>
      </c>
    </row>
    <row r="226">
      <c r="A226" t="inlineStr">
        <is>
          <t>Nuv Gastrobar</t>
        </is>
      </c>
      <c r="B226" t="n">
        <v>30309</v>
      </c>
      <c r="C226" t="inlineStr">
        <is>
          <t>DESINFETANTE CLORADO 5L</t>
        </is>
      </c>
      <c r="D226" t="inlineStr">
        <is>
          <t>08/2026</t>
        </is>
      </c>
      <c r="E226" t="n">
        <v>4</v>
      </c>
      <c r="F226" t="n">
        <v>424.36</v>
      </c>
      <c r="G226" t="n">
        <v>106.09</v>
      </c>
    </row>
    <row r="227">
      <c r="A227" t="inlineStr">
        <is>
          <t>Nuv Gastrobar</t>
        </is>
      </c>
      <c r="B227" t="n">
        <v>30304</v>
      </c>
      <c r="C227" t="inlineStr">
        <is>
          <t>DESINFETANTE PARA BANHEIRO 5L</t>
        </is>
      </c>
      <c r="D227" t="inlineStr">
        <is>
          <t>08/2026</t>
        </is>
      </c>
      <c r="E227" t="n">
        <v>1</v>
      </c>
      <c r="F227" t="n">
        <v>86.63</v>
      </c>
      <c r="G227" t="n">
        <v>86.63</v>
      </c>
    </row>
    <row r="228">
      <c r="A228" t="inlineStr">
        <is>
          <t>Nuv Gastrobar</t>
        </is>
      </c>
      <c r="B228" t="n">
        <v>30307</v>
      </c>
      <c r="C228" t="inlineStr">
        <is>
          <t>DESINFETANTE PARA FLV 5L</t>
        </is>
      </c>
      <c r="D228" t="inlineStr">
        <is>
          <t>08/2026</t>
        </is>
      </c>
      <c r="E228" t="n">
        <v>2</v>
      </c>
      <c r="F228" t="n">
        <v>141.82</v>
      </c>
      <c r="G228" t="n">
        <v>70.91</v>
      </c>
    </row>
    <row r="229">
      <c r="A229" t="inlineStr">
        <is>
          <t>Nuv Gastrobar</t>
        </is>
      </c>
      <c r="B229" t="n">
        <v>30308</v>
      </c>
      <c r="C229" t="inlineStr">
        <is>
          <t>DESINFETANTE PARA LAVAR COZINHA E SALAO 5L</t>
        </is>
      </c>
      <c r="D229" t="inlineStr">
        <is>
          <t>08/2026</t>
        </is>
      </c>
      <c r="E229" t="n">
        <v>2</v>
      </c>
      <c r="F229" t="n">
        <v>183.06</v>
      </c>
      <c r="G229" t="n">
        <v>91.53</v>
      </c>
    </row>
    <row r="230">
      <c r="A230" t="inlineStr">
        <is>
          <t>Nuv Gastrobar</t>
        </is>
      </c>
      <c r="B230" t="n">
        <v>30311</v>
      </c>
      <c r="C230" t="inlineStr">
        <is>
          <t>DETERGENTE MAQUINA DE LAVAR LOUÇA 5L</t>
        </is>
      </c>
      <c r="D230" t="inlineStr">
        <is>
          <t>08/2026</t>
        </is>
      </c>
      <c r="E230" t="n">
        <v>2</v>
      </c>
      <c r="F230" t="n">
        <v>183.82</v>
      </c>
      <c r="G230" t="n">
        <v>91.91</v>
      </c>
    </row>
    <row r="231">
      <c r="A231" t="inlineStr">
        <is>
          <t>Nuv Gastrobar</t>
        </is>
      </c>
      <c r="B231" t="n">
        <v>30305</v>
      </c>
      <c r="C231" t="inlineStr">
        <is>
          <t>DETERGENTE PARA LAVAR LOUÇA 5L</t>
        </is>
      </c>
      <c r="D231" t="inlineStr">
        <is>
          <t>08/2026</t>
        </is>
      </c>
      <c r="E231" t="n">
        <v>13</v>
      </c>
      <c r="F231" t="n">
        <v>1157</v>
      </c>
      <c r="G231" t="n">
        <v>89</v>
      </c>
    </row>
    <row r="232">
      <c r="A232" t="inlineStr">
        <is>
          <t>Nuv Gastrobar</t>
        </is>
      </c>
      <c r="B232" t="n">
        <v>20899</v>
      </c>
      <c r="C232" t="inlineStr">
        <is>
          <t>DOCE DE LEITE LA SERENISSIMA C/400G</t>
        </is>
      </c>
      <c r="D232" t="inlineStr">
        <is>
          <t>08/2026</t>
        </is>
      </c>
      <c r="E232" t="n">
        <v>12</v>
      </c>
      <c r="F232" t="n">
        <v>144</v>
      </c>
      <c r="G232" t="n">
        <v>12</v>
      </c>
    </row>
    <row r="233">
      <c r="A233" t="inlineStr">
        <is>
          <t>Nuv Gastrobar</t>
        </is>
      </c>
      <c r="B233" t="n">
        <v>30472</v>
      </c>
      <c r="C233" t="inlineStr">
        <is>
          <t>DOSADOR DE BEBIDA INOX 25/50ML ALLISSAN INOX UN</t>
        </is>
      </c>
      <c r="D233" t="inlineStr">
        <is>
          <t>08/2026</t>
        </is>
      </c>
      <c r="E233" t="n">
        <v>8</v>
      </c>
      <c r="F233" t="n">
        <v>186.32</v>
      </c>
      <c r="G233" t="n">
        <v>23.29</v>
      </c>
    </row>
    <row r="234">
      <c r="A234" t="inlineStr">
        <is>
          <t>Nuv Gastrobar</t>
        </is>
      </c>
      <c r="B234" t="n">
        <v>30445</v>
      </c>
      <c r="C234" t="inlineStr">
        <is>
          <t>DOSADOR TRAMONTINA DUPLO PARA BEBIDAS EM AÇO INOX 25 E 50ML UN</t>
        </is>
      </c>
      <c r="D234" t="inlineStr">
        <is>
          <t>08/2026</t>
        </is>
      </c>
      <c r="E234" t="n">
        <v>8</v>
      </c>
      <c r="F234" t="n">
        <v>407.36</v>
      </c>
      <c r="G234" t="n">
        <v>50.92</v>
      </c>
    </row>
    <row r="235">
      <c r="A235" t="inlineStr">
        <is>
          <t>Nuv Gastrobar</t>
        </is>
      </c>
      <c r="B235" t="n">
        <v>30272</v>
      </c>
      <c r="C235" t="inlineStr">
        <is>
          <t>EMBALAGEM TO GO MINI NUV GASTROBAR C/300UN</t>
        </is>
      </c>
      <c r="D235" t="inlineStr">
        <is>
          <t>08/2026</t>
        </is>
      </c>
      <c r="E235" t="n">
        <v>3</v>
      </c>
      <c r="F235" t="n">
        <v>916.2</v>
      </c>
      <c r="G235" t="n">
        <v>305.4</v>
      </c>
    </row>
    <row r="236">
      <c r="A236" t="inlineStr">
        <is>
          <t>Nuv Gastrobar</t>
        </is>
      </c>
      <c r="B236" t="n">
        <v>30271</v>
      </c>
      <c r="C236" t="inlineStr">
        <is>
          <t>EMBALAGEM TO GO P NUV GASTROBAR C/200UN</t>
        </is>
      </c>
      <c r="D236" t="inlineStr">
        <is>
          <t>08/2026</t>
        </is>
      </c>
      <c r="E236" t="n">
        <v>3</v>
      </c>
      <c r="F236" t="n">
        <v>763.2</v>
      </c>
      <c r="G236" t="n">
        <v>254.4</v>
      </c>
    </row>
    <row r="237">
      <c r="A237" t="inlineStr">
        <is>
          <t>Nuv Gastrobar</t>
        </is>
      </c>
      <c r="B237" t="n">
        <v>19485</v>
      </c>
      <c r="C237" t="inlineStr">
        <is>
          <t>ENDRO DILL KG</t>
        </is>
      </c>
      <c r="D237" t="inlineStr">
        <is>
          <t>08/2026</t>
        </is>
      </c>
      <c r="E237" t="n">
        <v>0.9</v>
      </c>
      <c r="F237" t="n">
        <v>58.79</v>
      </c>
      <c r="G237" t="n">
        <v>65.31999999999999</v>
      </c>
    </row>
    <row r="238">
      <c r="A238" t="inlineStr">
        <is>
          <t>Nuv Gastrobar</t>
        </is>
      </c>
      <c r="B238" t="n">
        <v>19526</v>
      </c>
      <c r="C238" t="inlineStr">
        <is>
          <t>ERVILHA TORTA KG</t>
        </is>
      </c>
      <c r="D238" t="inlineStr">
        <is>
          <t>08/2026</t>
        </is>
      </c>
      <c r="E238" t="n">
        <v>6.95</v>
      </c>
      <c r="F238" t="n">
        <v>198.77</v>
      </c>
      <c r="G238" t="n">
        <v>28.6</v>
      </c>
    </row>
    <row r="239">
      <c r="A239" t="inlineStr">
        <is>
          <t>Nuv Gastrobar</t>
        </is>
      </c>
      <c r="B239" t="n">
        <v>30485</v>
      </c>
      <c r="C239" t="inlineStr">
        <is>
          <t>ESPATULA CURVA CONFEITEIRO 203MM CABO BRANCO HERCULES UN</t>
        </is>
      </c>
      <c r="D239" t="inlineStr">
        <is>
          <t>08/2026</t>
        </is>
      </c>
      <c r="E239" t="n">
        <v>2</v>
      </c>
      <c r="F239" t="n">
        <v>48.9</v>
      </c>
      <c r="G239" t="n">
        <v>24.45</v>
      </c>
    </row>
    <row r="240">
      <c r="A240" t="inlineStr">
        <is>
          <t>Nuv Gastrobar</t>
        </is>
      </c>
      <c r="B240" t="n">
        <v>30442</v>
      </c>
      <c r="C240" t="inlineStr">
        <is>
          <t>ESPATULA PARA HAMBURGUER TRAMONTINA PROFISSIONAL MASTER COM LAMINA EM AÇO INOX E CABO DE POLIPROPILENO BRANCO 7X4 1/4 POLEGADAS UN</t>
        </is>
      </c>
      <c r="D240" t="inlineStr">
        <is>
          <t>08/2026</t>
        </is>
      </c>
      <c r="E240" t="n">
        <v>2</v>
      </c>
      <c r="F240" t="n">
        <v>136.64</v>
      </c>
      <c r="G240" t="n">
        <v>68.31999999999999</v>
      </c>
    </row>
    <row r="241">
      <c r="A241" t="inlineStr">
        <is>
          <t>Nuv Gastrobar</t>
        </is>
      </c>
      <c r="B241" t="n">
        <v>30486</v>
      </c>
      <c r="C241" t="inlineStr">
        <is>
          <t>ESPATULA SILICONE 27,5 VERMELHA HAUSKRAFT UN</t>
        </is>
      </c>
      <c r="D241" t="inlineStr">
        <is>
          <t>08/2026</t>
        </is>
      </c>
      <c r="E241" t="n">
        <v>5</v>
      </c>
      <c r="F241" t="n">
        <v>87.95</v>
      </c>
      <c r="G241" t="n">
        <v>17.59</v>
      </c>
    </row>
    <row r="242">
      <c r="A242" t="inlineStr">
        <is>
          <t>Nuv Gastrobar</t>
        </is>
      </c>
      <c r="B242" t="n">
        <v>25162</v>
      </c>
      <c r="C242" t="inlineStr">
        <is>
          <t>ESPIGA MILHO VERDE KG</t>
        </is>
      </c>
      <c r="D242" t="inlineStr">
        <is>
          <t>08/2026</t>
        </is>
      </c>
      <c r="E242" t="n">
        <v>12</v>
      </c>
      <c r="F242" t="n">
        <v>74</v>
      </c>
      <c r="G242" t="n">
        <v>6.17</v>
      </c>
    </row>
    <row r="243">
      <c r="A243" t="inlineStr">
        <is>
          <t>Nuv Gastrobar</t>
        </is>
      </c>
      <c r="B243" t="n">
        <v>17196</v>
      </c>
      <c r="C243" t="inlineStr">
        <is>
          <t xml:space="preserve">ESPONJA DUPLA FACE TININDO 3M C/10 UN </t>
        </is>
      </c>
      <c r="D243" t="inlineStr">
        <is>
          <t>08/2026</t>
        </is>
      </c>
      <c r="E243" t="n">
        <v>10</v>
      </c>
      <c r="F243" t="n">
        <v>75</v>
      </c>
      <c r="G243" t="n">
        <v>7.5</v>
      </c>
    </row>
    <row r="244">
      <c r="A244" t="inlineStr">
        <is>
          <t>Nuv Gastrobar</t>
        </is>
      </c>
      <c r="B244" t="n">
        <v>17190</v>
      </c>
      <c r="C244" t="inlineStr">
        <is>
          <t>ESPONJA FIBRACO TININDO 3M C/5 UN</t>
        </is>
      </c>
      <c r="D244" t="inlineStr">
        <is>
          <t>08/2026</t>
        </is>
      </c>
      <c r="E244" t="n">
        <v>10</v>
      </c>
      <c r="F244" t="n">
        <v>101</v>
      </c>
      <c r="G244" t="n">
        <v>10.1</v>
      </c>
    </row>
    <row r="245">
      <c r="A245" t="inlineStr">
        <is>
          <t>Nuv Gastrobar</t>
        </is>
      </c>
      <c r="B245" t="n">
        <v>30437</v>
      </c>
      <c r="C245" t="inlineStr">
        <is>
          <t>ESPUMADEIRA TRAMONTINA UTILITY EM AÇO INOX COM BLISTER INDIVIDUAL UN</t>
        </is>
      </c>
      <c r="D245" t="inlineStr">
        <is>
          <t>08/2026</t>
        </is>
      </c>
      <c r="E245" t="n">
        <v>3</v>
      </c>
      <c r="F245" t="n">
        <v>216.78</v>
      </c>
      <c r="G245" t="n">
        <v>72.26000000000001</v>
      </c>
    </row>
    <row r="246">
      <c r="A246" t="inlineStr">
        <is>
          <t>Nuv Gastrobar</t>
        </is>
      </c>
      <c r="B246" t="n">
        <v>29118</v>
      </c>
      <c r="C246" t="inlineStr">
        <is>
          <t>ESPUMANTE  DON ABEL BRUT SERRA GAUCHA BRASIL</t>
        </is>
      </c>
      <c r="D246" t="inlineStr">
        <is>
          <t>08/2026</t>
        </is>
      </c>
      <c r="E246" t="n">
        <v>100</v>
      </c>
      <c r="F246" t="n">
        <v>10530</v>
      </c>
      <c r="G246" t="n">
        <v>105.3</v>
      </c>
    </row>
    <row r="247">
      <c r="A247" t="inlineStr">
        <is>
          <t>Nuv Gastrobar</t>
        </is>
      </c>
      <c r="B247" t="n">
        <v>30367</v>
      </c>
      <c r="C247" t="inlineStr">
        <is>
          <t>ESPUMANTE LYS D'OR BRUT BORDEUAX 750ML UN</t>
        </is>
      </c>
      <c r="D247" t="inlineStr">
        <is>
          <t>08/2026</t>
        </is>
      </c>
      <c r="E247" t="n">
        <v>6</v>
      </c>
      <c r="F247" t="n">
        <v>407.22</v>
      </c>
      <c r="G247" t="n">
        <v>67.87</v>
      </c>
    </row>
    <row r="248">
      <c r="A248" t="inlineStr">
        <is>
          <t>Nuv Gastrobar</t>
        </is>
      </c>
      <c r="B248" t="n">
        <v>18030</v>
      </c>
      <c r="C248" t="inlineStr">
        <is>
          <t>ESPUMANTE SALTON BRUT 750ML GR</t>
        </is>
      </c>
      <c r="D248" t="inlineStr">
        <is>
          <t>08/2026</t>
        </is>
      </c>
      <c r="E248" t="n">
        <v>60</v>
      </c>
      <c r="F248" t="n">
        <v>1668</v>
      </c>
      <c r="G248" t="n">
        <v>27.8</v>
      </c>
    </row>
    <row r="249">
      <c r="A249" t="inlineStr">
        <is>
          <t>Nuv Gastrobar</t>
        </is>
      </c>
      <c r="B249" t="n">
        <v>20029</v>
      </c>
      <c r="C249" t="inlineStr">
        <is>
          <t>ESSENCIA DE BAUNILHA CEPERA 500ML</t>
        </is>
      </c>
      <c r="D249" t="inlineStr">
        <is>
          <t>08/2026</t>
        </is>
      </c>
      <c r="E249" t="n">
        <v>3</v>
      </c>
      <c r="F249" t="n">
        <v>48.84</v>
      </c>
      <c r="G249" t="n">
        <v>16.28</v>
      </c>
    </row>
    <row r="250">
      <c r="A250" t="inlineStr">
        <is>
          <t>Nuv Gastrobar</t>
        </is>
      </c>
      <c r="B250" t="n">
        <v>20672</v>
      </c>
      <c r="C250" t="inlineStr">
        <is>
          <t>EXTRATO DE TOMATE ELEFANTE C/1,7KG</t>
        </is>
      </c>
      <c r="D250" t="inlineStr">
        <is>
          <t>08/2026</t>
        </is>
      </c>
      <c r="E250" t="n">
        <v>4</v>
      </c>
      <c r="F250" t="n">
        <v>118.2</v>
      </c>
      <c r="G250" t="n">
        <v>29.55</v>
      </c>
    </row>
    <row r="251">
      <c r="A251" t="inlineStr">
        <is>
          <t>Nuv Gastrobar</t>
        </is>
      </c>
      <c r="B251" t="n">
        <v>20670</v>
      </c>
      <c r="C251" t="inlineStr">
        <is>
          <t>EXTRATO DE TOMATE ELEFANTE POUCH 1,7KG</t>
        </is>
      </c>
      <c r="D251" t="inlineStr">
        <is>
          <t>08/2026</t>
        </is>
      </c>
      <c r="E251" t="n">
        <v>3</v>
      </c>
      <c r="F251" t="n">
        <v>89.67</v>
      </c>
      <c r="G251" t="n">
        <v>29.89</v>
      </c>
    </row>
    <row r="252">
      <c r="A252" t="inlineStr">
        <is>
          <t>Nuv Gastrobar</t>
        </is>
      </c>
      <c r="B252" t="n">
        <v>30474</v>
      </c>
      <c r="C252" t="inlineStr">
        <is>
          <t>EXTRATOR DE SUCO 0,5CV MONO BIVOLT SKYSEN UN</t>
        </is>
      </c>
      <c r="D252" t="inlineStr">
        <is>
          <t>08/2026</t>
        </is>
      </c>
      <c r="E252" t="n">
        <v>2</v>
      </c>
      <c r="F252" t="n">
        <v>1536.22</v>
      </c>
      <c r="G252" t="n">
        <v>768.11</v>
      </c>
    </row>
    <row r="253">
      <c r="A253" t="inlineStr">
        <is>
          <t>Nuv Gastrobar</t>
        </is>
      </c>
      <c r="B253" t="n">
        <v>30420</v>
      </c>
      <c r="C253" t="inlineStr">
        <is>
          <t>FACA CHEF TRAMONTINA PREMIUM COM LAMINA EM AÇO INOX E CABO DE POLIPROPILENO BRANCO 10 POLEGADAS UM</t>
        </is>
      </c>
      <c r="D253" t="inlineStr">
        <is>
          <t>08/2026</t>
        </is>
      </c>
      <c r="E253" t="n">
        <v>4</v>
      </c>
      <c r="F253" t="n">
        <v>227.6</v>
      </c>
      <c r="G253" t="n">
        <v>56.9</v>
      </c>
    </row>
    <row r="254">
      <c r="A254" t="inlineStr">
        <is>
          <t>Nuv Gastrobar</t>
        </is>
      </c>
      <c r="B254" t="n">
        <v>30939</v>
      </c>
      <c r="C254" t="inlineStr">
        <is>
          <t>FACA CHURRASCO ITAPARICA CABO PLASTICO PRETO PARA FUNCIONARIO BRINOX UN</t>
        </is>
      </c>
      <c r="D254" t="inlineStr">
        <is>
          <t>08/2026</t>
        </is>
      </c>
      <c r="E254" t="n">
        <v>20</v>
      </c>
      <c r="F254" t="n">
        <v>38</v>
      </c>
      <c r="G254" t="n">
        <v>1.9</v>
      </c>
    </row>
    <row r="255">
      <c r="A255" t="inlineStr">
        <is>
          <t>Nuv Gastrobar</t>
        </is>
      </c>
      <c r="B255" t="n">
        <v>30249</v>
      </c>
      <c r="C255" t="inlineStr">
        <is>
          <t>FACA MESA INOX 22,5CM SOFIA WMF1MIX UN</t>
        </is>
      </c>
      <c r="D255" t="inlineStr">
        <is>
          <t>08/2026</t>
        </is>
      </c>
      <c r="E255" t="n">
        <v>108</v>
      </c>
      <c r="F255" t="n">
        <v>2423.52</v>
      </c>
      <c r="G255" t="n">
        <v>22.44</v>
      </c>
    </row>
    <row r="256">
      <c r="A256" t="inlineStr">
        <is>
          <t>Nuv Gastrobar</t>
        </is>
      </c>
      <c r="B256" t="n">
        <v>30422</v>
      </c>
      <c r="C256" t="inlineStr">
        <is>
          <t>FACA PARA BOLO/PÃO TRAMONTINA PROFISSIONAL COM LAMINA EM AÇO INOX E CABO DE POLIPROPILENO BRANCO 8 POLEGADAS UN</t>
        </is>
      </c>
      <c r="D256" t="inlineStr">
        <is>
          <t>08/2026</t>
        </is>
      </c>
      <c r="E256" t="n">
        <v>4</v>
      </c>
      <c r="F256" t="n">
        <v>225.28</v>
      </c>
      <c r="G256" t="n">
        <v>56.32</v>
      </c>
    </row>
    <row r="257">
      <c r="A257" t="inlineStr">
        <is>
          <t>Nuv Gastrobar</t>
        </is>
      </c>
      <c r="B257" t="n">
        <v>30421</v>
      </c>
      <c r="C257" t="inlineStr">
        <is>
          <t>FACA PARA LEGUMES E FRUTAS TRAMONTINA PREMIUM COM LAMINA EM AÇO INOX E CABO DE POLIPPILENO BRANCO 4 POLEGADAS UN</t>
        </is>
      </c>
      <c r="D257" t="inlineStr">
        <is>
          <t>08/2026</t>
        </is>
      </c>
      <c r="E257" t="n">
        <v>5</v>
      </c>
      <c r="F257" t="n">
        <v>78.7</v>
      </c>
      <c r="G257" t="n">
        <v>15.74</v>
      </c>
    </row>
    <row r="258">
      <c r="A258" t="inlineStr">
        <is>
          <t>Nuv Gastrobar</t>
        </is>
      </c>
      <c r="B258" t="n">
        <v>30251</v>
      </c>
      <c r="C258" t="inlineStr">
        <is>
          <t>FACA SOBREMESA INOX 21CM SOFIA WMF1MIX UN</t>
        </is>
      </c>
      <c r="D258" t="inlineStr">
        <is>
          <t>08/2026</t>
        </is>
      </c>
      <c r="E258" t="n">
        <v>48</v>
      </c>
      <c r="F258" t="n">
        <v>1037.28</v>
      </c>
      <c r="G258" t="n">
        <v>21.61</v>
      </c>
    </row>
    <row r="259">
      <c r="A259" t="inlineStr">
        <is>
          <t>Nuv Gastrobar</t>
        </is>
      </c>
      <c r="B259" t="n">
        <v>30418</v>
      </c>
      <c r="C259" t="inlineStr">
        <is>
          <t>FACA UTILITY TRAMONTINA PREMIUM COM LAMINA EM AÇO INOX E CABO DE POLIPROPILENO BRANCO 6 POLEGADAS UN</t>
        </is>
      </c>
      <c r="D259" t="inlineStr">
        <is>
          <t>08/2026</t>
        </is>
      </c>
      <c r="E259" t="n">
        <v>4</v>
      </c>
      <c r="F259" t="n">
        <v>116.16</v>
      </c>
      <c r="G259" t="n">
        <v>29.04</v>
      </c>
    </row>
    <row r="260">
      <c r="A260" t="inlineStr">
        <is>
          <t>Nuv Gastrobar</t>
        </is>
      </c>
      <c r="B260" t="n">
        <v>30419</v>
      </c>
      <c r="C260" t="inlineStr">
        <is>
          <t>FACA UTILITY TRAMONTINA PREMIUM COM LAMINA EM AÇO INOX E CABO DE POLIPROPILENO BRANCO 8 POLEGADAS UN</t>
        </is>
      </c>
      <c r="D260" t="inlineStr">
        <is>
          <t>08/2026</t>
        </is>
      </c>
      <c r="E260" t="n">
        <v>6</v>
      </c>
      <c r="F260" t="n">
        <v>218.16</v>
      </c>
      <c r="G260" t="n">
        <v>36.36</v>
      </c>
    </row>
    <row r="261">
      <c r="A261" t="inlineStr">
        <is>
          <t>Nuv Gastrobar</t>
        </is>
      </c>
      <c r="B261" t="n">
        <v>20390</v>
      </c>
      <c r="C261" t="inlineStr">
        <is>
          <t>FARINHA DE MILHO AMARELA YOKI C/2KG</t>
        </is>
      </c>
      <c r="D261" t="inlineStr">
        <is>
          <t>08/2026</t>
        </is>
      </c>
      <c r="E261" t="n">
        <v>1</v>
      </c>
      <c r="F261" t="n">
        <v>23.99</v>
      </c>
      <c r="G261" t="n">
        <v>23.99</v>
      </c>
    </row>
    <row r="262">
      <c r="A262" t="inlineStr">
        <is>
          <t>Nuv Gastrobar</t>
        </is>
      </c>
      <c r="B262" t="n">
        <v>20386</v>
      </c>
      <c r="C262" t="inlineStr">
        <is>
          <t>FARINHA DE MILHO KIMILHO YOKI C/500G</t>
        </is>
      </c>
      <c r="D262" t="inlineStr">
        <is>
          <t>08/2026</t>
        </is>
      </c>
      <c r="E262" t="n">
        <v>5</v>
      </c>
      <c r="F262" t="n">
        <v>24.9</v>
      </c>
      <c r="G262" t="n">
        <v>4.98</v>
      </c>
    </row>
    <row r="263">
      <c r="A263" t="inlineStr">
        <is>
          <t>Nuv Gastrobar</t>
        </is>
      </c>
      <c r="B263" t="n">
        <v>20365</v>
      </c>
      <c r="C263" t="inlineStr">
        <is>
          <t>FARINHA DE TRIGO TP1 ANACONDA 1KG</t>
        </is>
      </c>
      <c r="D263" t="inlineStr">
        <is>
          <t>08/2026</t>
        </is>
      </c>
      <c r="E263" t="n">
        <v>40</v>
      </c>
      <c r="F263" t="n">
        <v>211.6</v>
      </c>
      <c r="G263" t="n">
        <v>5.29</v>
      </c>
    </row>
    <row r="264">
      <c r="A264" t="inlineStr">
        <is>
          <t>Nuv Gastrobar</t>
        </is>
      </c>
      <c r="B264" t="n">
        <v>20358</v>
      </c>
      <c r="C264" t="inlineStr">
        <is>
          <t>FARINHA PANKO ROMARIZ C/1KG</t>
        </is>
      </c>
      <c r="D264" t="inlineStr">
        <is>
          <t>08/2026</t>
        </is>
      </c>
      <c r="E264" t="n">
        <v>31</v>
      </c>
      <c r="F264" t="n">
        <v>458.55</v>
      </c>
      <c r="G264" t="n">
        <v>14.79</v>
      </c>
    </row>
    <row r="265">
      <c r="A265" t="inlineStr">
        <is>
          <t>Nuv Gastrobar</t>
        </is>
      </c>
      <c r="B265" t="n">
        <v>20242</v>
      </c>
      <c r="C265" t="inlineStr">
        <is>
          <t>FEIJAO CARIOCA CAMIL C/2KG</t>
        </is>
      </c>
      <c r="D265" t="inlineStr">
        <is>
          <t>08/2026</t>
        </is>
      </c>
      <c r="E265" t="n">
        <v>10</v>
      </c>
      <c r="F265" t="n">
        <v>180</v>
      </c>
      <c r="G265" t="n">
        <v>18</v>
      </c>
    </row>
    <row r="266">
      <c r="A266" t="inlineStr">
        <is>
          <t>Nuv Gastrobar</t>
        </is>
      </c>
      <c r="B266" t="n">
        <v>20022</v>
      </c>
      <c r="C266" t="inlineStr">
        <is>
          <t>FERMENTO QUIMICO ROYAL 250G</t>
        </is>
      </c>
      <c r="D266" t="inlineStr">
        <is>
          <t>08/2026</t>
        </is>
      </c>
      <c r="E266" t="n">
        <v>2</v>
      </c>
      <c r="F266" t="n">
        <v>21</v>
      </c>
      <c r="G266" t="n">
        <v>10.5</v>
      </c>
    </row>
    <row r="267">
      <c r="A267" t="inlineStr">
        <is>
          <t>Nuv Gastrobar</t>
        </is>
      </c>
      <c r="B267" t="n">
        <v>20666</v>
      </c>
      <c r="C267" t="inlineStr">
        <is>
          <t>FILE DE ANCHOVA EM CONSERVA DI SALERNO 500G</t>
        </is>
      </c>
      <c r="D267" t="inlineStr">
        <is>
          <t>08/2026</t>
        </is>
      </c>
      <c r="E267" t="n">
        <v>2</v>
      </c>
      <c r="F267" t="n">
        <v>473.75</v>
      </c>
      <c r="G267" t="n">
        <v>236.88</v>
      </c>
    </row>
    <row r="268">
      <c r="A268" t="inlineStr">
        <is>
          <t>Nuv Gastrobar</t>
        </is>
      </c>
      <c r="B268" t="n">
        <v>19017</v>
      </c>
      <c r="C268" t="inlineStr">
        <is>
          <t>FILE DE FRANGO KG</t>
        </is>
      </c>
      <c r="D268" t="inlineStr">
        <is>
          <t>08/2026</t>
        </is>
      </c>
      <c r="E268" t="n">
        <v>38</v>
      </c>
      <c r="F268" t="n">
        <v>548.7</v>
      </c>
      <c r="G268" t="n">
        <v>14.44</v>
      </c>
    </row>
    <row r="269">
      <c r="A269" t="inlineStr">
        <is>
          <t>Nuv Gastrobar</t>
        </is>
      </c>
      <c r="B269" t="n">
        <v>24259</v>
      </c>
      <c r="C269" t="inlineStr">
        <is>
          <t>FILE MIGNON 4/5 S/ CORDAO KG</t>
        </is>
      </c>
      <c r="D269" t="inlineStr">
        <is>
          <t>08/2026</t>
        </is>
      </c>
      <c r="E269" t="n">
        <v>70.90000000000001</v>
      </c>
      <c r="F269" t="n">
        <v>6458.99</v>
      </c>
      <c r="G269" t="n">
        <v>91.09999999999999</v>
      </c>
    </row>
    <row r="270">
      <c r="A270" t="inlineStr">
        <is>
          <t>Nuv Gastrobar</t>
        </is>
      </c>
      <c r="B270" t="n">
        <v>28467</v>
      </c>
      <c r="C270" t="inlineStr">
        <is>
          <t>FLOR DE SAL 500G UN</t>
        </is>
      </c>
      <c r="D270" t="inlineStr">
        <is>
          <t>08/2026</t>
        </is>
      </c>
      <c r="E270" t="n">
        <v>2</v>
      </c>
      <c r="F270" t="n">
        <v>31.8</v>
      </c>
      <c r="G270" t="n">
        <v>15.9</v>
      </c>
    </row>
    <row r="271">
      <c r="A271" t="inlineStr">
        <is>
          <t>Nuv Gastrobar</t>
        </is>
      </c>
      <c r="B271" t="n">
        <v>19792</v>
      </c>
      <c r="C271" t="inlineStr">
        <is>
          <t>FOLHA CAPUCHINHA 130G</t>
        </is>
      </c>
      <c r="D271" t="inlineStr">
        <is>
          <t>08/2026</t>
        </is>
      </c>
      <c r="E271" t="n">
        <v>8</v>
      </c>
      <c r="F271" t="n">
        <v>393.44</v>
      </c>
      <c r="G271" t="n">
        <v>49.18</v>
      </c>
    </row>
    <row r="272">
      <c r="A272" t="inlineStr">
        <is>
          <t>Nuv Gastrobar</t>
        </is>
      </c>
      <c r="B272" t="n">
        <v>30450</v>
      </c>
      <c r="C272" t="inlineStr">
        <is>
          <t>FRIGIDEIRA TRAMONTINA PROFESSIONAL RASA EM AÇO INOX FUNDO TRIPLO COM CABO 20CM 1,1L UN</t>
        </is>
      </c>
      <c r="D272" t="inlineStr">
        <is>
          <t>08/2026</t>
        </is>
      </c>
      <c r="E272" t="n">
        <v>3</v>
      </c>
      <c r="F272" t="n">
        <v>526.59</v>
      </c>
      <c r="G272" t="n">
        <v>175.53</v>
      </c>
    </row>
    <row r="273">
      <c r="A273" t="inlineStr">
        <is>
          <t>Nuv Gastrobar</t>
        </is>
      </c>
      <c r="B273" t="n">
        <v>30451</v>
      </c>
      <c r="C273" t="inlineStr">
        <is>
          <t>FRIGIDEIRA TRAMONTINA PROFESSIONAL RASA EM AÇO INOX FUNDO TRIPLO COM CABO 26CM 2,2L UN</t>
        </is>
      </c>
      <c r="D273" t="inlineStr">
        <is>
          <t>08/2026</t>
        </is>
      </c>
      <c r="E273" t="n">
        <v>3</v>
      </c>
      <c r="F273" t="n">
        <v>641.1900000000001</v>
      </c>
      <c r="G273" t="n">
        <v>213.73</v>
      </c>
    </row>
    <row r="274">
      <c r="A274" t="inlineStr">
        <is>
          <t>Nuv Gastrobar</t>
        </is>
      </c>
      <c r="B274" t="n">
        <v>30452</v>
      </c>
      <c r="C274" t="inlineStr">
        <is>
          <t>FRIGIDEIRA TRAMONTINA PROFESSIONAL RASA EM AÇO INOX FUNDO TRIPLO COM CABO 30CM 2,9L UN</t>
        </is>
      </c>
      <c r="D274" t="inlineStr">
        <is>
          <t>08/2026</t>
        </is>
      </c>
      <c r="E274" t="n">
        <v>3</v>
      </c>
      <c r="F274" t="n">
        <v>798.42</v>
      </c>
      <c r="G274" t="n">
        <v>266.14</v>
      </c>
    </row>
    <row r="275">
      <c r="A275" t="inlineStr">
        <is>
          <t>Nuv Gastrobar</t>
        </is>
      </c>
      <c r="B275" t="n">
        <v>19894</v>
      </c>
      <c r="C275" t="inlineStr">
        <is>
          <t>FUMACA LIQUIDA BOMBAY 900ML</t>
        </is>
      </c>
      <c r="D275" t="inlineStr">
        <is>
          <t>08/2026</t>
        </is>
      </c>
      <c r="E275" t="n">
        <v>1</v>
      </c>
      <c r="F275" t="n">
        <v>101.59</v>
      </c>
      <c r="G275" t="n">
        <v>101.59</v>
      </c>
    </row>
    <row r="276">
      <c r="A276" t="inlineStr">
        <is>
          <t>Nuv Gastrobar</t>
        </is>
      </c>
      <c r="B276" t="n">
        <v>30493</v>
      </c>
      <c r="C276" t="inlineStr">
        <is>
          <t>GALHETEIRO DE VIDRO E INOX AZEITE/VINAGRE UN</t>
        </is>
      </c>
      <c r="D276" t="inlineStr">
        <is>
          <t>08/2026</t>
        </is>
      </c>
      <c r="E276" t="n">
        <v>20</v>
      </c>
      <c r="F276" t="n">
        <v>223.6</v>
      </c>
      <c r="G276" t="n">
        <v>11.18</v>
      </c>
    </row>
    <row r="277">
      <c r="A277" t="inlineStr">
        <is>
          <t>Nuv Gastrobar</t>
        </is>
      </c>
      <c r="B277" t="n">
        <v>30247</v>
      </c>
      <c r="C277" t="inlineStr">
        <is>
          <t>GARFO MESA INOX 21,5CM SOFIA WMF1MIX UN</t>
        </is>
      </c>
      <c r="D277" t="inlineStr">
        <is>
          <t>08/2026</t>
        </is>
      </c>
      <c r="E277" t="n">
        <v>108</v>
      </c>
      <c r="F277" t="n">
        <v>1661.04</v>
      </c>
      <c r="G277" t="n">
        <v>15.38</v>
      </c>
    </row>
    <row r="278">
      <c r="A278" t="inlineStr">
        <is>
          <t>Nuv Gastrobar</t>
        </is>
      </c>
      <c r="B278" t="n">
        <v>30940</v>
      </c>
      <c r="C278" t="inlineStr">
        <is>
          <t>GARFO MESA ITAPARICA CABO PLASTICO PRETO PARA FUNCIONARIO BRINOX UN</t>
        </is>
      </c>
      <c r="D278" t="inlineStr">
        <is>
          <t>08/2026</t>
        </is>
      </c>
      <c r="E278" t="n">
        <v>20</v>
      </c>
      <c r="F278" t="n">
        <v>33</v>
      </c>
      <c r="G278" t="n">
        <v>1.65</v>
      </c>
    </row>
    <row r="279">
      <c r="A279" t="inlineStr">
        <is>
          <t>Nuv Gastrobar</t>
        </is>
      </c>
      <c r="B279" t="n">
        <v>30250</v>
      </c>
      <c r="C279" t="inlineStr">
        <is>
          <t>GARFO SOBREMESA INOX 19CM SOFIA WMF1MIX UN</t>
        </is>
      </c>
      <c r="D279" t="inlineStr">
        <is>
          <t>08/2026</t>
        </is>
      </c>
      <c r="E279" t="n">
        <v>48</v>
      </c>
      <c r="F279" t="n">
        <v>695.52</v>
      </c>
      <c r="G279" t="n">
        <v>14.49</v>
      </c>
    </row>
    <row r="280">
      <c r="A280" t="inlineStr">
        <is>
          <t>Nuv Gastrobar</t>
        </is>
      </c>
      <c r="B280" t="n">
        <v>28316</v>
      </c>
      <c r="C280" t="inlineStr">
        <is>
          <t>GELO ESFERICO C/9UN YCECODE</t>
        </is>
      </c>
      <c r="D280" t="inlineStr">
        <is>
          <t>08/2026</t>
        </is>
      </c>
      <c r="E280" t="n">
        <v>1</v>
      </c>
      <c r="F280" t="n">
        <v>39.05</v>
      </c>
      <c r="G280" t="n">
        <v>39.05</v>
      </c>
    </row>
    <row r="281">
      <c r="A281" t="inlineStr">
        <is>
          <t>Nuv Gastrobar</t>
        </is>
      </c>
      <c r="B281" t="n">
        <v>27340</v>
      </c>
      <c r="C281" t="inlineStr">
        <is>
          <t>GELO RETANGULO 50X65MM C/25 UN YCECODE</t>
        </is>
      </c>
      <c r="D281" t="inlineStr">
        <is>
          <t>08/2026</t>
        </is>
      </c>
      <c r="E281" t="n">
        <v>5</v>
      </c>
      <c r="F281" t="n">
        <v>268</v>
      </c>
      <c r="G281" t="n">
        <v>53.6</v>
      </c>
    </row>
    <row r="282">
      <c r="A282" t="inlineStr">
        <is>
          <t>Nuv Gastrobar</t>
        </is>
      </c>
      <c r="B282" t="n">
        <v>20861</v>
      </c>
      <c r="C282" t="inlineStr">
        <is>
          <t>GEMA DE OVO PASTEURIZADA NETTO C/1KG UN</t>
        </is>
      </c>
      <c r="D282" t="inlineStr">
        <is>
          <t>08/2026</t>
        </is>
      </c>
      <c r="E282" t="n">
        <v>36</v>
      </c>
      <c r="F282" t="n">
        <v>1681.2</v>
      </c>
      <c r="G282" t="n">
        <v>46.7</v>
      </c>
    </row>
    <row r="283">
      <c r="A283" t="inlineStr">
        <is>
          <t>Nuv Gastrobar</t>
        </is>
      </c>
      <c r="B283" t="n">
        <v>19607</v>
      </c>
      <c r="C283" t="inlineStr">
        <is>
          <t>GENGIBRE KG</t>
        </is>
      </c>
      <c r="D283" t="inlineStr">
        <is>
          <t>08/2026</t>
        </is>
      </c>
      <c r="E283" t="n">
        <v>2</v>
      </c>
      <c r="F283" t="n">
        <v>15</v>
      </c>
      <c r="G283" t="n">
        <v>7.5</v>
      </c>
    </row>
    <row r="284">
      <c r="A284" t="inlineStr">
        <is>
          <t>Nuv Gastrobar</t>
        </is>
      </c>
      <c r="B284" t="n">
        <v>18377</v>
      </c>
      <c r="C284" t="inlineStr">
        <is>
          <t>GIN BEEFEATER 750ML</t>
        </is>
      </c>
      <c r="D284" t="inlineStr">
        <is>
          <t>08/2026</t>
        </is>
      </c>
      <c r="E284" t="n">
        <v>24</v>
      </c>
      <c r="F284" t="n">
        <v>1605.6</v>
      </c>
      <c r="G284" t="n">
        <v>66.90000000000001</v>
      </c>
    </row>
    <row r="285">
      <c r="A285" t="inlineStr">
        <is>
          <t>Nuv Gastrobar</t>
        </is>
      </c>
      <c r="B285" t="n">
        <v>18373</v>
      </c>
      <c r="C285" t="inlineStr">
        <is>
          <t>GIN GORDONS 750ML GR</t>
        </is>
      </c>
      <c r="D285" t="inlineStr">
        <is>
          <t>08/2026</t>
        </is>
      </c>
      <c r="E285" t="n">
        <v>24</v>
      </c>
      <c r="F285" t="n">
        <v>1317.6</v>
      </c>
      <c r="G285" t="n">
        <v>54.9</v>
      </c>
    </row>
    <row r="286">
      <c r="A286" t="inlineStr">
        <is>
          <t>Nuv Gastrobar</t>
        </is>
      </c>
      <c r="B286" t="n">
        <v>20213</v>
      </c>
      <c r="C286" t="inlineStr">
        <is>
          <t>GRAO DE BICO CAMIL C/2KG</t>
        </is>
      </c>
      <c r="D286" t="inlineStr">
        <is>
          <t>08/2026</t>
        </is>
      </c>
      <c r="E286" t="n">
        <v>12</v>
      </c>
      <c r="F286" t="n">
        <v>379.2</v>
      </c>
      <c r="G286" t="n">
        <v>31.6</v>
      </c>
    </row>
    <row r="287">
      <c r="A287" t="inlineStr">
        <is>
          <t>Nuv Gastrobar</t>
        </is>
      </c>
      <c r="B287" t="n">
        <v>18658</v>
      </c>
      <c r="C287" t="inlineStr">
        <is>
          <t>GUANCIALE/BOCHECHA DE PORCO KG</t>
        </is>
      </c>
      <c r="D287" t="inlineStr">
        <is>
          <t>08/2026</t>
        </is>
      </c>
      <c r="E287" t="n">
        <v>10</v>
      </c>
      <c r="F287" t="n">
        <v>1900</v>
      </c>
      <c r="G287" t="n">
        <v>190</v>
      </c>
    </row>
    <row r="288">
      <c r="A288" t="inlineStr">
        <is>
          <t>Nuv Gastrobar</t>
        </is>
      </c>
      <c r="B288" t="n">
        <v>30469</v>
      </c>
      <c r="C288" t="inlineStr">
        <is>
          <t xml:space="preserve">GUARDANAPO PERSONALIZADO NUV GASTROBAR 23,5 X 24CM FOLHA DUPLA CX - C/ 5000 UN </t>
        </is>
      </c>
      <c r="D288" t="inlineStr">
        <is>
          <t>08/2026</t>
        </is>
      </c>
      <c r="E288" t="n">
        <v>4</v>
      </c>
      <c r="F288" t="n">
        <v>1833.6</v>
      </c>
      <c r="G288" t="n">
        <v>458.4</v>
      </c>
    </row>
    <row r="289">
      <c r="A289" t="inlineStr">
        <is>
          <t>Nuv Gastrobar</t>
        </is>
      </c>
      <c r="B289" t="n">
        <v>30227</v>
      </c>
      <c r="C289" t="inlineStr">
        <is>
          <t>GUARDANAPO PERSONALIZADO NUV GASTROBAR 33 X 33CM CX - C/ 3000 UN</t>
        </is>
      </c>
      <c r="D289" t="inlineStr">
        <is>
          <t>08/2026</t>
        </is>
      </c>
      <c r="E289" t="n">
        <v>4</v>
      </c>
      <c r="F289" t="n">
        <v>2150.4</v>
      </c>
      <c r="G289" t="n">
        <v>537.6</v>
      </c>
    </row>
    <row r="290">
      <c r="A290" t="inlineStr">
        <is>
          <t>Nuv Gastrobar</t>
        </is>
      </c>
      <c r="B290" t="n">
        <v>19480</v>
      </c>
      <c r="C290" t="inlineStr">
        <is>
          <t>HORTELA HIDROPONICA KG</t>
        </is>
      </c>
      <c r="D290" t="inlineStr">
        <is>
          <t>08/2026</t>
        </is>
      </c>
      <c r="E290" t="n">
        <v>0.85</v>
      </c>
      <c r="F290" t="n">
        <v>18.6</v>
      </c>
      <c r="G290" t="n">
        <v>21.88</v>
      </c>
    </row>
    <row r="291">
      <c r="A291" t="inlineStr">
        <is>
          <t>Nuv Gastrobar</t>
        </is>
      </c>
      <c r="B291" t="n">
        <v>19243</v>
      </c>
      <c r="C291" t="inlineStr">
        <is>
          <t>IOGURTE NATURAL VIGOR C/170G UN</t>
        </is>
      </c>
      <c r="D291" t="inlineStr">
        <is>
          <t>08/2026</t>
        </is>
      </c>
      <c r="E291" t="n">
        <v>4</v>
      </c>
      <c r="F291" t="n">
        <v>16.4</v>
      </c>
      <c r="G291" t="n">
        <v>4.1</v>
      </c>
    </row>
    <row r="292">
      <c r="A292" t="inlineStr">
        <is>
          <t>Nuv Gastrobar</t>
        </is>
      </c>
      <c r="B292" t="n">
        <v>30479</v>
      </c>
      <c r="C292" t="inlineStr">
        <is>
          <t>JARRA PLASTICA 2L COM TAMPA COLORIDA UN</t>
        </is>
      </c>
      <c r="D292" t="inlineStr">
        <is>
          <t>08/2026</t>
        </is>
      </c>
      <c r="E292" t="n">
        <v>3</v>
      </c>
      <c r="F292" t="n">
        <v>32.31</v>
      </c>
      <c r="G292" t="n">
        <v>10.77</v>
      </c>
    </row>
    <row r="293">
      <c r="A293" t="inlineStr">
        <is>
          <t>Nuv Gastrobar</t>
        </is>
      </c>
      <c r="B293" t="n">
        <v>20057</v>
      </c>
      <c r="C293" t="inlineStr">
        <is>
          <t>KETCHUP HEMMER 3,8KG</t>
        </is>
      </c>
      <c r="D293" t="inlineStr">
        <is>
          <t>08/2026</t>
        </is>
      </c>
      <c r="E293" t="n">
        <v>8</v>
      </c>
      <c r="F293" t="n">
        <v>337.44</v>
      </c>
      <c r="G293" t="n">
        <v>42.18</v>
      </c>
    </row>
    <row r="294">
      <c r="A294" t="inlineStr">
        <is>
          <t>Nuv Gastrobar</t>
        </is>
      </c>
      <c r="B294" t="n">
        <v>24320</v>
      </c>
      <c r="C294" t="inlineStr">
        <is>
          <t>LAGARTO KG</t>
        </is>
      </c>
      <c r="D294" t="inlineStr">
        <is>
          <t>08/2026</t>
        </is>
      </c>
      <c r="E294" t="n">
        <v>24.6</v>
      </c>
      <c r="F294" t="n">
        <v>929.88</v>
      </c>
      <c r="G294" t="n">
        <v>37.8</v>
      </c>
    </row>
    <row r="295">
      <c r="A295" t="inlineStr">
        <is>
          <t>Nuv Gastrobar</t>
        </is>
      </c>
      <c r="B295" t="n">
        <v>19759</v>
      </c>
      <c r="C295" t="inlineStr">
        <is>
          <t>LARANJA BAHIA KG</t>
        </is>
      </c>
      <c r="D295" t="inlineStr">
        <is>
          <t>08/2026</t>
        </is>
      </c>
      <c r="E295" t="n">
        <v>20</v>
      </c>
      <c r="F295" t="n">
        <v>115.8</v>
      </c>
      <c r="G295" t="n">
        <v>5.79</v>
      </c>
    </row>
    <row r="296">
      <c r="A296" t="inlineStr">
        <is>
          <t>Nuv Gastrobar</t>
        </is>
      </c>
      <c r="B296" t="n">
        <v>29247</v>
      </c>
      <c r="C296" t="inlineStr">
        <is>
          <t>LARANJA PERA GRAUDA SELECIONADA KG</t>
        </is>
      </c>
      <c r="D296" t="inlineStr">
        <is>
          <t>08/2026</t>
        </is>
      </c>
      <c r="E296" t="n">
        <v>35</v>
      </c>
      <c r="F296" t="n">
        <v>99.75</v>
      </c>
      <c r="G296" t="n">
        <v>2.85</v>
      </c>
    </row>
    <row r="297">
      <c r="A297" t="inlineStr">
        <is>
          <t>Nuv Gastrobar</t>
        </is>
      </c>
      <c r="B297" t="n">
        <v>23361</v>
      </c>
      <c r="C297" t="inlineStr">
        <is>
          <t>LARANJA PERA KG</t>
        </is>
      </c>
      <c r="D297" t="inlineStr">
        <is>
          <t>08/2026</t>
        </is>
      </c>
      <c r="E297" t="n">
        <v>260</v>
      </c>
      <c r="F297" t="n">
        <v>635.4</v>
      </c>
      <c r="G297" t="n">
        <v>2.44</v>
      </c>
    </row>
    <row r="298">
      <c r="A298" t="inlineStr">
        <is>
          <t>Nuv Gastrobar</t>
        </is>
      </c>
      <c r="B298" t="n">
        <v>26556</v>
      </c>
      <c r="C298" t="inlineStr">
        <is>
          <t>LEITE CONDENSADO DE SOJA VEGANO SEM GLUTEN SOYMILKE C/330G UN</t>
        </is>
      </c>
      <c r="D298" t="inlineStr">
        <is>
          <t>08/2026</t>
        </is>
      </c>
      <c r="E298" t="n">
        <v>10</v>
      </c>
      <c r="F298" t="n">
        <v>219</v>
      </c>
      <c r="G298" t="n">
        <v>21.9</v>
      </c>
    </row>
    <row r="299">
      <c r="A299" t="inlineStr">
        <is>
          <t>Nuv Gastrobar</t>
        </is>
      </c>
      <c r="B299" t="n">
        <v>20662</v>
      </c>
      <c r="C299" t="inlineStr">
        <is>
          <t>LEITE CONDENSADO PIRACANJUBA C/2,5KG</t>
        </is>
      </c>
      <c r="D299" t="inlineStr">
        <is>
          <t>08/2026</t>
        </is>
      </c>
      <c r="E299" t="n">
        <v>8</v>
      </c>
      <c r="F299" t="n">
        <v>278.48</v>
      </c>
      <c r="G299" t="n">
        <v>34.81</v>
      </c>
    </row>
    <row r="300">
      <c r="A300" t="inlineStr">
        <is>
          <t>Nuv Gastrobar</t>
        </is>
      </c>
      <c r="B300" t="n">
        <v>25336</v>
      </c>
      <c r="C300" t="inlineStr">
        <is>
          <t>LEITE DE AMENDOAS C/1L UN</t>
        </is>
      </c>
      <c r="D300" t="inlineStr">
        <is>
          <t>08/2026</t>
        </is>
      </c>
      <c r="E300" t="n">
        <v>12</v>
      </c>
      <c r="F300" t="n">
        <v>214.8</v>
      </c>
      <c r="G300" t="n">
        <v>17.9</v>
      </c>
    </row>
    <row r="301">
      <c r="A301" t="inlineStr">
        <is>
          <t>Nuv Gastrobar</t>
        </is>
      </c>
      <c r="B301" t="n">
        <v>20653</v>
      </c>
      <c r="C301" t="inlineStr">
        <is>
          <t>LEITE DE COCO SOCOCO C/1L UN</t>
        </is>
      </c>
      <c r="D301" t="inlineStr">
        <is>
          <t>08/2026</t>
        </is>
      </c>
      <c r="E301" t="n">
        <v>15</v>
      </c>
      <c r="F301" t="n">
        <v>389.4</v>
      </c>
      <c r="G301" t="n">
        <v>25.96</v>
      </c>
    </row>
    <row r="302">
      <c r="A302" t="inlineStr">
        <is>
          <t>Nuv Gastrobar</t>
        </is>
      </c>
      <c r="B302" t="n">
        <v>29903</v>
      </c>
      <c r="C302" t="inlineStr">
        <is>
          <t>LEITE INTEGRAL QUATA 12x1 UN</t>
        </is>
      </c>
      <c r="D302" t="inlineStr">
        <is>
          <t>08/2026</t>
        </is>
      </c>
      <c r="E302" t="n">
        <v>11</v>
      </c>
      <c r="F302" t="n">
        <v>745.8</v>
      </c>
      <c r="G302" t="n">
        <v>67.8</v>
      </c>
    </row>
    <row r="303">
      <c r="A303" t="inlineStr">
        <is>
          <t>Nuv Gastrobar</t>
        </is>
      </c>
      <c r="B303" t="n">
        <v>19428</v>
      </c>
      <c r="C303" t="inlineStr">
        <is>
          <t>LEITE INTEGRAL QUATA 1L UN</t>
        </is>
      </c>
      <c r="D303" t="inlineStr">
        <is>
          <t>08/2026</t>
        </is>
      </c>
      <c r="E303" t="n">
        <v>60</v>
      </c>
      <c r="F303" t="n">
        <v>339</v>
      </c>
      <c r="G303" t="n">
        <v>5.65</v>
      </c>
    </row>
    <row r="304">
      <c r="A304" t="inlineStr">
        <is>
          <t>Nuv Gastrobar</t>
        </is>
      </c>
      <c r="B304" t="n">
        <v>19752</v>
      </c>
      <c r="C304" t="inlineStr">
        <is>
          <t>LIMAO CRAVO KG</t>
        </is>
      </c>
      <c r="D304" t="inlineStr">
        <is>
          <t>08/2026</t>
        </is>
      </c>
      <c r="E304" t="n">
        <v>10</v>
      </c>
      <c r="F304" t="n">
        <v>79.90000000000001</v>
      </c>
      <c r="G304" t="n">
        <v>7.99</v>
      </c>
    </row>
    <row r="305">
      <c r="A305" t="inlineStr">
        <is>
          <t>Nuv Gastrobar</t>
        </is>
      </c>
      <c r="B305" t="n">
        <v>19751</v>
      </c>
      <c r="C305" t="inlineStr">
        <is>
          <t>LIMAO SICILIANO KG</t>
        </is>
      </c>
      <c r="D305" t="inlineStr">
        <is>
          <t>08/2026</t>
        </is>
      </c>
      <c r="E305" t="n">
        <v>84</v>
      </c>
      <c r="F305" t="n">
        <v>642.1</v>
      </c>
      <c r="G305" t="n">
        <v>7.64</v>
      </c>
    </row>
    <row r="306">
      <c r="A306" t="inlineStr">
        <is>
          <t>Nuv Gastrobar</t>
        </is>
      </c>
      <c r="B306" t="n">
        <v>23359</v>
      </c>
      <c r="C306" t="inlineStr">
        <is>
          <t>LIMAO TAHITI KG</t>
        </is>
      </c>
      <c r="D306" t="inlineStr">
        <is>
          <t>08/2026</t>
        </is>
      </c>
      <c r="E306" t="n">
        <v>70</v>
      </c>
      <c r="F306" t="n">
        <v>464.2</v>
      </c>
      <c r="G306" t="n">
        <v>6.63</v>
      </c>
    </row>
    <row r="307">
      <c r="A307" t="inlineStr">
        <is>
          <t>Nuv Gastrobar</t>
        </is>
      </c>
      <c r="B307" t="n">
        <v>30306</v>
      </c>
      <c r="C307" t="inlineStr">
        <is>
          <t>LIMPA ALUMINIO DESENGORDURANTE DESINCRUSTANTE 5L</t>
        </is>
      </c>
      <c r="D307" t="inlineStr">
        <is>
          <t>08/2026</t>
        </is>
      </c>
      <c r="E307" t="n">
        <v>1</v>
      </c>
      <c r="F307" t="n">
        <v>151.52</v>
      </c>
      <c r="G307" t="n">
        <v>151.52</v>
      </c>
    </row>
    <row r="308">
      <c r="A308" t="inlineStr">
        <is>
          <t>Nuv Gastrobar</t>
        </is>
      </c>
      <c r="B308" t="n">
        <v>24331</v>
      </c>
      <c r="C308" t="inlineStr">
        <is>
          <t>LINGUICA CALABRESA KG</t>
        </is>
      </c>
      <c r="D308" t="inlineStr">
        <is>
          <t>08/2026</t>
        </is>
      </c>
      <c r="E308" t="n">
        <v>10</v>
      </c>
      <c r="F308" t="n">
        <v>200</v>
      </c>
      <c r="G308" t="n">
        <v>20</v>
      </c>
    </row>
    <row r="309">
      <c r="A309" t="inlineStr">
        <is>
          <t>Nuv Gastrobar</t>
        </is>
      </c>
      <c r="B309" t="n">
        <v>24339</v>
      </c>
      <c r="C309" t="inlineStr">
        <is>
          <t>LINGUICA PAIO KG</t>
        </is>
      </c>
      <c r="D309" t="inlineStr">
        <is>
          <t>08/2026</t>
        </is>
      </c>
      <c r="E309" t="n">
        <v>15</v>
      </c>
      <c r="F309" t="n">
        <v>367.5</v>
      </c>
      <c r="G309" t="n">
        <v>24.5</v>
      </c>
    </row>
    <row r="310">
      <c r="A310" t="inlineStr">
        <is>
          <t>Nuv Gastrobar</t>
        </is>
      </c>
      <c r="B310" t="n">
        <v>20501</v>
      </c>
      <c r="C310" t="inlineStr">
        <is>
          <t>LINGUICA TOSCANA AURORA KG</t>
        </is>
      </c>
      <c r="D310" t="inlineStr">
        <is>
          <t>08/2026</t>
        </is>
      </c>
      <c r="E310" t="n">
        <v>10</v>
      </c>
      <c r="F310" t="n">
        <v>204.8</v>
      </c>
      <c r="G310" t="n">
        <v>20.48</v>
      </c>
    </row>
    <row r="311">
      <c r="A311" t="inlineStr">
        <is>
          <t>Nuv Gastrobar</t>
        </is>
      </c>
      <c r="B311" t="n">
        <v>30460</v>
      </c>
      <c r="C311" t="inlineStr">
        <is>
          <t>LIQUIDIFICADOR 4L COPO EM ALUMINIO 700W BIVOLT</t>
        </is>
      </c>
      <c r="D311" t="inlineStr">
        <is>
          <t>08/2026</t>
        </is>
      </c>
      <c r="E311" t="n">
        <v>2</v>
      </c>
      <c r="F311" t="n">
        <v>1771.02</v>
      </c>
      <c r="G311" t="n">
        <v>885.51</v>
      </c>
    </row>
    <row r="312">
      <c r="A312" t="inlineStr">
        <is>
          <t>Nuv Gastrobar</t>
        </is>
      </c>
      <c r="B312" t="n">
        <v>19479</v>
      </c>
      <c r="C312" t="inlineStr">
        <is>
          <t>LOURO SECO KG</t>
        </is>
      </c>
      <c r="D312" t="inlineStr">
        <is>
          <t>08/2026</t>
        </is>
      </c>
      <c r="E312" t="n">
        <v>0.2</v>
      </c>
      <c r="F312" t="n">
        <v>17.05</v>
      </c>
      <c r="G312" t="n">
        <v>85.25</v>
      </c>
    </row>
    <row r="313">
      <c r="A313" t="inlineStr">
        <is>
          <t>Nuv Gastrobar</t>
        </is>
      </c>
      <c r="B313" t="n">
        <v>17017</v>
      </c>
      <c r="C313" t="inlineStr">
        <is>
          <t>LUVA EMBORRACHADA G AMARELA UN</t>
        </is>
      </c>
      <c r="D313" t="inlineStr">
        <is>
          <t>08/2026</t>
        </is>
      </c>
      <c r="E313" t="n">
        <v>4</v>
      </c>
      <c r="F313" t="n">
        <v>12</v>
      </c>
      <c r="G313" t="n">
        <v>3</v>
      </c>
    </row>
    <row r="314">
      <c r="A314" t="inlineStr">
        <is>
          <t>Nuv Gastrobar</t>
        </is>
      </c>
      <c r="B314" t="n">
        <v>17019</v>
      </c>
      <c r="C314" t="inlineStr">
        <is>
          <t>LUVA EMBORRACHADA M AMARELA UN</t>
        </is>
      </c>
      <c r="D314" t="inlineStr">
        <is>
          <t>08/2026</t>
        </is>
      </c>
      <c r="E314" t="n">
        <v>4</v>
      </c>
      <c r="F314" t="n">
        <v>12</v>
      </c>
      <c r="G314" t="n">
        <v>3</v>
      </c>
    </row>
    <row r="315">
      <c r="A315" t="inlineStr">
        <is>
          <t>Nuv Gastrobar</t>
        </is>
      </c>
      <c r="B315" t="n">
        <v>17020</v>
      </c>
      <c r="C315" t="inlineStr">
        <is>
          <t>LUVA EMBORRACHADA P AMARELA UN</t>
        </is>
      </c>
      <c r="D315" t="inlineStr">
        <is>
          <t>08/2026</t>
        </is>
      </c>
      <c r="E315" t="n">
        <v>2</v>
      </c>
      <c r="F315" t="n">
        <v>6</v>
      </c>
      <c r="G315" t="n">
        <v>3</v>
      </c>
    </row>
    <row r="316">
      <c r="A316" t="inlineStr">
        <is>
          <t>Nuv Gastrobar</t>
        </is>
      </c>
      <c r="B316" t="n">
        <v>17504</v>
      </c>
      <c r="C316" t="inlineStr">
        <is>
          <t>LUVA LATEX G SEM TALCO C/100UN</t>
        </is>
      </c>
      <c r="D316" t="inlineStr">
        <is>
          <t>08/2026</t>
        </is>
      </c>
      <c r="E316" t="n">
        <v>7</v>
      </c>
      <c r="F316" t="n">
        <v>209.3</v>
      </c>
      <c r="G316" t="n">
        <v>29.9</v>
      </c>
    </row>
    <row r="317">
      <c r="A317" t="inlineStr">
        <is>
          <t>Nuv Gastrobar</t>
        </is>
      </c>
      <c r="B317" t="n">
        <v>17488</v>
      </c>
      <c r="C317" t="inlineStr">
        <is>
          <t>LUVA LATEX SEM TALCO M C/100UN</t>
        </is>
      </c>
      <c r="D317" t="inlineStr">
        <is>
          <t>08/2026</t>
        </is>
      </c>
      <c r="E317" t="n">
        <v>6</v>
      </c>
      <c r="F317" t="n">
        <v>179.58</v>
      </c>
      <c r="G317" t="n">
        <v>29.93</v>
      </c>
    </row>
    <row r="318">
      <c r="A318" t="inlineStr">
        <is>
          <t>Nuv Gastrobar</t>
        </is>
      </c>
      <c r="B318" t="n">
        <v>17498</v>
      </c>
      <c r="C318" t="inlineStr">
        <is>
          <t>LUVA NITR G SEM TALCO PRETA C/100</t>
        </is>
      </c>
      <c r="D318" t="inlineStr">
        <is>
          <t>08/2026</t>
        </is>
      </c>
      <c r="E318" t="n">
        <v>7</v>
      </c>
      <c r="F318" t="n">
        <v>209.3</v>
      </c>
      <c r="G318" t="n">
        <v>29.9</v>
      </c>
    </row>
    <row r="319">
      <c r="A319" t="inlineStr">
        <is>
          <t>Nuv Gastrobar</t>
        </is>
      </c>
      <c r="B319" t="n">
        <v>17496</v>
      </c>
      <c r="C319" t="inlineStr">
        <is>
          <t>LUVA NITR M SEM TALCO C/100</t>
        </is>
      </c>
      <c r="D319" t="inlineStr">
        <is>
          <t>08/2026</t>
        </is>
      </c>
      <c r="E319" t="n">
        <v>7</v>
      </c>
      <c r="F319" t="n">
        <v>209.3</v>
      </c>
      <c r="G319" t="n">
        <v>29.9</v>
      </c>
    </row>
    <row r="320">
      <c r="A320" t="inlineStr">
        <is>
          <t>Nuv Gastrobar</t>
        </is>
      </c>
      <c r="B320" t="n">
        <v>19743</v>
      </c>
      <c r="C320" t="inlineStr">
        <is>
          <t>MACA VERDE KG</t>
        </is>
      </c>
      <c r="D320" t="inlineStr">
        <is>
          <t>08/2026</t>
        </is>
      </c>
      <c r="E320" t="n">
        <v>14.17</v>
      </c>
      <c r="F320" t="n">
        <v>192.36</v>
      </c>
      <c r="G320" t="n">
        <v>13.58</v>
      </c>
    </row>
    <row r="321">
      <c r="A321" t="inlineStr">
        <is>
          <t>Nuv Gastrobar</t>
        </is>
      </c>
      <c r="B321" t="n">
        <v>26388</v>
      </c>
      <c r="C321" t="inlineStr">
        <is>
          <t>MACARRAO RIGATONE GRANO DURO Nº17 DIVELLA C/500G</t>
        </is>
      </c>
      <c r="D321" t="inlineStr">
        <is>
          <t>08/2026</t>
        </is>
      </c>
      <c r="E321" t="n">
        <v>15</v>
      </c>
      <c r="F321" t="n">
        <v>130.55</v>
      </c>
      <c r="G321" t="n">
        <v>8.699999999999999</v>
      </c>
    </row>
    <row r="322">
      <c r="A322" t="inlineStr">
        <is>
          <t>Nuv Gastrobar</t>
        </is>
      </c>
      <c r="B322" t="n">
        <v>23346</v>
      </c>
      <c r="C322" t="inlineStr">
        <is>
          <t>MANGA PALMER KG</t>
        </is>
      </c>
      <c r="D322" t="inlineStr">
        <is>
          <t>08/2026</t>
        </is>
      </c>
      <c r="E322" t="n">
        <v>1.3</v>
      </c>
      <c r="F322" t="n">
        <v>11.32</v>
      </c>
      <c r="G322" t="n">
        <v>8.710000000000001</v>
      </c>
    </row>
    <row r="323">
      <c r="A323" t="inlineStr">
        <is>
          <t>Nuv Gastrobar</t>
        </is>
      </c>
      <c r="B323" t="n">
        <v>19476</v>
      </c>
      <c r="C323" t="inlineStr">
        <is>
          <t>MANJERICAO KG</t>
        </is>
      </c>
      <c r="D323" t="inlineStr">
        <is>
          <t>08/2026</t>
        </is>
      </c>
      <c r="E323" t="n">
        <v>1.07</v>
      </c>
      <c r="F323" t="n">
        <v>61.2</v>
      </c>
      <c r="G323" t="n">
        <v>57.2</v>
      </c>
    </row>
    <row r="324">
      <c r="A324" t="inlineStr">
        <is>
          <t>Nuv Gastrobar</t>
        </is>
      </c>
      <c r="B324" t="n">
        <v>30379</v>
      </c>
      <c r="C324" t="inlineStr">
        <is>
          <t>MANTEIGA GHEE CLARIFICADA MADHU BAKERY 400G UN</t>
        </is>
      </c>
      <c r="D324" t="inlineStr">
        <is>
          <t>08/2026</t>
        </is>
      </c>
      <c r="E324" t="n">
        <v>7</v>
      </c>
      <c r="F324" t="n">
        <v>391.3</v>
      </c>
      <c r="G324" t="n">
        <v>55.9</v>
      </c>
    </row>
    <row r="325">
      <c r="A325" t="inlineStr">
        <is>
          <t>Nuv Gastrobar</t>
        </is>
      </c>
      <c r="B325" t="n">
        <v>30006</v>
      </c>
      <c r="C325" t="inlineStr">
        <is>
          <t>MANTEIGA SEM SAL TIROLEZ 5KG UN</t>
        </is>
      </c>
      <c r="D325" t="inlineStr">
        <is>
          <t>08/2026</t>
        </is>
      </c>
      <c r="E325" t="n">
        <v>4</v>
      </c>
      <c r="F325" t="n">
        <v>623.96</v>
      </c>
      <c r="G325" t="n">
        <v>155.99</v>
      </c>
    </row>
    <row r="326">
      <c r="A326" t="inlineStr">
        <is>
          <t>Nuv Gastrobar</t>
        </is>
      </c>
      <c r="B326" t="n">
        <v>25821</v>
      </c>
      <c r="C326" t="inlineStr">
        <is>
          <t>MANTEIGA VEGANA VEGANISSIMA C/200G</t>
        </is>
      </c>
      <c r="D326" t="inlineStr">
        <is>
          <t>08/2026</t>
        </is>
      </c>
      <c r="E326" t="n">
        <v>5</v>
      </c>
      <c r="F326" t="n">
        <v>104.5</v>
      </c>
      <c r="G326" t="n">
        <v>20.9</v>
      </c>
    </row>
    <row r="327">
      <c r="A327" t="inlineStr">
        <is>
          <t>Nuv Gastrobar</t>
        </is>
      </c>
      <c r="B327" t="n">
        <v>19740</v>
      </c>
      <c r="C327" t="inlineStr">
        <is>
          <t>MARACUJA AZEDO KG</t>
        </is>
      </c>
      <c r="D327" t="inlineStr">
        <is>
          <t>08/2026</t>
        </is>
      </c>
      <c r="E327" t="n">
        <v>70</v>
      </c>
      <c r="F327" t="n">
        <v>910</v>
      </c>
      <c r="G327" t="n">
        <v>13</v>
      </c>
    </row>
    <row r="328">
      <c r="A328" t="inlineStr">
        <is>
          <t>Nuv Gastrobar</t>
        </is>
      </c>
      <c r="B328" t="n">
        <v>20122</v>
      </c>
      <c r="C328" t="inlineStr">
        <is>
          <t>MASSA DE TAPIOCA GRANULADA YOKI C/500G</t>
        </is>
      </c>
      <c r="D328" t="inlineStr">
        <is>
          <t>08/2026</t>
        </is>
      </c>
      <c r="E328" t="n">
        <v>48</v>
      </c>
      <c r="F328" t="n">
        <v>768</v>
      </c>
      <c r="G328" t="n">
        <v>16</v>
      </c>
    </row>
    <row r="329">
      <c r="A329" t="inlineStr">
        <is>
          <t>Nuv Gastrobar</t>
        </is>
      </c>
      <c r="B329" t="n">
        <v>19805</v>
      </c>
      <c r="C329" t="inlineStr">
        <is>
          <t>MATCHA KG</t>
        </is>
      </c>
      <c r="D329" t="inlineStr">
        <is>
          <t>08/2026</t>
        </is>
      </c>
      <c r="E329" t="n">
        <v>0.5</v>
      </c>
      <c r="F329" t="n">
        <v>561</v>
      </c>
      <c r="G329" t="n">
        <v>1122</v>
      </c>
    </row>
    <row r="330">
      <c r="A330" t="inlineStr">
        <is>
          <t>Nuv Gastrobar</t>
        </is>
      </c>
      <c r="B330" t="n">
        <v>19600</v>
      </c>
      <c r="C330" t="inlineStr">
        <is>
          <t>MAXIXE KG</t>
        </is>
      </c>
      <c r="D330" t="inlineStr">
        <is>
          <t>08/2026</t>
        </is>
      </c>
      <c r="E330" t="n">
        <v>6</v>
      </c>
      <c r="F330" t="n">
        <v>72.75</v>
      </c>
      <c r="G330" t="n">
        <v>12.13</v>
      </c>
    </row>
    <row r="331">
      <c r="A331" t="inlineStr">
        <is>
          <t>Nuv Gastrobar</t>
        </is>
      </c>
      <c r="B331" t="n">
        <v>29691</v>
      </c>
      <c r="C331" t="inlineStr">
        <is>
          <t xml:space="preserve">MEDALHÃO DE CORAÇÃO DE ALCATRA 180G  KG </t>
        </is>
      </c>
      <c r="D331" t="inlineStr">
        <is>
          <t>08/2026</t>
        </is>
      </c>
      <c r="E331" t="n">
        <v>31.47</v>
      </c>
      <c r="F331" t="n">
        <v>3115.73</v>
      </c>
      <c r="G331" t="n">
        <v>99.01000000000001</v>
      </c>
    </row>
    <row r="332">
      <c r="A332" t="inlineStr">
        <is>
          <t>Nuv Gastrobar</t>
        </is>
      </c>
      <c r="B332" t="n">
        <v>20887</v>
      </c>
      <c r="C332" t="inlineStr">
        <is>
          <t>MEL PURO FLORA NECTAR C/1KG</t>
        </is>
      </c>
      <c r="D332" t="inlineStr">
        <is>
          <t>08/2026</t>
        </is>
      </c>
      <c r="E332" t="n">
        <v>12</v>
      </c>
      <c r="F332" t="n">
        <v>442.8</v>
      </c>
      <c r="G332" t="n">
        <v>36.9</v>
      </c>
    </row>
    <row r="333">
      <c r="A333" t="inlineStr">
        <is>
          <t>Nuv Gastrobar</t>
        </is>
      </c>
      <c r="B333" t="n">
        <v>19738</v>
      </c>
      <c r="C333" t="inlineStr">
        <is>
          <t>MELANCIA KG</t>
        </is>
      </c>
      <c r="D333" t="inlineStr">
        <is>
          <t>08/2026</t>
        </is>
      </c>
      <c r="E333" t="n">
        <v>128</v>
      </c>
      <c r="F333" t="n">
        <v>512</v>
      </c>
      <c r="G333" t="n">
        <v>4</v>
      </c>
    </row>
    <row r="334">
      <c r="A334" t="inlineStr">
        <is>
          <t>Nuv Gastrobar</t>
        </is>
      </c>
      <c r="B334" t="n">
        <v>19736</v>
      </c>
      <c r="C334" t="inlineStr">
        <is>
          <t>MELAO ORANGE KG</t>
        </is>
      </c>
      <c r="D334" t="inlineStr">
        <is>
          <t>08/2026</t>
        </is>
      </c>
      <c r="E334" t="n">
        <v>14</v>
      </c>
      <c r="F334" t="n">
        <v>154.35</v>
      </c>
      <c r="G334" t="n">
        <v>11.03</v>
      </c>
    </row>
    <row r="335">
      <c r="A335" t="inlineStr">
        <is>
          <t>Nuv Gastrobar</t>
        </is>
      </c>
      <c r="B335" t="n">
        <v>29961</v>
      </c>
      <c r="C335" t="inlineStr">
        <is>
          <t>MEXEDOR DE CAFÉ 11CM C/10.000 UN</t>
        </is>
      </c>
      <c r="D335" t="inlineStr">
        <is>
          <t>08/2026</t>
        </is>
      </c>
      <c r="E335" t="n">
        <v>10</v>
      </c>
      <c r="F335" t="n">
        <v>120</v>
      </c>
      <c r="G335" t="n">
        <v>12</v>
      </c>
    </row>
    <row r="336">
      <c r="A336" t="inlineStr">
        <is>
          <t>Nuv Gastrobar</t>
        </is>
      </c>
      <c r="B336" t="n">
        <v>17024</v>
      </c>
      <c r="C336" t="inlineStr">
        <is>
          <t>MILHO VERDE KG</t>
        </is>
      </c>
      <c r="D336" t="inlineStr">
        <is>
          <t>08/2026</t>
        </is>
      </c>
      <c r="E336" t="n">
        <v>3</v>
      </c>
      <c r="F336" t="n">
        <v>18.9</v>
      </c>
      <c r="G336" t="n">
        <v>6.3</v>
      </c>
    </row>
    <row r="337">
      <c r="A337" t="inlineStr">
        <is>
          <t>Nuv Gastrobar</t>
        </is>
      </c>
      <c r="B337" t="n">
        <v>30242</v>
      </c>
      <c r="C337" t="inlineStr">
        <is>
          <t>MINI BOWL ASSIMÉTRICO PORCELANA Ø8CM H4CM 60ML VANT GRAPHITE BONNAMIX UN</t>
        </is>
      </c>
      <c r="D337" t="inlineStr">
        <is>
          <t>08/2026</t>
        </is>
      </c>
      <c r="E337" t="n">
        <v>36</v>
      </c>
      <c r="F337" t="n">
        <v>983.16</v>
      </c>
      <c r="G337" t="n">
        <v>27.31</v>
      </c>
    </row>
    <row r="338">
      <c r="A338" t="inlineStr">
        <is>
          <t>Nuv Gastrobar</t>
        </is>
      </c>
      <c r="B338" t="n">
        <v>28249</v>
      </c>
      <c r="C338" t="inlineStr">
        <is>
          <t>MINI BRIOCHE LE PAIN 30G C/100UN</t>
        </is>
      </c>
      <c r="D338" t="inlineStr">
        <is>
          <t>08/2026</t>
        </is>
      </c>
      <c r="E338" t="n">
        <v>1</v>
      </c>
      <c r="F338" t="n">
        <v>210</v>
      </c>
      <c r="G338" t="n">
        <v>210</v>
      </c>
    </row>
    <row r="339">
      <c r="A339" t="inlineStr">
        <is>
          <t>Nuv Gastrobar</t>
        </is>
      </c>
      <c r="B339" t="n">
        <v>28250</v>
      </c>
      <c r="C339" t="inlineStr">
        <is>
          <t>MINI CROISSANT LE PAIN 35G C/80UN</t>
        </is>
      </c>
      <c r="D339" t="inlineStr">
        <is>
          <t>08/2026</t>
        </is>
      </c>
      <c r="E339" t="n">
        <v>1</v>
      </c>
      <c r="F339" t="n">
        <v>185.6</v>
      </c>
      <c r="G339" t="n">
        <v>185.6</v>
      </c>
    </row>
    <row r="340">
      <c r="A340" t="inlineStr">
        <is>
          <t>Nuv Gastrobar</t>
        </is>
      </c>
      <c r="B340" t="n">
        <v>24687</v>
      </c>
      <c r="C340" t="inlineStr">
        <is>
          <t>MIRTILO CONGELADO KG</t>
        </is>
      </c>
      <c r="D340" t="inlineStr">
        <is>
          <t>08/2026</t>
        </is>
      </c>
      <c r="E340" t="n">
        <v>7</v>
      </c>
      <c r="F340" t="n">
        <v>325.8</v>
      </c>
      <c r="G340" t="n">
        <v>46.54</v>
      </c>
    </row>
    <row r="341">
      <c r="A341" t="inlineStr">
        <is>
          <t>Nuv Gastrobar</t>
        </is>
      </c>
      <c r="B341" t="n">
        <v>19682</v>
      </c>
      <c r="C341" t="inlineStr">
        <is>
          <t>MIRTILO KG</t>
        </is>
      </c>
      <c r="D341" t="inlineStr">
        <is>
          <t>08/2026</t>
        </is>
      </c>
      <c r="E341" t="n">
        <v>6.9</v>
      </c>
      <c r="F341" t="n">
        <v>740.5</v>
      </c>
      <c r="G341" t="n">
        <v>107.32</v>
      </c>
    </row>
    <row r="342">
      <c r="A342" t="inlineStr">
        <is>
          <t>Nuv Gastrobar</t>
        </is>
      </c>
      <c r="B342" t="n">
        <v>30461</v>
      </c>
      <c r="C342" t="inlineStr">
        <is>
          <t>MIXER 440W CAPACIDADE 50L MONOFASICO 220V UN</t>
        </is>
      </c>
      <c r="D342" t="inlineStr">
        <is>
          <t>08/2026</t>
        </is>
      </c>
      <c r="E342" t="n">
        <v>1</v>
      </c>
      <c r="F342" t="n">
        <v>3985.11</v>
      </c>
      <c r="G342" t="n">
        <v>3985.11</v>
      </c>
    </row>
    <row r="343">
      <c r="A343" t="inlineStr">
        <is>
          <t>Nuv Gastrobar</t>
        </is>
      </c>
      <c r="B343" t="n">
        <v>30245</v>
      </c>
      <c r="C343" t="inlineStr">
        <is>
          <t>MOLHEIRA PORCELANA Ø7CM H3,5CM GRAPHITE MOSS BONNAMIX UN</t>
        </is>
      </c>
      <c r="D343" t="inlineStr">
        <is>
          <t>08/2026</t>
        </is>
      </c>
      <c r="E343" t="n">
        <v>36</v>
      </c>
      <c r="F343" t="n">
        <v>876.25</v>
      </c>
      <c r="G343" t="n">
        <v>24.34</v>
      </c>
    </row>
    <row r="344">
      <c r="A344" t="inlineStr">
        <is>
          <t>Nuv Gastrobar</t>
        </is>
      </c>
      <c r="B344" t="n">
        <v>19979</v>
      </c>
      <c r="C344" t="inlineStr">
        <is>
          <t>MOLHO DE PIMENTA TABASCO RED C/60ML</t>
        </is>
      </c>
      <c r="D344" t="inlineStr">
        <is>
          <t>08/2026</t>
        </is>
      </c>
      <c r="E344" t="n">
        <v>24</v>
      </c>
      <c r="F344" t="n">
        <v>514.8</v>
      </c>
      <c r="G344" t="n">
        <v>21.45</v>
      </c>
    </row>
    <row r="345">
      <c r="A345" t="inlineStr">
        <is>
          <t>Nuv Gastrobar</t>
        </is>
      </c>
      <c r="B345" t="n">
        <v>19982</v>
      </c>
      <c r="C345" t="inlineStr">
        <is>
          <t>MOLHO INGLES CEPERA C/1L FR UN</t>
        </is>
      </c>
      <c r="D345" t="inlineStr">
        <is>
          <t>08/2026</t>
        </is>
      </c>
      <c r="E345" t="n">
        <v>2</v>
      </c>
      <c r="F345" t="n">
        <v>14.58</v>
      </c>
      <c r="G345" t="n">
        <v>7.29</v>
      </c>
    </row>
    <row r="346">
      <c r="A346" t="inlineStr">
        <is>
          <t>Nuv Gastrobar</t>
        </is>
      </c>
      <c r="B346" t="n">
        <v>24385</v>
      </c>
      <c r="C346" t="inlineStr">
        <is>
          <t>MORANGO CONGELADO KG</t>
        </is>
      </c>
      <c r="D346" t="inlineStr">
        <is>
          <t>08/2026</t>
        </is>
      </c>
      <c r="E346" t="n">
        <v>1</v>
      </c>
      <c r="F346" t="n">
        <v>15.02</v>
      </c>
      <c r="G346" t="n">
        <v>15.02</v>
      </c>
    </row>
    <row r="347">
      <c r="A347" t="inlineStr">
        <is>
          <t>Nuv Gastrobar</t>
        </is>
      </c>
      <c r="B347" t="n">
        <v>23335</v>
      </c>
      <c r="C347" t="inlineStr">
        <is>
          <t>MORANGO KG</t>
        </is>
      </c>
      <c r="D347" t="inlineStr">
        <is>
          <t>08/2026</t>
        </is>
      </c>
      <c r="E347" t="n">
        <v>9</v>
      </c>
      <c r="F347" t="n">
        <v>206.05</v>
      </c>
      <c r="G347" t="n">
        <v>22.89</v>
      </c>
    </row>
    <row r="348">
      <c r="A348" t="inlineStr">
        <is>
          <t>Nuv Gastrobar</t>
        </is>
      </c>
      <c r="B348" t="n">
        <v>19967</v>
      </c>
      <c r="C348" t="inlineStr">
        <is>
          <t>MOSTARDA AM HEMMER 3,6KG</t>
        </is>
      </c>
      <c r="D348" t="inlineStr">
        <is>
          <t>08/2026</t>
        </is>
      </c>
      <c r="E348" t="n">
        <v>1</v>
      </c>
      <c r="F348" t="n">
        <v>49.28</v>
      </c>
      <c r="G348" t="n">
        <v>49.28</v>
      </c>
    </row>
    <row r="349">
      <c r="A349" t="inlineStr">
        <is>
          <t>Nuv Gastrobar</t>
        </is>
      </c>
      <c r="B349" t="n">
        <v>19962</v>
      </c>
      <c r="C349" t="inlineStr">
        <is>
          <t>MOSTARDA AMARELA CEPERA C/3,3KG</t>
        </is>
      </c>
      <c r="D349" t="inlineStr">
        <is>
          <t>08/2026</t>
        </is>
      </c>
      <c r="E349" t="n">
        <v>8</v>
      </c>
      <c r="F349" t="n">
        <v>199.84</v>
      </c>
      <c r="G349" t="n">
        <v>24.98</v>
      </c>
    </row>
    <row r="350">
      <c r="A350" t="inlineStr">
        <is>
          <t>Nuv Gastrobar</t>
        </is>
      </c>
      <c r="B350" t="n">
        <v>19955</v>
      </c>
      <c r="C350" t="inlineStr">
        <is>
          <t>MOSTARDA FRANCESA DIJON BEAUFOR 1KG</t>
        </is>
      </c>
      <c r="D350" t="inlineStr">
        <is>
          <t>08/2026</t>
        </is>
      </c>
      <c r="E350" t="n">
        <v>7</v>
      </c>
      <c r="F350" t="n">
        <v>411.58</v>
      </c>
      <c r="G350" t="n">
        <v>58.8</v>
      </c>
    </row>
    <row r="351">
      <c r="A351" t="inlineStr">
        <is>
          <t>Nuv Gastrobar</t>
        </is>
      </c>
      <c r="B351" t="n">
        <v>24389</v>
      </c>
      <c r="C351" t="inlineStr">
        <is>
          <t>MUSCULO TRASEIRO KG</t>
        </is>
      </c>
      <c r="D351" t="inlineStr">
        <is>
          <t>08/2026</t>
        </is>
      </c>
      <c r="E351" t="n">
        <v>31.7</v>
      </c>
      <c r="F351" t="n">
        <v>1008.06</v>
      </c>
      <c r="G351" t="n">
        <v>31.8</v>
      </c>
    </row>
    <row r="352">
      <c r="A352" t="inlineStr">
        <is>
          <t>Nuv Gastrobar</t>
        </is>
      </c>
      <c r="B352" t="n">
        <v>19940</v>
      </c>
      <c r="C352" t="inlineStr">
        <is>
          <t>NOZ MOSCADA EM PO KG</t>
        </is>
      </c>
      <c r="D352" t="inlineStr">
        <is>
          <t>08/2026</t>
        </is>
      </c>
      <c r="E352" t="n">
        <v>0.75</v>
      </c>
      <c r="F352" t="n">
        <v>25.76</v>
      </c>
      <c r="G352" t="n">
        <v>34.35</v>
      </c>
    </row>
    <row r="353">
      <c r="A353" t="inlineStr">
        <is>
          <t>Nuv Gastrobar</t>
        </is>
      </c>
      <c r="B353" t="n">
        <v>21017</v>
      </c>
      <c r="C353" t="inlineStr">
        <is>
          <t>OLEO DE ALGODAO SAUDE C/14,5KG</t>
        </is>
      </c>
      <c r="D353" t="inlineStr">
        <is>
          <t>08/2026</t>
        </is>
      </c>
      <c r="E353" t="n">
        <v>16</v>
      </c>
      <c r="F353" t="n">
        <v>2542.4</v>
      </c>
      <c r="G353" t="n">
        <v>158.9</v>
      </c>
    </row>
    <row r="354">
      <c r="A354" t="inlineStr">
        <is>
          <t>Nuv Gastrobar</t>
        </is>
      </c>
      <c r="B354" t="n">
        <v>21010</v>
      </c>
      <c r="C354" t="inlineStr">
        <is>
          <t>OLEO DE CANOLA SAUDE C/900ML UN</t>
        </is>
      </c>
      <c r="D354" t="inlineStr">
        <is>
          <t>08/2026</t>
        </is>
      </c>
      <c r="E354" t="n">
        <v>67</v>
      </c>
      <c r="F354" t="n">
        <v>800.9</v>
      </c>
      <c r="G354" t="n">
        <v>11.95</v>
      </c>
    </row>
    <row r="355">
      <c r="A355" t="inlineStr">
        <is>
          <t>Nuv Gastrobar</t>
        </is>
      </c>
      <c r="B355" t="n">
        <v>20948</v>
      </c>
      <c r="C355" t="inlineStr">
        <is>
          <t>OLEO DE COCO C/200ML UN</t>
        </is>
      </c>
      <c r="D355" t="inlineStr">
        <is>
          <t>08/2026</t>
        </is>
      </c>
      <c r="E355" t="n">
        <v>8</v>
      </c>
      <c r="F355" t="n">
        <v>143.1</v>
      </c>
      <c r="G355" t="n">
        <v>17.89</v>
      </c>
    </row>
    <row r="356">
      <c r="A356" t="inlineStr">
        <is>
          <t>Nuv Gastrobar</t>
        </is>
      </c>
      <c r="B356" t="n">
        <v>22822</v>
      </c>
      <c r="C356" t="inlineStr">
        <is>
          <t>OSSO BOVINO SERRADO RODELA KG</t>
        </is>
      </c>
      <c r="D356" t="inlineStr">
        <is>
          <t>08/2026</t>
        </is>
      </c>
      <c r="E356" t="n">
        <v>10</v>
      </c>
      <c r="F356" t="n">
        <v>228.7</v>
      </c>
      <c r="G356" t="n">
        <v>22.87</v>
      </c>
    </row>
    <row r="357">
      <c r="A357" t="inlineStr">
        <is>
          <t>Nuv Gastrobar</t>
        </is>
      </c>
      <c r="B357" t="n">
        <v>23096</v>
      </c>
      <c r="C357" t="inlineStr">
        <is>
          <t>OVO BRANCO UN</t>
        </is>
      </c>
      <c r="D357" t="inlineStr">
        <is>
          <t>08/2026</t>
        </is>
      </c>
      <c r="E357" t="n">
        <v>300</v>
      </c>
      <c r="F357" t="n">
        <v>177</v>
      </c>
      <c r="G357" t="n">
        <v>0.59</v>
      </c>
    </row>
    <row r="358">
      <c r="A358" t="inlineStr">
        <is>
          <t>Nuv Gastrobar</t>
        </is>
      </c>
      <c r="B358" t="n">
        <v>23095</v>
      </c>
      <c r="C358" t="inlineStr">
        <is>
          <t>OVO CAIPIRA UN</t>
        </is>
      </c>
      <c r="D358" t="inlineStr">
        <is>
          <t>08/2026</t>
        </is>
      </c>
      <c r="E358" t="n">
        <v>720</v>
      </c>
      <c r="F358" t="n">
        <v>655.2</v>
      </c>
      <c r="G358" t="n">
        <v>0.91</v>
      </c>
    </row>
    <row r="359">
      <c r="A359" t="inlineStr">
        <is>
          <t>Nuv Gastrobar</t>
        </is>
      </c>
      <c r="B359" t="n">
        <v>28246</v>
      </c>
      <c r="C359" t="inlineStr">
        <is>
          <t>PA DE LIXO COLETORA COM CABO DE CHAPA DE ALUMINIO UN</t>
        </is>
      </c>
      <c r="D359" t="inlineStr">
        <is>
          <t>08/2026</t>
        </is>
      </c>
      <c r="E359" t="n">
        <v>2</v>
      </c>
      <c r="F359" t="n">
        <v>96</v>
      </c>
      <c r="G359" t="n">
        <v>48</v>
      </c>
    </row>
    <row r="360">
      <c r="A360" t="inlineStr">
        <is>
          <t>Nuv Gastrobar</t>
        </is>
      </c>
      <c r="B360" t="n">
        <v>30375</v>
      </c>
      <c r="C360" t="inlineStr">
        <is>
          <t>PAIN AU CHOCOLAT LPQ 80G CX C/18 UN</t>
        </is>
      </c>
      <c r="D360" t="inlineStr">
        <is>
          <t>08/2026</t>
        </is>
      </c>
      <c r="E360" t="n">
        <v>3</v>
      </c>
      <c r="F360" t="n">
        <v>475.2</v>
      </c>
      <c r="G360" t="n">
        <v>158.4</v>
      </c>
    </row>
    <row r="361">
      <c r="A361" t="inlineStr">
        <is>
          <t>Nuv Gastrobar</t>
        </is>
      </c>
      <c r="B361" t="n">
        <v>20623</v>
      </c>
      <c r="C361" t="inlineStr">
        <is>
          <t xml:space="preserve">PALMITO IN NATURA UN </t>
        </is>
      </c>
      <c r="D361" t="inlineStr">
        <is>
          <t>08/2026</t>
        </is>
      </c>
      <c r="E361" t="n">
        <v>10</v>
      </c>
      <c r="F361" t="n">
        <v>123.9</v>
      </c>
      <c r="G361" t="n">
        <v>12.39</v>
      </c>
    </row>
    <row r="362">
      <c r="A362" t="inlineStr">
        <is>
          <t>Nuv Gastrobar</t>
        </is>
      </c>
      <c r="B362" t="n">
        <v>20632</v>
      </c>
      <c r="C362" t="inlineStr">
        <is>
          <t>PALMITO PICADO PUPUNHA CUBO C/1,8KG</t>
        </is>
      </c>
      <c r="D362" t="inlineStr">
        <is>
          <t>08/2026</t>
        </is>
      </c>
      <c r="E362" t="n">
        <v>1</v>
      </c>
      <c r="F362" t="n">
        <v>51.8</v>
      </c>
      <c r="G362" t="n">
        <v>51.8</v>
      </c>
    </row>
    <row r="363">
      <c r="A363" t="inlineStr">
        <is>
          <t>Nuv Gastrobar</t>
        </is>
      </c>
      <c r="B363" t="n">
        <v>19594</v>
      </c>
      <c r="C363" t="inlineStr">
        <is>
          <t>PALMITO PUPUNHA TOLETE C/400G</t>
        </is>
      </c>
      <c r="D363" t="inlineStr">
        <is>
          <t>08/2026</t>
        </is>
      </c>
      <c r="E363" t="n">
        <v>7.2</v>
      </c>
      <c r="F363" t="n">
        <v>257.89</v>
      </c>
      <c r="G363" t="n">
        <v>35.82</v>
      </c>
    </row>
    <row r="364">
      <c r="A364" t="inlineStr">
        <is>
          <t>Nuv Gastrobar</t>
        </is>
      </c>
      <c r="B364" t="n">
        <v>17162</v>
      </c>
      <c r="C364" t="inlineStr">
        <is>
          <t>PANO MULTIUSO 28X240 C/600PANOS UM</t>
        </is>
      </c>
      <c r="D364" t="inlineStr">
        <is>
          <t>08/2026</t>
        </is>
      </c>
      <c r="E364" t="n">
        <v>6</v>
      </c>
      <c r="F364" t="n">
        <v>324</v>
      </c>
      <c r="G364" t="n">
        <v>54</v>
      </c>
    </row>
    <row r="365">
      <c r="A365" t="inlineStr">
        <is>
          <t>Nuv Gastrobar</t>
        </is>
      </c>
      <c r="B365" t="n">
        <v>30687</v>
      </c>
      <c r="C365" t="inlineStr">
        <is>
          <t>PAO CAMPANHA LPQ UN</t>
        </is>
      </c>
      <c r="D365" t="inlineStr">
        <is>
          <t>08/2026</t>
        </is>
      </c>
      <c r="E365" t="n">
        <v>10</v>
      </c>
      <c r="F365" t="n">
        <v>150</v>
      </c>
      <c r="G365" t="n">
        <v>15</v>
      </c>
    </row>
    <row r="366">
      <c r="A366" t="inlineStr">
        <is>
          <t>Nuv Gastrobar</t>
        </is>
      </c>
      <c r="B366" t="n">
        <v>28929</v>
      </c>
      <c r="C366" t="inlineStr">
        <is>
          <t>PAO DE AZEITONA LE PAIN 500G UN</t>
        </is>
      </c>
      <c r="D366" t="inlineStr">
        <is>
          <t>08/2026</t>
        </is>
      </c>
      <c r="E366" t="n">
        <v>2</v>
      </c>
      <c r="F366" t="n">
        <v>54.18</v>
      </c>
      <c r="G366" t="n">
        <v>27.09</v>
      </c>
    </row>
    <row r="367">
      <c r="A367" t="inlineStr">
        <is>
          <t>Nuv Gastrobar</t>
        </is>
      </c>
      <c r="B367" t="n">
        <v>28930</v>
      </c>
      <c r="C367" t="inlineStr">
        <is>
          <t>PAO DE CACAU COM CASTANHA DO PARA LE PAIN 500G UN</t>
        </is>
      </c>
      <c r="D367" t="inlineStr">
        <is>
          <t>08/2026</t>
        </is>
      </c>
      <c r="E367" t="n">
        <v>2</v>
      </c>
      <c r="F367" t="n">
        <v>107.7</v>
      </c>
      <c r="G367" t="n">
        <v>53.85</v>
      </c>
    </row>
    <row r="368">
      <c r="A368" t="inlineStr">
        <is>
          <t>Nuv Gastrobar</t>
        </is>
      </c>
      <c r="B368" t="n">
        <v>28819</v>
      </c>
      <c r="C368" t="inlineStr">
        <is>
          <t>PAO DE FORMA TRADICIONAL VISCONTI 400G CX C/10UN</t>
        </is>
      </c>
      <c r="D368" t="inlineStr">
        <is>
          <t>08/2026</t>
        </is>
      </c>
      <c r="E368" t="n">
        <v>3</v>
      </c>
      <c r="F368" t="n">
        <v>119.97</v>
      </c>
      <c r="G368" t="n">
        <v>39.99</v>
      </c>
    </row>
    <row r="369">
      <c r="A369" t="inlineStr">
        <is>
          <t>Nuv Gastrobar</t>
        </is>
      </c>
      <c r="B369" t="n">
        <v>28568</v>
      </c>
      <c r="C369" t="inlineStr">
        <is>
          <t>PAO DE HAMBURGUER BRIOCHE 60G UN CX C/24UN LE PAIN</t>
        </is>
      </c>
      <c r="D369" t="inlineStr">
        <is>
          <t>08/2026</t>
        </is>
      </c>
      <c r="E369" t="n">
        <v>3</v>
      </c>
      <c r="F369" t="n">
        <v>212.4</v>
      </c>
      <c r="G369" t="n">
        <v>70.8</v>
      </c>
    </row>
    <row r="370">
      <c r="A370" t="inlineStr">
        <is>
          <t>Nuv Gastrobar</t>
        </is>
      </c>
      <c r="B370" t="n">
        <v>30374</v>
      </c>
      <c r="C370" t="inlineStr">
        <is>
          <t>PAO DE HOTDOG LPQ 60G CX C/ 24UN</t>
        </is>
      </c>
      <c r="D370" t="inlineStr">
        <is>
          <t>08/2026</t>
        </is>
      </c>
      <c r="E370" t="n">
        <v>4</v>
      </c>
      <c r="F370" t="n">
        <v>283.2</v>
      </c>
      <c r="G370" t="n">
        <v>70.8</v>
      </c>
    </row>
    <row r="371">
      <c r="A371" t="inlineStr">
        <is>
          <t>Nuv Gastrobar</t>
        </is>
      </c>
      <c r="B371" t="n">
        <v>28931</v>
      </c>
      <c r="C371" t="inlineStr">
        <is>
          <t>PAO DE NOZES LE PAIN 500G UN</t>
        </is>
      </c>
      <c r="D371" t="inlineStr">
        <is>
          <t>08/2026</t>
        </is>
      </c>
      <c r="E371" t="n">
        <v>2</v>
      </c>
      <c r="F371" t="n">
        <v>31</v>
      </c>
      <c r="G371" t="n">
        <v>15.5</v>
      </c>
    </row>
    <row r="372">
      <c r="A372" t="inlineStr">
        <is>
          <t>Nuv Gastrobar</t>
        </is>
      </c>
      <c r="B372" t="n">
        <v>28932</v>
      </c>
      <c r="C372" t="inlineStr">
        <is>
          <t>PAO DE PASSAS COM CASTANHA LE PAIN 500G UN</t>
        </is>
      </c>
      <c r="D372" t="inlineStr">
        <is>
          <t>08/2026</t>
        </is>
      </c>
      <c r="E372" t="n">
        <v>2</v>
      </c>
      <c r="F372" t="n">
        <v>40.88</v>
      </c>
      <c r="G372" t="n">
        <v>20.44</v>
      </c>
    </row>
    <row r="373">
      <c r="A373" t="inlineStr">
        <is>
          <t>Nuv Gastrobar</t>
        </is>
      </c>
      <c r="B373" t="n">
        <v>30372</v>
      </c>
      <c r="C373" t="inlineStr">
        <is>
          <t>PAO RUSTICO INTEGRAL LPQ FATIADO 750G CX C/9 UN</t>
        </is>
      </c>
      <c r="D373" t="inlineStr">
        <is>
          <t>08/2026</t>
        </is>
      </c>
      <c r="E373" t="n">
        <v>5</v>
      </c>
      <c r="F373" t="n">
        <v>877.5</v>
      </c>
      <c r="G373" t="n">
        <v>175.5</v>
      </c>
    </row>
    <row r="374">
      <c r="A374" t="inlineStr">
        <is>
          <t>Nuv Gastrobar</t>
        </is>
      </c>
      <c r="B374" t="n">
        <v>19088</v>
      </c>
      <c r="C374" t="inlineStr">
        <is>
          <t>PAO SIRIO UN</t>
        </is>
      </c>
      <c r="D374" t="inlineStr">
        <is>
          <t>08/2026</t>
        </is>
      </c>
      <c r="E374" t="n">
        <v>12</v>
      </c>
      <c r="F374" t="n">
        <v>178.8</v>
      </c>
      <c r="G374" t="n">
        <v>14.9</v>
      </c>
    </row>
    <row r="375">
      <c r="A375" t="inlineStr">
        <is>
          <t>Nuv Gastrobar</t>
        </is>
      </c>
      <c r="B375" t="n">
        <v>17045</v>
      </c>
      <c r="C375" t="inlineStr">
        <is>
          <t>PAPEL ALUMINIO ROLO LIFE CLEAN 30X100M UN</t>
        </is>
      </c>
      <c r="D375" t="inlineStr">
        <is>
          <t>08/2026</t>
        </is>
      </c>
      <c r="E375" t="n">
        <v>1</v>
      </c>
      <c r="F375" t="n">
        <v>41.9</v>
      </c>
      <c r="G375" t="n">
        <v>41.9</v>
      </c>
    </row>
    <row r="376">
      <c r="A376" t="inlineStr">
        <is>
          <t>Nuv Gastrobar</t>
        </is>
      </c>
      <c r="B376" t="n">
        <v>17418</v>
      </c>
      <c r="C376" t="inlineStr">
        <is>
          <t>PAPEL TOALHA BOBINA LUXO BIA PAPER C/6X20X200M C/6 ROLOS</t>
        </is>
      </c>
      <c r="D376" t="inlineStr">
        <is>
          <t>08/2026</t>
        </is>
      </c>
      <c r="E376" t="n">
        <v>4</v>
      </c>
      <c r="F376" t="n">
        <v>235.6</v>
      </c>
      <c r="G376" t="n">
        <v>58.9</v>
      </c>
    </row>
    <row r="377">
      <c r="A377" t="inlineStr">
        <is>
          <t>Nuv Gastrobar</t>
        </is>
      </c>
      <c r="B377" t="n">
        <v>30300</v>
      </c>
      <c r="C377" t="inlineStr">
        <is>
          <t>PAPEL TOALHA ESSENCIAL BASICO AUTO CORTE 6 ROLOS C/200M CX</t>
        </is>
      </c>
      <c r="D377" t="inlineStr">
        <is>
          <t>08/2026</t>
        </is>
      </c>
      <c r="E377" t="n">
        <v>7</v>
      </c>
      <c r="F377" t="n">
        <v>1069.25</v>
      </c>
      <c r="G377" t="n">
        <v>152.75</v>
      </c>
    </row>
    <row r="378">
      <c r="A378" t="inlineStr">
        <is>
          <t>Nuv Gastrobar</t>
        </is>
      </c>
      <c r="B378" t="n">
        <v>30301</v>
      </c>
      <c r="C378" t="inlineStr">
        <is>
          <t>PAPEL TOALHA ESSENCIAL BASICO INTERFOLHADO C/2000 FOLHAS CX</t>
        </is>
      </c>
      <c r="D378" t="inlineStr">
        <is>
          <t>08/2026</t>
        </is>
      </c>
      <c r="E378" t="n">
        <v>3</v>
      </c>
      <c r="F378" t="n">
        <v>184.38</v>
      </c>
      <c r="G378" t="n">
        <v>61.46</v>
      </c>
    </row>
    <row r="379">
      <c r="A379" t="inlineStr">
        <is>
          <t>Nuv Gastrobar</t>
        </is>
      </c>
      <c r="B379" t="n">
        <v>24505</v>
      </c>
      <c r="C379" t="inlineStr">
        <is>
          <t>PAPEL TOALHA SNOB 1X2 UN</t>
        </is>
      </c>
      <c r="D379" t="inlineStr">
        <is>
          <t>08/2026</t>
        </is>
      </c>
      <c r="E379" t="n">
        <v>24</v>
      </c>
      <c r="F379" t="n">
        <v>119.52</v>
      </c>
      <c r="G379" t="n">
        <v>4.98</v>
      </c>
    </row>
    <row r="380">
      <c r="A380" t="inlineStr">
        <is>
          <t>Nuv Gastrobar</t>
        </is>
      </c>
      <c r="B380" t="n">
        <v>23502</v>
      </c>
      <c r="C380" t="inlineStr">
        <is>
          <t>PAPRICA DEFUMADA PCT 500G UN</t>
        </is>
      </c>
      <c r="D380" t="inlineStr">
        <is>
          <t>08/2026</t>
        </is>
      </c>
      <c r="E380" t="n">
        <v>7</v>
      </c>
      <c r="F380" t="n">
        <v>43.4</v>
      </c>
      <c r="G380" t="n">
        <v>6.2</v>
      </c>
    </row>
    <row r="381">
      <c r="A381" t="inlineStr">
        <is>
          <t>Nuv Gastrobar</t>
        </is>
      </c>
      <c r="B381" t="n">
        <v>24401</v>
      </c>
      <c r="C381" t="inlineStr">
        <is>
          <t>PAPRICA PICANTE PCT 500G UN</t>
        </is>
      </c>
      <c r="D381" t="inlineStr">
        <is>
          <t>08/2026</t>
        </is>
      </c>
      <c r="E381" t="n">
        <v>4</v>
      </c>
      <c r="F381" t="n">
        <v>24.8</v>
      </c>
      <c r="G381" t="n">
        <v>6.2</v>
      </c>
    </row>
    <row r="382">
      <c r="A382" t="inlineStr">
        <is>
          <t>Nuv Gastrobar</t>
        </is>
      </c>
      <c r="B382" t="n">
        <v>30492</v>
      </c>
      <c r="C382" t="inlineStr">
        <is>
          <t>PAR DE LUVAS TERMICA AZUL 35CM UN</t>
        </is>
      </c>
      <c r="D382" t="inlineStr">
        <is>
          <t>08/2026</t>
        </is>
      </c>
      <c r="E382" t="n">
        <v>3</v>
      </c>
      <c r="F382" t="n">
        <v>142.8</v>
      </c>
      <c r="G382" t="n">
        <v>47.6</v>
      </c>
    </row>
    <row r="383">
      <c r="A383" t="inlineStr">
        <is>
          <t>Nuv Gastrobar</t>
        </is>
      </c>
      <c r="B383" t="n">
        <v>30439</v>
      </c>
      <c r="C383" t="inlineStr">
        <is>
          <t>PASSADOR CHINOY TRAMONTINA EM AÇO INOX 21CM UN</t>
        </is>
      </c>
      <c r="D383" t="inlineStr">
        <is>
          <t>08/2026</t>
        </is>
      </c>
      <c r="E383" t="n">
        <v>2</v>
      </c>
      <c r="F383" t="n">
        <v>456.08</v>
      </c>
      <c r="G383" t="n">
        <v>228.04</v>
      </c>
    </row>
    <row r="384">
      <c r="A384" t="inlineStr">
        <is>
          <t>Nuv Gastrobar</t>
        </is>
      </c>
      <c r="B384" t="n">
        <v>20614</v>
      </c>
      <c r="C384" t="inlineStr">
        <is>
          <t>PASTA GERGELIM TAHINE ISTAMBUL 5006 LT</t>
        </is>
      </c>
      <c r="D384" t="inlineStr">
        <is>
          <t>08/2026</t>
        </is>
      </c>
      <c r="E384" t="n">
        <v>1</v>
      </c>
      <c r="F384" t="n">
        <v>32.43</v>
      </c>
      <c r="G384" t="n">
        <v>32.43</v>
      </c>
    </row>
    <row r="385">
      <c r="A385" t="inlineStr">
        <is>
          <t>Nuv Gastrobar</t>
        </is>
      </c>
      <c r="B385" t="n">
        <v>19002</v>
      </c>
      <c r="C385" t="inlineStr">
        <is>
          <t>PATO INTEIRO CONGELADO SEM TEMPERO KG</t>
        </is>
      </c>
      <c r="D385" t="inlineStr">
        <is>
          <t>08/2026</t>
        </is>
      </c>
      <c r="E385" t="n">
        <v>31.2</v>
      </c>
      <c r="F385" t="n">
        <v>1092</v>
      </c>
      <c r="G385" t="n">
        <v>35</v>
      </c>
    </row>
    <row r="386">
      <c r="A386" t="inlineStr">
        <is>
          <t>Nuv Gastrobar</t>
        </is>
      </c>
      <c r="B386" t="n">
        <v>30441</v>
      </c>
      <c r="C386" t="inlineStr">
        <is>
          <t>PEDRA DE AFIAR TRAMONTINA PROFIO COM GRANULAÇÃO 800 E SUPORTE EMBORRACHADO UN</t>
        </is>
      </c>
      <c r="D386" t="inlineStr">
        <is>
          <t>08/2026</t>
        </is>
      </c>
      <c r="E386" t="n">
        <v>2</v>
      </c>
      <c r="F386" t="n">
        <v>161.4</v>
      </c>
      <c r="G386" t="n">
        <v>80.7</v>
      </c>
    </row>
    <row r="387">
      <c r="A387" t="inlineStr">
        <is>
          <t>Nuv Gastrobar</t>
        </is>
      </c>
      <c r="B387" t="n">
        <v>30476</v>
      </c>
      <c r="C387" t="inlineStr">
        <is>
          <t>PEGADOR DE GELO INOX 17,5CM DI SOLLE UN</t>
        </is>
      </c>
      <c r="D387" t="inlineStr">
        <is>
          <t>08/2026</t>
        </is>
      </c>
      <c r="E387" t="n">
        <v>6</v>
      </c>
      <c r="F387" t="n">
        <v>45</v>
      </c>
      <c r="G387" t="n">
        <v>7.5</v>
      </c>
    </row>
    <row r="388">
      <c r="A388" t="inlineStr">
        <is>
          <t>Nuv Gastrobar</t>
        </is>
      </c>
      <c r="B388" t="n">
        <v>30417</v>
      </c>
      <c r="C388" t="inlineStr">
        <is>
          <t>PEGADOR MULTIUSO 30,8CM TRAMONTINA SOFTTA CINZA EM SILICONE UN</t>
        </is>
      </c>
      <c r="D388" t="inlineStr">
        <is>
          <t>08/2026</t>
        </is>
      </c>
      <c r="E388" t="n">
        <v>8</v>
      </c>
      <c r="F388" t="n">
        <v>141.76</v>
      </c>
      <c r="G388" t="n">
        <v>17.72</v>
      </c>
    </row>
    <row r="389">
      <c r="A389" t="inlineStr">
        <is>
          <t>Nuv Gastrobar</t>
        </is>
      </c>
      <c r="B389" t="n">
        <v>30433</v>
      </c>
      <c r="C389" t="inlineStr">
        <is>
          <t>PEGADOR TRAMONTINA UTILITA EM AÇO INOX COM CABO EMBORRACHADO CINZA 24CM UN</t>
        </is>
      </c>
      <c r="D389" t="inlineStr">
        <is>
          <t>08/2026</t>
        </is>
      </c>
      <c r="E389" t="n">
        <v>1</v>
      </c>
      <c r="F389" t="n">
        <v>29.2</v>
      </c>
      <c r="G389" t="n">
        <v>29.2</v>
      </c>
    </row>
    <row r="390">
      <c r="A390" t="inlineStr">
        <is>
          <t>Nuv Gastrobar</t>
        </is>
      </c>
      <c r="B390" t="n">
        <v>18984</v>
      </c>
      <c r="C390" t="inlineStr">
        <is>
          <t>PEITO DE PERU DEFUMADO SEARA KG</t>
        </is>
      </c>
      <c r="D390" t="inlineStr">
        <is>
          <t>08/2026</t>
        </is>
      </c>
      <c r="E390" t="n">
        <v>7.2</v>
      </c>
      <c r="F390" t="n">
        <v>413.14</v>
      </c>
      <c r="G390" t="n">
        <v>57.38</v>
      </c>
    </row>
    <row r="391">
      <c r="A391" t="inlineStr">
        <is>
          <t>Nuv Gastrobar</t>
        </is>
      </c>
      <c r="B391" t="n">
        <v>30505</v>
      </c>
      <c r="C391" t="inlineStr">
        <is>
          <t>PENEIRA EM AÇO INOX 16CM WESTERN UN</t>
        </is>
      </c>
      <c r="D391" t="inlineStr">
        <is>
          <t>08/2026</t>
        </is>
      </c>
      <c r="E391" t="n">
        <v>2</v>
      </c>
      <c r="F391" t="n">
        <v>17</v>
      </c>
      <c r="G391" t="n">
        <v>8.5</v>
      </c>
    </row>
    <row r="392">
      <c r="A392" t="inlineStr">
        <is>
          <t>Nuv Gastrobar</t>
        </is>
      </c>
      <c r="B392" t="n">
        <v>30490</v>
      </c>
      <c r="C392" t="inlineStr">
        <is>
          <t>PENEIRA EM AÇO INOX 20CM MARCAMIX UN</t>
        </is>
      </c>
      <c r="D392" t="inlineStr">
        <is>
          <t>08/2026</t>
        </is>
      </c>
      <c r="E392" t="n">
        <v>1</v>
      </c>
      <c r="F392" t="n">
        <v>16.8</v>
      </c>
      <c r="G392" t="n">
        <v>16.8</v>
      </c>
    </row>
    <row r="393">
      <c r="A393" t="inlineStr">
        <is>
          <t>Nuv Gastrobar</t>
        </is>
      </c>
      <c r="B393" t="n">
        <v>30447</v>
      </c>
      <c r="C393" t="inlineStr">
        <is>
          <t>PENEIRA TRAMONTINA EM AÇO INOX UN</t>
        </is>
      </c>
      <c r="D393" t="inlineStr">
        <is>
          <t>08/2026</t>
        </is>
      </c>
      <c r="E393" t="n">
        <v>4</v>
      </c>
      <c r="F393" t="n">
        <v>129.96</v>
      </c>
      <c r="G393" t="n">
        <v>32.49</v>
      </c>
    </row>
    <row r="394">
      <c r="A394" t="inlineStr">
        <is>
          <t>Nuv Gastrobar</t>
        </is>
      </c>
      <c r="B394" t="n">
        <v>19590</v>
      </c>
      <c r="C394" t="inlineStr">
        <is>
          <t>PEPINO COMUM KG</t>
        </is>
      </c>
      <c r="D394" t="inlineStr">
        <is>
          <t>08/2026</t>
        </is>
      </c>
      <c r="E394" t="n">
        <v>5.29</v>
      </c>
      <c r="F394" t="n">
        <v>18.92</v>
      </c>
      <c r="G394" t="n">
        <v>3.58</v>
      </c>
    </row>
    <row r="395">
      <c r="A395" t="inlineStr">
        <is>
          <t>Nuv Gastrobar</t>
        </is>
      </c>
      <c r="B395" t="n">
        <v>20570</v>
      </c>
      <c r="C395" t="inlineStr">
        <is>
          <t>PEPINO EM CONSERVA CAMPO BELO C/2KG</t>
        </is>
      </c>
      <c r="D395" t="inlineStr">
        <is>
          <t>08/2026</t>
        </is>
      </c>
      <c r="E395" t="n">
        <v>2</v>
      </c>
      <c r="F395" t="n">
        <v>65</v>
      </c>
      <c r="G395" t="n">
        <v>32.5</v>
      </c>
    </row>
    <row r="396">
      <c r="A396" t="inlineStr">
        <is>
          <t>Nuv Gastrobar</t>
        </is>
      </c>
      <c r="B396" t="n">
        <v>20575</v>
      </c>
      <c r="C396" t="inlineStr">
        <is>
          <t>PEPINO EM CONSERVA YGUARA 2KG</t>
        </is>
      </c>
      <c r="D396" t="inlineStr">
        <is>
          <t>08/2026</t>
        </is>
      </c>
      <c r="E396" t="n">
        <v>2</v>
      </c>
      <c r="F396" t="n">
        <v>69</v>
      </c>
      <c r="G396" t="n">
        <v>34.5</v>
      </c>
    </row>
    <row r="397">
      <c r="A397" t="inlineStr">
        <is>
          <t>Nuv Gastrobar</t>
        </is>
      </c>
      <c r="B397" t="n">
        <v>19589</v>
      </c>
      <c r="C397" t="inlineStr">
        <is>
          <t>PEPINO JAPONES KG</t>
        </is>
      </c>
      <c r="D397" t="inlineStr">
        <is>
          <t>08/2026</t>
        </is>
      </c>
      <c r="E397" t="n">
        <v>2</v>
      </c>
      <c r="F397" t="n">
        <v>12.4</v>
      </c>
      <c r="G397" t="n">
        <v>6.2</v>
      </c>
    </row>
    <row r="398">
      <c r="A398" t="inlineStr">
        <is>
          <t>Nuv Gastrobar</t>
        </is>
      </c>
      <c r="B398" t="n">
        <v>30465</v>
      </c>
      <c r="C398" t="inlineStr">
        <is>
          <t>PICADOR DE LEGUMES GRANDE C/TRIPE DE CHAO UN</t>
        </is>
      </c>
      <c r="D398" t="inlineStr">
        <is>
          <t>08/2026</t>
        </is>
      </c>
      <c r="E398" t="n">
        <v>1</v>
      </c>
      <c r="F398" t="n">
        <v>353.33</v>
      </c>
      <c r="G398" t="n">
        <v>353.33</v>
      </c>
    </row>
    <row r="399">
      <c r="A399" t="inlineStr">
        <is>
          <t>Nuv Gastrobar</t>
        </is>
      </c>
      <c r="B399" t="n">
        <v>23215</v>
      </c>
      <c r="C399" t="inlineStr">
        <is>
          <t>PIMENTA CALABRESA KG</t>
        </is>
      </c>
      <c r="D399" t="inlineStr">
        <is>
          <t>08/2026</t>
        </is>
      </c>
      <c r="E399" t="n">
        <v>1</v>
      </c>
      <c r="F399" t="n">
        <v>45</v>
      </c>
      <c r="G399" t="n">
        <v>45</v>
      </c>
    </row>
    <row r="400">
      <c r="A400" t="inlineStr">
        <is>
          <t>Nuv Gastrobar</t>
        </is>
      </c>
      <c r="B400" t="n">
        <v>19575</v>
      </c>
      <c r="C400" t="inlineStr">
        <is>
          <t>PIMENTA DE CHEIRO VERDE KG</t>
        </is>
      </c>
      <c r="D400" t="inlineStr">
        <is>
          <t>08/2026</t>
        </is>
      </c>
      <c r="E400" t="n">
        <v>1.1</v>
      </c>
      <c r="F400" t="n">
        <v>40.5</v>
      </c>
      <c r="G400" t="n">
        <v>36.82</v>
      </c>
    </row>
    <row r="401">
      <c r="A401" t="inlineStr">
        <is>
          <t>Nuv Gastrobar</t>
        </is>
      </c>
      <c r="B401" t="n">
        <v>19572</v>
      </c>
      <c r="C401" t="inlineStr">
        <is>
          <t>PIMENTA DEDO DE MOCA KG</t>
        </is>
      </c>
      <c r="D401" t="inlineStr">
        <is>
          <t>08/2026</t>
        </is>
      </c>
      <c r="E401" t="n">
        <v>9.24</v>
      </c>
      <c r="F401" t="n">
        <v>148.86</v>
      </c>
      <c r="G401" t="n">
        <v>16.11</v>
      </c>
    </row>
    <row r="402">
      <c r="A402" t="inlineStr">
        <is>
          <t>Nuv Gastrobar</t>
        </is>
      </c>
      <c r="B402" t="n">
        <v>23494</v>
      </c>
      <c r="C402" t="inlineStr">
        <is>
          <t>PIMENTA PRETA EM GRAO KG</t>
        </is>
      </c>
      <c r="D402" t="inlineStr">
        <is>
          <t>08/2026</t>
        </is>
      </c>
      <c r="E402" t="n">
        <v>2</v>
      </c>
      <c r="F402" t="n">
        <v>97.8</v>
      </c>
      <c r="G402" t="n">
        <v>48.9</v>
      </c>
    </row>
    <row r="403">
      <c r="A403" t="inlineStr">
        <is>
          <t>Nuv Gastrobar</t>
        </is>
      </c>
      <c r="B403" t="n">
        <v>19923</v>
      </c>
      <c r="C403" t="inlineStr">
        <is>
          <t>PIMENTA PRETA EM GRAOS C/500G</t>
        </is>
      </c>
      <c r="D403" t="inlineStr">
        <is>
          <t>08/2026</t>
        </is>
      </c>
      <c r="E403" t="n">
        <v>2</v>
      </c>
      <c r="F403" t="n">
        <v>77.8</v>
      </c>
      <c r="G403" t="n">
        <v>38.9</v>
      </c>
    </row>
    <row r="404">
      <c r="A404" t="inlineStr">
        <is>
          <t>Nuv Gastrobar</t>
        </is>
      </c>
      <c r="B404" t="n">
        <v>19892</v>
      </c>
      <c r="C404" t="inlineStr">
        <is>
          <t>PIMENTA SIRIA KG</t>
        </is>
      </c>
      <c r="D404" t="inlineStr">
        <is>
          <t>08/2026</t>
        </is>
      </c>
      <c r="E404" t="n">
        <v>2</v>
      </c>
      <c r="F404" t="n">
        <v>276</v>
      </c>
      <c r="G404" t="n">
        <v>138</v>
      </c>
    </row>
    <row r="405">
      <c r="A405" t="inlineStr">
        <is>
          <t>Nuv Gastrobar</t>
        </is>
      </c>
      <c r="B405" t="n">
        <v>26969</v>
      </c>
      <c r="C405" t="inlineStr">
        <is>
          <t>PIMENTA VERDE EM CONSERVA DON PEPE BALDE C/1KG</t>
        </is>
      </c>
      <c r="D405" t="inlineStr">
        <is>
          <t>08/2026</t>
        </is>
      </c>
      <c r="E405" t="n">
        <v>1</v>
      </c>
      <c r="F405" t="n">
        <v>107.9</v>
      </c>
      <c r="G405" t="n">
        <v>107.9</v>
      </c>
    </row>
    <row r="406">
      <c r="A406" t="inlineStr">
        <is>
          <t>Nuv Gastrobar</t>
        </is>
      </c>
      <c r="B406" t="n">
        <v>23198</v>
      </c>
      <c r="C406" t="inlineStr">
        <is>
          <t>PIMENTAO VERMELHO KG</t>
        </is>
      </c>
      <c r="D406" t="inlineStr">
        <is>
          <t>08/2026</t>
        </is>
      </c>
      <c r="E406" t="n">
        <v>3</v>
      </c>
      <c r="F406" t="n">
        <v>27.3</v>
      </c>
      <c r="G406" t="n">
        <v>9.1</v>
      </c>
    </row>
    <row r="407">
      <c r="A407" t="inlineStr">
        <is>
          <t>Nuv Gastrobar</t>
        </is>
      </c>
      <c r="B407" t="n">
        <v>30489</v>
      </c>
      <c r="C407" t="inlineStr">
        <is>
          <t>PINÇA CULINARIA LE GALO UN</t>
        </is>
      </c>
      <c r="D407" t="inlineStr">
        <is>
          <t>08/2026</t>
        </is>
      </c>
      <c r="E407" t="n">
        <v>2</v>
      </c>
      <c r="F407" t="n">
        <v>39.6</v>
      </c>
      <c r="G407" t="n">
        <v>19.8</v>
      </c>
    </row>
    <row r="408">
      <c r="A408" t="inlineStr">
        <is>
          <t>Nuv Gastrobar</t>
        </is>
      </c>
      <c r="B408" t="n">
        <v>30436</v>
      </c>
      <c r="C408" t="inlineStr">
        <is>
          <t>PINCEL TRAMONTINA SOFTTA DE SILICONE VERMELHO UN</t>
        </is>
      </c>
      <c r="D408" t="inlineStr">
        <is>
          <t>08/2026</t>
        </is>
      </c>
      <c r="E408" t="n">
        <v>3</v>
      </c>
      <c r="F408" t="n">
        <v>45.54</v>
      </c>
      <c r="G408" t="n">
        <v>15.18</v>
      </c>
    </row>
    <row r="409">
      <c r="A409" t="inlineStr">
        <is>
          <t>Nuv Gastrobar</t>
        </is>
      </c>
      <c r="B409" t="n">
        <v>30501</v>
      </c>
      <c r="C409" t="inlineStr">
        <is>
          <t>PLACA DE CORTE AMARELA PEAD 30 X 25 X 1CM UN</t>
        </is>
      </c>
      <c r="D409" t="inlineStr">
        <is>
          <t>08/2026</t>
        </is>
      </c>
      <c r="E409" t="n">
        <v>2</v>
      </c>
      <c r="F409" t="n">
        <v>95.48</v>
      </c>
      <c r="G409" t="n">
        <v>47.74</v>
      </c>
    </row>
    <row r="410">
      <c r="A410" t="inlineStr">
        <is>
          <t>Nuv Gastrobar</t>
        </is>
      </c>
      <c r="B410" t="n">
        <v>30500</v>
      </c>
      <c r="C410" t="inlineStr">
        <is>
          <t>PLACA DE CORTE AZUL PEAD 30 X 25 X 1CM UN</t>
        </is>
      </c>
      <c r="D410" t="inlineStr">
        <is>
          <t>08/2026</t>
        </is>
      </c>
      <c r="E410" t="n">
        <v>2</v>
      </c>
      <c r="F410" t="n">
        <v>95.48</v>
      </c>
      <c r="G410" t="n">
        <v>47.74</v>
      </c>
    </row>
    <row r="411">
      <c r="A411" t="inlineStr">
        <is>
          <t>Nuv Gastrobar</t>
        </is>
      </c>
      <c r="B411" t="n">
        <v>30497</v>
      </c>
      <c r="C411" t="inlineStr">
        <is>
          <t>PLACA DE CORTE BRANCA PEAD 30 X 25 X 1CM UN</t>
        </is>
      </c>
      <c r="D411" t="inlineStr">
        <is>
          <t>08/2026</t>
        </is>
      </c>
      <c r="E411" t="n">
        <v>4</v>
      </c>
      <c r="F411" t="n">
        <v>182.16</v>
      </c>
      <c r="G411" t="n">
        <v>45.54</v>
      </c>
    </row>
    <row r="412">
      <c r="A412" t="inlineStr">
        <is>
          <t>Nuv Gastrobar</t>
        </is>
      </c>
      <c r="B412" t="n">
        <v>30498</v>
      </c>
      <c r="C412" t="inlineStr">
        <is>
          <t>PLACA DE CORTE VERDE PEAD 30 X 25 X 1CM UN</t>
        </is>
      </c>
      <c r="D412" t="inlineStr">
        <is>
          <t>08/2026</t>
        </is>
      </c>
      <c r="E412" t="n">
        <v>4</v>
      </c>
      <c r="F412" t="n">
        <v>190.96</v>
      </c>
      <c r="G412" t="n">
        <v>47.74</v>
      </c>
    </row>
    <row r="413">
      <c r="A413" t="inlineStr">
        <is>
          <t>Nuv Gastrobar</t>
        </is>
      </c>
      <c r="B413" t="n">
        <v>30499</v>
      </c>
      <c r="C413" t="inlineStr">
        <is>
          <t>PLACA DE CORTE VERMELHA PEAD 30 X 25 X 1CM UN</t>
        </is>
      </c>
      <c r="D413" t="inlineStr">
        <is>
          <t>08/2026</t>
        </is>
      </c>
      <c r="E413" t="n">
        <v>2</v>
      </c>
      <c r="F413" t="n">
        <v>95.48</v>
      </c>
      <c r="G413" t="n">
        <v>47.74</v>
      </c>
    </row>
    <row r="414">
      <c r="A414" t="inlineStr">
        <is>
          <t>Nuv Gastrobar</t>
        </is>
      </c>
      <c r="B414" t="n">
        <v>19790</v>
      </c>
      <c r="C414" t="inlineStr">
        <is>
          <t>POLPA DE AVOCADO KG</t>
        </is>
      </c>
      <c r="D414" t="inlineStr">
        <is>
          <t>08/2026</t>
        </is>
      </c>
      <c r="E414" t="n">
        <v>4</v>
      </c>
      <c r="F414" t="n">
        <v>192</v>
      </c>
      <c r="G414" t="n">
        <v>48</v>
      </c>
    </row>
    <row r="415">
      <c r="A415" t="inlineStr">
        <is>
          <t>Nuv Gastrobar</t>
        </is>
      </c>
      <c r="B415" t="n">
        <v>23330</v>
      </c>
      <c r="C415" t="inlineStr">
        <is>
          <t>POLPA DE CUPUACU CONGELADA KG</t>
        </is>
      </c>
      <c r="D415" t="inlineStr">
        <is>
          <t>08/2026</t>
        </is>
      </c>
      <c r="E415" t="n">
        <v>3</v>
      </c>
      <c r="F415" t="n">
        <v>96</v>
      </c>
      <c r="G415" t="n">
        <v>32</v>
      </c>
    </row>
    <row r="416">
      <c r="A416" t="inlineStr">
        <is>
          <t>Nuv Gastrobar</t>
        </is>
      </c>
      <c r="B416" t="n">
        <v>19663</v>
      </c>
      <c r="C416" t="inlineStr">
        <is>
          <t>POLPA DE MARACUJA KG</t>
        </is>
      </c>
      <c r="D416" t="inlineStr">
        <is>
          <t>08/2026</t>
        </is>
      </c>
      <c r="E416" t="n">
        <v>0.5</v>
      </c>
      <c r="F416" t="n">
        <v>38</v>
      </c>
      <c r="G416" t="n">
        <v>76</v>
      </c>
    </row>
    <row r="417">
      <c r="A417" t="inlineStr">
        <is>
          <t>Nuv Gastrobar</t>
        </is>
      </c>
      <c r="B417" t="n">
        <v>30478</v>
      </c>
      <c r="C417" t="inlineStr">
        <is>
          <t>PORTA COMANDA ESPETO 19 X 8,1CM INOX ALLISSAN UN</t>
        </is>
      </c>
      <c r="D417" t="inlineStr">
        <is>
          <t>08/2026</t>
        </is>
      </c>
      <c r="E417" t="n">
        <v>4</v>
      </c>
      <c r="F417" t="n">
        <v>51.8</v>
      </c>
      <c r="G417" t="n">
        <v>12.95</v>
      </c>
    </row>
    <row r="418">
      <c r="A418" t="inlineStr">
        <is>
          <t>Nuv Gastrobar</t>
        </is>
      </c>
      <c r="B418" t="n">
        <v>30483</v>
      </c>
      <c r="C418" t="inlineStr">
        <is>
          <t>PORTA GUARDANAPO MESA INOX GLOBO UN</t>
        </is>
      </c>
      <c r="D418" t="inlineStr">
        <is>
          <t>08/2026</t>
        </is>
      </c>
      <c r="E418" t="n">
        <v>40</v>
      </c>
      <c r="F418" t="n">
        <v>532.8</v>
      </c>
      <c r="G418" t="n">
        <v>13.32</v>
      </c>
    </row>
    <row r="419">
      <c r="A419" t="inlineStr">
        <is>
          <t>Nuv Gastrobar</t>
        </is>
      </c>
      <c r="B419" t="n">
        <v>30484</v>
      </c>
      <c r="C419" t="inlineStr">
        <is>
          <t>PORTA SACHE AÇO INOX 8 X 5,5CM GLOBO UN</t>
        </is>
      </c>
      <c r="D419" t="inlineStr">
        <is>
          <t>08/2026</t>
        </is>
      </c>
      <c r="E419" t="n">
        <v>40</v>
      </c>
      <c r="F419" t="n">
        <v>652</v>
      </c>
      <c r="G419" t="n">
        <v>16.3</v>
      </c>
    </row>
    <row r="420">
      <c r="A420" t="inlineStr">
        <is>
          <t>Nuv Gastrobar</t>
        </is>
      </c>
      <c r="B420" t="n">
        <v>26875</v>
      </c>
      <c r="C420" t="inlineStr">
        <is>
          <t>POTE COPOBRAS 1 LITRO COM TAMPA TRANSPARENTE C/25</t>
        </is>
      </c>
      <c r="D420" t="inlineStr">
        <is>
          <t>08/2026</t>
        </is>
      </c>
      <c r="E420" t="n">
        <v>7</v>
      </c>
      <c r="F420" t="n">
        <v>315</v>
      </c>
      <c r="G420" t="n">
        <v>45</v>
      </c>
    </row>
    <row r="421">
      <c r="A421" t="inlineStr">
        <is>
          <t>Nuv Gastrobar</t>
        </is>
      </c>
      <c r="B421" t="n">
        <v>29897</v>
      </c>
      <c r="C421" t="inlineStr">
        <is>
          <t>POTE PAPEL KRAFT PARA MOLHO 30ML CX/2000UN</t>
        </is>
      </c>
      <c r="D421" t="inlineStr">
        <is>
          <t>08/2026</t>
        </is>
      </c>
      <c r="E421" t="n">
        <v>2</v>
      </c>
      <c r="F421" t="n">
        <v>315.26</v>
      </c>
      <c r="G421" t="n">
        <v>157.63</v>
      </c>
    </row>
    <row r="422">
      <c r="A422" t="inlineStr">
        <is>
          <t>Nuv Gastrobar</t>
        </is>
      </c>
      <c r="B422" t="n">
        <v>30467</v>
      </c>
      <c r="C422" t="inlineStr">
        <is>
          <t>POTE PLASTICO C/ TAMPA BRANCA ROSQUEAVEL 1,8L 15,1 X 15,3CM PLASUTIL UN</t>
        </is>
      </c>
      <c r="D422" t="inlineStr">
        <is>
          <t>08/2026</t>
        </is>
      </c>
      <c r="E422" t="n">
        <v>1</v>
      </c>
      <c r="F422" t="n">
        <v>10.07</v>
      </c>
      <c r="G422" t="n">
        <v>10.07</v>
      </c>
    </row>
    <row r="423">
      <c r="A423" t="inlineStr">
        <is>
          <t>Nuv Gastrobar</t>
        </is>
      </c>
      <c r="B423" t="n">
        <v>30241</v>
      </c>
      <c r="C423" t="inlineStr">
        <is>
          <t>PRATO FUNDO MULTIUSO PORCELANA Ø25CM H5CM BLOOM VEGA BONNA1MIX UN</t>
        </is>
      </c>
      <c r="D423" t="inlineStr">
        <is>
          <t>08/2026</t>
        </is>
      </c>
      <c r="E423" t="n">
        <v>48</v>
      </c>
      <c r="F423" t="n">
        <v>3780</v>
      </c>
      <c r="G423" t="n">
        <v>78.75</v>
      </c>
    </row>
    <row r="424">
      <c r="A424" t="inlineStr">
        <is>
          <t>Nuv Gastrobar</t>
        </is>
      </c>
      <c r="B424" t="n">
        <v>30243</v>
      </c>
      <c r="C424" t="inlineStr">
        <is>
          <t>PRATO MESA PORCELANA Ø28CM H2CM MIRAGE RIPPLE BONNAMIX UN</t>
        </is>
      </c>
      <c r="D424" t="inlineStr">
        <is>
          <t>08/2026</t>
        </is>
      </c>
      <c r="E424" t="n">
        <v>60</v>
      </c>
      <c r="F424" t="n">
        <v>4563</v>
      </c>
      <c r="G424" t="n">
        <v>76.05</v>
      </c>
    </row>
    <row r="425">
      <c r="A425" t="inlineStr">
        <is>
          <t>Nuv Gastrobar</t>
        </is>
      </c>
      <c r="B425" t="n">
        <v>30938</v>
      </c>
      <c r="C425" t="inlineStr">
        <is>
          <t>PRATO RASO OPALINE 24,0CM PARA USO FUNCIONARIO NADIR UN</t>
        </is>
      </c>
      <c r="D425" t="inlineStr">
        <is>
          <t>08/2026</t>
        </is>
      </c>
      <c r="E425" t="n">
        <v>20</v>
      </c>
      <c r="F425" t="n">
        <v>160.8</v>
      </c>
      <c r="G425" t="n">
        <v>8.039999999999999</v>
      </c>
    </row>
    <row r="426">
      <c r="A426" t="inlineStr">
        <is>
          <t>Nuv Gastrobar</t>
        </is>
      </c>
      <c r="B426" t="n">
        <v>30244</v>
      </c>
      <c r="C426" t="inlineStr">
        <is>
          <t>PRATO SOBREMESA PORCELANA Ø21CM H2CM HORNFELS RIPPLE BONNAMIX UN</t>
        </is>
      </c>
      <c r="D426" t="inlineStr">
        <is>
          <t>08/2026</t>
        </is>
      </c>
      <c r="E426" t="n">
        <v>60</v>
      </c>
      <c r="F426" t="n">
        <v>3481.2</v>
      </c>
      <c r="G426" t="n">
        <v>58.02</v>
      </c>
    </row>
    <row r="427">
      <c r="A427" t="inlineStr">
        <is>
          <t>Nuv Gastrobar</t>
        </is>
      </c>
      <c r="B427" t="n">
        <v>30482</v>
      </c>
      <c r="C427" t="inlineStr">
        <is>
          <t>PRENSADOR DE CARNE COM ALÇA EM MADEIRA 2KG 22 X 12CM FUMIL UN</t>
        </is>
      </c>
      <c r="D427" t="inlineStr">
        <is>
          <t>08/2026</t>
        </is>
      </c>
      <c r="E427" t="n">
        <v>2</v>
      </c>
      <c r="F427" t="n">
        <v>139</v>
      </c>
      <c r="G427" t="n">
        <v>69.5</v>
      </c>
    </row>
    <row r="428">
      <c r="A428" t="inlineStr">
        <is>
          <t>Nuv Gastrobar</t>
        </is>
      </c>
      <c r="B428" t="n">
        <v>20489</v>
      </c>
      <c r="C428" t="inlineStr">
        <is>
          <t>PRESUNTO COZIDO MAGRO SEARA KG</t>
        </is>
      </c>
      <c r="D428" t="inlineStr">
        <is>
          <t>08/2026</t>
        </is>
      </c>
      <c r="E428" t="n">
        <v>7</v>
      </c>
      <c r="F428" t="n">
        <v>157.5</v>
      </c>
      <c r="G428" t="n">
        <v>22.5</v>
      </c>
    </row>
    <row r="429">
      <c r="A429" t="inlineStr">
        <is>
          <t>Nuv Gastrobar</t>
        </is>
      </c>
      <c r="B429" t="n">
        <v>29160</v>
      </c>
      <c r="C429" t="inlineStr">
        <is>
          <t>PRESUNTO PARMA FATIADO C/100G UN</t>
        </is>
      </c>
      <c r="D429" t="inlineStr">
        <is>
          <t>08/2026</t>
        </is>
      </c>
      <c r="E429" t="n">
        <v>69</v>
      </c>
      <c r="F429" t="n">
        <v>1435.2</v>
      </c>
      <c r="G429" t="n">
        <v>20.8</v>
      </c>
    </row>
    <row r="430">
      <c r="A430" t="inlineStr">
        <is>
          <t>Nuv Gastrobar</t>
        </is>
      </c>
      <c r="B430" t="n">
        <v>30462</v>
      </c>
      <c r="C430" t="inlineStr">
        <is>
          <t>PROCESSADOR DE ALIMENTOS C/ 7 DISCOS 0,5CV BIVOLT SKYSEN UN</t>
        </is>
      </c>
      <c r="D430" t="inlineStr">
        <is>
          <t>08/2026</t>
        </is>
      </c>
      <c r="E430" t="n">
        <v>1</v>
      </c>
      <c r="F430" t="n">
        <v>5190.51</v>
      </c>
      <c r="G430" t="n">
        <v>5190.51</v>
      </c>
    </row>
    <row r="431">
      <c r="A431" t="inlineStr">
        <is>
          <t>Nuv Gastrobar</t>
        </is>
      </c>
      <c r="B431" t="n">
        <v>25312</v>
      </c>
      <c r="C431" t="inlineStr">
        <is>
          <t xml:space="preserve">QUEIJO  REQUEIJAO TIROLEZ C/1,5KG </t>
        </is>
      </c>
      <c r="D431" t="inlineStr">
        <is>
          <t>08/2026</t>
        </is>
      </c>
      <c r="E431" t="n">
        <v>9</v>
      </c>
      <c r="F431" t="n">
        <v>404.91</v>
      </c>
      <c r="G431" t="n">
        <v>44.99</v>
      </c>
    </row>
    <row r="432">
      <c r="A432" t="inlineStr">
        <is>
          <t>Nuv Gastrobar</t>
        </is>
      </c>
      <c r="B432" t="n">
        <v>30364</v>
      </c>
      <c r="C432" t="inlineStr">
        <is>
          <t>QUEIJO AMERICAN CHEESE SCAR INTERFOLHADO 30G (CX PADRAO 12,1KG) KG</t>
        </is>
      </c>
      <c r="D432" t="inlineStr">
        <is>
          <t>08/2026</t>
        </is>
      </c>
      <c r="E432" t="n">
        <v>12.1</v>
      </c>
      <c r="F432" t="n">
        <v>515.9400000000001</v>
      </c>
      <c r="G432" t="n">
        <v>42.64</v>
      </c>
    </row>
    <row r="433">
      <c r="A433" t="inlineStr">
        <is>
          <t>Nuv Gastrobar</t>
        </is>
      </c>
      <c r="B433" t="n">
        <v>19374</v>
      </c>
      <c r="C433" t="inlineStr">
        <is>
          <t>QUEIJO BRIE FORMA QUATA C/1KG UN</t>
        </is>
      </c>
      <c r="D433" t="inlineStr">
        <is>
          <t>08/2026</t>
        </is>
      </c>
      <c r="E433" t="n">
        <v>8.74</v>
      </c>
      <c r="F433" t="n">
        <v>610.9299999999999</v>
      </c>
      <c r="G433" t="n">
        <v>69.90000000000001</v>
      </c>
    </row>
    <row r="434">
      <c r="A434" t="inlineStr">
        <is>
          <t>Nuv Gastrobar</t>
        </is>
      </c>
      <c r="B434" t="n">
        <v>25867</v>
      </c>
      <c r="C434" t="inlineStr">
        <is>
          <t>QUEIJO CANASTRA ORIGINAL KG</t>
        </is>
      </c>
      <c r="D434" t="inlineStr">
        <is>
          <t>08/2026</t>
        </is>
      </c>
      <c r="E434" t="n">
        <v>5.8</v>
      </c>
      <c r="F434" t="n">
        <v>336.4</v>
      </c>
      <c r="G434" t="n">
        <v>58</v>
      </c>
    </row>
    <row r="435">
      <c r="A435" t="inlineStr">
        <is>
          <t>Nuv Gastrobar</t>
        </is>
      </c>
      <c r="B435" t="n">
        <v>19356</v>
      </c>
      <c r="C435" t="inlineStr">
        <is>
          <t>QUEIJO COALHO QUATA KG</t>
        </is>
      </c>
      <c r="D435" t="inlineStr">
        <is>
          <t>08/2026</t>
        </is>
      </c>
      <c r="E435" t="n">
        <v>36.27</v>
      </c>
      <c r="F435" t="n">
        <v>2074.83</v>
      </c>
      <c r="G435" t="n">
        <v>57.21</v>
      </c>
    </row>
    <row r="436">
      <c r="A436" t="inlineStr">
        <is>
          <t>Nuv Gastrobar</t>
        </is>
      </c>
      <c r="B436" t="n">
        <v>23074</v>
      </c>
      <c r="C436" t="inlineStr">
        <is>
          <t>QUEIJO EMMENTAL KG</t>
        </is>
      </c>
      <c r="D436" t="inlineStr">
        <is>
          <t>08/2026</t>
        </is>
      </c>
      <c r="E436" t="n">
        <v>26.64</v>
      </c>
      <c r="F436" t="n">
        <v>1966.04</v>
      </c>
      <c r="G436" t="n">
        <v>73.8</v>
      </c>
    </row>
    <row r="437">
      <c r="A437" t="inlineStr">
        <is>
          <t>Nuv Gastrobar</t>
        </is>
      </c>
      <c r="B437" t="n">
        <v>19346</v>
      </c>
      <c r="C437" t="inlineStr">
        <is>
          <t>QUEIJO GORGONZOLA QUATA KG</t>
        </is>
      </c>
      <c r="D437" t="inlineStr">
        <is>
          <t>08/2026</t>
        </is>
      </c>
      <c r="E437" t="n">
        <v>9</v>
      </c>
      <c r="F437" t="n">
        <v>522</v>
      </c>
      <c r="G437" t="n">
        <v>58</v>
      </c>
    </row>
    <row r="438">
      <c r="A438" t="inlineStr">
        <is>
          <t>Nuv Gastrobar</t>
        </is>
      </c>
      <c r="B438" t="n">
        <v>24438</v>
      </c>
      <c r="C438" t="inlineStr">
        <is>
          <t>QUEIJO GOUDA KG</t>
        </is>
      </c>
      <c r="D438" t="inlineStr">
        <is>
          <t>08/2026</t>
        </is>
      </c>
      <c r="E438" t="n">
        <v>17.86</v>
      </c>
      <c r="F438" t="n">
        <v>1287.54</v>
      </c>
      <c r="G438" t="n">
        <v>72.09</v>
      </c>
    </row>
    <row r="439">
      <c r="A439" t="inlineStr">
        <is>
          <t>Nuv Gastrobar</t>
        </is>
      </c>
      <c r="B439" t="n">
        <v>30346</v>
      </c>
      <c r="C439" t="inlineStr">
        <is>
          <t>QUEIJO MANTIQUEIRA (MEIA CURA ATALAIA) FRACIONADO DE 300GR</t>
        </is>
      </c>
      <c r="D439" t="inlineStr">
        <is>
          <t>08/2026</t>
        </is>
      </c>
      <c r="E439" t="n">
        <v>11</v>
      </c>
      <c r="F439" t="n">
        <v>335.83</v>
      </c>
      <c r="G439" t="n">
        <v>30.53</v>
      </c>
    </row>
    <row r="440">
      <c r="A440" t="inlineStr">
        <is>
          <t>Nuv Gastrobar</t>
        </is>
      </c>
      <c r="B440" t="n">
        <v>19187</v>
      </c>
      <c r="C440" t="inlineStr">
        <is>
          <t>QUEIJO MEIA CURA C/500G KG</t>
        </is>
      </c>
      <c r="D440" t="inlineStr">
        <is>
          <t>08/2026</t>
        </is>
      </c>
      <c r="E440" t="n">
        <v>6</v>
      </c>
      <c r="F440" t="n">
        <v>440.46</v>
      </c>
      <c r="G440" t="n">
        <v>73.41</v>
      </c>
    </row>
    <row r="441">
      <c r="A441" t="inlineStr">
        <is>
          <t>Nuv Gastrobar</t>
        </is>
      </c>
      <c r="B441" t="n">
        <v>19306</v>
      </c>
      <c r="C441" t="inlineStr">
        <is>
          <t>QUEIJO MUSSARELA FIOR CEREJA YEMA 330G</t>
        </is>
      </c>
      <c r="D441" t="inlineStr">
        <is>
          <t>08/2026</t>
        </is>
      </c>
      <c r="E441" t="n">
        <v>25</v>
      </c>
      <c r="F441" t="n">
        <v>442.5</v>
      </c>
      <c r="G441" t="n">
        <v>17.7</v>
      </c>
    </row>
    <row r="442">
      <c r="A442" t="inlineStr">
        <is>
          <t>Nuv Gastrobar</t>
        </is>
      </c>
      <c r="B442" t="n">
        <v>19324</v>
      </c>
      <c r="C442" t="inlineStr">
        <is>
          <t>QUEIJO MUSSARELA TRES MARIAS KG</t>
        </is>
      </c>
      <c r="D442" t="inlineStr">
        <is>
          <t>08/2026</t>
        </is>
      </c>
      <c r="E442" t="n">
        <v>32.06</v>
      </c>
      <c r="F442" t="n">
        <v>1391.41</v>
      </c>
      <c r="G442" t="n">
        <v>43.4</v>
      </c>
    </row>
    <row r="443">
      <c r="A443" t="inlineStr">
        <is>
          <t>Nuv Gastrobar</t>
        </is>
      </c>
      <c r="B443" t="n">
        <v>19291</v>
      </c>
      <c r="C443" t="inlineStr">
        <is>
          <t>QUEIJO PARMESAO CAPA PRETA KG</t>
        </is>
      </c>
      <c r="D443" t="inlineStr">
        <is>
          <t>08/2026</t>
        </is>
      </c>
      <c r="E443" t="n">
        <v>42.8</v>
      </c>
      <c r="F443" t="n">
        <v>2779.1</v>
      </c>
      <c r="G443" t="n">
        <v>64.93000000000001</v>
      </c>
    </row>
    <row r="444">
      <c r="A444" t="inlineStr">
        <is>
          <t>Nuv Gastrobar</t>
        </is>
      </c>
      <c r="B444" t="n">
        <v>19286</v>
      </c>
      <c r="C444" t="inlineStr">
        <is>
          <t>QUEIJO PRATO TIROLEZ KG</t>
        </is>
      </c>
      <c r="D444" t="inlineStr">
        <is>
          <t>08/2026</t>
        </is>
      </c>
      <c r="E444" t="n">
        <v>4</v>
      </c>
      <c r="F444" t="n">
        <v>150</v>
      </c>
      <c r="G444" t="n">
        <v>37.5</v>
      </c>
    </row>
    <row r="445">
      <c r="A445" t="inlineStr">
        <is>
          <t>Nuv Gastrobar</t>
        </is>
      </c>
      <c r="B445" t="n">
        <v>19188</v>
      </c>
      <c r="C445" t="inlineStr">
        <is>
          <t>QUEIJO RICOTA KG</t>
        </is>
      </c>
      <c r="D445" t="inlineStr">
        <is>
          <t>08/2026</t>
        </is>
      </c>
      <c r="E445" t="n">
        <v>2.02</v>
      </c>
      <c r="F445" t="n">
        <v>28.64</v>
      </c>
      <c r="G445" t="n">
        <v>14.18</v>
      </c>
    </row>
    <row r="446">
      <c r="A446" t="inlineStr">
        <is>
          <t>Nuv Gastrobar</t>
        </is>
      </c>
      <c r="B446" t="n">
        <v>19558</v>
      </c>
      <c r="C446" t="inlineStr">
        <is>
          <t>QUIABO KG</t>
        </is>
      </c>
      <c r="D446" t="inlineStr">
        <is>
          <t>08/2026</t>
        </is>
      </c>
      <c r="E446" t="n">
        <v>7.75</v>
      </c>
      <c r="F446" t="n">
        <v>111.45</v>
      </c>
      <c r="G446" t="n">
        <v>14.38</v>
      </c>
    </row>
    <row r="447">
      <c r="A447" t="inlineStr">
        <is>
          <t>Nuv Gastrobar</t>
        </is>
      </c>
      <c r="B447" t="n">
        <v>19555</v>
      </c>
      <c r="C447" t="inlineStr">
        <is>
          <t>RADICHIO KG</t>
        </is>
      </c>
      <c r="D447" t="inlineStr">
        <is>
          <t>08/2026</t>
        </is>
      </c>
      <c r="E447" t="n">
        <v>3</v>
      </c>
      <c r="F447" t="n">
        <v>63</v>
      </c>
      <c r="G447" t="n">
        <v>21</v>
      </c>
    </row>
    <row r="448">
      <c r="A448" t="inlineStr">
        <is>
          <t>Nuv Gastrobar</t>
        </is>
      </c>
      <c r="B448" t="n">
        <v>30438</v>
      </c>
      <c r="C448" t="inlineStr">
        <is>
          <t>RALADOR TRAMONTINAUTILITA EM AÇO INOX COM CABO DE POLIPROPILENO E BASE EMBORRACHADA ANTIDESLIZANTE PRETO UN</t>
        </is>
      </c>
      <c r="D448" t="inlineStr">
        <is>
          <t>08/2026</t>
        </is>
      </c>
      <c r="E448" t="n">
        <v>2</v>
      </c>
      <c r="F448" t="n">
        <v>111.82</v>
      </c>
      <c r="G448" t="n">
        <v>55.91</v>
      </c>
    </row>
    <row r="449">
      <c r="A449" t="inlineStr">
        <is>
          <t>Nuv Gastrobar</t>
        </is>
      </c>
      <c r="B449" t="n">
        <v>24666</v>
      </c>
      <c r="C449" t="inlineStr">
        <is>
          <t>RAVIOLE DE RICOTA COM DAMASCO E NOZES KG</t>
        </is>
      </c>
      <c r="D449" t="inlineStr">
        <is>
          <t>08/2026</t>
        </is>
      </c>
      <c r="E449" t="n">
        <v>15</v>
      </c>
      <c r="F449" t="n">
        <v>761.25</v>
      </c>
      <c r="G449" t="n">
        <v>50.75</v>
      </c>
    </row>
    <row r="450">
      <c r="A450" t="inlineStr">
        <is>
          <t>Nuv Gastrobar</t>
        </is>
      </c>
      <c r="B450" t="n">
        <v>19553</v>
      </c>
      <c r="C450" t="inlineStr">
        <is>
          <t>REPOLHO BRANCO KG</t>
        </is>
      </c>
      <c r="D450" t="inlineStr">
        <is>
          <t>08/2026</t>
        </is>
      </c>
      <c r="E450" t="n">
        <v>2.5</v>
      </c>
      <c r="F450" t="n">
        <v>15.77</v>
      </c>
      <c r="G450" t="n">
        <v>6.31</v>
      </c>
    </row>
    <row r="451">
      <c r="A451" t="inlineStr">
        <is>
          <t>Nuv Gastrobar</t>
        </is>
      </c>
      <c r="B451" t="n">
        <v>19552</v>
      </c>
      <c r="C451" t="inlineStr">
        <is>
          <t>REPOLHO ROXO KG</t>
        </is>
      </c>
      <c r="D451" t="inlineStr">
        <is>
          <t>08/2026</t>
        </is>
      </c>
      <c r="E451" t="n">
        <v>4.5</v>
      </c>
      <c r="F451" t="n">
        <v>40.7</v>
      </c>
      <c r="G451" t="n">
        <v>9.039999999999999</v>
      </c>
    </row>
    <row r="452">
      <c r="A452" t="inlineStr">
        <is>
          <t>Nuv Gastrobar</t>
        </is>
      </c>
      <c r="B452" t="n">
        <v>19554</v>
      </c>
      <c r="C452" t="inlineStr">
        <is>
          <t>REPOLHO VERDE KG</t>
        </is>
      </c>
      <c r="D452" t="inlineStr">
        <is>
          <t>08/2026</t>
        </is>
      </c>
      <c r="E452" t="n">
        <v>3</v>
      </c>
      <c r="F452" t="n">
        <v>13.8</v>
      </c>
      <c r="G452" t="n">
        <v>4.6</v>
      </c>
    </row>
    <row r="453">
      <c r="A453" t="inlineStr">
        <is>
          <t>Nuv Gastrobar</t>
        </is>
      </c>
      <c r="B453" t="n">
        <v>17138</v>
      </c>
      <c r="C453" t="inlineStr">
        <is>
          <t>RODO DE PLASTICO COM CABO CONDOR 40CM UN</t>
        </is>
      </c>
      <c r="D453" t="inlineStr">
        <is>
          <t>08/2026</t>
        </is>
      </c>
      <c r="E453" t="n">
        <v>5</v>
      </c>
      <c r="F453" t="n">
        <v>178</v>
      </c>
      <c r="G453" t="n">
        <v>35.6</v>
      </c>
    </row>
    <row r="454">
      <c r="A454" t="inlineStr">
        <is>
          <t>Nuv Gastrobar</t>
        </is>
      </c>
      <c r="B454" t="n">
        <v>19453</v>
      </c>
      <c r="C454" t="inlineStr">
        <is>
          <t>RUCULA HIGIENIZADO KG</t>
        </is>
      </c>
      <c r="D454" t="inlineStr">
        <is>
          <t>08/2026</t>
        </is>
      </c>
      <c r="E454" t="n">
        <v>2</v>
      </c>
      <c r="F454" t="n">
        <v>101.8</v>
      </c>
      <c r="G454" t="n">
        <v>50.9</v>
      </c>
    </row>
    <row r="455">
      <c r="A455" t="inlineStr">
        <is>
          <t>Nuv Gastrobar</t>
        </is>
      </c>
      <c r="B455" t="n">
        <v>26445</v>
      </c>
      <c r="C455" t="inlineStr">
        <is>
          <t>RUCULA SELVAGEM HIGIENIZADA KG</t>
        </is>
      </c>
      <c r="D455" t="inlineStr">
        <is>
          <t>08/2026</t>
        </is>
      </c>
      <c r="E455" t="n">
        <v>3</v>
      </c>
      <c r="F455" t="n">
        <v>184.85</v>
      </c>
      <c r="G455" t="n">
        <v>61.62</v>
      </c>
    </row>
    <row r="456">
      <c r="A456" t="inlineStr">
        <is>
          <t>Nuv Gastrobar</t>
        </is>
      </c>
      <c r="B456" t="n">
        <v>25675</v>
      </c>
      <c r="C456" t="inlineStr">
        <is>
          <t>RUTINI TRUMPETER CABERNET FRANC 750ML GR</t>
        </is>
      </c>
      <c r="D456" t="inlineStr">
        <is>
          <t>08/2026</t>
        </is>
      </c>
      <c r="E456" t="n">
        <v>4</v>
      </c>
      <c r="F456" t="n">
        <v>321.2</v>
      </c>
      <c r="G456" t="n">
        <v>80.3</v>
      </c>
    </row>
    <row r="457">
      <c r="A457" t="inlineStr">
        <is>
          <t>Nuv Gastrobar</t>
        </is>
      </c>
      <c r="B457" t="n">
        <v>30303</v>
      </c>
      <c r="C457" t="inlineStr">
        <is>
          <t>SABONETE COZINHA SPRAY 6 UNIDADES C/600ML CX</t>
        </is>
      </c>
      <c r="D457" t="inlineStr">
        <is>
          <t>08/2026</t>
        </is>
      </c>
      <c r="E457" t="n">
        <v>5</v>
      </c>
      <c r="F457" t="n">
        <v>175.2</v>
      </c>
      <c r="G457" t="n">
        <v>35.04</v>
      </c>
    </row>
    <row r="458">
      <c r="A458" t="inlineStr">
        <is>
          <t>Nuv Gastrobar</t>
        </is>
      </c>
      <c r="B458" t="n">
        <v>17437</v>
      </c>
      <c r="C458" t="inlineStr">
        <is>
          <t>SACO ALVEJADO BRANCO 45X65 UN</t>
        </is>
      </c>
      <c r="D458" t="inlineStr">
        <is>
          <t>08/2026</t>
        </is>
      </c>
      <c r="E458" t="n">
        <v>30</v>
      </c>
      <c r="F458" t="n">
        <v>69</v>
      </c>
      <c r="G458" t="n">
        <v>2.3</v>
      </c>
    </row>
    <row r="459">
      <c r="A459" t="inlineStr">
        <is>
          <t>Nuv Gastrobar</t>
        </is>
      </c>
      <c r="B459" t="n">
        <v>17409</v>
      </c>
      <c r="C459" t="inlineStr">
        <is>
          <t>SACO CONFEITEIRO G HMVM 47X26CM C/50 UN</t>
        </is>
      </c>
      <c r="D459" t="inlineStr">
        <is>
          <t>08/2026</t>
        </is>
      </c>
      <c r="E459" t="n">
        <v>1</v>
      </c>
      <c r="F459" t="n">
        <v>45</v>
      </c>
      <c r="G459" t="n">
        <v>45</v>
      </c>
    </row>
    <row r="460">
      <c r="A460" t="inlineStr">
        <is>
          <t>Nuv Gastrobar</t>
        </is>
      </c>
      <c r="B460" t="n">
        <v>21432</v>
      </c>
      <c r="C460" t="inlineStr">
        <is>
          <t>SACO CRISTAL 20X30 (PACOTE C/5KG)</t>
        </is>
      </c>
      <c r="D460" t="inlineStr">
        <is>
          <t>08/2026</t>
        </is>
      </c>
      <c r="E460" t="n">
        <v>2</v>
      </c>
      <c r="F460" t="n">
        <v>325.8</v>
      </c>
      <c r="G460" t="n">
        <v>162.9</v>
      </c>
    </row>
    <row r="461">
      <c r="A461" t="inlineStr">
        <is>
          <t>Nuv Gastrobar</t>
        </is>
      </c>
      <c r="B461" t="n">
        <v>21433</v>
      </c>
      <c r="C461" t="inlineStr">
        <is>
          <t xml:space="preserve">SACO CRISTAL 30X40 0,20 (PACOTE C/5KG) </t>
        </is>
      </c>
      <c r="D461" t="inlineStr">
        <is>
          <t>08/2026</t>
        </is>
      </c>
      <c r="E461" t="n">
        <v>3</v>
      </c>
      <c r="F461" t="n">
        <v>488.7</v>
      </c>
      <c r="G461" t="n">
        <v>162.9</v>
      </c>
    </row>
    <row r="462">
      <c r="A462" t="inlineStr">
        <is>
          <t>Nuv Gastrobar</t>
        </is>
      </c>
      <c r="B462" t="n">
        <v>24586</v>
      </c>
      <c r="C462" t="inlineStr">
        <is>
          <t>SACO CRISTAL 40X60 0,20 C/5KG</t>
        </is>
      </c>
      <c r="D462" t="inlineStr">
        <is>
          <t>08/2026</t>
        </is>
      </c>
      <c r="E462" t="n">
        <v>1</v>
      </c>
      <c r="F462" t="n">
        <v>162.9</v>
      </c>
      <c r="G462" t="n">
        <v>162.9</v>
      </c>
    </row>
    <row r="463">
      <c r="A463" t="inlineStr">
        <is>
          <t>Nuv Gastrobar</t>
        </is>
      </c>
      <c r="B463" t="n">
        <v>29235</v>
      </c>
      <c r="C463" t="inlineStr">
        <is>
          <t>SACO CRISTAL 90X100 DE 10 MICRAS C/1KG UN</t>
        </is>
      </c>
      <c r="D463" t="inlineStr">
        <is>
          <t>08/2026</t>
        </is>
      </c>
      <c r="E463" t="n">
        <v>3</v>
      </c>
      <c r="F463" t="n">
        <v>115</v>
      </c>
      <c r="G463" t="n">
        <v>38.33</v>
      </c>
    </row>
    <row r="464">
      <c r="A464" t="inlineStr">
        <is>
          <t>Nuv Gastrobar</t>
        </is>
      </c>
      <c r="B464" t="n">
        <v>21423</v>
      </c>
      <c r="C464" t="inlineStr">
        <is>
          <t>SACO DE LIXO 100L BL PRETO GROSSO 95X120 4K UN</t>
        </is>
      </c>
      <c r="D464" t="inlineStr">
        <is>
          <t>08/2026</t>
        </is>
      </c>
      <c r="E464" t="n">
        <v>5</v>
      </c>
      <c r="F464" t="n">
        <v>165.5</v>
      </c>
      <c r="G464" t="n">
        <v>33.1</v>
      </c>
    </row>
    <row r="465">
      <c r="A465" t="inlineStr">
        <is>
          <t>Nuv Gastrobar</t>
        </is>
      </c>
      <c r="B465" t="n">
        <v>30339</v>
      </c>
      <c r="C465" t="inlineStr">
        <is>
          <t>SACO PARA LIXO AZUL 100L C/100UN</t>
        </is>
      </c>
      <c r="D465" t="inlineStr">
        <is>
          <t>08/2026</t>
        </is>
      </c>
      <c r="E465" t="n">
        <v>10</v>
      </c>
      <c r="F465" t="n">
        <v>561</v>
      </c>
      <c r="G465" t="n">
        <v>56.1</v>
      </c>
    </row>
    <row r="466">
      <c r="A466" t="inlineStr">
        <is>
          <t>Nuv Gastrobar</t>
        </is>
      </c>
      <c r="B466" t="n">
        <v>30345</v>
      </c>
      <c r="C466" t="inlineStr">
        <is>
          <t>SACO PARA LIXO AZUL 200L C/100UN</t>
        </is>
      </c>
      <c r="D466" t="inlineStr">
        <is>
          <t>08/2026</t>
        </is>
      </c>
      <c r="E466" t="n">
        <v>2</v>
      </c>
      <c r="F466" t="n">
        <v>159.94</v>
      </c>
      <c r="G466" t="n">
        <v>79.97</v>
      </c>
    </row>
    <row r="467">
      <c r="A467" t="inlineStr">
        <is>
          <t>Nuv Gastrobar</t>
        </is>
      </c>
      <c r="B467" t="n">
        <v>17405</v>
      </c>
      <c r="C467" t="inlineStr">
        <is>
          <t>SACO PLASTICO BOBINA PICOTADA ROLL 20X30 KG</t>
        </is>
      </c>
      <c r="D467" t="inlineStr">
        <is>
          <t>08/2026</t>
        </is>
      </c>
      <c r="E467" t="n">
        <v>3</v>
      </c>
      <c r="F467" t="n">
        <v>42.3</v>
      </c>
      <c r="G467" t="n">
        <v>14.1</v>
      </c>
    </row>
    <row r="468">
      <c r="A468" t="inlineStr">
        <is>
          <t>Nuv Gastrobar</t>
        </is>
      </c>
      <c r="B468" t="n">
        <v>17404</v>
      </c>
      <c r="C468" t="inlineStr">
        <is>
          <t>SACO PLASTICO BOBINA PICOTADA ROLL 30X40 KG</t>
        </is>
      </c>
      <c r="D468" t="inlineStr">
        <is>
          <t>08/2026</t>
        </is>
      </c>
      <c r="E468" t="n">
        <v>3</v>
      </c>
      <c r="F468" t="n">
        <v>81</v>
      </c>
      <c r="G468" t="n">
        <v>27</v>
      </c>
    </row>
    <row r="469">
      <c r="A469" t="inlineStr">
        <is>
          <t>Nuv Gastrobar</t>
        </is>
      </c>
      <c r="B469" t="n">
        <v>17383</v>
      </c>
      <c r="C469" t="inlineStr">
        <is>
          <t>SACO PLASTICO BOBINA PICOTADA ROLL 40X60 KG</t>
        </is>
      </c>
      <c r="D469" t="inlineStr">
        <is>
          <t>08/2026</t>
        </is>
      </c>
      <c r="E469" t="n">
        <v>2</v>
      </c>
      <c r="F469" t="n">
        <v>110</v>
      </c>
      <c r="G469" t="n">
        <v>55</v>
      </c>
    </row>
    <row r="470">
      <c r="A470" t="inlineStr">
        <is>
          <t>Nuv Gastrobar</t>
        </is>
      </c>
      <c r="B470" t="n">
        <v>30225</v>
      </c>
      <c r="C470" t="inlineStr">
        <is>
          <t>SACOLA NUV KRAFT GRANDE (31X33X19CM) UN</t>
        </is>
      </c>
      <c r="D470" t="inlineStr">
        <is>
          <t>08/2026</t>
        </is>
      </c>
      <c r="E470" t="n">
        <v>1500</v>
      </c>
      <c r="F470" t="n">
        <v>1680</v>
      </c>
      <c r="G470" t="n">
        <v>1.12</v>
      </c>
    </row>
    <row r="471">
      <c r="A471" t="inlineStr">
        <is>
          <t>Nuv Gastrobar</t>
        </is>
      </c>
      <c r="B471" t="n">
        <v>30226</v>
      </c>
      <c r="C471" t="inlineStr">
        <is>
          <t>SACOLA NUV KRAFT MEDIO (22X38X13,5) UN</t>
        </is>
      </c>
      <c r="D471" t="inlineStr">
        <is>
          <t>08/2026</t>
        </is>
      </c>
      <c r="E471" t="n">
        <v>1500</v>
      </c>
      <c r="F471" t="n">
        <v>1470</v>
      </c>
      <c r="G471" t="n">
        <v>0.98</v>
      </c>
    </row>
    <row r="472">
      <c r="A472" t="inlineStr">
        <is>
          <t>Nuv Gastrobar</t>
        </is>
      </c>
      <c r="B472" t="n">
        <v>19906</v>
      </c>
      <c r="C472" t="inlineStr">
        <is>
          <t>SAL REFINADO CISNE 10X1KG</t>
        </is>
      </c>
      <c r="D472" t="inlineStr">
        <is>
          <t>08/2026</t>
        </is>
      </c>
      <c r="E472" t="n">
        <v>1</v>
      </c>
      <c r="F472" t="n">
        <v>33.8</v>
      </c>
      <c r="G472" t="n">
        <v>33.8</v>
      </c>
    </row>
    <row r="473">
      <c r="A473" t="inlineStr">
        <is>
          <t>Nuv Gastrobar</t>
        </is>
      </c>
      <c r="B473" t="n">
        <v>19911</v>
      </c>
      <c r="C473" t="inlineStr">
        <is>
          <t>SAL REFINADO LEBRE C/1KG</t>
        </is>
      </c>
      <c r="D473" t="inlineStr">
        <is>
          <t>08/2026</t>
        </is>
      </c>
      <c r="E473" t="n">
        <v>30</v>
      </c>
      <c r="F473" t="n">
        <v>91.7</v>
      </c>
      <c r="G473" t="n">
        <v>3.06</v>
      </c>
    </row>
    <row r="474">
      <c r="A474" t="inlineStr">
        <is>
          <t>Nuv Gastrobar</t>
        </is>
      </c>
      <c r="B474" t="n">
        <v>19902</v>
      </c>
      <c r="C474" t="inlineStr">
        <is>
          <t>SAL SACHE CISNE 1000X0,001G</t>
        </is>
      </c>
      <c r="D474" t="inlineStr">
        <is>
          <t>08/2026</t>
        </is>
      </c>
      <c r="E474" t="n">
        <v>5</v>
      </c>
      <c r="F474" t="n">
        <v>123.5</v>
      </c>
      <c r="G474" t="n">
        <v>24.7</v>
      </c>
    </row>
    <row r="475">
      <c r="A475" t="inlineStr">
        <is>
          <t>Nuv Gastrobar</t>
        </is>
      </c>
      <c r="B475" t="n">
        <v>23113</v>
      </c>
      <c r="C475" t="inlineStr">
        <is>
          <t>SALSA KG</t>
        </is>
      </c>
      <c r="D475" t="inlineStr">
        <is>
          <t>08/2026</t>
        </is>
      </c>
      <c r="E475" t="n">
        <v>5</v>
      </c>
      <c r="F475" t="n">
        <v>34.9</v>
      </c>
      <c r="G475" t="n">
        <v>6.98</v>
      </c>
    </row>
    <row r="476">
      <c r="A476" t="inlineStr">
        <is>
          <t>Nuv Gastrobar</t>
        </is>
      </c>
      <c r="B476" t="n">
        <v>19465</v>
      </c>
      <c r="C476" t="inlineStr">
        <is>
          <t>SALSAO KG</t>
        </is>
      </c>
      <c r="D476" t="inlineStr">
        <is>
          <t>08/2026</t>
        </is>
      </c>
      <c r="E476" t="n">
        <v>11</v>
      </c>
      <c r="F476" t="n">
        <v>73</v>
      </c>
      <c r="G476" t="n">
        <v>6.64</v>
      </c>
    </row>
    <row r="477">
      <c r="A477" t="inlineStr">
        <is>
          <t>Nuv Gastrobar</t>
        </is>
      </c>
      <c r="B477" t="n">
        <v>23718</v>
      </c>
      <c r="C477" t="inlineStr">
        <is>
          <t>SALSICHA TIPO FRANKFURT KG</t>
        </is>
      </c>
      <c r="D477" t="inlineStr">
        <is>
          <t>08/2026</t>
        </is>
      </c>
      <c r="E477" t="n">
        <v>3.96</v>
      </c>
      <c r="F477" t="n">
        <v>177.01</v>
      </c>
      <c r="G477" t="n">
        <v>44.7</v>
      </c>
    </row>
    <row r="478">
      <c r="A478" t="inlineStr">
        <is>
          <t>Nuv Gastrobar</t>
        </is>
      </c>
      <c r="B478" t="n">
        <v>17907</v>
      </c>
      <c r="C478" t="inlineStr">
        <is>
          <t>SCHWEPPES CITRUS LATA 350ML C/6</t>
        </is>
      </c>
      <c r="D478" t="inlineStr">
        <is>
          <t>08/2026</t>
        </is>
      </c>
      <c r="E478" t="n">
        <v>30</v>
      </c>
      <c r="F478" t="n">
        <v>904.5</v>
      </c>
      <c r="G478" t="n">
        <v>30.15</v>
      </c>
    </row>
    <row r="479">
      <c r="A479" t="inlineStr">
        <is>
          <t>Nuv Gastrobar</t>
        </is>
      </c>
      <c r="B479" t="n">
        <v>17988</v>
      </c>
      <c r="C479" t="inlineStr">
        <is>
          <t>SCHWEPPES TONICA LATA 350ML C/6 PC</t>
        </is>
      </c>
      <c r="D479" t="inlineStr">
        <is>
          <t>08/2026</t>
        </is>
      </c>
      <c r="E479" t="n">
        <v>50</v>
      </c>
      <c r="F479" t="n">
        <v>1141</v>
      </c>
      <c r="G479" t="n">
        <v>22.82</v>
      </c>
    </row>
    <row r="480">
      <c r="A480" t="inlineStr">
        <is>
          <t>Nuv Gastrobar</t>
        </is>
      </c>
      <c r="B480" t="n">
        <v>17987</v>
      </c>
      <c r="C480" t="inlineStr">
        <is>
          <t>SCHWEPPES TONICA SEM ACUCARES LATA 350ML C/6</t>
        </is>
      </c>
      <c r="D480" t="inlineStr">
        <is>
          <t>08/2026</t>
        </is>
      </c>
      <c r="E480" t="n">
        <v>30</v>
      </c>
      <c r="F480" t="n">
        <v>684.6</v>
      </c>
      <c r="G480" t="n">
        <v>22.82</v>
      </c>
    </row>
    <row r="481">
      <c r="A481" t="inlineStr">
        <is>
          <t>Nuv Gastrobar</t>
        </is>
      </c>
      <c r="B481" t="n">
        <v>30312</v>
      </c>
      <c r="C481" t="inlineStr">
        <is>
          <t>SECANTE MAQUINA DE LAVAR LOUÇA 5L</t>
        </is>
      </c>
      <c r="D481" t="inlineStr">
        <is>
          <t>08/2026</t>
        </is>
      </c>
      <c r="E481" t="n">
        <v>2</v>
      </c>
      <c r="F481" t="n">
        <v>236.38</v>
      </c>
      <c r="G481" t="n">
        <v>118.19</v>
      </c>
    </row>
    <row r="482">
      <c r="A482" t="inlineStr">
        <is>
          <t>Nuv Gastrobar</t>
        </is>
      </c>
      <c r="B482" t="n">
        <v>30458</v>
      </c>
      <c r="C482" t="inlineStr">
        <is>
          <t>SELADORA A VACUO CAMARA AI304 220V 595 X 527 X 455MM UN</t>
        </is>
      </c>
      <c r="D482" t="inlineStr">
        <is>
          <t>08/2026</t>
        </is>
      </c>
      <c r="E482" t="n">
        <v>1</v>
      </c>
      <c r="F482" t="n">
        <v>15497.92</v>
      </c>
      <c r="G482" t="n">
        <v>15497.92</v>
      </c>
    </row>
    <row r="483">
      <c r="A483" t="inlineStr">
        <is>
          <t>Nuv Gastrobar</t>
        </is>
      </c>
      <c r="B483" t="n">
        <v>20174</v>
      </c>
      <c r="C483" t="inlineStr">
        <is>
          <t>SEMENTE DE GIRASSOL SEM CASCA KG</t>
        </is>
      </c>
      <c r="D483" t="inlineStr">
        <is>
          <t>08/2026</t>
        </is>
      </c>
      <c r="E483" t="n">
        <v>2</v>
      </c>
      <c r="F483" t="n">
        <v>35.1</v>
      </c>
      <c r="G483" t="n">
        <v>17.55</v>
      </c>
    </row>
    <row r="484">
      <c r="A484" t="inlineStr">
        <is>
          <t>Nuv Gastrobar</t>
        </is>
      </c>
      <c r="B484" t="n">
        <v>20186</v>
      </c>
      <c r="C484" t="inlineStr">
        <is>
          <t>SEMENTE DE MOSTARDA KG</t>
        </is>
      </c>
      <c r="D484" t="inlineStr">
        <is>
          <t>08/2026</t>
        </is>
      </c>
      <c r="E484" t="n">
        <v>1</v>
      </c>
      <c r="F484" t="n">
        <v>17.4</v>
      </c>
      <c r="G484" t="n">
        <v>17.4</v>
      </c>
    </row>
    <row r="485">
      <c r="A485" t="inlineStr">
        <is>
          <t>Nuv Gastrobar</t>
        </is>
      </c>
      <c r="B485" t="n">
        <v>30363</v>
      </c>
      <c r="C485" t="inlineStr">
        <is>
          <t>SEMENTE DE URUCUM KG</t>
        </is>
      </c>
      <c r="D485" t="inlineStr">
        <is>
          <t>08/2026</t>
        </is>
      </c>
      <c r="E485" t="n">
        <v>0.5</v>
      </c>
      <c r="F485" t="n">
        <v>35</v>
      </c>
      <c r="G485" t="n">
        <v>70</v>
      </c>
    </row>
    <row r="486">
      <c r="A486" t="inlineStr">
        <is>
          <t>Nuv Gastrobar</t>
        </is>
      </c>
      <c r="B486" t="n">
        <v>27518</v>
      </c>
      <c r="C486" t="inlineStr">
        <is>
          <t xml:space="preserve">SHISSO C/10 UN </t>
        </is>
      </c>
      <c r="D486" t="inlineStr">
        <is>
          <t>08/2026</t>
        </is>
      </c>
      <c r="E486" t="n">
        <v>4</v>
      </c>
      <c r="F486" t="n">
        <v>40.31</v>
      </c>
      <c r="G486" t="n">
        <v>10.08</v>
      </c>
    </row>
    <row r="487">
      <c r="A487" t="inlineStr">
        <is>
          <t>Nuv Gastrobar</t>
        </is>
      </c>
      <c r="B487" t="n">
        <v>30380</v>
      </c>
      <c r="C487" t="inlineStr">
        <is>
          <t>SORBET DE CHOCOLATE ARTE GELATI 4,30KG UM</t>
        </is>
      </c>
      <c r="D487" t="inlineStr">
        <is>
          <t>08/2026</t>
        </is>
      </c>
      <c r="E487" t="n">
        <v>2</v>
      </c>
      <c r="F487" t="n">
        <v>774</v>
      </c>
      <c r="G487" t="n">
        <v>387</v>
      </c>
    </row>
    <row r="488">
      <c r="A488" t="inlineStr">
        <is>
          <t>Nuv Gastrobar</t>
        </is>
      </c>
      <c r="B488" t="n">
        <v>21158</v>
      </c>
      <c r="C488" t="inlineStr">
        <is>
          <t>SORVETE DE CREMA VANIGLIA ARTE GELATI 3,5KG</t>
        </is>
      </c>
      <c r="D488" t="inlineStr">
        <is>
          <t>08/2026</t>
        </is>
      </c>
      <c r="E488" t="n">
        <v>2</v>
      </c>
      <c r="F488" t="n">
        <v>334.4</v>
      </c>
      <c r="G488" t="n">
        <v>167.2</v>
      </c>
    </row>
    <row r="489">
      <c r="A489" t="inlineStr">
        <is>
          <t>Nuv Gastrobar</t>
        </is>
      </c>
      <c r="B489" t="n">
        <v>29194</v>
      </c>
      <c r="C489" t="inlineStr">
        <is>
          <t>SUCO CRANBERRY SEM ACUCAR YAI 1L</t>
        </is>
      </c>
      <c r="D489" t="inlineStr">
        <is>
          <t>08/2026</t>
        </is>
      </c>
      <c r="E489" t="n">
        <v>24</v>
      </c>
      <c r="F489" t="n">
        <v>236.16</v>
      </c>
      <c r="G489" t="n">
        <v>9.84</v>
      </c>
    </row>
    <row r="490">
      <c r="A490" t="inlineStr">
        <is>
          <t>Nuv Gastrobar</t>
        </is>
      </c>
      <c r="B490" t="n">
        <v>29380</v>
      </c>
      <c r="C490" t="inlineStr">
        <is>
          <t>SUPORTE PARA 2 COPOS PACOTE C/500 UN</t>
        </is>
      </c>
      <c r="D490" t="inlineStr">
        <is>
          <t>08/2026</t>
        </is>
      </c>
      <c r="E490" t="n">
        <v>2</v>
      </c>
      <c r="F490" t="n">
        <v>699.78</v>
      </c>
      <c r="G490" t="n">
        <v>349.89</v>
      </c>
    </row>
    <row r="491">
      <c r="A491" t="inlineStr">
        <is>
          <t>Nuv Gastrobar</t>
        </is>
      </c>
      <c r="B491" t="n">
        <v>26282</v>
      </c>
      <c r="C491" t="inlineStr">
        <is>
          <t>TACA AGUA BARONE 490ML UN</t>
        </is>
      </c>
      <c r="D491" t="inlineStr">
        <is>
          <t>08/2026</t>
        </is>
      </c>
      <c r="E491" t="n">
        <v>4</v>
      </c>
      <c r="F491" t="n">
        <v>431.52</v>
      </c>
      <c r="G491" t="n">
        <v>107.88</v>
      </c>
    </row>
    <row r="492">
      <c r="A492" t="inlineStr">
        <is>
          <t>Nuv Gastrobar</t>
        </is>
      </c>
      <c r="B492" t="n">
        <v>30238</v>
      </c>
      <c r="C492" t="inlineStr">
        <is>
          <t>TAÇA IRISH COFFEE VIDRO 130ML 8,5X6CM H12CM NEVADAMIX UN</t>
        </is>
      </c>
      <c r="D492" t="inlineStr">
        <is>
          <t>08/2026</t>
        </is>
      </c>
      <c r="E492" t="n">
        <v>24</v>
      </c>
      <c r="F492" t="n">
        <v>357.6</v>
      </c>
      <c r="G492" t="n">
        <v>14.9</v>
      </c>
    </row>
    <row r="493">
      <c r="A493" t="inlineStr">
        <is>
          <t>Nuv Gastrobar</t>
        </is>
      </c>
      <c r="B493" t="n">
        <v>30239</v>
      </c>
      <c r="C493" t="inlineStr">
        <is>
          <t>TAÇA MARTINI CRYSTAL GLASS 230ML Ø10,5CM H17,5CM BERLINMIX</t>
        </is>
      </c>
      <c r="D493" t="inlineStr">
        <is>
          <t>08/2026</t>
        </is>
      </c>
      <c r="E493" t="n">
        <v>48</v>
      </c>
      <c r="F493" t="n">
        <v>2114.88</v>
      </c>
      <c r="G493" t="n">
        <v>44.06</v>
      </c>
    </row>
    <row r="494">
      <c r="A494" t="inlineStr">
        <is>
          <t>Nuv Gastrobar</t>
        </is>
      </c>
      <c r="B494" t="n">
        <v>30480</v>
      </c>
      <c r="C494" t="inlineStr">
        <is>
          <t>TAMPA BRANCA PARA CAIXA POLIPROPILENO 62 X 39CM BOLIVAR UN</t>
        </is>
      </c>
      <c r="D494" t="inlineStr">
        <is>
          <t>08/2026</t>
        </is>
      </c>
      <c r="E494" t="n">
        <v>1</v>
      </c>
      <c r="F494" t="n">
        <v>28.48</v>
      </c>
      <c r="G494" t="n">
        <v>28.48</v>
      </c>
    </row>
    <row r="495">
      <c r="A495" t="inlineStr">
        <is>
          <t>Nuv Gastrobar</t>
        </is>
      </c>
      <c r="B495" t="n">
        <v>29105</v>
      </c>
      <c r="C495" t="inlineStr">
        <is>
          <t>TAMPA COMFORT PRETA LIQUIDO QUENTE 73MM C/1000</t>
        </is>
      </c>
      <c r="D495" t="inlineStr">
        <is>
          <t>08/2026</t>
        </is>
      </c>
      <c r="E495" t="n">
        <v>2</v>
      </c>
      <c r="F495" t="n">
        <v>302.86</v>
      </c>
      <c r="G495" t="n">
        <v>151.43</v>
      </c>
    </row>
    <row r="496">
      <c r="A496" t="inlineStr">
        <is>
          <t>Nuv Gastrobar</t>
        </is>
      </c>
      <c r="B496" t="n">
        <v>30232</v>
      </c>
      <c r="C496" t="inlineStr">
        <is>
          <t>TAMPA COMFORT PRETA LIQUIDO QUENTE 80MM C/1000UN</t>
        </is>
      </c>
      <c r="D496" t="inlineStr">
        <is>
          <t>08/2026</t>
        </is>
      </c>
      <c r="E496" t="n">
        <v>2</v>
      </c>
      <c r="F496" t="n">
        <v>360</v>
      </c>
      <c r="G496" t="n">
        <v>180</v>
      </c>
    </row>
    <row r="497">
      <c r="A497" t="inlineStr">
        <is>
          <t>Nuv Gastrobar</t>
        </is>
      </c>
      <c r="B497" t="n">
        <v>29898</v>
      </c>
      <c r="C497" t="inlineStr">
        <is>
          <t>TAMPA PARA POTE PAPEL KRAFT PARA MOLHO 30ML CX/2000UN</t>
        </is>
      </c>
      <c r="D497" t="inlineStr">
        <is>
          <t>08/2026</t>
        </is>
      </c>
      <c r="E497" t="n">
        <v>1</v>
      </c>
      <c r="F497" t="n">
        <v>140.95</v>
      </c>
      <c r="G497" t="n">
        <v>140.95</v>
      </c>
    </row>
    <row r="498">
      <c r="A498" t="inlineStr">
        <is>
          <t>Nuv Gastrobar</t>
        </is>
      </c>
      <c r="B498" t="n">
        <v>28935</v>
      </c>
      <c r="C498" t="inlineStr">
        <is>
          <t>TAMPA PET CRISTAL BOLHA FNS C/1000 UN</t>
        </is>
      </c>
      <c r="D498" t="inlineStr">
        <is>
          <t>08/2026</t>
        </is>
      </c>
      <c r="E498" t="n">
        <v>2</v>
      </c>
      <c r="F498" t="n">
        <v>312.38</v>
      </c>
      <c r="G498" t="n">
        <v>156.19</v>
      </c>
    </row>
    <row r="499">
      <c r="A499" t="inlineStr">
        <is>
          <t>Nuv Gastrobar</t>
        </is>
      </c>
      <c r="B499" t="n">
        <v>30233</v>
      </c>
      <c r="C499" t="inlineStr">
        <is>
          <t>TAMPA PET CRISTAL PLANA COM FURO 92MM FNS C/1000 UN</t>
        </is>
      </c>
      <c r="D499" t="inlineStr">
        <is>
          <t>08/2026</t>
        </is>
      </c>
      <c r="E499" t="n">
        <v>2</v>
      </c>
      <c r="F499" t="n">
        <v>291.24</v>
      </c>
      <c r="G499" t="n">
        <v>145.62</v>
      </c>
    </row>
    <row r="500">
      <c r="A500" t="inlineStr">
        <is>
          <t>Nuv Gastrobar</t>
        </is>
      </c>
      <c r="B500" t="n">
        <v>30491</v>
      </c>
      <c r="C500" t="inlineStr">
        <is>
          <t>TAPETE DE SILICONE COM FIBRA DE VIDRO CULINARIO 42X30CM UN</t>
        </is>
      </c>
      <c r="D500" t="inlineStr">
        <is>
          <t>08/2026</t>
        </is>
      </c>
      <c r="E500" t="n">
        <v>10</v>
      </c>
      <c r="F500" t="n">
        <v>367</v>
      </c>
      <c r="G500" t="n">
        <v>36.7</v>
      </c>
    </row>
    <row r="501">
      <c r="A501" t="inlineStr">
        <is>
          <t>Nuv Gastrobar</t>
        </is>
      </c>
      <c r="B501" t="n">
        <v>19549</v>
      </c>
      <c r="C501" t="inlineStr">
        <is>
          <t>TOMATE CARMEM GRAUDO KG</t>
        </is>
      </c>
      <c r="D501" t="inlineStr">
        <is>
          <t>08/2026</t>
        </is>
      </c>
      <c r="E501" t="n">
        <v>12.45</v>
      </c>
      <c r="F501" t="n">
        <v>84.53</v>
      </c>
      <c r="G501" t="n">
        <v>6.79</v>
      </c>
    </row>
    <row r="502">
      <c r="A502" t="inlineStr">
        <is>
          <t>Nuv Gastrobar</t>
        </is>
      </c>
      <c r="B502" t="n">
        <v>19547</v>
      </c>
      <c r="C502" t="inlineStr">
        <is>
          <t>TOMATE CARMEN KG</t>
        </is>
      </c>
      <c r="D502" t="inlineStr">
        <is>
          <t>08/2026</t>
        </is>
      </c>
      <c r="E502" t="n">
        <v>9</v>
      </c>
      <c r="F502" t="n">
        <v>74.03</v>
      </c>
      <c r="G502" t="n">
        <v>8.23</v>
      </c>
    </row>
    <row r="503">
      <c r="A503" t="inlineStr">
        <is>
          <t>Nuv Gastrobar</t>
        </is>
      </c>
      <c r="B503" t="n">
        <v>20597</v>
      </c>
      <c r="C503" t="inlineStr">
        <is>
          <t>TOMATE PELADO DI SALERNO 2,55KG UN</t>
        </is>
      </c>
      <c r="D503" t="inlineStr">
        <is>
          <t>08/2026</t>
        </is>
      </c>
      <c r="E503" t="n">
        <v>6</v>
      </c>
      <c r="F503" t="n">
        <v>254.1</v>
      </c>
      <c r="G503" t="n">
        <v>42.35</v>
      </c>
    </row>
    <row r="504">
      <c r="A504" t="inlineStr">
        <is>
          <t>Nuv Gastrobar</t>
        </is>
      </c>
      <c r="B504" t="n">
        <v>20585</v>
      </c>
      <c r="C504" t="inlineStr">
        <is>
          <t>TOMATE SECO ARCOBELLO 2KG</t>
        </is>
      </c>
      <c r="D504" t="inlineStr">
        <is>
          <t>08/2026</t>
        </is>
      </c>
      <c r="E504" t="n">
        <v>1</v>
      </c>
      <c r="F504" t="n">
        <v>26.9</v>
      </c>
      <c r="G504" t="n">
        <v>26.9</v>
      </c>
    </row>
    <row r="505">
      <c r="A505" t="inlineStr">
        <is>
          <t>Nuv Gastrobar</t>
        </is>
      </c>
      <c r="B505" t="n">
        <v>20589</v>
      </c>
      <c r="C505" t="inlineStr">
        <is>
          <t>TOMATE SECO SAN CARLO C/2KG</t>
        </is>
      </c>
      <c r="D505" t="inlineStr">
        <is>
          <t>08/2026</t>
        </is>
      </c>
      <c r="E505" t="n">
        <v>1</v>
      </c>
      <c r="F505" t="n">
        <v>27.1</v>
      </c>
      <c r="G505" t="n">
        <v>27.1</v>
      </c>
    </row>
    <row r="506">
      <c r="A506" t="inlineStr">
        <is>
          <t>Nuv Gastrobar</t>
        </is>
      </c>
      <c r="B506" t="n">
        <v>24484</v>
      </c>
      <c r="C506" t="inlineStr">
        <is>
          <t>TOMATE SWEET KG</t>
        </is>
      </c>
      <c r="D506" t="inlineStr">
        <is>
          <t>08/2026</t>
        </is>
      </c>
      <c r="E506" t="n">
        <v>5.01</v>
      </c>
      <c r="F506" t="n">
        <v>96.05</v>
      </c>
      <c r="G506" t="n">
        <v>19.17</v>
      </c>
    </row>
    <row r="507">
      <c r="A507" t="inlineStr">
        <is>
          <t>Nuv Gastrobar</t>
        </is>
      </c>
      <c r="B507" t="n">
        <v>23108</v>
      </c>
      <c r="C507" t="inlineStr">
        <is>
          <t>TOMILHO KG</t>
        </is>
      </c>
      <c r="D507" t="inlineStr">
        <is>
          <t>08/2026</t>
        </is>
      </c>
      <c r="E507" t="n">
        <v>1.15</v>
      </c>
      <c r="F507" t="n">
        <v>93.09999999999999</v>
      </c>
      <c r="G507" t="n">
        <v>80.95999999999999</v>
      </c>
    </row>
    <row r="508">
      <c r="A508" t="inlineStr">
        <is>
          <t>Nuv Gastrobar</t>
        </is>
      </c>
      <c r="B508" t="n">
        <v>17362</v>
      </c>
      <c r="C508" t="inlineStr">
        <is>
          <t>TOUCA NYLION PRETA C/100UN</t>
        </is>
      </c>
      <c r="D508" t="inlineStr">
        <is>
          <t>08/2026</t>
        </is>
      </c>
      <c r="E508" t="n">
        <v>5</v>
      </c>
      <c r="F508" t="n">
        <v>249.85</v>
      </c>
      <c r="G508" t="n">
        <v>49.97</v>
      </c>
    </row>
    <row r="509">
      <c r="A509" t="inlineStr">
        <is>
          <t>Nuv Gastrobar</t>
        </is>
      </c>
      <c r="B509" t="n">
        <v>25945</v>
      </c>
      <c r="C509" t="inlineStr">
        <is>
          <t>Tradicion Reserva Carmenere 750ml</t>
        </is>
      </c>
      <c r="D509" t="inlineStr">
        <is>
          <t>08/2026</t>
        </is>
      </c>
      <c r="E509" t="n">
        <v>4</v>
      </c>
      <c r="F509" t="n">
        <v>287.96</v>
      </c>
      <c r="G509" t="n">
        <v>71.98999999999999</v>
      </c>
    </row>
    <row r="510">
      <c r="A510" t="inlineStr">
        <is>
          <t>Nuv Gastrobar</t>
        </is>
      </c>
      <c r="B510" t="n">
        <v>30496</v>
      </c>
      <c r="C510" t="inlineStr">
        <is>
          <t>TRAVESSA RASA INOX 20CM BACCANI UN</t>
        </is>
      </c>
      <c r="D510" t="inlineStr">
        <is>
          <t>08/2026</t>
        </is>
      </c>
      <c r="E510" t="n">
        <v>10</v>
      </c>
      <c r="F510" t="n">
        <v>154.9</v>
      </c>
      <c r="G510" t="n">
        <v>15.49</v>
      </c>
    </row>
    <row r="511">
      <c r="A511" t="inlineStr">
        <is>
          <t>Nuv Gastrobar</t>
        </is>
      </c>
      <c r="B511" t="n">
        <v>30495</v>
      </c>
      <c r="C511" t="inlineStr">
        <is>
          <t>TRAVESSA RASA INOX 30CM BACCANI UN</t>
        </is>
      </c>
      <c r="D511" t="inlineStr">
        <is>
          <t>08/2026</t>
        </is>
      </c>
      <c r="E511" t="n">
        <v>5</v>
      </c>
      <c r="F511" t="n">
        <v>118</v>
      </c>
      <c r="G511" t="n">
        <v>23.6</v>
      </c>
    </row>
    <row r="512">
      <c r="A512" t="inlineStr">
        <is>
          <t>Nuv Gastrobar</t>
        </is>
      </c>
      <c r="B512" t="n">
        <v>19714</v>
      </c>
      <c r="C512" t="inlineStr">
        <is>
          <t>UVA PASSA BRANCA SEM SEMENTE C/1KG PC</t>
        </is>
      </c>
      <c r="D512" t="inlineStr">
        <is>
          <t>08/2026</t>
        </is>
      </c>
      <c r="E512" t="n">
        <v>4</v>
      </c>
      <c r="F512" t="n">
        <v>133.8</v>
      </c>
      <c r="G512" t="n">
        <v>33.45</v>
      </c>
    </row>
    <row r="513">
      <c r="A513" t="inlineStr">
        <is>
          <t>Nuv Gastrobar</t>
        </is>
      </c>
      <c r="B513" t="n">
        <v>19710</v>
      </c>
      <c r="C513" t="inlineStr">
        <is>
          <t>UVA PASSA PRETA SEM SEMENTE C/1KG</t>
        </is>
      </c>
      <c r="D513" t="inlineStr">
        <is>
          <t>08/2026</t>
        </is>
      </c>
      <c r="E513" t="n">
        <v>4</v>
      </c>
      <c r="F513" t="n">
        <v>70.73999999999999</v>
      </c>
      <c r="G513" t="n">
        <v>17.69</v>
      </c>
    </row>
    <row r="514">
      <c r="A514" t="inlineStr">
        <is>
          <t>Nuv Gastrobar</t>
        </is>
      </c>
      <c r="B514" t="n">
        <v>17119</v>
      </c>
      <c r="C514" t="inlineStr">
        <is>
          <t>VASSOURA NYLON SAO BERNARDO COM CABO UN</t>
        </is>
      </c>
      <c r="D514" t="inlineStr">
        <is>
          <t>08/2026</t>
        </is>
      </c>
      <c r="E514" t="n">
        <v>4</v>
      </c>
      <c r="F514" t="n">
        <v>38.16</v>
      </c>
      <c r="G514" t="n">
        <v>9.539999999999999</v>
      </c>
    </row>
    <row r="515">
      <c r="A515" t="inlineStr">
        <is>
          <t>Nuv Gastrobar</t>
        </is>
      </c>
      <c r="B515" t="n">
        <v>18220</v>
      </c>
      <c r="C515" t="inlineStr">
        <is>
          <t>VERMOUTH CARPANO CLASSICO ROSSO ITALIANO 1L</t>
        </is>
      </c>
      <c r="D515" t="inlineStr">
        <is>
          <t>08/2026</t>
        </is>
      </c>
      <c r="E515" t="n">
        <v>18</v>
      </c>
      <c r="F515" t="n">
        <v>1529.1</v>
      </c>
      <c r="G515" t="n">
        <v>84.95</v>
      </c>
    </row>
    <row r="516">
      <c r="A516" t="inlineStr">
        <is>
          <t>Nuv Gastrobar</t>
        </is>
      </c>
      <c r="B516" t="n">
        <v>25347</v>
      </c>
      <c r="C516" t="inlineStr">
        <is>
          <t>VINAGRE DE JEREZ FERNANDO DE CASTILHA C/375ML UN</t>
        </is>
      </c>
      <c r="D516" t="inlineStr">
        <is>
          <t>08/2026</t>
        </is>
      </c>
      <c r="E516" t="n">
        <v>1</v>
      </c>
      <c r="F516" t="n">
        <v>119</v>
      </c>
      <c r="G516" t="n">
        <v>119</v>
      </c>
    </row>
    <row r="517">
      <c r="A517" t="inlineStr">
        <is>
          <t>Nuv Gastrobar</t>
        </is>
      </c>
      <c r="B517" t="n">
        <v>20961</v>
      </c>
      <c r="C517" t="inlineStr">
        <is>
          <t>VINAGRE DE MACA CASTELO 750ML UN</t>
        </is>
      </c>
      <c r="D517" t="inlineStr">
        <is>
          <t>08/2026</t>
        </is>
      </c>
      <c r="E517" t="n">
        <v>36</v>
      </c>
      <c r="F517" t="n">
        <v>319.68</v>
      </c>
      <c r="G517" t="n">
        <v>8.880000000000001</v>
      </c>
    </row>
    <row r="518">
      <c r="A518" t="inlineStr">
        <is>
          <t>Nuv Gastrobar</t>
        </is>
      </c>
      <c r="B518" t="n">
        <v>17800</v>
      </c>
      <c r="C518" t="inlineStr">
        <is>
          <t>VINHO BRANCO ALMADEN RIESLING 750ML GR</t>
        </is>
      </c>
      <c r="D518" t="inlineStr">
        <is>
          <t>08/2026</t>
        </is>
      </c>
      <c r="E518" t="n">
        <v>26</v>
      </c>
      <c r="F518" t="n">
        <v>689</v>
      </c>
      <c r="G518" t="n">
        <v>26.5</v>
      </c>
    </row>
    <row r="519">
      <c r="A519" t="inlineStr">
        <is>
          <t>Nuv Gastrobar</t>
        </is>
      </c>
      <c r="B519" t="n">
        <v>26036</v>
      </c>
      <c r="C519" t="inlineStr">
        <is>
          <t>VINHO BRANCO LOS BOLDOS TRADICION RESERVA SUAVINGNON BLANC CHILE 750ML</t>
        </is>
      </c>
      <c r="D519" t="inlineStr">
        <is>
          <t>08/2026</t>
        </is>
      </c>
      <c r="E519" t="n">
        <v>4</v>
      </c>
      <c r="F519" t="n">
        <v>501.2</v>
      </c>
      <c r="G519" t="n">
        <v>125.3</v>
      </c>
    </row>
    <row r="520">
      <c r="A520" t="inlineStr">
        <is>
          <t>Nuv Gastrobar</t>
        </is>
      </c>
      <c r="B520" t="n">
        <v>26034</v>
      </c>
      <c r="C520" t="inlineStr">
        <is>
          <t>VINHO BRANCO RUTINI LA RURAL DESTINO CHARDONNAY MENDOZA ARGENTINA 750ML</t>
        </is>
      </c>
      <c r="D520" t="inlineStr">
        <is>
          <t>08/2026</t>
        </is>
      </c>
      <c r="E520" t="n">
        <v>10</v>
      </c>
      <c r="F520" t="n">
        <v>505.3</v>
      </c>
      <c r="G520" t="n">
        <v>50.53</v>
      </c>
    </row>
    <row r="521">
      <c r="A521" t="inlineStr">
        <is>
          <t>Nuv Gastrobar</t>
        </is>
      </c>
      <c r="B521" t="n">
        <v>27830</v>
      </c>
      <c r="C521" t="inlineStr">
        <is>
          <t>VINHO ROSE ABBOTTS E T LES PETITES CUVEES ROSE 750 ML UN</t>
        </is>
      </c>
      <c r="D521" t="inlineStr">
        <is>
          <t>08/2026</t>
        </is>
      </c>
      <c r="E521" t="n">
        <v>4</v>
      </c>
      <c r="F521" t="n">
        <v>257.52</v>
      </c>
      <c r="G521" t="n">
        <v>64.38</v>
      </c>
    </row>
    <row r="522">
      <c r="A522" t="inlineStr">
        <is>
          <t>Nuv Gastrobar</t>
        </is>
      </c>
      <c r="B522" t="n">
        <v>26038</v>
      </c>
      <c r="C522" t="inlineStr">
        <is>
          <t>VINHO ROSE DESTINO MALBEC LA RURAL ARGENTINA 750ML</t>
        </is>
      </c>
      <c r="D522" t="inlineStr">
        <is>
          <t>08/2026</t>
        </is>
      </c>
      <c r="E522" t="n">
        <v>6</v>
      </c>
      <c r="F522" t="n">
        <v>303.18</v>
      </c>
      <c r="G522" t="n">
        <v>50.53</v>
      </c>
    </row>
    <row r="523">
      <c r="A523" t="inlineStr">
        <is>
          <t>Nuv Gastrobar</t>
        </is>
      </c>
      <c r="B523" t="n">
        <v>30680</v>
      </c>
      <c r="C523" t="inlineStr">
        <is>
          <t>VINHO RUTINI CABERNET SYRAH ARGENTINA MENDONZA RUTINI WINES 750ML UN</t>
        </is>
      </c>
      <c r="D523" t="inlineStr">
        <is>
          <t>08/2026</t>
        </is>
      </c>
      <c r="E523" t="n">
        <v>2</v>
      </c>
      <c r="F523" t="n">
        <v>285.2</v>
      </c>
      <c r="G523" t="n">
        <v>142.6</v>
      </c>
    </row>
    <row r="524">
      <c r="A524" t="inlineStr">
        <is>
          <t>Nuv Gastrobar</t>
        </is>
      </c>
      <c r="B524" t="n">
        <v>27715</v>
      </c>
      <c r="C524" t="inlineStr">
        <is>
          <t>VINHO TINTO ABBOTTS E T LES PETITES CUVEES ROUGE 750 ML UN</t>
        </is>
      </c>
      <c r="D524" t="inlineStr">
        <is>
          <t>08/2026</t>
        </is>
      </c>
      <c r="E524" t="n">
        <v>4</v>
      </c>
      <c r="F524" t="n">
        <v>257.52</v>
      </c>
      <c r="G524" t="n">
        <v>64.38</v>
      </c>
    </row>
    <row r="525">
      <c r="A525" t="inlineStr">
        <is>
          <t>Nuv Gastrobar</t>
        </is>
      </c>
      <c r="B525" t="n">
        <v>26040</v>
      </c>
      <c r="C525" t="inlineStr">
        <is>
          <t>VINHO TINTO DESTINO MALBEC LA RURAL ARGENTO 750ML</t>
        </is>
      </c>
      <c r="D525" t="inlineStr">
        <is>
          <t>08/2026</t>
        </is>
      </c>
      <c r="E525" t="n">
        <v>84</v>
      </c>
      <c r="F525" t="n">
        <v>3998.12</v>
      </c>
      <c r="G525" t="n">
        <v>47.6</v>
      </c>
    </row>
    <row r="526">
      <c r="A526" t="inlineStr">
        <is>
          <t>Nuv Gastrobar</t>
        </is>
      </c>
      <c r="B526" t="n">
        <v>27576</v>
      </c>
      <c r="C526" t="inlineStr">
        <is>
          <t>VINHO TINTO RUTINI LA RURAL CEPA TRADICIONAL BLEND PINOT/MALBEC/CAB/MERLOT 750ML ARGENTINA</t>
        </is>
      </c>
      <c r="D526" t="inlineStr">
        <is>
          <t>08/2026</t>
        </is>
      </c>
      <c r="E526" t="n">
        <v>4</v>
      </c>
      <c r="F526" t="n">
        <v>255.84</v>
      </c>
      <c r="G526" t="n">
        <v>63.96</v>
      </c>
    </row>
    <row r="527">
      <c r="A527" t="inlineStr">
        <is>
          <t>Nuv Gastrobar</t>
        </is>
      </c>
      <c r="B527" t="n">
        <v>20954</v>
      </c>
      <c r="C527" t="inlineStr">
        <is>
          <t>VINHO TINTO SECO PICCOLI 4,6L</t>
        </is>
      </c>
      <c r="D527" t="inlineStr">
        <is>
          <t>08/2026</t>
        </is>
      </c>
      <c r="E527" t="n">
        <v>2</v>
      </c>
      <c r="F527" t="n">
        <v>97.8</v>
      </c>
      <c r="G527" t="n">
        <v>48.9</v>
      </c>
    </row>
    <row r="528">
      <c r="A528" t="inlineStr">
        <is>
          <t>Nuv Gastrobar</t>
        </is>
      </c>
      <c r="B528" t="n">
        <v>18194</v>
      </c>
      <c r="C528" t="inlineStr">
        <is>
          <t>VODKA ABSOLUT 1L</t>
        </is>
      </c>
      <c r="D528" t="inlineStr">
        <is>
          <t>08/2026</t>
        </is>
      </c>
      <c r="E528" t="n">
        <v>36</v>
      </c>
      <c r="F528" t="n">
        <v>2050.2</v>
      </c>
      <c r="G528" t="n">
        <v>56.95</v>
      </c>
    </row>
    <row r="529">
      <c r="A529" t="inlineStr">
        <is>
          <t>Nuv Gastrobar</t>
        </is>
      </c>
      <c r="B529" t="n">
        <v>30402</v>
      </c>
      <c r="C529" t="inlineStr">
        <is>
          <t>WL BROWNIE COM NOZES 80G CX C/ 100UN</t>
        </is>
      </c>
      <c r="D529" t="inlineStr">
        <is>
          <t>08/2026</t>
        </is>
      </c>
      <c r="E529" t="n">
        <v>5</v>
      </c>
      <c r="F529" t="n">
        <v>2330</v>
      </c>
      <c r="G529" t="n">
        <v>466</v>
      </c>
    </row>
    <row r="530">
      <c r="A530" t="inlineStr">
        <is>
          <t>Nuv Gastrobar</t>
        </is>
      </c>
      <c r="B530" t="n">
        <v>25258</v>
      </c>
      <c r="C530" t="inlineStr">
        <is>
          <t>ZATAR KG</t>
        </is>
      </c>
      <c r="D530" t="inlineStr">
        <is>
          <t>08/2026</t>
        </is>
      </c>
      <c r="E530" t="n">
        <v>1</v>
      </c>
      <c r="F530" t="n">
        <v>49</v>
      </c>
      <c r="G530" t="n">
        <v>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Evento_CMV_ID</t>
        </is>
      </c>
      <c r="B1" t="inlineStr">
        <is>
          <t>Casa</t>
        </is>
      </c>
      <c r="C1" t="inlineStr">
        <is>
          <t>Data_Evento</t>
        </is>
      </c>
      <c r="D1" t="inlineStr">
        <is>
          <t>Valor_A_B</t>
        </is>
      </c>
      <c r="E1" t="inlineStr">
        <is>
          <t>Mes_Texto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ID_Transferencia</t>
        </is>
      </c>
      <c r="B1" t="inlineStr">
        <is>
          <t>Empresa_Saida</t>
        </is>
      </c>
      <c r="C1" t="inlineStr">
        <is>
          <t>Empresa_Entrada</t>
        </is>
      </c>
      <c r="D1" t="inlineStr">
        <is>
          <t>ID_Insumo</t>
        </is>
      </c>
      <c r="E1" t="inlineStr">
        <is>
          <t>Nome_Insumo</t>
        </is>
      </c>
      <c r="F1" t="inlineStr">
        <is>
          <t>Insumo_Nivel_4</t>
        </is>
      </c>
      <c r="G1" t="inlineStr">
        <is>
          <t>Insumo_Nivel_1</t>
        </is>
      </c>
      <c r="H1" t="inlineStr">
        <is>
          <t>Unidade_Medida</t>
        </is>
      </c>
      <c r="I1" t="inlineStr">
        <is>
          <t>Quantidade</t>
        </is>
      </c>
      <c r="J1" t="inlineStr">
        <is>
          <t>Mes_Texto</t>
        </is>
      </c>
      <c r="K1" t="inlineStr">
        <is>
          <t>Valor_da_Transferencia</t>
        </is>
      </c>
      <c r="L1" t="inlineStr">
        <is>
          <t>Observacao</t>
        </is>
      </c>
    </row>
    <row r="2">
      <c r="A2" t="n">
        <v>4329</v>
      </c>
      <c r="B2" t="inlineStr">
        <is>
          <t>Blue Note - São Paulo</t>
        </is>
      </c>
      <c r="C2" t="inlineStr">
        <is>
          <t>Nuv Gastrobar</t>
        </is>
      </c>
      <c r="D2" t="n">
        <v>20365</v>
      </c>
      <c r="E2" t="inlineStr">
        <is>
          <t>FARINHA DE TRIGO TP1 ANACONDA 1KG</t>
        </is>
      </c>
      <c r="F2" t="inlineStr">
        <is>
          <t>FARINHA DE TRIGO TIPO 1</t>
        </is>
      </c>
      <c r="G2" t="inlineStr">
        <is>
          <t>ALIMENTOS</t>
        </is>
      </c>
      <c r="H2" t="inlineStr">
        <is>
          <t>UN</t>
        </is>
      </c>
      <c r="I2" t="n">
        <v>2</v>
      </c>
      <c r="J2" t="inlineStr">
        <is>
          <t>08/2026</t>
        </is>
      </c>
      <c r="K2" t="n">
        <v>10.58</v>
      </c>
    </row>
    <row r="3">
      <c r="A3" t="n">
        <v>4330</v>
      </c>
      <c r="B3" t="inlineStr">
        <is>
          <t>Blue Note - São Paulo</t>
        </is>
      </c>
      <c r="C3" t="inlineStr">
        <is>
          <t>Nuv Gastrobar</t>
        </is>
      </c>
      <c r="D3" t="n">
        <v>19767</v>
      </c>
      <c r="E3" t="inlineStr">
        <is>
          <t>FIGO KG</t>
        </is>
      </c>
      <c r="F3" t="inlineStr">
        <is>
          <t>FIGO</t>
        </is>
      </c>
      <c r="G3" t="inlineStr">
        <is>
          <t>ALIMENTOS</t>
        </is>
      </c>
      <c r="H3" t="inlineStr">
        <is>
          <t>KG</t>
        </is>
      </c>
      <c r="I3" t="n">
        <v>24</v>
      </c>
      <c r="J3" t="inlineStr">
        <is>
          <t>08/2026</t>
        </is>
      </c>
      <c r="K3" t="n">
        <v>109.82</v>
      </c>
    </row>
    <row r="4">
      <c r="A4" t="n">
        <v>4331</v>
      </c>
      <c r="B4" t="inlineStr">
        <is>
          <t>Blue Note - São Paulo</t>
        </is>
      </c>
      <c r="C4" t="inlineStr">
        <is>
          <t>Nuv Gastrobar</t>
        </is>
      </c>
      <c r="D4" t="n">
        <v>19356</v>
      </c>
      <c r="E4" t="inlineStr">
        <is>
          <t>QUEIJO COALHO QUATA KG</t>
        </is>
      </c>
      <c r="F4" t="inlineStr">
        <is>
          <t>QUEIJO COALHO</t>
        </is>
      </c>
      <c r="G4" t="inlineStr">
        <is>
          <t>ALIMENTOS</t>
        </is>
      </c>
      <c r="H4" t="inlineStr">
        <is>
          <t>KG</t>
        </is>
      </c>
      <c r="I4" t="n">
        <v>12</v>
      </c>
      <c r="J4" t="inlineStr">
        <is>
          <t>08/2026</t>
        </is>
      </c>
      <c r="K4" t="n">
        <v>662.52</v>
      </c>
    </row>
    <row r="5">
      <c r="A5" t="n">
        <v>4332</v>
      </c>
      <c r="B5" t="inlineStr">
        <is>
          <t>Blue Note - São Paulo</t>
        </is>
      </c>
      <c r="C5" t="inlineStr">
        <is>
          <t>Nuv Gastrobar</t>
        </is>
      </c>
      <c r="D5" t="n">
        <v>23826</v>
      </c>
      <c r="E5" t="inlineStr">
        <is>
          <t>BISCOITO DE MAIZENA NESTLE TOSTINES 200G</t>
        </is>
      </c>
      <c r="F5" t="inlineStr">
        <is>
          <t>BISCOITO DE MAIZENA</t>
        </is>
      </c>
      <c r="G5" t="inlineStr">
        <is>
          <t>ALIMENTOS</t>
        </is>
      </c>
      <c r="H5" t="inlineStr">
        <is>
          <t>PC</t>
        </is>
      </c>
      <c r="I5" t="n">
        <v>5</v>
      </c>
      <c r="J5" t="inlineStr">
        <is>
          <t>08/2026</t>
        </is>
      </c>
      <c r="K5" t="n">
        <v>18.4</v>
      </c>
    </row>
    <row r="6">
      <c r="A6" t="n">
        <v>4333</v>
      </c>
      <c r="B6" t="inlineStr">
        <is>
          <t>Blue Note - São Paulo</t>
        </is>
      </c>
      <c r="C6" t="inlineStr">
        <is>
          <t>Nuv Gastrobar</t>
        </is>
      </c>
      <c r="D6" t="n">
        <v>20213</v>
      </c>
      <c r="E6" t="inlineStr">
        <is>
          <t>GRAO DE BICO CAMIL C/2KG</t>
        </is>
      </c>
      <c r="F6" t="inlineStr">
        <is>
          <t>GRAO DE BICO</t>
        </is>
      </c>
      <c r="G6" t="inlineStr">
        <is>
          <t>ALIMENTOS</t>
        </is>
      </c>
      <c r="H6" t="inlineStr">
        <is>
          <t>PC</t>
        </is>
      </c>
      <c r="I6" t="n">
        <v>2</v>
      </c>
      <c r="J6" t="inlineStr">
        <is>
          <t>08/2026</t>
        </is>
      </c>
      <c r="K6" t="n">
        <v>63.76</v>
      </c>
    </row>
    <row r="7">
      <c r="A7" t="n">
        <v>4334</v>
      </c>
      <c r="B7" t="inlineStr">
        <is>
          <t>Blue Note - São Paulo</t>
        </is>
      </c>
      <c r="C7" t="inlineStr">
        <is>
          <t>Nuv Gastrobar</t>
        </is>
      </c>
      <c r="D7" t="n">
        <v>21093</v>
      </c>
      <c r="E7" t="inlineStr">
        <is>
          <t>ACUCAR REFINADO UNIAO 1KG UN KG</t>
        </is>
      </c>
      <c r="F7" t="inlineStr">
        <is>
          <t>ACUCAR REFINADO</t>
        </is>
      </c>
      <c r="G7" t="inlineStr">
        <is>
          <t>ALIMENTOS</t>
        </is>
      </c>
      <c r="H7" t="inlineStr">
        <is>
          <t>KG</t>
        </is>
      </c>
      <c r="I7" t="n">
        <v>4</v>
      </c>
      <c r="J7" t="inlineStr">
        <is>
          <t>08/2026</t>
        </is>
      </c>
      <c r="K7" t="n">
        <v>14.16</v>
      </c>
    </row>
    <row r="8">
      <c r="A8" t="n">
        <v>4335</v>
      </c>
      <c r="B8" t="inlineStr">
        <is>
          <t>Blue Note - São Paulo</t>
        </is>
      </c>
      <c r="C8" t="inlineStr">
        <is>
          <t>Nuv Gastrobar</t>
        </is>
      </c>
      <c r="D8" t="n">
        <v>19621</v>
      </c>
      <c r="E8" t="inlineStr">
        <is>
          <t>CENOURA KG</t>
        </is>
      </c>
      <c r="F8" t="inlineStr">
        <is>
          <t>CENOURA</t>
        </is>
      </c>
      <c r="G8" t="inlineStr">
        <is>
          <t>ALIMENTOS</t>
        </is>
      </c>
      <c r="H8" t="inlineStr">
        <is>
          <t>KG</t>
        </is>
      </c>
      <c r="I8" t="n">
        <v>195</v>
      </c>
      <c r="J8" t="inlineStr">
        <is>
          <t>08/2026</t>
        </is>
      </c>
      <c r="K8" t="n">
        <v>8.23</v>
      </c>
    </row>
    <row r="9">
      <c r="A9" t="n">
        <v>4336</v>
      </c>
      <c r="B9" t="inlineStr">
        <is>
          <t>Blue Note - São Paulo</t>
        </is>
      </c>
      <c r="C9" t="inlineStr">
        <is>
          <t>Nuv Gastrobar</t>
        </is>
      </c>
      <c r="D9" t="n">
        <v>19324</v>
      </c>
      <c r="E9" t="inlineStr">
        <is>
          <t>QUEIJO MUSSARELA TRES MARIAS KG</t>
        </is>
      </c>
      <c r="F9" t="inlineStr">
        <is>
          <t>QUEIJO MUSSARELA</t>
        </is>
      </c>
      <c r="G9" t="inlineStr">
        <is>
          <t>ALIMENTOS</t>
        </is>
      </c>
      <c r="H9" t="inlineStr">
        <is>
          <t>KG</t>
        </is>
      </c>
      <c r="I9" t="n">
        <v>411</v>
      </c>
      <c r="J9" t="inlineStr">
        <is>
          <t>08/2026</t>
        </is>
      </c>
      <c r="K9" t="n">
        <v>183.22</v>
      </c>
    </row>
    <row r="10">
      <c r="A10" t="n">
        <v>4337</v>
      </c>
      <c r="B10" t="inlineStr">
        <is>
          <t>Blue Note - São Paulo</t>
        </is>
      </c>
      <c r="C10" t="inlineStr">
        <is>
          <t>Nuv Gastrobar</t>
        </is>
      </c>
      <c r="D10" t="n">
        <v>20489</v>
      </c>
      <c r="E10" t="inlineStr">
        <is>
          <t>PRESUNTO COZIDO MAGRO SEARA KG</t>
        </is>
      </c>
      <c r="F10" t="inlineStr">
        <is>
          <t>PRESUNTO COZIDO</t>
        </is>
      </c>
      <c r="G10" t="inlineStr">
        <is>
          <t>ALIMENTOS</t>
        </is>
      </c>
      <c r="H10" t="inlineStr">
        <is>
          <t>KG</t>
        </is>
      </c>
      <c r="I10" t="n">
        <v>35</v>
      </c>
      <c r="J10" t="inlineStr">
        <is>
          <t>08/2026</t>
        </is>
      </c>
      <c r="K10" t="n">
        <v>80.33</v>
      </c>
    </row>
    <row r="11">
      <c r="A11" t="n">
        <v>4338</v>
      </c>
      <c r="B11" t="inlineStr">
        <is>
          <t>Blue Note - São Paulo</t>
        </is>
      </c>
      <c r="C11" t="inlineStr">
        <is>
          <t>Nuv Gastrobar</t>
        </is>
      </c>
      <c r="D11" t="n">
        <v>24259</v>
      </c>
      <c r="E11" t="inlineStr">
        <is>
          <t>FILE MIGNON 4/5 S/ CORDAO KG</t>
        </is>
      </c>
      <c r="F11" t="inlineStr">
        <is>
          <t>FILE MIGNON</t>
        </is>
      </c>
      <c r="G11" t="inlineStr">
        <is>
          <t>ALIMENTOS</t>
        </is>
      </c>
      <c r="H11" t="inlineStr">
        <is>
          <t>KG</t>
        </is>
      </c>
      <c r="I11" t="n">
        <v>3</v>
      </c>
      <c r="J11" t="inlineStr">
        <is>
          <t>08/2026</t>
        </is>
      </c>
      <c r="K11" t="n">
        <v>236.85</v>
      </c>
    </row>
    <row r="12">
      <c r="A12" t="n">
        <v>4339</v>
      </c>
      <c r="B12" t="inlineStr">
        <is>
          <t>Blue Note - São Paulo</t>
        </is>
      </c>
      <c r="C12" t="inlineStr">
        <is>
          <t>Nuv Gastrobar</t>
        </is>
      </c>
      <c r="D12" t="n">
        <v>19428</v>
      </c>
      <c r="E12" t="inlineStr">
        <is>
          <t>LEITE INTEGRAL QUATA 1L UN</t>
        </is>
      </c>
      <c r="F12" t="inlineStr">
        <is>
          <t>LEITE INTEGRAL</t>
        </is>
      </c>
      <c r="G12" t="inlineStr">
        <is>
          <t>ALIMENTOS</t>
        </is>
      </c>
      <c r="H12" t="inlineStr">
        <is>
          <t>UN</t>
        </is>
      </c>
      <c r="I12" t="n">
        <v>2</v>
      </c>
      <c r="J12" t="inlineStr">
        <is>
          <t>08/2026</t>
        </is>
      </c>
      <c r="K12" t="n">
        <v>11.3</v>
      </c>
    </row>
    <row r="13">
      <c r="A13" t="n">
        <v>4340</v>
      </c>
      <c r="B13" t="inlineStr">
        <is>
          <t>Blue Note - São Paulo</t>
        </is>
      </c>
      <c r="C13" t="inlineStr">
        <is>
          <t>Nuv Gastrobar</t>
        </is>
      </c>
      <c r="D13" t="n">
        <v>19765</v>
      </c>
      <c r="E13" t="inlineStr">
        <is>
          <t>FRUTAS VERMELHAS CONGELADA KG</t>
        </is>
      </c>
      <c r="F13" t="inlineStr">
        <is>
          <t>FRUTAS VERMELHAS</t>
        </is>
      </c>
      <c r="G13" t="inlineStr">
        <is>
          <t>ALIMENTOS</t>
        </is>
      </c>
      <c r="H13" t="inlineStr">
        <is>
          <t>KG</t>
        </is>
      </c>
      <c r="I13" t="n">
        <v>2</v>
      </c>
      <c r="J13" t="inlineStr">
        <is>
          <t>08/2026</t>
        </is>
      </c>
      <c r="K13" t="n">
        <v>76</v>
      </c>
    </row>
    <row r="14">
      <c r="A14" t="n">
        <v>4341</v>
      </c>
      <c r="B14" t="inlineStr">
        <is>
          <t>Nuv Gastrobar</t>
        </is>
      </c>
      <c r="C14" t="inlineStr">
        <is>
          <t>Blue Note - São Paulo</t>
        </is>
      </c>
      <c r="D14" t="n">
        <v>19291</v>
      </c>
      <c r="E14" t="inlineStr">
        <is>
          <t>QUEIJO PARMESAO CAPA PRETA KG</t>
        </is>
      </c>
      <c r="F14" t="inlineStr">
        <is>
          <t>QUEIJO PARMESAO</t>
        </is>
      </c>
      <c r="G14" t="inlineStr">
        <is>
          <t>ALIMENTOS</t>
        </is>
      </c>
      <c r="H14" t="inlineStr">
        <is>
          <t>KG</t>
        </is>
      </c>
      <c r="I14" t="n">
        <v>74</v>
      </c>
      <c r="J14" t="inlineStr">
        <is>
          <t>08/2026</t>
        </is>
      </c>
      <c r="K14" t="n">
        <v>443.93</v>
      </c>
    </row>
    <row r="15">
      <c r="A15" t="n">
        <v>4342</v>
      </c>
      <c r="B15" t="inlineStr">
        <is>
          <t>Nuv Gastrobar</t>
        </is>
      </c>
      <c r="C15" t="inlineStr">
        <is>
          <t>Blue Note - São Paulo</t>
        </is>
      </c>
      <c r="D15" t="n">
        <v>19306</v>
      </c>
      <c r="E15" t="inlineStr">
        <is>
          <t>QUEIJO MUSSARELA FIOR CEREJA YEMA 330G</t>
        </is>
      </c>
      <c r="F15" t="inlineStr">
        <is>
          <t>QUEIJO MUSSARELA CEREJA</t>
        </is>
      </c>
      <c r="G15" t="inlineStr">
        <is>
          <t>ALIMENTOS</t>
        </is>
      </c>
      <c r="H15" t="inlineStr">
        <is>
          <t>PC</t>
        </is>
      </c>
      <c r="I15" t="n">
        <v>2</v>
      </c>
      <c r="J15" t="inlineStr">
        <is>
          <t>08/2026</t>
        </is>
      </c>
      <c r="K15" t="n">
        <v>36.8</v>
      </c>
    </row>
    <row r="16">
      <c r="A16" t="n">
        <v>4343</v>
      </c>
      <c r="B16" t="inlineStr">
        <is>
          <t>Nuv Gastrobar</t>
        </is>
      </c>
      <c r="C16" t="inlineStr">
        <is>
          <t>Blue Note - São Paulo</t>
        </is>
      </c>
      <c r="D16" t="n">
        <v>19088</v>
      </c>
      <c r="E16" t="inlineStr">
        <is>
          <t>PAO SIRIO UN</t>
        </is>
      </c>
      <c r="F16" t="inlineStr">
        <is>
          <t>PAO SIRIO</t>
        </is>
      </c>
      <c r="G16" t="inlineStr">
        <is>
          <t>ALIMENTOS</t>
        </is>
      </c>
      <c r="H16" t="inlineStr">
        <is>
          <t>UN</t>
        </is>
      </c>
      <c r="I16" t="n">
        <v>3</v>
      </c>
      <c r="J16" t="inlineStr">
        <is>
          <t>08/2026</t>
        </is>
      </c>
      <c r="K16" t="n">
        <v>44.7</v>
      </c>
    </row>
    <row r="17">
      <c r="A17" t="n">
        <v>4344</v>
      </c>
      <c r="B17" t="inlineStr">
        <is>
          <t>Nuv Gastrobar</t>
        </is>
      </c>
      <c r="C17" t="inlineStr">
        <is>
          <t>Blue Note - São Paulo</t>
        </is>
      </c>
      <c r="D17" t="n">
        <v>19306</v>
      </c>
      <c r="E17" t="inlineStr">
        <is>
          <t>QUEIJO MUSSARELA FIOR CEREJA YEMA 330G</t>
        </is>
      </c>
      <c r="F17" t="inlineStr">
        <is>
          <t>QUEIJO MUSSARELA CEREJA</t>
        </is>
      </c>
      <c r="G17" t="inlineStr">
        <is>
          <t>ALIMENTOS</t>
        </is>
      </c>
      <c r="H17" t="inlineStr">
        <is>
          <t>PC</t>
        </is>
      </c>
      <c r="I17" t="n">
        <v>2</v>
      </c>
      <c r="J17" t="inlineStr">
        <is>
          <t>08/2026</t>
        </is>
      </c>
      <c r="K17" t="n">
        <v>36.8</v>
      </c>
    </row>
    <row r="18">
      <c r="A18" t="n">
        <v>4345</v>
      </c>
      <c r="B18" t="inlineStr">
        <is>
          <t>Nuv Gastrobar</t>
        </is>
      </c>
      <c r="C18" t="inlineStr">
        <is>
          <t>Blue Note - São Paulo</t>
        </is>
      </c>
      <c r="D18" t="n">
        <v>19088</v>
      </c>
      <c r="E18" t="inlineStr">
        <is>
          <t>PAO SIRIO UN</t>
        </is>
      </c>
      <c r="F18" t="inlineStr">
        <is>
          <t>PAO SIRIO</t>
        </is>
      </c>
      <c r="G18" t="inlineStr">
        <is>
          <t>ALIMENTOS</t>
        </is>
      </c>
      <c r="H18" t="inlineStr">
        <is>
          <t>UN</t>
        </is>
      </c>
      <c r="I18" t="n">
        <v>3</v>
      </c>
      <c r="J18" t="inlineStr">
        <is>
          <t>08/2026</t>
        </is>
      </c>
      <c r="K18" t="n">
        <v>44.7</v>
      </c>
    </row>
    <row r="19">
      <c r="A19" t="n">
        <v>4346</v>
      </c>
      <c r="B19" t="inlineStr">
        <is>
          <t>Nuv Gastrobar</t>
        </is>
      </c>
      <c r="C19" t="inlineStr">
        <is>
          <t>Blue Note - São Paulo</t>
        </is>
      </c>
      <c r="D19" t="n">
        <v>19291</v>
      </c>
      <c r="E19" t="inlineStr">
        <is>
          <t>QUEIJO PARMESAO CAPA PRETA KG</t>
        </is>
      </c>
      <c r="F19" t="inlineStr">
        <is>
          <t>QUEIJO PARMESAO</t>
        </is>
      </c>
      <c r="G19" t="inlineStr">
        <is>
          <t>ALIMENTOS</t>
        </is>
      </c>
      <c r="H19" t="inlineStr">
        <is>
          <t>KG</t>
        </is>
      </c>
      <c r="I19" t="n">
        <v>74</v>
      </c>
      <c r="J19" t="inlineStr">
        <is>
          <t>08/2026</t>
        </is>
      </c>
      <c r="K19" t="n">
        <v>443.93</v>
      </c>
    </row>
    <row r="20">
      <c r="A20" t="n">
        <v>4349</v>
      </c>
      <c r="B20" t="inlineStr">
        <is>
          <t>Blue Note - São Paulo</t>
        </is>
      </c>
      <c r="C20" t="inlineStr">
        <is>
          <t>Nuv Gastrobar</t>
        </is>
      </c>
      <c r="D20" t="n">
        <v>17778</v>
      </c>
      <c r="E20" t="inlineStr">
        <is>
          <t>VINHO BRANCO JEREZ FORTIF REAL TESOURO FINO 750ML</t>
        </is>
      </c>
      <c r="F20" t="inlineStr">
        <is>
          <t>VINHO BRANCO JEREZ</t>
        </is>
      </c>
      <c r="G20" t="inlineStr">
        <is>
          <t>BEBIDAS</t>
        </is>
      </c>
      <c r="H20" t="inlineStr">
        <is>
          <t>GR</t>
        </is>
      </c>
      <c r="I20" t="n">
        <v>6</v>
      </c>
      <c r="J20" t="inlineStr">
        <is>
          <t>08/2026</t>
        </is>
      </c>
      <c r="K20" t="n">
        <v>532.92</v>
      </c>
    </row>
    <row r="21">
      <c r="A21" t="n">
        <v>4426</v>
      </c>
      <c r="B21" t="inlineStr">
        <is>
          <t>Nuv Gastrobar</t>
        </is>
      </c>
      <c r="C21" t="inlineStr">
        <is>
          <t>Blue Note - São Paulo</t>
        </is>
      </c>
      <c r="D21" t="n">
        <v>19756</v>
      </c>
      <c r="E21" t="inlineStr">
        <is>
          <t>LARANJA PERA KG</t>
        </is>
      </c>
      <c r="F21" t="inlineStr">
        <is>
          <t>LARANJA PERA</t>
        </is>
      </c>
      <c r="G21" t="inlineStr">
        <is>
          <t>ALIMENTOS</t>
        </is>
      </c>
      <c r="H21" t="inlineStr">
        <is>
          <t>KG</t>
        </is>
      </c>
      <c r="I21" t="n">
        <v>60</v>
      </c>
      <c r="J21" t="inlineStr">
        <is>
          <t>08/2026</t>
        </is>
      </c>
      <c r="K21" t="n">
        <v>171</v>
      </c>
      <c r="L21" t="inlineStr">
        <is>
          <t xml:space="preserve">erro de compra </t>
        </is>
      </c>
    </row>
    <row r="22">
      <c r="A22" t="n">
        <v>4460</v>
      </c>
      <c r="B22" t="inlineStr">
        <is>
          <t>Nuv Gastrobar</t>
        </is>
      </c>
      <c r="C22" t="inlineStr">
        <is>
          <t>Blue Note - São Paulo</t>
        </is>
      </c>
      <c r="D22" t="n">
        <v>19088</v>
      </c>
      <c r="E22" t="inlineStr">
        <is>
          <t>PAO SIRIO UN</t>
        </is>
      </c>
      <c r="F22" t="inlineStr">
        <is>
          <t>PAO SIRIO</t>
        </is>
      </c>
      <c r="G22" t="inlineStr">
        <is>
          <t>ALIMENTOS</t>
        </is>
      </c>
      <c r="H22" t="inlineStr">
        <is>
          <t>UN</t>
        </is>
      </c>
      <c r="I22" t="n">
        <v>3</v>
      </c>
      <c r="J22" t="inlineStr">
        <is>
          <t>08/2026</t>
        </is>
      </c>
      <c r="K22" t="n">
        <v>44.7</v>
      </c>
      <c r="L22" t="inlineStr">
        <is>
          <t>o item: MUSSARELA  FIOR CEREJA YEMA 330G, está contabilizado por quilograma, deve ser mudado para unidade.</t>
        </is>
      </c>
    </row>
    <row r="23">
      <c r="A23" t="n">
        <v>4461</v>
      </c>
      <c r="B23" t="inlineStr">
        <is>
          <t>Nuv Gastrobar</t>
        </is>
      </c>
      <c r="C23" t="inlineStr">
        <is>
          <t>Blue Note - São Paulo</t>
        </is>
      </c>
      <c r="D23" t="n">
        <v>19291</v>
      </c>
      <c r="E23" t="inlineStr">
        <is>
          <t>QUEIJO PARMESAO CAPA PRETA KG</t>
        </is>
      </c>
      <c r="F23" t="inlineStr">
        <is>
          <t>QUEIJO PARMESAO</t>
        </is>
      </c>
      <c r="G23" t="inlineStr">
        <is>
          <t>ALIMENTOS</t>
        </is>
      </c>
      <c r="H23" t="inlineStr">
        <is>
          <t>KG</t>
        </is>
      </c>
      <c r="I23" t="n">
        <v>7.4</v>
      </c>
      <c r="J23" t="inlineStr">
        <is>
          <t>08/2026</t>
        </is>
      </c>
      <c r="K23" t="n">
        <v>443.93</v>
      </c>
      <c r="L23" t="inlineStr">
        <is>
          <t>o item: MUSSARELA  FIOR CEREJA YEMA 330G, está contabilizado por quilograma, deve ser mudado para unidade.</t>
        </is>
      </c>
    </row>
    <row r="24">
      <c r="A24" t="n">
        <v>4462</v>
      </c>
      <c r="B24" t="inlineStr">
        <is>
          <t>Nuv Gastrobar</t>
        </is>
      </c>
      <c r="C24" t="inlineStr">
        <is>
          <t>Blue Note - São Paulo</t>
        </is>
      </c>
      <c r="D24" t="n">
        <v>19306</v>
      </c>
      <c r="E24" t="inlineStr">
        <is>
          <t>QUEIJO MUSSARELA FIOR CEREJA YEMA 330G</t>
        </is>
      </c>
      <c r="F24" t="inlineStr">
        <is>
          <t>QUEIJO MUSSARELA CEREJA</t>
        </is>
      </c>
      <c r="G24" t="inlineStr">
        <is>
          <t>ALIMENTOS</t>
        </is>
      </c>
      <c r="H24" t="inlineStr">
        <is>
          <t>PC</t>
        </is>
      </c>
      <c r="I24" t="n">
        <v>2</v>
      </c>
      <c r="J24" t="inlineStr">
        <is>
          <t>08/2026</t>
        </is>
      </c>
      <c r="K24" t="n">
        <v>122.67</v>
      </c>
      <c r="L24" t="inlineStr">
        <is>
          <t>o item: MUSSARELA  FIOR CEREJA YEMA 330G, está contabilizado por quilograma, deve ser mudado para unidade.</t>
        </is>
      </c>
    </row>
    <row r="25">
      <c r="A25" t="n">
        <v>4463</v>
      </c>
      <c r="B25" t="inlineStr">
        <is>
          <t>Blue Note - São Paulo</t>
        </is>
      </c>
      <c r="C25" t="inlineStr">
        <is>
          <t>Nuv Gastrobar</t>
        </is>
      </c>
      <c r="D25" t="n">
        <v>20213</v>
      </c>
      <c r="E25" t="inlineStr">
        <is>
          <t>GRAO DE BICO CAMIL C/2KG</t>
        </is>
      </c>
      <c r="F25" t="inlineStr">
        <is>
          <t>GRAO DE BICO</t>
        </is>
      </c>
      <c r="G25" t="inlineStr">
        <is>
          <t>ALIMENTOS</t>
        </is>
      </c>
      <c r="H25" t="inlineStr">
        <is>
          <t>PC</t>
        </is>
      </c>
      <c r="I25" t="n">
        <v>2</v>
      </c>
      <c r="J25" t="inlineStr">
        <is>
          <t>08/2026</t>
        </is>
      </c>
      <c r="K25" t="n">
        <v>31.6</v>
      </c>
    </row>
    <row r="26">
      <c r="A26" t="n">
        <v>4464</v>
      </c>
      <c r="B26" t="inlineStr">
        <is>
          <t>Blue Note - São Paulo</t>
        </is>
      </c>
      <c r="C26" t="inlineStr">
        <is>
          <t>Nuv Gastrobar</t>
        </is>
      </c>
      <c r="D26" t="n">
        <v>19767</v>
      </c>
      <c r="E26" t="inlineStr">
        <is>
          <t>FIGO KG</t>
        </is>
      </c>
      <c r="F26" t="inlineStr">
        <is>
          <t>FIGO</t>
        </is>
      </c>
      <c r="G26" t="inlineStr">
        <is>
          <t>ALIMENTOS</t>
        </is>
      </c>
      <c r="H26" t="inlineStr">
        <is>
          <t>KG</t>
        </is>
      </c>
      <c r="I26" t="n">
        <v>2.4</v>
      </c>
      <c r="J26" t="inlineStr">
        <is>
          <t>08/2026</t>
        </is>
      </c>
      <c r="K26" t="n">
        <v>109.82</v>
      </c>
    </row>
    <row r="27">
      <c r="A27" t="n">
        <v>4465</v>
      </c>
      <c r="B27" t="inlineStr">
        <is>
          <t>Blue Note - São Paulo</t>
        </is>
      </c>
      <c r="C27" t="inlineStr">
        <is>
          <t>Nuv Gastrobar</t>
        </is>
      </c>
      <c r="D27" t="n">
        <v>23826</v>
      </c>
      <c r="E27" t="inlineStr">
        <is>
          <t>BISCOITO DE MAIZENA NESTLE TOSTINES 200G</t>
        </is>
      </c>
      <c r="F27" t="inlineStr">
        <is>
          <t>BISCOITO DE MAIZENA</t>
        </is>
      </c>
      <c r="G27" t="inlineStr">
        <is>
          <t>ALIMENTOS</t>
        </is>
      </c>
      <c r="H27" t="inlineStr">
        <is>
          <t>PC</t>
        </is>
      </c>
      <c r="I27" t="n">
        <v>5</v>
      </c>
      <c r="J27" t="inlineStr">
        <is>
          <t>08/2026</t>
        </is>
      </c>
      <c r="K27" t="n">
        <v>92</v>
      </c>
    </row>
    <row r="28">
      <c r="A28" t="n">
        <v>4466</v>
      </c>
      <c r="B28" t="inlineStr">
        <is>
          <t>Blue Note - São Paulo</t>
        </is>
      </c>
      <c r="C28" t="inlineStr">
        <is>
          <t>Nuv Gastrobar</t>
        </is>
      </c>
      <c r="D28" t="n">
        <v>20365</v>
      </c>
      <c r="E28" t="inlineStr">
        <is>
          <t>FARINHA DE TRIGO TP1 ANACONDA 1KG</t>
        </is>
      </c>
      <c r="F28" t="inlineStr">
        <is>
          <t>FARINHA DE TRIGO TIPO 1</t>
        </is>
      </c>
      <c r="G28" t="inlineStr">
        <is>
          <t>ALIMENTOS</t>
        </is>
      </c>
      <c r="H28" t="inlineStr">
        <is>
          <t>UN</t>
        </is>
      </c>
      <c r="I28" t="n">
        <v>2</v>
      </c>
      <c r="J28" t="inlineStr">
        <is>
          <t>08/2026</t>
        </is>
      </c>
      <c r="K28" t="n">
        <v>10.58</v>
      </c>
    </row>
    <row r="29">
      <c r="A29" t="n">
        <v>4467</v>
      </c>
      <c r="B29" t="inlineStr">
        <is>
          <t>Blue Note - São Paulo</t>
        </is>
      </c>
      <c r="C29" t="inlineStr">
        <is>
          <t>Nuv Gastrobar</t>
        </is>
      </c>
      <c r="D29" t="n">
        <v>19428</v>
      </c>
      <c r="E29" t="inlineStr">
        <is>
          <t>LEITE INTEGRAL QUATA 1L UN</t>
        </is>
      </c>
      <c r="F29" t="inlineStr">
        <is>
          <t>LEITE INTEGRAL</t>
        </is>
      </c>
      <c r="G29" t="inlineStr">
        <is>
          <t>ALIMENTOS</t>
        </is>
      </c>
      <c r="H29" t="inlineStr">
        <is>
          <t>UN</t>
        </is>
      </c>
      <c r="I29" t="n">
        <v>2</v>
      </c>
      <c r="J29" t="inlineStr">
        <is>
          <t>08/2026</t>
        </is>
      </c>
      <c r="K29" t="n">
        <v>11.3</v>
      </c>
    </row>
    <row r="30">
      <c r="A30" t="n">
        <v>4468</v>
      </c>
      <c r="B30" t="inlineStr">
        <is>
          <t>Blue Note - São Paulo</t>
        </is>
      </c>
      <c r="C30" t="inlineStr">
        <is>
          <t>Nuv Gastrobar</t>
        </is>
      </c>
      <c r="D30" t="n">
        <v>24259</v>
      </c>
      <c r="E30" t="inlineStr">
        <is>
          <t>FILE MIGNON 4/5 S/ CORDAO KG</t>
        </is>
      </c>
      <c r="F30" t="inlineStr">
        <is>
          <t>FILE MIGNON</t>
        </is>
      </c>
      <c r="G30" t="inlineStr">
        <is>
          <t>ALIMENTOS</t>
        </is>
      </c>
      <c r="H30" t="inlineStr">
        <is>
          <t>KG</t>
        </is>
      </c>
      <c r="I30" t="n">
        <v>3</v>
      </c>
      <c r="J30" t="inlineStr">
        <is>
          <t>08/2026</t>
        </is>
      </c>
      <c r="K30" t="n">
        <v>273.3</v>
      </c>
    </row>
    <row r="31">
      <c r="A31" t="n">
        <v>4469</v>
      </c>
      <c r="B31" t="inlineStr">
        <is>
          <t>Blue Note - São Paulo</t>
        </is>
      </c>
      <c r="C31" t="inlineStr">
        <is>
          <t>Nuv Gastrobar</t>
        </is>
      </c>
      <c r="D31" t="n">
        <v>19765</v>
      </c>
      <c r="E31" t="inlineStr">
        <is>
          <t>FRUTAS VERMELHAS CONGELADA KG</t>
        </is>
      </c>
      <c r="F31" t="inlineStr">
        <is>
          <t>FRUTAS VERMELHAS</t>
        </is>
      </c>
      <c r="G31" t="inlineStr">
        <is>
          <t>ALIMENTOS</t>
        </is>
      </c>
      <c r="H31" t="inlineStr">
        <is>
          <t>KG</t>
        </is>
      </c>
      <c r="I31" t="n">
        <v>2</v>
      </c>
      <c r="J31" t="inlineStr">
        <is>
          <t>08/2026</t>
        </is>
      </c>
      <c r="K31" t="n">
        <v>60</v>
      </c>
    </row>
    <row r="32">
      <c r="A32" t="n">
        <v>4470</v>
      </c>
      <c r="B32" t="inlineStr">
        <is>
          <t>Blue Note - São Paulo</t>
        </is>
      </c>
      <c r="C32" t="inlineStr">
        <is>
          <t>Nuv Gastrobar</t>
        </is>
      </c>
      <c r="D32" t="n">
        <v>19621</v>
      </c>
      <c r="E32" t="inlineStr">
        <is>
          <t>CENOURA KG</t>
        </is>
      </c>
      <c r="F32" t="inlineStr">
        <is>
          <t>CENOURA</t>
        </is>
      </c>
      <c r="G32" t="inlineStr">
        <is>
          <t>ALIMENTOS</t>
        </is>
      </c>
      <c r="H32" t="inlineStr">
        <is>
          <t>KG</t>
        </is>
      </c>
      <c r="I32" t="n">
        <v>1.95</v>
      </c>
      <c r="J32" t="inlineStr">
        <is>
          <t>08/2026</t>
        </is>
      </c>
      <c r="K32" t="n">
        <v>8.23</v>
      </c>
    </row>
    <row r="33">
      <c r="A33" t="n">
        <v>4471</v>
      </c>
      <c r="B33" t="inlineStr">
        <is>
          <t>Blue Note - São Paulo</t>
        </is>
      </c>
      <c r="C33" t="inlineStr">
        <is>
          <t>Nuv Gastrobar</t>
        </is>
      </c>
      <c r="D33" t="n">
        <v>19356</v>
      </c>
      <c r="E33" t="inlineStr">
        <is>
          <t>QUEIJO COALHO QUATA KG</t>
        </is>
      </c>
      <c r="F33" t="inlineStr">
        <is>
          <t>QUEIJO COALHO</t>
        </is>
      </c>
      <c r="G33" t="inlineStr">
        <is>
          <t>ALIMENTOS</t>
        </is>
      </c>
      <c r="H33" t="inlineStr">
        <is>
          <t>KG</t>
        </is>
      </c>
      <c r="I33" t="n">
        <v>12</v>
      </c>
      <c r="J33" t="inlineStr">
        <is>
          <t>08/2026</t>
        </is>
      </c>
      <c r="K33" t="n">
        <v>662.52</v>
      </c>
    </row>
    <row r="34">
      <c r="A34" t="n">
        <v>4472</v>
      </c>
      <c r="B34" t="inlineStr">
        <is>
          <t>Blue Note - São Paulo</t>
        </is>
      </c>
      <c r="C34" t="inlineStr">
        <is>
          <t>Nuv Gastrobar</t>
        </is>
      </c>
      <c r="D34" t="n">
        <v>20489</v>
      </c>
      <c r="E34" t="inlineStr">
        <is>
          <t>PRESUNTO COZIDO MAGRO SEARA KG</t>
        </is>
      </c>
      <c r="F34" t="inlineStr">
        <is>
          <t>PRESUNTO COZIDO</t>
        </is>
      </c>
      <c r="G34" t="inlineStr">
        <is>
          <t>ALIMENTOS</t>
        </is>
      </c>
      <c r="H34" t="inlineStr">
        <is>
          <t>KG</t>
        </is>
      </c>
      <c r="I34" t="n">
        <v>3.5</v>
      </c>
      <c r="J34" t="inlineStr">
        <is>
          <t>08/2026</t>
        </is>
      </c>
      <c r="K34" t="n">
        <v>80.33</v>
      </c>
    </row>
    <row r="35">
      <c r="A35" t="n">
        <v>4473</v>
      </c>
      <c r="B35" t="inlineStr">
        <is>
          <t>Blue Note - São Paulo</t>
        </is>
      </c>
      <c r="C35" t="inlineStr">
        <is>
          <t>Nuv Gastrobar</t>
        </is>
      </c>
      <c r="D35" t="n">
        <v>21093</v>
      </c>
      <c r="E35" t="inlineStr">
        <is>
          <t>ACUCAR REFINADO UNIAO 1KG UN KG</t>
        </is>
      </c>
      <c r="F35" t="inlineStr">
        <is>
          <t>ACUCAR REFINADO</t>
        </is>
      </c>
      <c r="G35" t="inlineStr">
        <is>
          <t>ALIMENTOS</t>
        </is>
      </c>
      <c r="H35" t="inlineStr">
        <is>
          <t>KG</t>
        </is>
      </c>
      <c r="I35" t="n">
        <v>4</v>
      </c>
      <c r="J35" t="inlineStr">
        <is>
          <t>08/2026</t>
        </is>
      </c>
      <c r="K35" t="n">
        <v>14.36</v>
      </c>
    </row>
    <row r="36">
      <c r="A36" t="n">
        <v>4474</v>
      </c>
      <c r="B36" t="inlineStr">
        <is>
          <t>Blue Note - São Paulo</t>
        </is>
      </c>
      <c r="C36" t="inlineStr">
        <is>
          <t>Nuv Gastrobar</t>
        </is>
      </c>
      <c r="D36" t="n">
        <v>19324</v>
      </c>
      <c r="E36" t="inlineStr">
        <is>
          <t>QUEIJO MUSSARELA TRES MARIAS KG</t>
        </is>
      </c>
      <c r="F36" t="inlineStr">
        <is>
          <t>QUEIJO MUSSARELA</t>
        </is>
      </c>
      <c r="G36" t="inlineStr">
        <is>
          <t>ALIMENTOS</t>
        </is>
      </c>
      <c r="H36" t="inlineStr">
        <is>
          <t>KG</t>
        </is>
      </c>
      <c r="I36" t="n">
        <v>4.11</v>
      </c>
      <c r="J36" t="inlineStr">
        <is>
          <t>08/2026</t>
        </is>
      </c>
      <c r="K36" t="n">
        <v>172.21</v>
      </c>
    </row>
    <row r="37">
      <c r="A37" t="n">
        <v>4527</v>
      </c>
      <c r="B37" t="inlineStr">
        <is>
          <t>Blue Note - São Paulo</t>
        </is>
      </c>
      <c r="C37" t="inlineStr">
        <is>
          <t>Nuv Gastrobar</t>
        </is>
      </c>
      <c r="D37" t="n">
        <v/>
      </c>
      <c r="E37" t="inlineStr">
        <is>
          <t>GELEIA DE FRUTAS VERMELHAS</t>
        </is>
      </c>
      <c r="G37" t="inlineStr">
        <is>
          <t>ALIMENTOS</t>
        </is>
      </c>
      <c r="H37" t="inlineStr">
        <is>
          <t>QUILOGRAMA</t>
        </is>
      </c>
      <c r="I37" t="n">
        <v>0.8</v>
      </c>
      <c r="J37" t="inlineStr">
        <is>
          <t>08/2026</t>
        </is>
      </c>
      <c r="K37" t="n">
        <v>29.57</v>
      </c>
    </row>
    <row r="38">
      <c r="A38" t="n">
        <v>4528</v>
      </c>
      <c r="B38" t="inlineStr">
        <is>
          <t>Blue Note - São Paulo</t>
        </is>
      </c>
      <c r="C38" t="inlineStr">
        <is>
          <t>Nuv Gastrobar</t>
        </is>
      </c>
      <c r="D38" t="n">
        <v>20689</v>
      </c>
      <c r="E38" t="inlineStr">
        <is>
          <t>CREME DE LEITE FRESCO QUATA C/1,01LT</t>
        </is>
      </c>
      <c r="F38" t="inlineStr">
        <is>
          <t>CREME DE LEITE FRESCO</t>
        </is>
      </c>
      <c r="G38" t="inlineStr">
        <is>
          <t>ALIMENTOS</t>
        </is>
      </c>
      <c r="H38" t="inlineStr">
        <is>
          <t>UN</t>
        </is>
      </c>
      <c r="I38" t="n">
        <v>2</v>
      </c>
      <c r="J38" t="inlineStr">
        <is>
          <t>08/2026</t>
        </is>
      </c>
      <c r="K38" t="n">
        <v>63.35</v>
      </c>
    </row>
    <row r="39">
      <c r="A39" t="n">
        <v>4529</v>
      </c>
      <c r="B39" t="inlineStr">
        <is>
          <t>Blue Note - São Paulo</t>
        </is>
      </c>
      <c r="C39" t="inlineStr">
        <is>
          <t>Nuv Gastrobar</t>
        </is>
      </c>
      <c r="D39" t="n">
        <v/>
      </c>
      <c r="E39" t="inlineStr">
        <is>
          <t>CREME INGLES</t>
        </is>
      </c>
      <c r="G39" t="inlineStr">
        <is>
          <t>ALIMENTOS</t>
        </is>
      </c>
      <c r="H39" t="inlineStr">
        <is>
          <t>QUILOGRAMA</t>
        </is>
      </c>
      <c r="I39" t="n">
        <v>0.43</v>
      </c>
      <c r="J39" t="inlineStr">
        <is>
          <t>08/2026</t>
        </is>
      </c>
      <c r="K39" t="n">
        <v>12.54</v>
      </c>
    </row>
    <row r="40">
      <c r="A40" t="n">
        <v>4530</v>
      </c>
      <c r="B40" t="inlineStr">
        <is>
          <t>Blue Note - São Paulo</t>
        </is>
      </c>
      <c r="C40" t="inlineStr">
        <is>
          <t>Nuv Gastrobar</t>
        </is>
      </c>
      <c r="D40" t="n">
        <v/>
      </c>
      <c r="E40" t="inlineStr">
        <is>
          <t>SUSPIRO PARA PAVLOVA</t>
        </is>
      </c>
      <c r="G40" t="inlineStr">
        <is>
          <t>ALIMENTOS</t>
        </is>
      </c>
      <c r="H40" t="inlineStr">
        <is>
          <t>QUILOGRAMA</t>
        </is>
      </c>
      <c r="I40" t="n">
        <v>0.44</v>
      </c>
      <c r="J40" t="inlineStr">
        <is>
          <t>08/2026</t>
        </is>
      </c>
      <c r="K40" t="n">
        <v>4.79</v>
      </c>
    </row>
    <row r="41">
      <c r="A41" t="n">
        <v>4531</v>
      </c>
      <c r="B41" t="inlineStr">
        <is>
          <t>Nuv Gastrobar</t>
        </is>
      </c>
      <c r="C41" t="inlineStr">
        <is>
          <t>Blue Note - São Paulo</t>
        </is>
      </c>
      <c r="D41" t="n">
        <v>21017</v>
      </c>
      <c r="E41" t="inlineStr">
        <is>
          <t>OLEO DE ALGODAO SAUDE C/14,5KG</t>
        </is>
      </c>
      <c r="F41" t="inlineStr">
        <is>
          <t>OLEO DE ALGODAO</t>
        </is>
      </c>
      <c r="G41" t="inlineStr">
        <is>
          <t>ALIMENTOS</t>
        </is>
      </c>
      <c r="H41" t="inlineStr">
        <is>
          <t>BD</t>
        </is>
      </c>
      <c r="I41" t="n">
        <v>15.8</v>
      </c>
      <c r="J41" t="inlineStr">
        <is>
          <t>08/2026</t>
        </is>
      </c>
      <c r="K41" t="n">
        <v>173.15</v>
      </c>
    </row>
    <row r="42">
      <c r="A42" t="n">
        <v>4548</v>
      </c>
      <c r="B42" t="inlineStr">
        <is>
          <t>Nuv Gastrobar</t>
        </is>
      </c>
      <c r="C42" t="inlineStr">
        <is>
          <t>Blue Note - São Paulo</t>
        </is>
      </c>
      <c r="D42" t="n">
        <v>23062</v>
      </c>
      <c r="E42" t="inlineStr">
        <is>
          <t>QUEIJO PARMESAO QUATA KG</t>
        </is>
      </c>
      <c r="F42" t="inlineStr">
        <is>
          <t>QUEIJO PARMESAO</t>
        </is>
      </c>
      <c r="G42" t="inlineStr">
        <is>
          <t>ALIMENTOS</t>
        </is>
      </c>
      <c r="H42" t="inlineStr">
        <is>
          <t>KG</t>
        </is>
      </c>
      <c r="I42" t="n">
        <v>1.15</v>
      </c>
      <c r="J42" t="inlineStr">
        <is>
          <t>08/2026</t>
        </is>
      </c>
      <c r="K42" t="n">
        <v>90.09999999999999</v>
      </c>
    </row>
    <row r="43">
      <c r="A43" t="n">
        <v>4549</v>
      </c>
      <c r="B43" t="inlineStr">
        <is>
          <t>Blue Note - São Paulo</t>
        </is>
      </c>
      <c r="C43" t="inlineStr">
        <is>
          <t>Nuv Gastrobar</t>
        </is>
      </c>
      <c r="D43" t="n">
        <v>19505</v>
      </c>
      <c r="E43" t="inlineStr">
        <is>
          <t>ALFACE AMERICANA KG</t>
        </is>
      </c>
      <c r="F43" t="inlineStr">
        <is>
          <t>ALFACE AMERICANA</t>
        </is>
      </c>
      <c r="G43" t="inlineStr">
        <is>
          <t>ALIMENTOS</t>
        </is>
      </c>
      <c r="H43" t="inlineStr">
        <is>
          <t>KG</t>
        </is>
      </c>
      <c r="I43" t="n">
        <v>1</v>
      </c>
      <c r="J43" t="inlineStr">
        <is>
          <t>08/2026</t>
        </is>
      </c>
      <c r="K43" t="n">
        <v>10</v>
      </c>
    </row>
    <row r="44">
      <c r="A44" t="n">
        <v>4550</v>
      </c>
      <c r="B44" t="inlineStr">
        <is>
          <t>Nuv Gastrobar</t>
        </is>
      </c>
      <c r="C44" t="inlineStr">
        <is>
          <t>Blue Note - São Paulo</t>
        </is>
      </c>
      <c r="D44" t="n">
        <v>19453</v>
      </c>
      <c r="E44" t="inlineStr">
        <is>
          <t>RUCULA HIGIENIZADO KG</t>
        </is>
      </c>
      <c r="F44" t="inlineStr">
        <is>
          <t>RUCULA HIGIENIZADO</t>
        </is>
      </c>
      <c r="G44" t="inlineStr">
        <is>
          <t>ALIMENTOS</t>
        </is>
      </c>
      <c r="H44" t="inlineStr">
        <is>
          <t>KG</t>
        </is>
      </c>
      <c r="I44" t="n">
        <v>2</v>
      </c>
      <c r="J44" t="inlineStr">
        <is>
          <t>08/2026</t>
        </is>
      </c>
      <c r="K44" t="n">
        <v>101.8</v>
      </c>
    </row>
    <row r="45">
      <c r="A45" t="n">
        <v>4551</v>
      </c>
      <c r="B45" t="inlineStr">
        <is>
          <t>Nuv Gastrobar</t>
        </is>
      </c>
      <c r="C45" t="inlineStr">
        <is>
          <t>Blue Note - São Paulo</t>
        </is>
      </c>
      <c r="D45" t="n">
        <v>26497</v>
      </c>
      <c r="E45" t="inlineStr">
        <is>
          <t>QUEIJO MUSSARELA DE BUFALA BOLINHA C/2KG</t>
        </is>
      </c>
      <c r="F45" t="inlineStr">
        <is>
          <t>QUEIJO MUSSARELA DE BUFALA BOLINHA KG</t>
        </is>
      </c>
      <c r="G45" t="inlineStr">
        <is>
          <t>ALIMENTOS</t>
        </is>
      </c>
      <c r="H45" t="inlineStr">
        <is>
          <t>BD</t>
        </is>
      </c>
      <c r="I45" t="n">
        <v>6</v>
      </c>
      <c r="J45" t="inlineStr">
        <is>
          <t>08/2026</t>
        </is>
      </c>
      <c r="K45" t="n">
        <v>65.7</v>
      </c>
    </row>
    <row r="46">
      <c r="A46" t="n">
        <v>4552</v>
      </c>
      <c r="B46" t="inlineStr">
        <is>
          <t>Nuv Gastrobar</t>
        </is>
      </c>
      <c r="C46" t="inlineStr">
        <is>
          <t>Blue Note - São Paulo</t>
        </is>
      </c>
      <c r="D46" t="n">
        <v>19790</v>
      </c>
      <c r="E46" t="inlineStr">
        <is>
          <t>POLPA DE AVOCADO KG</t>
        </is>
      </c>
      <c r="F46" t="inlineStr">
        <is>
          <t>ABACATE AVOCADO</t>
        </is>
      </c>
      <c r="G46" t="inlineStr">
        <is>
          <t>ALIMENTOS</t>
        </is>
      </c>
      <c r="H46" t="inlineStr">
        <is>
          <t>KG</t>
        </is>
      </c>
      <c r="I46" t="n">
        <v>4</v>
      </c>
      <c r="J46" t="inlineStr">
        <is>
          <t>08/2026</t>
        </is>
      </c>
      <c r="K46" t="n">
        <v>192</v>
      </c>
    </row>
    <row r="47">
      <c r="A47" t="n">
        <v>4553</v>
      </c>
      <c r="B47" t="inlineStr">
        <is>
          <t>Nuv Gastrobar</t>
        </is>
      </c>
      <c r="C47" t="inlineStr">
        <is>
          <t>Blue Note - São Paulo</t>
        </is>
      </c>
      <c r="D47" t="n">
        <v>23234</v>
      </c>
      <c r="E47" t="inlineStr">
        <is>
          <t>ERVILHA CONGELADA KG</t>
        </is>
      </c>
      <c r="F47" t="inlineStr">
        <is>
          <t>ERVILHA CONGELADA</t>
        </is>
      </c>
      <c r="G47" t="inlineStr">
        <is>
          <t>ALIMENTOS</t>
        </is>
      </c>
      <c r="H47" t="inlineStr">
        <is>
          <t>KG</t>
        </is>
      </c>
      <c r="I47" t="n">
        <v>1</v>
      </c>
      <c r="J47" t="inlineStr">
        <is>
          <t>08/2026</t>
        </is>
      </c>
      <c r="K47" t="n">
        <v>25</v>
      </c>
    </row>
    <row r="48">
      <c r="A48" t="n">
        <v>4554</v>
      </c>
      <c r="B48" t="inlineStr">
        <is>
          <t>Nuv Gastrobar</t>
        </is>
      </c>
      <c r="C48" t="inlineStr">
        <is>
          <t>Blue Note - São Paulo</t>
        </is>
      </c>
      <c r="D48" t="n">
        <v>19558</v>
      </c>
      <c r="E48" t="inlineStr">
        <is>
          <t>QUIABO KG</t>
        </is>
      </c>
      <c r="F48" t="inlineStr">
        <is>
          <t>QUIABO</t>
        </is>
      </c>
      <c r="G48" t="inlineStr">
        <is>
          <t>ALIMENTOS</t>
        </is>
      </c>
      <c r="H48" t="inlineStr">
        <is>
          <t>KG</t>
        </is>
      </c>
      <c r="I48" t="n">
        <v>2</v>
      </c>
      <c r="J48" t="inlineStr">
        <is>
          <t>08/2026</t>
        </is>
      </c>
      <c r="K48" t="n">
        <v>28.6</v>
      </c>
    </row>
    <row r="49">
      <c r="A49" t="n">
        <v>4555</v>
      </c>
      <c r="B49" t="inlineStr">
        <is>
          <t>Blue Note - São Paulo</t>
        </is>
      </c>
      <c r="C49" t="inlineStr">
        <is>
          <t>Nuv Gastrobar</t>
        </is>
      </c>
      <c r="D49" t="n">
        <v>19168</v>
      </c>
      <c r="E49" t="inlineStr">
        <is>
          <t>BAGUETE LEVAIN 570GR UN</t>
        </is>
      </c>
      <c r="F49" t="inlineStr">
        <is>
          <t>PAO DE BAGUETE DE GRAO</t>
        </is>
      </c>
      <c r="G49" t="inlineStr">
        <is>
          <t>ALIMENTOS</t>
        </is>
      </c>
      <c r="H49" t="inlineStr">
        <is>
          <t>UN</t>
        </is>
      </c>
      <c r="I49" t="n">
        <v>1</v>
      </c>
      <c r="J49" t="inlineStr">
        <is>
          <t>08/2026</t>
        </is>
      </c>
      <c r="K49" t="n">
        <v>31.93</v>
      </c>
    </row>
    <row r="50">
      <c r="A50" t="n">
        <v>4556</v>
      </c>
      <c r="B50" t="inlineStr">
        <is>
          <t>Blue Note - São Paulo</t>
        </is>
      </c>
      <c r="C50" t="inlineStr">
        <is>
          <t>Nuv Gastrobar</t>
        </is>
      </c>
      <c r="D50" t="n">
        <v>19150</v>
      </c>
      <c r="E50" t="inlineStr">
        <is>
          <t>PAO DA CASA BATARD UN</t>
        </is>
      </c>
      <c r="F50" t="inlineStr">
        <is>
          <t>PAO DE MIGA BRIOCHE</t>
        </is>
      </c>
      <c r="G50" t="inlineStr">
        <is>
          <t>ALIMENTOS</t>
        </is>
      </c>
      <c r="H50" t="inlineStr">
        <is>
          <t>UN</t>
        </is>
      </c>
      <c r="I50" t="n">
        <v>1</v>
      </c>
      <c r="J50" t="inlineStr">
        <is>
          <t>08/2026</t>
        </is>
      </c>
      <c r="K50" t="n">
        <v>24.15</v>
      </c>
    </row>
    <row r="51">
      <c r="A51" t="n">
        <v>4557</v>
      </c>
      <c r="B51" t="inlineStr">
        <is>
          <t>Nuv Gastrobar</t>
        </is>
      </c>
      <c r="C51" t="inlineStr">
        <is>
          <t>Blue Note - São Paulo</t>
        </is>
      </c>
      <c r="D51" t="n">
        <v>30372</v>
      </c>
      <c r="E51" t="inlineStr">
        <is>
          <t>PAO RUSTICO INTEGRAL LPQ FATIADO 750G CX C/9 UN</t>
        </is>
      </c>
      <c r="F51" t="inlineStr">
        <is>
          <t>PAO RUSTICO INTEGRAL LPQ FATIADO 750G CX C/9 UN</t>
        </is>
      </c>
      <c r="G51" t="inlineStr">
        <is>
          <t>ALIMENTOS</t>
        </is>
      </c>
      <c r="H51" t="inlineStr">
        <is>
          <t>CX</t>
        </is>
      </c>
      <c r="I51" t="n">
        <v>5</v>
      </c>
      <c r="J51" t="inlineStr">
        <is>
          <t>08/2026</t>
        </is>
      </c>
      <c r="K51" t="n">
        <v>877.5</v>
      </c>
    </row>
    <row r="52">
      <c r="A52" t="n">
        <v>4558</v>
      </c>
      <c r="B52" t="inlineStr">
        <is>
          <t>Blue Note - São Paulo</t>
        </is>
      </c>
      <c r="C52" t="inlineStr">
        <is>
          <t>Nuv Gastrobar</t>
        </is>
      </c>
      <c r="D52" t="n">
        <v>20025</v>
      </c>
      <c r="E52" t="inlineStr">
        <is>
          <t>FERMENTO BIOLOGICO SECO FLEISCHMANN 500G UN</t>
        </is>
      </c>
      <c r="F52" t="inlineStr">
        <is>
          <t>FERMENTO BIOLOGICO SECO</t>
        </is>
      </c>
      <c r="G52" t="inlineStr">
        <is>
          <t>ALIMENTOS</t>
        </is>
      </c>
      <c r="H52" t="inlineStr">
        <is>
          <t>UN</t>
        </is>
      </c>
      <c r="I52" t="n">
        <v>1</v>
      </c>
      <c r="J52" t="inlineStr">
        <is>
          <t>08/2026</t>
        </is>
      </c>
      <c r="K52" t="n">
        <v>21.7</v>
      </c>
    </row>
    <row r="53">
      <c r="A53" t="n">
        <v>4559</v>
      </c>
      <c r="B53" t="inlineStr">
        <is>
          <t>Blue Note - São Paulo</t>
        </is>
      </c>
      <c r="C53" t="inlineStr">
        <is>
          <t>Nuv Gastrobar</t>
        </is>
      </c>
      <c r="D53" t="n">
        <v>20117</v>
      </c>
      <c r="E53" t="inlineStr">
        <is>
          <t>MASSA FOLHADA AROSA 1KG UN</t>
        </is>
      </c>
      <c r="F53" t="inlineStr">
        <is>
          <t>MASSA FOLHADA</t>
        </is>
      </c>
      <c r="G53" t="inlineStr">
        <is>
          <t>ALIMENTOS</t>
        </is>
      </c>
      <c r="H53" t="inlineStr">
        <is>
          <t>UN</t>
        </is>
      </c>
      <c r="I53" t="n">
        <v>5</v>
      </c>
      <c r="J53" t="inlineStr">
        <is>
          <t>08/2026</t>
        </is>
      </c>
      <c r="K53" t="n">
        <v>189.5</v>
      </c>
    </row>
    <row r="54">
      <c r="A54" t="n">
        <v>4560</v>
      </c>
      <c r="B54" t="inlineStr">
        <is>
          <t>Blue Note - São Paulo</t>
        </is>
      </c>
      <c r="C54" t="inlineStr">
        <is>
          <t>Nuv Gastrobar</t>
        </is>
      </c>
      <c r="D54" t="n">
        <v>20025</v>
      </c>
      <c r="E54" t="inlineStr">
        <is>
          <t>FERMENTO BIOLOGICO SECO FLEISCHMANN 500G UN</t>
        </is>
      </c>
      <c r="F54" t="inlineStr">
        <is>
          <t>FERMENTO BIOLOGICO SECO</t>
        </is>
      </c>
      <c r="G54" t="inlineStr">
        <is>
          <t>ALIMENTOS</t>
        </is>
      </c>
      <c r="H54" t="inlineStr">
        <is>
          <t>UN</t>
        </is>
      </c>
      <c r="I54" t="n">
        <v>1</v>
      </c>
      <c r="J54" t="inlineStr">
        <is>
          <t>08/2026</t>
        </is>
      </c>
      <c r="K54" t="n">
        <v>21.7</v>
      </c>
    </row>
    <row r="55">
      <c r="A55" t="n">
        <v>4753</v>
      </c>
      <c r="B55" t="inlineStr">
        <is>
          <t>Nuv Gastrobar</t>
        </is>
      </c>
      <c r="C55" t="inlineStr">
        <is>
          <t>Blue Note SP (Sala 2)</t>
        </is>
      </c>
      <c r="D55" t="n">
        <v>18562</v>
      </c>
      <c r="E55" t="inlineStr">
        <is>
          <t>CERVEJA HEINEKEN ZERO LONG NECK 330ML C/24</t>
        </is>
      </c>
      <c r="F55" t="inlineStr">
        <is>
          <t>CERVEJA HEINEKEN</t>
        </is>
      </c>
      <c r="G55" t="inlineStr">
        <is>
          <t>BEBIDAS</t>
        </is>
      </c>
      <c r="H55" t="inlineStr">
        <is>
          <t>PC</t>
        </is>
      </c>
      <c r="I55" t="n">
        <v>3</v>
      </c>
      <c r="J55" t="inlineStr">
        <is>
          <t>09/2026</t>
        </is>
      </c>
      <c r="K55" t="n">
        <v>450.54</v>
      </c>
    </row>
    <row r="56">
      <c r="A56" t="n">
        <v>4754</v>
      </c>
      <c r="B56" t="inlineStr">
        <is>
          <t>Nuv Gastrobar</t>
        </is>
      </c>
      <c r="C56" t="inlineStr">
        <is>
          <t>Blue Note SP (Sala 2)</t>
        </is>
      </c>
      <c r="D56" t="n">
        <v>24138</v>
      </c>
      <c r="E56" t="inlineStr">
        <is>
          <t>CERVEJA HEINEKEN LONG NECK 330ML C/24</t>
        </is>
      </c>
      <c r="F56" t="inlineStr">
        <is>
          <t>CERVEJA HEINEKEN</t>
        </is>
      </c>
      <c r="G56" t="inlineStr">
        <is>
          <t>BEBIDAS</t>
        </is>
      </c>
      <c r="H56" t="inlineStr">
        <is>
          <t>PC</t>
        </is>
      </c>
      <c r="I56" t="n">
        <v>10</v>
      </c>
      <c r="J56" t="inlineStr">
        <is>
          <t>09/2026</t>
        </is>
      </c>
      <c r="K56" t="n">
        <v>1533.6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ID_Consumo_Funcionarios</t>
        </is>
      </c>
      <c r="B1" t="inlineStr">
        <is>
          <t>Casa</t>
        </is>
      </c>
      <c r="C1" t="inlineStr">
        <is>
          <t>Data_Baixa</t>
        </is>
      </c>
      <c r="D1" t="inlineStr">
        <is>
          <t>Mes_Texto</t>
        </is>
      </c>
      <c r="E1" t="inlineStr">
        <is>
          <t>Motivo</t>
        </is>
      </c>
      <c r="F1" t="inlineStr">
        <is>
          <t>Valor</t>
        </is>
      </c>
      <c r="G1" t="inlineStr">
        <is>
          <t>Observacoes</t>
        </is>
      </c>
    </row>
    <row r="2">
      <c r="A2" t="n">
        <v>345</v>
      </c>
      <c r="B2" t="inlineStr">
        <is>
          <t>Nuv Gastrobar</t>
        </is>
      </c>
      <c r="C2" s="526" t="n">
        <v>46265</v>
      </c>
      <c r="D2" t="inlineStr">
        <is>
          <t>08/2026</t>
        </is>
      </c>
      <c r="E2" t="inlineStr">
        <is>
          <t>CONSUMO INTERNO</t>
        </is>
      </c>
      <c r="F2" t="n">
        <v>4360</v>
      </c>
      <c r="G2" t="inlineStr">
        <is>
          <t>Consumo de Funcionários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ID_Contagem_Producao</t>
        </is>
      </c>
      <c r="B1" t="inlineStr">
        <is>
          <t>Casa</t>
        </is>
      </c>
      <c r="C1" t="inlineStr">
        <is>
          <t>Data_Contagem</t>
        </is>
      </c>
      <c r="D1" t="inlineStr">
        <is>
          <t>Mes_Texto</t>
        </is>
      </c>
      <c r="E1" t="inlineStr">
        <is>
          <t>Nome_Item_Produzido</t>
        </is>
      </c>
      <c r="F1" t="inlineStr">
        <is>
          <t>Unidade_Medida</t>
        </is>
      </c>
      <c r="G1" t="inlineStr">
        <is>
          <t>Quantidade</t>
        </is>
      </c>
      <c r="H1" t="inlineStr">
        <is>
          <t>Nivel_1</t>
        </is>
      </c>
      <c r="I1" t="inlineStr">
        <is>
          <t>Valor_Unidade_Medida</t>
        </is>
      </c>
      <c r="J1" t="inlineStr">
        <is>
          <t>Valor_Total</t>
        </is>
      </c>
    </row>
    <row r="2">
      <c r="A2" t="n">
        <v>13234</v>
      </c>
      <c r="B2" t="inlineStr">
        <is>
          <t>Nuv Gastrobar</t>
        </is>
      </c>
      <c r="C2" s="526" t="n">
        <v>46265.49715277777</v>
      </c>
      <c r="D2" t="inlineStr">
        <is>
          <t>07/2026</t>
        </is>
      </c>
      <c r="E2" t="inlineStr">
        <is>
          <t>CALDO DE PATO</t>
        </is>
      </c>
      <c r="F2" t="inlineStr">
        <is>
          <t>QUILOGRAMA</t>
        </is>
      </c>
      <c r="G2" t="n">
        <v>5.26</v>
      </c>
      <c r="H2" t="inlineStr">
        <is>
          <t>ALIMENTOS</t>
        </is>
      </c>
      <c r="I2" t="n">
        <v>25.8</v>
      </c>
      <c r="J2" t="n">
        <v>135.81</v>
      </c>
    </row>
    <row r="3">
      <c r="A3" t="n">
        <v>13383</v>
      </c>
      <c r="B3" t="inlineStr">
        <is>
          <t>Nuv Gastrobar</t>
        </is>
      </c>
      <c r="C3" s="526" t="n">
        <v>46266.72217592593</v>
      </c>
      <c r="D3" t="inlineStr">
        <is>
          <t>08/2026</t>
        </is>
      </c>
      <c r="E3" t="inlineStr">
        <is>
          <t>COLESLAW</t>
        </is>
      </c>
      <c r="F3" t="inlineStr">
        <is>
          <t>QUILOGRAMA</t>
        </is>
      </c>
      <c r="G3" t="n">
        <v>0.19</v>
      </c>
      <c r="H3" t="inlineStr">
        <is>
          <t>ALIMENTOS</t>
        </is>
      </c>
      <c r="I3" t="n">
        <v>14.23</v>
      </c>
      <c r="J3" t="n">
        <v>2.73</v>
      </c>
    </row>
    <row r="4">
      <c r="A4" t="n">
        <v>13241</v>
      </c>
      <c r="B4" t="inlineStr">
        <is>
          <t>Nuv Gastrobar</t>
        </is>
      </c>
      <c r="C4" s="526" t="n">
        <v>46265.49715277777</v>
      </c>
      <c r="D4" t="inlineStr">
        <is>
          <t>07/2026</t>
        </is>
      </c>
      <c r="E4" t="inlineStr">
        <is>
          <t>FALAFEL</t>
        </is>
      </c>
      <c r="F4" t="inlineStr">
        <is>
          <t>QUILOGRAMA</t>
        </is>
      </c>
      <c r="G4" t="n">
        <v>2.92</v>
      </c>
      <c r="H4" t="inlineStr">
        <is>
          <t>ALIMENTOS</t>
        </is>
      </c>
      <c r="I4" t="n">
        <v>25.36</v>
      </c>
      <c r="J4" t="n">
        <v>74.09999999999999</v>
      </c>
    </row>
    <row r="5">
      <c r="A5" t="n">
        <v>13237</v>
      </c>
      <c r="B5" t="inlineStr">
        <is>
          <t>Nuv Gastrobar</t>
        </is>
      </c>
      <c r="C5" s="526" t="n">
        <v>46265.49715277777</v>
      </c>
      <c r="D5" t="inlineStr">
        <is>
          <t>07/2026</t>
        </is>
      </c>
      <c r="E5" t="inlineStr">
        <is>
          <t>FRANGO CAESAR</t>
        </is>
      </c>
      <c r="F5" t="inlineStr">
        <is>
          <t>QUILOGRAMA</t>
        </is>
      </c>
      <c r="G5" t="n">
        <v>3.01</v>
      </c>
      <c r="H5" t="inlineStr">
        <is>
          <t>ALIMENTOS</t>
        </is>
      </c>
      <c r="I5" t="n">
        <v>14.84</v>
      </c>
      <c r="J5" t="n">
        <v>44.63</v>
      </c>
    </row>
    <row r="6">
      <c r="A6" t="n">
        <v>13244</v>
      </c>
      <c r="B6" t="inlineStr">
        <is>
          <t>Nuv Gastrobar</t>
        </is>
      </c>
      <c r="C6" s="526" t="n">
        <v>46265.49715277777</v>
      </c>
      <c r="D6" t="inlineStr">
        <is>
          <t>07/2026</t>
        </is>
      </c>
      <c r="E6" t="inlineStr">
        <is>
          <t>MOLHO CAESAR</t>
        </is>
      </c>
      <c r="F6" t="inlineStr">
        <is>
          <t>QUILOGRAMA</t>
        </is>
      </c>
      <c r="G6" t="n">
        <v>0.88</v>
      </c>
      <c r="H6" t="inlineStr">
        <is>
          <t>ALIMENTOS</t>
        </is>
      </c>
      <c r="I6" t="n">
        <v>45.69</v>
      </c>
      <c r="J6" t="n">
        <v>40.16</v>
      </c>
    </row>
    <row r="7">
      <c r="A7" t="n">
        <v>13382</v>
      </c>
      <c r="B7" t="inlineStr">
        <is>
          <t>Nuv Gastrobar</t>
        </is>
      </c>
      <c r="C7" s="526" t="n">
        <v>46266.72217592593</v>
      </c>
      <c r="D7" t="inlineStr">
        <is>
          <t>08/2026</t>
        </is>
      </c>
      <c r="E7" t="inlineStr">
        <is>
          <t>MOLHO DEMI GLACE</t>
        </is>
      </c>
      <c r="F7" t="inlineStr">
        <is>
          <t>QUILOGRAMA</t>
        </is>
      </c>
      <c r="G7" t="n">
        <v>0.54</v>
      </c>
      <c r="H7" t="inlineStr">
        <is>
          <t>ALIMENTOS</t>
        </is>
      </c>
      <c r="I7" t="n">
        <v>74.28</v>
      </c>
      <c r="J7" t="n">
        <v>40.41</v>
      </c>
    </row>
    <row r="8">
      <c r="A8" t="n">
        <v>13381</v>
      </c>
      <c r="B8" t="inlineStr">
        <is>
          <t>Nuv Gastrobar</t>
        </is>
      </c>
      <c r="C8" s="526" t="n">
        <v>46266.72217592593</v>
      </c>
      <c r="D8" t="inlineStr">
        <is>
          <t>08/2026</t>
        </is>
      </c>
      <c r="E8" t="inlineStr">
        <is>
          <t>MOLHO POIVRE</t>
        </is>
      </c>
      <c r="F8" t="inlineStr">
        <is>
          <t>QUILOGRAMA</t>
        </is>
      </c>
      <c r="G8" t="n">
        <v>0.99</v>
      </c>
      <c r="H8" t="inlineStr">
        <is>
          <t>ALIMENTOS</t>
        </is>
      </c>
      <c r="I8" t="n">
        <v>51.51</v>
      </c>
      <c r="J8" t="n">
        <v>51.2</v>
      </c>
    </row>
    <row r="9">
      <c r="A9" t="n">
        <v>13243</v>
      </c>
      <c r="B9" t="inlineStr">
        <is>
          <t>Nuv Gastrobar</t>
        </is>
      </c>
      <c r="C9" s="526" t="n">
        <v>46265.49715277777</v>
      </c>
      <c r="D9" t="inlineStr">
        <is>
          <t>07/2026</t>
        </is>
      </c>
      <c r="E9" t="inlineStr">
        <is>
          <t>MOLHO MOSTARDA</t>
        </is>
      </c>
      <c r="F9" t="inlineStr">
        <is>
          <t>QUILOGRAMA</t>
        </is>
      </c>
      <c r="G9" t="n">
        <v>1.1</v>
      </c>
      <c r="H9" t="inlineStr">
        <is>
          <t>ALIMENTOS</t>
        </is>
      </c>
      <c r="I9" t="n">
        <v>29.3</v>
      </c>
      <c r="J9" t="n">
        <v>32.23</v>
      </c>
    </row>
    <row r="10">
      <c r="A10" t="n">
        <v>13245</v>
      </c>
      <c r="B10" t="inlineStr">
        <is>
          <t>Nuv Gastrobar</t>
        </is>
      </c>
      <c r="C10" s="526" t="n">
        <v>46265.49715277777</v>
      </c>
      <c r="D10" t="inlineStr">
        <is>
          <t>07/2026</t>
        </is>
      </c>
      <c r="E10" t="inlineStr">
        <is>
          <t>MOLHO RANCH</t>
        </is>
      </c>
      <c r="F10" t="inlineStr">
        <is>
          <t>QUILOGRAMA</t>
        </is>
      </c>
      <c r="G10" t="n">
        <v>0.05</v>
      </c>
      <c r="H10" t="inlineStr">
        <is>
          <t>ALIMENTOS</t>
        </is>
      </c>
      <c r="I10" t="n">
        <v>24.49</v>
      </c>
      <c r="J10" t="n">
        <v>1.22</v>
      </c>
    </row>
    <row r="11">
      <c r="A11" t="n">
        <v>13235</v>
      </c>
      <c r="B11" t="inlineStr">
        <is>
          <t>Nuv Gastrobar</t>
        </is>
      </c>
      <c r="C11" s="526" t="n">
        <v>46265.49715277777</v>
      </c>
      <c r="D11" t="inlineStr">
        <is>
          <t>07/2026</t>
        </is>
      </c>
      <c r="E11" t="inlineStr">
        <is>
          <t>PATO DESFIADO</t>
        </is>
      </c>
      <c r="F11" t="inlineStr">
        <is>
          <t>QUILOGRAMA</t>
        </is>
      </c>
      <c r="G11" t="n">
        <v>5.96</v>
      </c>
      <c r="H11" t="inlineStr">
        <is>
          <t>ALIMENTOS</t>
        </is>
      </c>
      <c r="I11" t="n">
        <v>24.75</v>
      </c>
      <c r="J11" t="n">
        <v>147.63</v>
      </c>
    </row>
    <row r="12">
      <c r="A12" t="n">
        <v>13242</v>
      </c>
      <c r="B12" t="inlineStr">
        <is>
          <t>Nuv Gastrobar</t>
        </is>
      </c>
      <c r="C12" s="526" t="n">
        <v>46265.49715277777</v>
      </c>
      <c r="D12" t="inlineStr">
        <is>
          <t>07/2026</t>
        </is>
      </c>
      <c r="E12" t="inlineStr">
        <is>
          <t>PICLES DE CEBOLA ROXA</t>
        </is>
      </c>
      <c r="F12" t="inlineStr">
        <is>
          <t>QUILOGRAMA</t>
        </is>
      </c>
      <c r="G12" t="n">
        <v>9.42</v>
      </c>
      <c r="H12" t="inlineStr">
        <is>
          <t>ALIMENTOS</t>
        </is>
      </c>
      <c r="I12" t="n">
        <v>6.78</v>
      </c>
      <c r="J12" t="n">
        <v>63.91</v>
      </c>
    </row>
    <row r="13">
      <c r="A13" t="n">
        <v>13239</v>
      </c>
      <c r="B13" t="inlineStr">
        <is>
          <t>Nuv Gastrobar</t>
        </is>
      </c>
      <c r="C13" s="526" t="n">
        <v>46265.49715277777</v>
      </c>
      <c r="D13" t="inlineStr">
        <is>
          <t>07/2026</t>
        </is>
      </c>
      <c r="E13" t="inlineStr">
        <is>
          <t>RECHEIO COXINHA</t>
        </is>
      </c>
      <c r="F13" t="inlineStr">
        <is>
          <t>QUILOGRAMA</t>
        </is>
      </c>
      <c r="G13" t="n">
        <v>0.47</v>
      </c>
      <c r="H13" t="inlineStr">
        <is>
          <t>ALIMENTOS</t>
        </is>
      </c>
      <c r="I13" t="n">
        <v>12.07</v>
      </c>
      <c r="J13" t="n">
        <v>5.72</v>
      </c>
    </row>
    <row r="14">
      <c r="A14" t="n">
        <v>13384</v>
      </c>
      <c r="B14" t="inlineStr">
        <is>
          <t>Nuv Gastrobar</t>
        </is>
      </c>
      <c r="C14" s="526" t="n">
        <v>46266.72217592593</v>
      </c>
      <c r="D14" t="inlineStr">
        <is>
          <t>08/2026</t>
        </is>
      </c>
      <c r="E14" t="inlineStr">
        <is>
          <t>RELISH DE PEPINO</t>
        </is>
      </c>
      <c r="F14" t="inlineStr">
        <is>
          <t>QUILOGRAMA</t>
        </is>
      </c>
      <c r="G14" t="n">
        <v>0.8</v>
      </c>
      <c r="H14" t="inlineStr">
        <is>
          <t>ALIMENTOS</t>
        </is>
      </c>
      <c r="I14" t="n">
        <v>11.37</v>
      </c>
      <c r="J14" t="n">
        <v>9.09</v>
      </c>
    </row>
    <row r="15">
      <c r="A15" t="n">
        <v>13236</v>
      </c>
      <c r="B15" t="inlineStr">
        <is>
          <t>Nuv Gastrobar</t>
        </is>
      </c>
      <c r="C15" s="526" t="n">
        <v>46265.49715277777</v>
      </c>
      <c r="D15" t="inlineStr">
        <is>
          <t>07/2026</t>
        </is>
      </c>
      <c r="E15" t="inlineStr">
        <is>
          <t>ROSBIFE DE LAGARTO</t>
        </is>
      </c>
      <c r="F15" t="inlineStr">
        <is>
          <t>QUILOGRAMA</t>
        </is>
      </c>
      <c r="G15" t="n">
        <v>3.69</v>
      </c>
      <c r="H15" t="inlineStr">
        <is>
          <t>ALIMENTOS</t>
        </is>
      </c>
      <c r="I15" t="n">
        <v>53.1</v>
      </c>
      <c r="J15" t="n">
        <v>196.15</v>
      </c>
    </row>
    <row r="16">
      <c r="A16" t="n">
        <v>13380</v>
      </c>
      <c r="B16" t="inlineStr">
        <is>
          <t>Nuv Gastrobar</t>
        </is>
      </c>
      <c r="C16" s="526" t="n">
        <v>46266.72217592593</v>
      </c>
      <c r="D16" t="inlineStr">
        <is>
          <t>08/2026</t>
        </is>
      </c>
      <c r="E16" t="inlineStr">
        <is>
          <t>VINAGRETE DE LIMAO SICILIANO TOSTADO</t>
        </is>
      </c>
      <c r="F16" t="inlineStr">
        <is>
          <t>QUILOGRAMA</t>
        </is>
      </c>
      <c r="G16" t="n">
        <v>0.66</v>
      </c>
      <c r="H16" t="inlineStr">
        <is>
          <t>ALIMENTOS</t>
        </is>
      </c>
      <c r="I16" t="n">
        <v>39.94</v>
      </c>
      <c r="J16" t="n">
        <v>26.28</v>
      </c>
    </row>
    <row r="17">
      <c r="A17" t="n">
        <v>13240</v>
      </c>
      <c r="B17" t="inlineStr">
        <is>
          <t>Nuv Gastrobar</t>
        </is>
      </c>
      <c r="C17" s="526" t="n">
        <v>46265.49715277777</v>
      </c>
      <c r="D17" t="inlineStr">
        <is>
          <t>07/2026</t>
        </is>
      </c>
      <c r="E17" t="inlineStr">
        <is>
          <t>RECHEIO EMPADA</t>
        </is>
      </c>
      <c r="F17" t="inlineStr">
        <is>
          <t>QUILOGRAMA</t>
        </is>
      </c>
      <c r="G17" t="n">
        <v>7.2</v>
      </c>
      <c r="H17" t="inlineStr">
        <is>
          <t>ALIMENTOS</t>
        </is>
      </c>
      <c r="I17" t="n">
        <v>25.82</v>
      </c>
      <c r="J17" t="n">
        <v>185.87</v>
      </c>
    </row>
    <row r="18">
      <c r="A18" t="n">
        <v>13385</v>
      </c>
      <c r="B18" t="inlineStr">
        <is>
          <t>Nuv Gastrobar</t>
        </is>
      </c>
      <c r="C18" s="526" t="n">
        <v>46266.72217592593</v>
      </c>
      <c r="D18" t="inlineStr">
        <is>
          <t>08/2026</t>
        </is>
      </c>
      <c r="E18" t="inlineStr">
        <is>
          <t>EMPADA DE PALMITO E MILHO</t>
        </is>
      </c>
      <c r="F18" t="inlineStr">
        <is>
          <t>QUILOGRAMA</t>
        </is>
      </c>
      <c r="G18" t="n">
        <v>5</v>
      </c>
      <c r="H18" t="inlineStr">
        <is>
          <t>ALIMENTOS</t>
        </is>
      </c>
      <c r="I18" t="n">
        <v>24.87</v>
      </c>
      <c r="J18" t="n">
        <v>124.33</v>
      </c>
    </row>
    <row r="19">
      <c r="A19" t="n">
        <v>13238</v>
      </c>
      <c r="B19" t="inlineStr">
        <is>
          <t>Nuv Gastrobar</t>
        </is>
      </c>
      <c r="C19" s="526" t="n">
        <v>46265.49715277777</v>
      </c>
      <c r="D19" t="inlineStr">
        <is>
          <t>07/2026</t>
        </is>
      </c>
      <c r="E19" t="inlineStr">
        <is>
          <t>QUEIJADINHA DE LIMAO CRAVO</t>
        </is>
      </c>
      <c r="F19" t="inlineStr">
        <is>
          <t>QUILOGRAMA</t>
        </is>
      </c>
      <c r="G19" t="n">
        <v>1.44</v>
      </c>
      <c r="H19" t="inlineStr">
        <is>
          <t>ALIMENTOS</t>
        </is>
      </c>
      <c r="I19" t="n">
        <v>28.54</v>
      </c>
      <c r="J19" t="n">
        <v>41.22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Casa</t>
        </is>
      </c>
      <c r="B1" t="inlineStr">
        <is>
          <t>Classif. Cont. 1</t>
        </is>
      </c>
      <c r="C1" t="inlineStr">
        <is>
          <t>Classif. Cont. 2</t>
        </is>
      </c>
      <c r="D1" t="inlineStr">
        <is>
          <t>Mês</t>
        </is>
      </c>
      <c r="E1" t="inlineStr">
        <is>
          <t>Valor</t>
        </is>
      </c>
      <c r="F1" t="inlineStr">
        <is>
          <t>Versão Plano Cont.</t>
        </is>
      </c>
      <c r="G1" t="inlineStr">
        <is>
          <t>Válido</t>
        </is>
      </c>
      <c r="H1" t="inlineStr">
        <is>
          <t>Mes_Texto</t>
        </is>
      </c>
    </row>
    <row r="2">
      <c r="A2" t="inlineStr">
        <is>
          <t>Nuv Gastrobar</t>
        </is>
      </c>
      <c r="B2" t="inlineStr">
        <is>
          <t>Custo de Ocupação</t>
        </is>
      </c>
      <c r="C2" t="inlineStr">
        <is>
          <t>Aluguel de Imoveis</t>
        </is>
      </c>
      <c r="D2" t="inlineStr">
        <is>
          <t>01/01/2026</t>
        </is>
      </c>
      <c r="E2" t="n">
        <v>0</v>
      </c>
      <c r="F2" t="inlineStr">
        <is>
          <t>Fabrica de Bares (2025)</t>
        </is>
      </c>
      <c r="G2" t="b">
        <v>1</v>
      </c>
      <c r="H2" t="inlineStr">
        <is>
          <t>1/2026</t>
        </is>
      </c>
    </row>
    <row r="3">
      <c r="A3" t="inlineStr">
        <is>
          <t>Nuv Gastrobar</t>
        </is>
      </c>
      <c r="B3" t="inlineStr">
        <is>
          <t>Custo de Ocupação</t>
        </is>
      </c>
      <c r="C3" t="inlineStr">
        <is>
          <t>Aluguel de Imoveis</t>
        </is>
      </c>
      <c r="D3" t="inlineStr">
        <is>
          <t>01/02/2026</t>
        </is>
      </c>
      <c r="E3" t="n">
        <v>0</v>
      </c>
      <c r="F3" t="inlineStr">
        <is>
          <t>Fabrica de Bares (2025)</t>
        </is>
      </c>
      <c r="G3" t="b">
        <v>1</v>
      </c>
      <c r="H3" t="inlineStr">
        <is>
          <t>2/2026</t>
        </is>
      </c>
    </row>
    <row r="4">
      <c r="A4" t="inlineStr">
        <is>
          <t>Nuv Gastrobar</t>
        </is>
      </c>
      <c r="B4" t="inlineStr">
        <is>
          <t>Custo de Ocupação</t>
        </is>
      </c>
      <c r="C4" t="inlineStr">
        <is>
          <t>Aluguel de Imoveis</t>
        </is>
      </c>
      <c r="D4" t="inlineStr">
        <is>
          <t>01/03/2026</t>
        </is>
      </c>
      <c r="E4" t="n">
        <v>0</v>
      </c>
      <c r="F4" t="inlineStr">
        <is>
          <t>Fabrica de Bares (2025)</t>
        </is>
      </c>
      <c r="G4" t="b">
        <v>1</v>
      </c>
      <c r="H4" t="inlineStr">
        <is>
          <t>3/2026</t>
        </is>
      </c>
    </row>
    <row r="5">
      <c r="A5" t="inlineStr">
        <is>
          <t>Nuv Gastrobar</t>
        </is>
      </c>
      <c r="B5" t="inlineStr">
        <is>
          <t>Custo de Ocupação</t>
        </is>
      </c>
      <c r="C5" t="inlineStr">
        <is>
          <t>Aluguel de Imoveis</t>
        </is>
      </c>
      <c r="D5" t="inlineStr">
        <is>
          <t>01/04/2026</t>
        </is>
      </c>
      <c r="E5" t="n">
        <v>0</v>
      </c>
      <c r="F5" t="inlineStr">
        <is>
          <t>Fabrica de Bares (2025)</t>
        </is>
      </c>
      <c r="G5" t="b">
        <v>1</v>
      </c>
      <c r="H5" t="inlineStr">
        <is>
          <t>4/2026</t>
        </is>
      </c>
    </row>
    <row r="6">
      <c r="A6" t="inlineStr">
        <is>
          <t>Nuv Gastrobar</t>
        </is>
      </c>
      <c r="B6" t="inlineStr">
        <is>
          <t>Custo de Ocupação</t>
        </is>
      </c>
      <c r="C6" t="inlineStr">
        <is>
          <t>Aluguel de Imoveis</t>
        </is>
      </c>
      <c r="D6" t="inlineStr">
        <is>
          <t>01/05/2026</t>
        </is>
      </c>
      <c r="E6" t="n">
        <v>0</v>
      </c>
      <c r="F6" t="inlineStr">
        <is>
          <t>Fabrica de Bares (2025)</t>
        </is>
      </c>
      <c r="G6" t="b">
        <v>1</v>
      </c>
      <c r="H6" t="inlineStr">
        <is>
          <t>5/2026</t>
        </is>
      </c>
    </row>
    <row r="7">
      <c r="A7" t="inlineStr">
        <is>
          <t>Nuv Gastrobar</t>
        </is>
      </c>
      <c r="B7" t="inlineStr">
        <is>
          <t>Custo de Ocupação</t>
        </is>
      </c>
      <c r="C7" t="inlineStr">
        <is>
          <t>Aluguel de Imoveis</t>
        </is>
      </c>
      <c r="D7" t="inlineStr">
        <is>
          <t>01/06/2026</t>
        </is>
      </c>
      <c r="E7" t="n">
        <v>0</v>
      </c>
      <c r="F7" t="inlineStr">
        <is>
          <t>Fabrica de Bares (2025)</t>
        </is>
      </c>
      <c r="G7" t="b">
        <v>1</v>
      </c>
      <c r="H7" t="inlineStr">
        <is>
          <t>6/2026</t>
        </is>
      </c>
    </row>
    <row r="8">
      <c r="A8" t="inlineStr">
        <is>
          <t>Nuv Gastrobar</t>
        </is>
      </c>
      <c r="B8" t="inlineStr">
        <is>
          <t>Custo de Ocupação</t>
        </is>
      </c>
      <c r="C8" t="inlineStr">
        <is>
          <t>Aluguel de Imoveis</t>
        </is>
      </c>
      <c r="D8" t="inlineStr">
        <is>
          <t>01/07/2026</t>
        </is>
      </c>
      <c r="E8" t="n">
        <v>0</v>
      </c>
      <c r="F8" t="inlineStr">
        <is>
          <t>Fabrica de Bares (2025)</t>
        </is>
      </c>
      <c r="G8" t="b">
        <v>1</v>
      </c>
      <c r="H8" t="inlineStr">
        <is>
          <t>7/2026</t>
        </is>
      </c>
    </row>
    <row r="9">
      <c r="A9" t="inlineStr">
        <is>
          <t>Nuv Gastrobar</t>
        </is>
      </c>
      <c r="B9" t="inlineStr">
        <is>
          <t>Custo de Ocupação</t>
        </is>
      </c>
      <c r="C9" t="inlineStr">
        <is>
          <t>Aluguel de Imoveis</t>
        </is>
      </c>
      <c r="D9" t="inlineStr">
        <is>
          <t>01/08/2026</t>
        </is>
      </c>
      <c r="E9" t="n">
        <v>18790.2</v>
      </c>
      <c r="F9" t="inlineStr">
        <is>
          <t>Fabrica de Bares (2025)</t>
        </is>
      </c>
      <c r="G9" t="b">
        <v>1</v>
      </c>
      <c r="H9" t="inlineStr">
        <is>
          <t>8/2026</t>
        </is>
      </c>
    </row>
    <row r="10">
      <c r="A10" t="inlineStr">
        <is>
          <t>Nuv Gastrobar</t>
        </is>
      </c>
      <c r="B10" t="inlineStr">
        <is>
          <t>Custo de Ocupação</t>
        </is>
      </c>
      <c r="C10" t="inlineStr">
        <is>
          <t>Aluguel de Imoveis</t>
        </is>
      </c>
      <c r="D10" t="inlineStr">
        <is>
          <t>01/09/2026</t>
        </is>
      </c>
      <c r="E10" t="n">
        <v>29255.6</v>
      </c>
      <c r="F10" t="inlineStr">
        <is>
          <t>Fabrica de Bares (2025)</t>
        </is>
      </c>
      <c r="G10" t="b">
        <v>1</v>
      </c>
      <c r="H10" t="inlineStr">
        <is>
          <t>9/2026</t>
        </is>
      </c>
    </row>
    <row r="11">
      <c r="A11" t="inlineStr">
        <is>
          <t>Nuv Gastrobar</t>
        </is>
      </c>
      <c r="B11" t="inlineStr">
        <is>
          <t>Custo de Ocupação</t>
        </is>
      </c>
      <c r="C11" t="inlineStr">
        <is>
          <t>Aluguel de Imoveis</t>
        </is>
      </c>
      <c r="D11" t="inlineStr">
        <is>
          <t>01/10/2026</t>
        </is>
      </c>
      <c r="E11" t="n">
        <v>34040.6</v>
      </c>
      <c r="F11" t="inlineStr">
        <is>
          <t>Fabrica de Bares (2025)</t>
        </is>
      </c>
      <c r="G11" t="b">
        <v>1</v>
      </c>
      <c r="H11" t="inlineStr">
        <is>
          <t>10/2026</t>
        </is>
      </c>
    </row>
    <row r="12">
      <c r="A12" t="inlineStr">
        <is>
          <t>Nuv Gastrobar</t>
        </is>
      </c>
      <c r="B12" t="inlineStr">
        <is>
          <t>Custo de Ocupação</t>
        </is>
      </c>
      <c r="C12" t="inlineStr">
        <is>
          <t>Aluguel de Imoveis</t>
        </is>
      </c>
      <c r="D12" t="inlineStr">
        <is>
          <t>01/11/2026</t>
        </is>
      </c>
      <c r="E12" t="n">
        <v>48994</v>
      </c>
      <c r="F12" t="inlineStr">
        <is>
          <t>Fabrica de Bares (2025)</t>
        </is>
      </c>
      <c r="G12" t="b">
        <v>1</v>
      </c>
      <c r="H12" t="inlineStr">
        <is>
          <t>11/2026</t>
        </is>
      </c>
    </row>
    <row r="13">
      <c r="A13" t="inlineStr">
        <is>
          <t>Nuv Gastrobar</t>
        </is>
      </c>
      <c r="B13" t="inlineStr">
        <is>
          <t>Custo de Ocupação</t>
        </is>
      </c>
      <c r="C13" t="inlineStr">
        <is>
          <t>Aluguel de Imoveis</t>
        </is>
      </c>
      <c r="D13" t="inlineStr">
        <is>
          <t>01/12/2026</t>
        </is>
      </c>
      <c r="E13" t="n">
        <v>48461.6</v>
      </c>
      <c r="F13" t="inlineStr">
        <is>
          <t>Fabrica de Bares (2025)</t>
        </is>
      </c>
      <c r="G13" t="b">
        <v>1</v>
      </c>
      <c r="H13" t="inlineStr">
        <is>
          <t>12/2026</t>
        </is>
      </c>
    </row>
    <row r="14">
      <c r="A14" t="inlineStr">
        <is>
          <t>Nuv Gastrobar</t>
        </is>
      </c>
      <c r="B14" t="inlineStr">
        <is>
          <t>Custo de Ocupação</t>
        </is>
      </c>
      <c r="C14" t="inlineStr">
        <is>
          <t>Arrendamento</t>
        </is>
      </c>
      <c r="D14" t="inlineStr">
        <is>
          <t>01/01/2026</t>
        </is>
      </c>
      <c r="E14" t="n">
        <v>0</v>
      </c>
      <c r="F14" t="inlineStr">
        <is>
          <t>Fabrica de Bares (2025)</t>
        </is>
      </c>
      <c r="G14" t="b">
        <v>1</v>
      </c>
      <c r="H14" t="inlineStr">
        <is>
          <t>1/2026</t>
        </is>
      </c>
    </row>
    <row r="15">
      <c r="A15" t="inlineStr">
        <is>
          <t>Nuv Gastrobar</t>
        </is>
      </c>
      <c r="B15" t="inlineStr">
        <is>
          <t>Custo de Ocupação</t>
        </is>
      </c>
      <c r="C15" t="inlineStr">
        <is>
          <t>Arrendamento</t>
        </is>
      </c>
      <c r="D15" t="inlineStr">
        <is>
          <t>01/02/2026</t>
        </is>
      </c>
      <c r="E15" t="n">
        <v>0</v>
      </c>
      <c r="F15" t="inlineStr">
        <is>
          <t>Fabrica de Bares (2025)</t>
        </is>
      </c>
      <c r="G15" t="b">
        <v>1</v>
      </c>
      <c r="H15" t="inlineStr">
        <is>
          <t>2/2026</t>
        </is>
      </c>
    </row>
    <row r="16">
      <c r="A16" t="inlineStr">
        <is>
          <t>Nuv Gastrobar</t>
        </is>
      </c>
      <c r="B16" t="inlineStr">
        <is>
          <t>Custo de Ocupação</t>
        </is>
      </c>
      <c r="C16" t="inlineStr">
        <is>
          <t>Arrendamento</t>
        </is>
      </c>
      <c r="D16" t="inlineStr">
        <is>
          <t>01/03/2026</t>
        </is>
      </c>
      <c r="E16" t="n">
        <v>0</v>
      </c>
      <c r="F16" t="inlineStr">
        <is>
          <t>Fabrica de Bares (2025)</t>
        </is>
      </c>
      <c r="G16" t="b">
        <v>1</v>
      </c>
      <c r="H16" t="inlineStr">
        <is>
          <t>3/2026</t>
        </is>
      </c>
    </row>
    <row r="17">
      <c r="A17" t="inlineStr">
        <is>
          <t>Nuv Gastrobar</t>
        </is>
      </c>
      <c r="B17" t="inlineStr">
        <is>
          <t>Custo de Ocupação</t>
        </is>
      </c>
      <c r="C17" t="inlineStr">
        <is>
          <t>Arrendamento</t>
        </is>
      </c>
      <c r="D17" t="inlineStr">
        <is>
          <t>01/04/2026</t>
        </is>
      </c>
      <c r="E17" t="n">
        <v>0</v>
      </c>
      <c r="F17" t="inlineStr">
        <is>
          <t>Fabrica de Bares (2025)</t>
        </is>
      </c>
      <c r="G17" t="b">
        <v>1</v>
      </c>
      <c r="H17" t="inlineStr">
        <is>
          <t>4/2026</t>
        </is>
      </c>
    </row>
    <row r="18">
      <c r="A18" t="inlineStr">
        <is>
          <t>Nuv Gastrobar</t>
        </is>
      </c>
      <c r="B18" t="inlineStr">
        <is>
          <t>Custo de Ocupação</t>
        </is>
      </c>
      <c r="C18" t="inlineStr">
        <is>
          <t>Arrendamento</t>
        </is>
      </c>
      <c r="D18" t="inlineStr">
        <is>
          <t>01/05/2026</t>
        </is>
      </c>
      <c r="E18" t="n">
        <v>0</v>
      </c>
      <c r="F18" t="inlineStr">
        <is>
          <t>Fabrica de Bares (2025)</t>
        </is>
      </c>
      <c r="G18" t="b">
        <v>1</v>
      </c>
      <c r="H18" t="inlineStr">
        <is>
          <t>5/2026</t>
        </is>
      </c>
    </row>
    <row r="19">
      <c r="A19" t="inlineStr">
        <is>
          <t>Nuv Gastrobar</t>
        </is>
      </c>
      <c r="B19" t="inlineStr">
        <is>
          <t>Custo de Ocupação</t>
        </is>
      </c>
      <c r="C19" t="inlineStr">
        <is>
          <t>Arrendamento</t>
        </is>
      </c>
      <c r="D19" t="inlineStr">
        <is>
          <t>01/06/2026</t>
        </is>
      </c>
      <c r="E19" t="n">
        <v>0</v>
      </c>
      <c r="F19" t="inlineStr">
        <is>
          <t>Fabrica de Bares (2025)</t>
        </is>
      </c>
      <c r="G19" t="b">
        <v>1</v>
      </c>
      <c r="H19" t="inlineStr">
        <is>
          <t>6/2026</t>
        </is>
      </c>
    </row>
    <row r="20">
      <c r="A20" t="inlineStr">
        <is>
          <t>Nuv Gastrobar</t>
        </is>
      </c>
      <c r="B20" t="inlineStr">
        <is>
          <t>Custo de Ocupação</t>
        </is>
      </c>
      <c r="C20" t="inlineStr">
        <is>
          <t>Arrendamento</t>
        </is>
      </c>
      <c r="D20" t="inlineStr">
        <is>
          <t>01/07/2026</t>
        </is>
      </c>
      <c r="E20" t="n">
        <v>0</v>
      </c>
      <c r="F20" t="inlineStr">
        <is>
          <t>Fabrica de Bares (2025)</t>
        </is>
      </c>
      <c r="G20" t="b">
        <v>1</v>
      </c>
      <c r="H20" t="inlineStr">
        <is>
          <t>7/2026</t>
        </is>
      </c>
    </row>
    <row r="21">
      <c r="A21" t="inlineStr">
        <is>
          <t>Nuv Gastrobar</t>
        </is>
      </c>
      <c r="B21" t="inlineStr">
        <is>
          <t>Custo de Ocupação</t>
        </is>
      </c>
      <c r="C21" t="inlineStr">
        <is>
          <t>Arrendamento</t>
        </is>
      </c>
      <c r="D21" t="inlineStr">
        <is>
          <t>01/08/2026</t>
        </is>
      </c>
      <c r="E21" t="n">
        <v>0</v>
      </c>
      <c r="F21" t="inlineStr">
        <is>
          <t>Fabrica de Bares (2025)</t>
        </is>
      </c>
      <c r="G21" t="b">
        <v>1</v>
      </c>
      <c r="H21" t="inlineStr">
        <is>
          <t>8/2026</t>
        </is>
      </c>
    </row>
    <row r="22">
      <c r="A22" t="inlineStr">
        <is>
          <t>Nuv Gastrobar</t>
        </is>
      </c>
      <c r="B22" t="inlineStr">
        <is>
          <t>Custo de Ocupação</t>
        </is>
      </c>
      <c r="C22" t="inlineStr">
        <is>
          <t>Arrendamento</t>
        </is>
      </c>
      <c r="D22" t="inlineStr">
        <is>
          <t>01/09/2026</t>
        </is>
      </c>
      <c r="E22" t="n">
        <v>0</v>
      </c>
      <c r="F22" t="inlineStr">
        <is>
          <t>Fabrica de Bares (2025)</t>
        </is>
      </c>
      <c r="G22" t="b">
        <v>1</v>
      </c>
      <c r="H22" t="inlineStr">
        <is>
          <t>9/2026</t>
        </is>
      </c>
    </row>
    <row r="23">
      <c r="A23" t="inlineStr">
        <is>
          <t>Nuv Gastrobar</t>
        </is>
      </c>
      <c r="B23" t="inlineStr">
        <is>
          <t>Custo de Ocupação</t>
        </is>
      </c>
      <c r="C23" t="inlineStr">
        <is>
          <t>Arrendamento</t>
        </is>
      </c>
      <c r="D23" t="inlineStr">
        <is>
          <t>01/10/2026</t>
        </is>
      </c>
      <c r="E23" t="n">
        <v>0</v>
      </c>
      <c r="F23" t="inlineStr">
        <is>
          <t>Fabrica de Bares (2025)</t>
        </is>
      </c>
      <c r="G23" t="b">
        <v>1</v>
      </c>
      <c r="H23" t="inlineStr">
        <is>
          <t>10/2026</t>
        </is>
      </c>
    </row>
    <row r="24">
      <c r="A24" t="inlineStr">
        <is>
          <t>Nuv Gastrobar</t>
        </is>
      </c>
      <c r="B24" t="inlineStr">
        <is>
          <t>Custo de Ocupação</t>
        </is>
      </c>
      <c r="C24" t="inlineStr">
        <is>
          <t>Arrendamento</t>
        </is>
      </c>
      <c r="D24" t="inlineStr">
        <is>
          <t>01/11/2026</t>
        </is>
      </c>
      <c r="E24" t="n">
        <v>0</v>
      </c>
      <c r="F24" t="inlineStr">
        <is>
          <t>Fabrica de Bares (2025)</t>
        </is>
      </c>
      <c r="G24" t="b">
        <v>1</v>
      </c>
      <c r="H24" t="inlineStr">
        <is>
          <t>11/2026</t>
        </is>
      </c>
    </row>
    <row r="25">
      <c r="A25" t="inlineStr">
        <is>
          <t>Nuv Gastrobar</t>
        </is>
      </c>
      <c r="B25" t="inlineStr">
        <is>
          <t>Custo de Ocupação</t>
        </is>
      </c>
      <c r="C25" t="inlineStr">
        <is>
          <t>Arrendamento</t>
        </is>
      </c>
      <c r="D25" t="inlineStr">
        <is>
          <t>01/12/2026</t>
        </is>
      </c>
      <c r="E25" t="n">
        <v>0</v>
      </c>
      <c r="F25" t="inlineStr">
        <is>
          <t>Fabrica de Bares (2025)</t>
        </is>
      </c>
      <c r="G25" t="b">
        <v>1</v>
      </c>
      <c r="H25" t="inlineStr">
        <is>
          <t>12/2026</t>
        </is>
      </c>
    </row>
    <row r="26">
      <c r="A26" t="inlineStr">
        <is>
          <t>Nuv Gastrobar</t>
        </is>
      </c>
      <c r="B26" t="inlineStr">
        <is>
          <t>Custo de Ocupação</t>
        </is>
      </c>
      <c r="C26" t="inlineStr">
        <is>
          <t>Condominio</t>
        </is>
      </c>
      <c r="D26" t="inlineStr">
        <is>
          <t>01/01/2026</t>
        </is>
      </c>
      <c r="E26" t="n">
        <v>0</v>
      </c>
      <c r="F26" t="inlineStr">
        <is>
          <t>Fabrica de Bares (2025)</t>
        </is>
      </c>
      <c r="G26" t="b">
        <v>1</v>
      </c>
      <c r="H26" t="inlineStr">
        <is>
          <t>1/2026</t>
        </is>
      </c>
    </row>
    <row r="27">
      <c r="A27" t="inlineStr">
        <is>
          <t>Nuv Gastrobar</t>
        </is>
      </c>
      <c r="B27" t="inlineStr">
        <is>
          <t>Custo de Ocupação</t>
        </is>
      </c>
      <c r="C27" t="inlineStr">
        <is>
          <t>Condominio</t>
        </is>
      </c>
      <c r="D27" t="inlineStr">
        <is>
          <t>01/02/2026</t>
        </is>
      </c>
      <c r="E27" t="n">
        <v>0</v>
      </c>
      <c r="F27" t="inlineStr">
        <is>
          <t>Fabrica de Bares (2025)</t>
        </is>
      </c>
      <c r="G27" t="b">
        <v>1</v>
      </c>
      <c r="H27" t="inlineStr">
        <is>
          <t>2/2026</t>
        </is>
      </c>
    </row>
    <row r="28">
      <c r="A28" t="inlineStr">
        <is>
          <t>Nuv Gastrobar</t>
        </is>
      </c>
      <c r="B28" t="inlineStr">
        <is>
          <t>Custo de Ocupação</t>
        </is>
      </c>
      <c r="C28" t="inlineStr">
        <is>
          <t>Condominio</t>
        </is>
      </c>
      <c r="D28" t="inlineStr">
        <is>
          <t>01/03/2026</t>
        </is>
      </c>
      <c r="E28" t="n">
        <v>0</v>
      </c>
      <c r="F28" t="inlineStr">
        <is>
          <t>Fabrica de Bares (2025)</t>
        </is>
      </c>
      <c r="G28" t="b">
        <v>1</v>
      </c>
      <c r="H28" t="inlineStr">
        <is>
          <t>3/2026</t>
        </is>
      </c>
    </row>
    <row r="29">
      <c r="A29" t="inlineStr">
        <is>
          <t>Nuv Gastrobar</t>
        </is>
      </c>
      <c r="B29" t="inlineStr">
        <is>
          <t>Custo de Ocupação</t>
        </is>
      </c>
      <c r="C29" t="inlineStr">
        <is>
          <t>Condominio</t>
        </is>
      </c>
      <c r="D29" t="inlineStr">
        <is>
          <t>01/04/2026</t>
        </is>
      </c>
      <c r="E29" t="n">
        <v>0</v>
      </c>
      <c r="F29" t="inlineStr">
        <is>
          <t>Fabrica de Bares (2025)</t>
        </is>
      </c>
      <c r="G29" t="b">
        <v>1</v>
      </c>
      <c r="H29" t="inlineStr">
        <is>
          <t>4/2026</t>
        </is>
      </c>
    </row>
    <row r="30">
      <c r="A30" t="inlineStr">
        <is>
          <t>Nuv Gastrobar</t>
        </is>
      </c>
      <c r="B30" t="inlineStr">
        <is>
          <t>Custo de Ocupação</t>
        </is>
      </c>
      <c r="C30" t="inlineStr">
        <is>
          <t>Condominio</t>
        </is>
      </c>
      <c r="D30" t="inlineStr">
        <is>
          <t>01/05/2026</t>
        </is>
      </c>
      <c r="E30" t="n">
        <v>0</v>
      </c>
      <c r="F30" t="inlineStr">
        <is>
          <t>Fabrica de Bares (2025)</t>
        </is>
      </c>
      <c r="G30" t="b">
        <v>1</v>
      </c>
      <c r="H30" t="inlineStr">
        <is>
          <t>5/2026</t>
        </is>
      </c>
    </row>
    <row r="31">
      <c r="A31" t="inlineStr">
        <is>
          <t>Nuv Gastrobar</t>
        </is>
      </c>
      <c r="B31" t="inlineStr">
        <is>
          <t>Custo de Ocupação</t>
        </is>
      </c>
      <c r="C31" t="inlineStr">
        <is>
          <t>Condominio</t>
        </is>
      </c>
      <c r="D31" t="inlineStr">
        <is>
          <t>01/06/2026</t>
        </is>
      </c>
      <c r="E31" t="n">
        <v>0</v>
      </c>
      <c r="F31" t="inlineStr">
        <is>
          <t>Fabrica de Bares (2025)</t>
        </is>
      </c>
      <c r="G31" t="b">
        <v>1</v>
      </c>
      <c r="H31" t="inlineStr">
        <is>
          <t>6/2026</t>
        </is>
      </c>
    </row>
    <row r="32">
      <c r="A32" t="inlineStr">
        <is>
          <t>Nuv Gastrobar</t>
        </is>
      </c>
      <c r="B32" t="inlineStr">
        <is>
          <t>Custo de Ocupação</t>
        </is>
      </c>
      <c r="C32" t="inlineStr">
        <is>
          <t>Condominio</t>
        </is>
      </c>
      <c r="D32" t="inlineStr">
        <is>
          <t>01/07/2026</t>
        </is>
      </c>
      <c r="E32" t="n">
        <v>0</v>
      </c>
      <c r="F32" t="inlineStr">
        <is>
          <t>Fabrica de Bares (2025)</t>
        </is>
      </c>
      <c r="G32" t="b">
        <v>1</v>
      </c>
      <c r="H32" t="inlineStr">
        <is>
          <t>7/2026</t>
        </is>
      </c>
    </row>
    <row r="33">
      <c r="A33" t="inlineStr">
        <is>
          <t>Nuv Gastrobar</t>
        </is>
      </c>
      <c r="B33" t="inlineStr">
        <is>
          <t>Custo de Ocupação</t>
        </is>
      </c>
      <c r="C33" t="inlineStr">
        <is>
          <t>Condominio</t>
        </is>
      </c>
      <c r="D33" t="inlineStr">
        <is>
          <t>01/08/2026</t>
        </is>
      </c>
      <c r="E33" t="n">
        <v>0</v>
      </c>
      <c r="F33" t="inlineStr">
        <is>
          <t>Fabrica de Bares (2025)</t>
        </is>
      </c>
      <c r="G33" t="b">
        <v>1</v>
      </c>
      <c r="H33" t="inlineStr">
        <is>
          <t>8/2026</t>
        </is>
      </c>
    </row>
    <row r="34">
      <c r="A34" t="inlineStr">
        <is>
          <t>Nuv Gastrobar</t>
        </is>
      </c>
      <c r="B34" t="inlineStr">
        <is>
          <t>Custo de Ocupação</t>
        </is>
      </c>
      <c r="C34" t="inlineStr">
        <is>
          <t>Condominio</t>
        </is>
      </c>
      <c r="D34" t="inlineStr">
        <is>
          <t>01/09/2026</t>
        </is>
      </c>
      <c r="E34" t="n">
        <v>0</v>
      </c>
      <c r="F34" t="inlineStr">
        <is>
          <t>Fabrica de Bares (2025)</t>
        </is>
      </c>
      <c r="G34" t="b">
        <v>1</v>
      </c>
      <c r="H34" t="inlineStr">
        <is>
          <t>9/2026</t>
        </is>
      </c>
    </row>
    <row r="35">
      <c r="A35" t="inlineStr">
        <is>
          <t>Nuv Gastrobar</t>
        </is>
      </c>
      <c r="B35" t="inlineStr">
        <is>
          <t>Custo de Ocupação</t>
        </is>
      </c>
      <c r="C35" t="inlineStr">
        <is>
          <t>Condominio</t>
        </is>
      </c>
      <c r="D35" t="inlineStr">
        <is>
          <t>01/10/2026</t>
        </is>
      </c>
      <c r="E35" t="n">
        <v>0</v>
      </c>
      <c r="F35" t="inlineStr">
        <is>
          <t>Fabrica de Bares (2025)</t>
        </is>
      </c>
      <c r="G35" t="b">
        <v>1</v>
      </c>
      <c r="H35" t="inlineStr">
        <is>
          <t>10/2026</t>
        </is>
      </c>
    </row>
    <row r="36">
      <c r="A36" t="inlineStr">
        <is>
          <t>Nuv Gastrobar</t>
        </is>
      </c>
      <c r="B36" t="inlineStr">
        <is>
          <t>Custo de Ocupação</t>
        </is>
      </c>
      <c r="C36" t="inlineStr">
        <is>
          <t>Condominio</t>
        </is>
      </c>
      <c r="D36" t="inlineStr">
        <is>
          <t>01/11/2026</t>
        </is>
      </c>
      <c r="E36" t="n">
        <v>0</v>
      </c>
      <c r="F36" t="inlineStr">
        <is>
          <t>Fabrica de Bares (2025)</t>
        </is>
      </c>
      <c r="G36" t="b">
        <v>1</v>
      </c>
      <c r="H36" t="inlineStr">
        <is>
          <t>11/2026</t>
        </is>
      </c>
    </row>
    <row r="37">
      <c r="A37" t="inlineStr">
        <is>
          <t>Nuv Gastrobar</t>
        </is>
      </c>
      <c r="B37" t="inlineStr">
        <is>
          <t>Custo de Ocupação</t>
        </is>
      </c>
      <c r="C37" t="inlineStr">
        <is>
          <t>Condominio</t>
        </is>
      </c>
      <c r="D37" t="inlineStr">
        <is>
          <t>01/12/2026</t>
        </is>
      </c>
      <c r="E37" t="n">
        <v>0</v>
      </c>
      <c r="F37" t="inlineStr">
        <is>
          <t>Fabrica de Bares (2025)</t>
        </is>
      </c>
      <c r="G37" t="b">
        <v>1</v>
      </c>
      <c r="H37" t="inlineStr">
        <is>
          <t>12/2026</t>
        </is>
      </c>
    </row>
    <row r="38">
      <c r="A38" t="inlineStr">
        <is>
          <t>Nuv Gastrobar</t>
        </is>
      </c>
      <c r="B38" t="inlineStr">
        <is>
          <t>Custo de Ocupação</t>
        </is>
      </c>
      <c r="C38" t="inlineStr">
        <is>
          <t>Fundo de Promoção</t>
        </is>
      </c>
      <c r="D38" t="inlineStr">
        <is>
          <t>01/01/2026</t>
        </is>
      </c>
      <c r="E38" t="n">
        <v>0</v>
      </c>
      <c r="F38" t="inlineStr">
        <is>
          <t>Fabrica de Bares (2025)</t>
        </is>
      </c>
      <c r="G38" t="b">
        <v>1</v>
      </c>
      <c r="H38" t="inlineStr">
        <is>
          <t>1/2026</t>
        </is>
      </c>
    </row>
    <row r="39">
      <c r="A39" t="inlineStr">
        <is>
          <t>Nuv Gastrobar</t>
        </is>
      </c>
      <c r="B39" t="inlineStr">
        <is>
          <t>Custo de Ocupação</t>
        </is>
      </c>
      <c r="C39" t="inlineStr">
        <is>
          <t>Fundo de Promoção</t>
        </is>
      </c>
      <c r="D39" t="inlineStr">
        <is>
          <t>01/02/2026</t>
        </is>
      </c>
      <c r="E39" t="n">
        <v>0</v>
      </c>
      <c r="F39" t="inlineStr">
        <is>
          <t>Fabrica de Bares (2025)</t>
        </is>
      </c>
      <c r="G39" t="b">
        <v>1</v>
      </c>
      <c r="H39" t="inlineStr">
        <is>
          <t>2/2026</t>
        </is>
      </c>
    </row>
    <row r="40">
      <c r="A40" t="inlineStr">
        <is>
          <t>Nuv Gastrobar</t>
        </is>
      </c>
      <c r="B40" t="inlineStr">
        <is>
          <t>Custo de Ocupação</t>
        </is>
      </c>
      <c r="C40" t="inlineStr">
        <is>
          <t>Fundo de Promoção</t>
        </is>
      </c>
      <c r="D40" t="inlineStr">
        <is>
          <t>01/03/2026</t>
        </is>
      </c>
      <c r="E40" t="n">
        <v>0</v>
      </c>
      <c r="F40" t="inlineStr">
        <is>
          <t>Fabrica de Bares (2025)</t>
        </is>
      </c>
      <c r="G40" t="b">
        <v>1</v>
      </c>
      <c r="H40" t="inlineStr">
        <is>
          <t>3/2026</t>
        </is>
      </c>
    </row>
    <row r="41">
      <c r="A41" t="inlineStr">
        <is>
          <t>Nuv Gastrobar</t>
        </is>
      </c>
      <c r="B41" t="inlineStr">
        <is>
          <t>Custo de Ocupação</t>
        </is>
      </c>
      <c r="C41" t="inlineStr">
        <is>
          <t>Fundo de Promoção</t>
        </is>
      </c>
      <c r="D41" t="inlineStr">
        <is>
          <t>01/04/2026</t>
        </is>
      </c>
      <c r="E41" t="n">
        <v>0</v>
      </c>
      <c r="F41" t="inlineStr">
        <is>
          <t>Fabrica de Bares (2025)</t>
        </is>
      </c>
      <c r="G41" t="b">
        <v>1</v>
      </c>
      <c r="H41" t="inlineStr">
        <is>
          <t>4/2026</t>
        </is>
      </c>
    </row>
    <row r="42">
      <c r="A42" t="inlineStr">
        <is>
          <t>Nuv Gastrobar</t>
        </is>
      </c>
      <c r="B42" t="inlineStr">
        <is>
          <t>Custo de Ocupação</t>
        </is>
      </c>
      <c r="C42" t="inlineStr">
        <is>
          <t>Fundo de Promoção</t>
        </is>
      </c>
      <c r="D42" t="inlineStr">
        <is>
          <t>01/05/2026</t>
        </is>
      </c>
      <c r="E42" t="n">
        <v>0</v>
      </c>
      <c r="F42" t="inlineStr">
        <is>
          <t>Fabrica de Bares (2025)</t>
        </is>
      </c>
      <c r="G42" t="b">
        <v>1</v>
      </c>
      <c r="H42" t="inlineStr">
        <is>
          <t>5/2026</t>
        </is>
      </c>
    </row>
    <row r="43">
      <c r="A43" t="inlineStr">
        <is>
          <t>Nuv Gastrobar</t>
        </is>
      </c>
      <c r="B43" t="inlineStr">
        <is>
          <t>Custo de Ocupação</t>
        </is>
      </c>
      <c r="C43" t="inlineStr">
        <is>
          <t>Fundo de Promoção</t>
        </is>
      </c>
      <c r="D43" t="inlineStr">
        <is>
          <t>01/06/2026</t>
        </is>
      </c>
      <c r="E43" t="n">
        <v>0</v>
      </c>
      <c r="F43" t="inlineStr">
        <is>
          <t>Fabrica de Bares (2025)</t>
        </is>
      </c>
      <c r="G43" t="b">
        <v>1</v>
      </c>
      <c r="H43" t="inlineStr">
        <is>
          <t>6/2026</t>
        </is>
      </c>
    </row>
    <row r="44">
      <c r="A44" t="inlineStr">
        <is>
          <t>Nuv Gastrobar</t>
        </is>
      </c>
      <c r="B44" t="inlineStr">
        <is>
          <t>Custo de Ocupação</t>
        </is>
      </c>
      <c r="C44" t="inlineStr">
        <is>
          <t>Fundo de Promoção</t>
        </is>
      </c>
      <c r="D44" t="inlineStr">
        <is>
          <t>01/07/2026</t>
        </is>
      </c>
      <c r="E44" t="n">
        <v>0</v>
      </c>
      <c r="F44" t="inlineStr">
        <is>
          <t>Fabrica de Bares (2025)</t>
        </is>
      </c>
      <c r="G44" t="b">
        <v>1</v>
      </c>
      <c r="H44" t="inlineStr">
        <is>
          <t>7/2026</t>
        </is>
      </c>
    </row>
    <row r="45">
      <c r="A45" t="inlineStr">
        <is>
          <t>Nuv Gastrobar</t>
        </is>
      </c>
      <c r="B45" t="inlineStr">
        <is>
          <t>Custo de Ocupação</t>
        </is>
      </c>
      <c r="C45" t="inlineStr">
        <is>
          <t>Fundo de Promoção</t>
        </is>
      </c>
      <c r="D45" t="inlineStr">
        <is>
          <t>01/08/2026</t>
        </is>
      </c>
      <c r="E45" t="n">
        <v>0</v>
      </c>
      <c r="F45" t="inlineStr">
        <is>
          <t>Fabrica de Bares (2025)</t>
        </is>
      </c>
      <c r="G45" t="b">
        <v>1</v>
      </c>
      <c r="H45" t="inlineStr">
        <is>
          <t>8/2026</t>
        </is>
      </c>
    </row>
    <row r="46">
      <c r="A46" t="inlineStr">
        <is>
          <t>Nuv Gastrobar</t>
        </is>
      </c>
      <c r="B46" t="inlineStr">
        <is>
          <t>Custo de Ocupação</t>
        </is>
      </c>
      <c r="C46" t="inlineStr">
        <is>
          <t>Fundo de Promoção</t>
        </is>
      </c>
      <c r="D46" t="inlineStr">
        <is>
          <t>01/09/2026</t>
        </is>
      </c>
      <c r="E46" t="n">
        <v>0</v>
      </c>
      <c r="F46" t="inlineStr">
        <is>
          <t>Fabrica de Bares (2025)</t>
        </is>
      </c>
      <c r="G46" t="b">
        <v>1</v>
      </c>
      <c r="H46" t="inlineStr">
        <is>
          <t>9/2026</t>
        </is>
      </c>
    </row>
    <row r="47">
      <c r="A47" t="inlineStr">
        <is>
          <t>Nuv Gastrobar</t>
        </is>
      </c>
      <c r="B47" t="inlineStr">
        <is>
          <t>Custo de Ocupação</t>
        </is>
      </c>
      <c r="C47" t="inlineStr">
        <is>
          <t>Fundo de Promoção</t>
        </is>
      </c>
      <c r="D47" t="inlineStr">
        <is>
          <t>01/10/2026</t>
        </is>
      </c>
      <c r="E47" t="n">
        <v>0</v>
      </c>
      <c r="F47" t="inlineStr">
        <is>
          <t>Fabrica de Bares (2025)</t>
        </is>
      </c>
      <c r="G47" t="b">
        <v>1</v>
      </c>
      <c r="H47" t="inlineStr">
        <is>
          <t>10/2026</t>
        </is>
      </c>
    </row>
    <row r="48">
      <c r="A48" t="inlineStr">
        <is>
          <t>Nuv Gastrobar</t>
        </is>
      </c>
      <c r="B48" t="inlineStr">
        <is>
          <t>Custo de Ocupação</t>
        </is>
      </c>
      <c r="C48" t="inlineStr">
        <is>
          <t>Fundo de Promoção</t>
        </is>
      </c>
      <c r="D48" t="inlineStr">
        <is>
          <t>01/11/2026</t>
        </is>
      </c>
      <c r="E48" t="n">
        <v>0</v>
      </c>
      <c r="F48" t="inlineStr">
        <is>
          <t>Fabrica de Bares (2025)</t>
        </is>
      </c>
      <c r="G48" t="b">
        <v>1</v>
      </c>
      <c r="H48" t="inlineStr">
        <is>
          <t>11/2026</t>
        </is>
      </c>
    </row>
    <row r="49">
      <c r="A49" t="inlineStr">
        <is>
          <t>Nuv Gastrobar</t>
        </is>
      </c>
      <c r="B49" t="inlineStr">
        <is>
          <t>Custo de Ocupação</t>
        </is>
      </c>
      <c r="C49" t="inlineStr">
        <is>
          <t>Fundo de Promoção</t>
        </is>
      </c>
      <c r="D49" t="inlineStr">
        <is>
          <t>01/12/2026</t>
        </is>
      </c>
      <c r="E49" t="n">
        <v>0</v>
      </c>
      <c r="F49" t="inlineStr">
        <is>
          <t>Fabrica de Bares (2025)</t>
        </is>
      </c>
      <c r="G49" t="b">
        <v>1</v>
      </c>
      <c r="H49" t="inlineStr">
        <is>
          <t>12/2026</t>
        </is>
      </c>
    </row>
    <row r="50">
      <c r="A50" t="inlineStr">
        <is>
          <t>Nuv Gastrobar</t>
        </is>
      </c>
      <c r="B50" t="inlineStr">
        <is>
          <t>Custo de Ocupação</t>
        </is>
      </c>
      <c r="C50" t="inlineStr">
        <is>
          <t>IPTU</t>
        </is>
      </c>
      <c r="D50" t="inlineStr">
        <is>
          <t>01/01/2026</t>
        </is>
      </c>
      <c r="E50" t="n">
        <v>0</v>
      </c>
      <c r="F50" t="inlineStr">
        <is>
          <t>Fabrica de Bares (2025)</t>
        </is>
      </c>
      <c r="G50" t="b">
        <v>1</v>
      </c>
      <c r="H50" t="inlineStr">
        <is>
          <t>1/2026</t>
        </is>
      </c>
    </row>
    <row r="51">
      <c r="A51" t="inlineStr">
        <is>
          <t>Nuv Gastrobar</t>
        </is>
      </c>
      <c r="B51" t="inlineStr">
        <is>
          <t>Custo de Ocupação</t>
        </is>
      </c>
      <c r="C51" t="inlineStr">
        <is>
          <t>IPTU</t>
        </is>
      </c>
      <c r="D51" t="inlineStr">
        <is>
          <t>01/02/2026</t>
        </is>
      </c>
      <c r="E51" t="n">
        <v>0</v>
      </c>
      <c r="F51" t="inlineStr">
        <is>
          <t>Fabrica de Bares (2025)</t>
        </is>
      </c>
      <c r="G51" t="b">
        <v>1</v>
      </c>
      <c r="H51" t="inlineStr">
        <is>
          <t>2/2026</t>
        </is>
      </c>
    </row>
    <row r="52">
      <c r="A52" t="inlineStr">
        <is>
          <t>Nuv Gastrobar</t>
        </is>
      </c>
      <c r="B52" t="inlineStr">
        <is>
          <t>Custo de Ocupação</t>
        </is>
      </c>
      <c r="C52" t="inlineStr">
        <is>
          <t>IPTU</t>
        </is>
      </c>
      <c r="D52" t="inlineStr">
        <is>
          <t>01/03/2026</t>
        </is>
      </c>
      <c r="E52" t="n">
        <v>0</v>
      </c>
      <c r="F52" t="inlineStr">
        <is>
          <t>Fabrica de Bares (2025)</t>
        </is>
      </c>
      <c r="G52" t="b">
        <v>1</v>
      </c>
      <c r="H52" t="inlineStr">
        <is>
          <t>3/2026</t>
        </is>
      </c>
    </row>
    <row r="53">
      <c r="A53" t="inlineStr">
        <is>
          <t>Nuv Gastrobar</t>
        </is>
      </c>
      <c r="B53" t="inlineStr">
        <is>
          <t>Custo de Ocupação</t>
        </is>
      </c>
      <c r="C53" t="inlineStr">
        <is>
          <t>IPTU</t>
        </is>
      </c>
      <c r="D53" t="inlineStr">
        <is>
          <t>01/04/2026</t>
        </is>
      </c>
      <c r="E53" t="n">
        <v>0</v>
      </c>
      <c r="F53" t="inlineStr">
        <is>
          <t>Fabrica de Bares (2025)</t>
        </is>
      </c>
      <c r="G53" t="b">
        <v>1</v>
      </c>
      <c r="H53" t="inlineStr">
        <is>
          <t>4/2026</t>
        </is>
      </c>
    </row>
    <row r="54">
      <c r="A54" t="inlineStr">
        <is>
          <t>Nuv Gastrobar</t>
        </is>
      </c>
      <c r="B54" t="inlineStr">
        <is>
          <t>Custo de Ocupação</t>
        </is>
      </c>
      <c r="C54" t="inlineStr">
        <is>
          <t>IPTU</t>
        </is>
      </c>
      <c r="D54" t="inlineStr">
        <is>
          <t>01/05/2026</t>
        </is>
      </c>
      <c r="E54" t="n">
        <v>0</v>
      </c>
      <c r="F54" t="inlineStr">
        <is>
          <t>Fabrica de Bares (2025)</t>
        </is>
      </c>
      <c r="G54" t="b">
        <v>1</v>
      </c>
      <c r="H54" t="inlineStr">
        <is>
          <t>5/2026</t>
        </is>
      </c>
    </row>
    <row r="55">
      <c r="A55" t="inlineStr">
        <is>
          <t>Nuv Gastrobar</t>
        </is>
      </c>
      <c r="B55" t="inlineStr">
        <is>
          <t>Custo de Ocupação</t>
        </is>
      </c>
      <c r="C55" t="inlineStr">
        <is>
          <t>IPTU</t>
        </is>
      </c>
      <c r="D55" t="inlineStr">
        <is>
          <t>01/06/2026</t>
        </is>
      </c>
      <c r="E55" t="n">
        <v>0</v>
      </c>
      <c r="F55" t="inlineStr">
        <is>
          <t>Fabrica de Bares (2025)</t>
        </is>
      </c>
      <c r="G55" t="b">
        <v>1</v>
      </c>
      <c r="H55" t="inlineStr">
        <is>
          <t>6/2026</t>
        </is>
      </c>
    </row>
    <row r="56">
      <c r="A56" t="inlineStr">
        <is>
          <t>Nuv Gastrobar</t>
        </is>
      </c>
      <c r="B56" t="inlineStr">
        <is>
          <t>Custo de Ocupação</t>
        </is>
      </c>
      <c r="C56" t="inlineStr">
        <is>
          <t>IPTU</t>
        </is>
      </c>
      <c r="D56" t="inlineStr">
        <is>
          <t>01/07/2026</t>
        </is>
      </c>
      <c r="E56" t="n">
        <v>0</v>
      </c>
      <c r="F56" t="inlineStr">
        <is>
          <t>Fabrica de Bares (2025)</t>
        </is>
      </c>
      <c r="G56" t="b">
        <v>1</v>
      </c>
      <c r="H56" t="inlineStr">
        <is>
          <t>7/2026</t>
        </is>
      </c>
    </row>
    <row r="57">
      <c r="A57" t="inlineStr">
        <is>
          <t>Nuv Gastrobar</t>
        </is>
      </c>
      <c r="B57" t="inlineStr">
        <is>
          <t>Custo de Ocupação</t>
        </is>
      </c>
      <c r="C57" t="inlineStr">
        <is>
          <t>IPTU</t>
        </is>
      </c>
      <c r="D57" t="inlineStr">
        <is>
          <t>01/08/2026</t>
        </is>
      </c>
      <c r="E57" t="n">
        <v>0</v>
      </c>
      <c r="F57" t="inlineStr">
        <is>
          <t>Fabrica de Bares (2025)</t>
        </is>
      </c>
      <c r="G57" t="b">
        <v>1</v>
      </c>
      <c r="H57" t="inlineStr">
        <is>
          <t>8/2026</t>
        </is>
      </c>
    </row>
    <row r="58">
      <c r="A58" t="inlineStr">
        <is>
          <t>Nuv Gastrobar</t>
        </is>
      </c>
      <c r="B58" t="inlineStr">
        <is>
          <t>Custo de Ocupação</t>
        </is>
      </c>
      <c r="C58" t="inlineStr">
        <is>
          <t>IPTU</t>
        </is>
      </c>
      <c r="D58" t="inlineStr">
        <is>
          <t>01/09/2026</t>
        </is>
      </c>
      <c r="E58" t="n">
        <v>0</v>
      </c>
      <c r="F58" t="inlineStr">
        <is>
          <t>Fabrica de Bares (2025)</t>
        </is>
      </c>
      <c r="G58" t="b">
        <v>1</v>
      </c>
      <c r="H58" t="inlineStr">
        <is>
          <t>9/2026</t>
        </is>
      </c>
    </row>
    <row r="59">
      <c r="A59" t="inlineStr">
        <is>
          <t>Nuv Gastrobar</t>
        </is>
      </c>
      <c r="B59" t="inlineStr">
        <is>
          <t>Custo de Ocupação</t>
        </is>
      </c>
      <c r="C59" t="inlineStr">
        <is>
          <t>IPTU</t>
        </is>
      </c>
      <c r="D59" t="inlineStr">
        <is>
          <t>01/10/2026</t>
        </is>
      </c>
      <c r="E59" t="n">
        <v>0</v>
      </c>
      <c r="F59" t="inlineStr">
        <is>
          <t>Fabrica de Bares (2025)</t>
        </is>
      </c>
      <c r="G59" t="b">
        <v>1</v>
      </c>
      <c r="H59" t="inlineStr">
        <is>
          <t>10/2026</t>
        </is>
      </c>
    </row>
    <row r="60">
      <c r="A60" t="inlineStr">
        <is>
          <t>Nuv Gastrobar</t>
        </is>
      </c>
      <c r="B60" t="inlineStr">
        <is>
          <t>Custo de Ocupação</t>
        </is>
      </c>
      <c r="C60" t="inlineStr">
        <is>
          <t>IPTU</t>
        </is>
      </c>
      <c r="D60" t="inlineStr">
        <is>
          <t>01/11/2026</t>
        </is>
      </c>
      <c r="E60" t="n">
        <v>0</v>
      </c>
      <c r="F60" t="inlineStr">
        <is>
          <t>Fabrica de Bares (2025)</t>
        </is>
      </c>
      <c r="G60" t="b">
        <v>1</v>
      </c>
      <c r="H60" t="inlineStr">
        <is>
          <t>11/2026</t>
        </is>
      </c>
    </row>
    <row r="61">
      <c r="A61" t="inlineStr">
        <is>
          <t>Nuv Gastrobar</t>
        </is>
      </c>
      <c r="B61" t="inlineStr">
        <is>
          <t>Custo de Ocupação</t>
        </is>
      </c>
      <c r="C61" t="inlineStr">
        <is>
          <t>IPTU</t>
        </is>
      </c>
      <c r="D61" t="inlineStr">
        <is>
          <t>01/12/2026</t>
        </is>
      </c>
      <c r="E61" t="n">
        <v>0</v>
      </c>
      <c r="F61" t="inlineStr">
        <is>
          <t>Fabrica de Bares (2025)</t>
        </is>
      </c>
      <c r="G61" t="b">
        <v>1</v>
      </c>
      <c r="H61" t="inlineStr">
        <is>
          <t>12/2026</t>
        </is>
      </c>
    </row>
    <row r="62">
      <c r="A62" t="inlineStr">
        <is>
          <t>Nuv Gastrobar</t>
        </is>
      </c>
      <c r="B62" t="inlineStr">
        <is>
          <t>Custo de Ocupação</t>
        </is>
      </c>
      <c r="C62" t="inlineStr">
        <is>
          <t>Seguro Patrimonial</t>
        </is>
      </c>
      <c r="D62" t="inlineStr">
        <is>
          <t>01/01/2026</t>
        </is>
      </c>
      <c r="E62" t="n">
        <v>0</v>
      </c>
      <c r="F62" t="inlineStr">
        <is>
          <t>Fabrica de Bares (2025)</t>
        </is>
      </c>
      <c r="G62" t="b">
        <v>1</v>
      </c>
      <c r="H62" t="inlineStr">
        <is>
          <t>1/2026</t>
        </is>
      </c>
    </row>
    <row r="63">
      <c r="A63" t="inlineStr">
        <is>
          <t>Nuv Gastrobar</t>
        </is>
      </c>
      <c r="B63" t="inlineStr">
        <is>
          <t>Custo de Ocupação</t>
        </is>
      </c>
      <c r="C63" t="inlineStr">
        <is>
          <t>Seguro Patrimonial</t>
        </is>
      </c>
      <c r="D63" t="inlineStr">
        <is>
          <t>01/02/2026</t>
        </is>
      </c>
      <c r="E63" t="n">
        <v>0</v>
      </c>
      <c r="F63" t="inlineStr">
        <is>
          <t>Fabrica de Bares (2025)</t>
        </is>
      </c>
      <c r="G63" t="b">
        <v>1</v>
      </c>
      <c r="H63" t="inlineStr">
        <is>
          <t>2/2026</t>
        </is>
      </c>
    </row>
    <row r="64">
      <c r="A64" t="inlineStr">
        <is>
          <t>Nuv Gastrobar</t>
        </is>
      </c>
      <c r="B64" t="inlineStr">
        <is>
          <t>Custo de Ocupação</t>
        </is>
      </c>
      <c r="C64" t="inlineStr">
        <is>
          <t>Seguro Patrimonial</t>
        </is>
      </c>
      <c r="D64" t="inlineStr">
        <is>
          <t>01/03/2026</t>
        </is>
      </c>
      <c r="E64" t="n">
        <v>0</v>
      </c>
      <c r="F64" t="inlineStr">
        <is>
          <t>Fabrica de Bares (2025)</t>
        </is>
      </c>
      <c r="G64" t="b">
        <v>1</v>
      </c>
      <c r="H64" t="inlineStr">
        <is>
          <t>3/2026</t>
        </is>
      </c>
    </row>
    <row r="65">
      <c r="A65" t="inlineStr">
        <is>
          <t>Nuv Gastrobar</t>
        </is>
      </c>
      <c r="B65" t="inlineStr">
        <is>
          <t>Custo de Ocupação</t>
        </is>
      </c>
      <c r="C65" t="inlineStr">
        <is>
          <t>Seguro Patrimonial</t>
        </is>
      </c>
      <c r="D65" t="inlineStr">
        <is>
          <t>01/04/2026</t>
        </is>
      </c>
      <c r="E65" t="n">
        <v>0</v>
      </c>
      <c r="F65" t="inlineStr">
        <is>
          <t>Fabrica de Bares (2025)</t>
        </is>
      </c>
      <c r="G65" t="b">
        <v>1</v>
      </c>
      <c r="H65" t="inlineStr">
        <is>
          <t>4/2026</t>
        </is>
      </c>
    </row>
    <row r="66">
      <c r="A66" t="inlineStr">
        <is>
          <t>Nuv Gastrobar</t>
        </is>
      </c>
      <c r="B66" t="inlineStr">
        <is>
          <t>Custo de Ocupação</t>
        </is>
      </c>
      <c r="C66" t="inlineStr">
        <is>
          <t>Seguro Patrimonial</t>
        </is>
      </c>
      <c r="D66" t="inlineStr">
        <is>
          <t>01/05/2026</t>
        </is>
      </c>
      <c r="E66" t="n">
        <v>0</v>
      </c>
      <c r="F66" t="inlineStr">
        <is>
          <t>Fabrica de Bares (2025)</t>
        </is>
      </c>
      <c r="G66" t="b">
        <v>1</v>
      </c>
      <c r="H66" t="inlineStr">
        <is>
          <t>5/2026</t>
        </is>
      </c>
    </row>
    <row r="67">
      <c r="A67" t="inlineStr">
        <is>
          <t>Nuv Gastrobar</t>
        </is>
      </c>
      <c r="B67" t="inlineStr">
        <is>
          <t>Custo de Ocupação</t>
        </is>
      </c>
      <c r="C67" t="inlineStr">
        <is>
          <t>Seguro Patrimonial</t>
        </is>
      </c>
      <c r="D67" t="inlineStr">
        <is>
          <t>01/06/2026</t>
        </is>
      </c>
      <c r="E67" t="n">
        <v>0</v>
      </c>
      <c r="F67" t="inlineStr">
        <is>
          <t>Fabrica de Bares (2025)</t>
        </is>
      </c>
      <c r="G67" t="b">
        <v>1</v>
      </c>
      <c r="H67" t="inlineStr">
        <is>
          <t>6/2026</t>
        </is>
      </c>
    </row>
    <row r="68">
      <c r="A68" t="inlineStr">
        <is>
          <t>Nuv Gastrobar</t>
        </is>
      </c>
      <c r="B68" t="inlineStr">
        <is>
          <t>Custo de Ocupação</t>
        </is>
      </c>
      <c r="C68" t="inlineStr">
        <is>
          <t>Seguro Patrimonial</t>
        </is>
      </c>
      <c r="D68" t="inlineStr">
        <is>
          <t>01/07/2026</t>
        </is>
      </c>
      <c r="E68" t="n">
        <v>0</v>
      </c>
      <c r="F68" t="inlineStr">
        <is>
          <t>Fabrica de Bares (2025)</t>
        </is>
      </c>
      <c r="G68" t="b">
        <v>1</v>
      </c>
      <c r="H68" t="inlineStr">
        <is>
          <t>7/2026</t>
        </is>
      </c>
    </row>
    <row r="69">
      <c r="A69" t="inlineStr">
        <is>
          <t>Nuv Gastrobar</t>
        </is>
      </c>
      <c r="B69" t="inlineStr">
        <is>
          <t>Custo de Ocupação</t>
        </is>
      </c>
      <c r="C69" t="inlineStr">
        <is>
          <t>Seguro Patrimonial</t>
        </is>
      </c>
      <c r="D69" t="inlineStr">
        <is>
          <t>01/08/2026</t>
        </is>
      </c>
      <c r="E69" t="n">
        <v>0</v>
      </c>
      <c r="F69" t="inlineStr">
        <is>
          <t>Fabrica de Bares (2025)</t>
        </is>
      </c>
      <c r="G69" t="b">
        <v>1</v>
      </c>
      <c r="H69" t="inlineStr">
        <is>
          <t>8/2026</t>
        </is>
      </c>
    </row>
    <row r="70">
      <c r="A70" t="inlineStr">
        <is>
          <t>Nuv Gastrobar</t>
        </is>
      </c>
      <c r="B70" t="inlineStr">
        <is>
          <t>Custo de Ocupação</t>
        </is>
      </c>
      <c r="C70" t="inlineStr">
        <is>
          <t>Seguro Patrimonial</t>
        </is>
      </c>
      <c r="D70" t="inlineStr">
        <is>
          <t>01/09/2026</t>
        </is>
      </c>
      <c r="E70" t="n">
        <v>0</v>
      </c>
      <c r="F70" t="inlineStr">
        <is>
          <t>Fabrica de Bares (2025)</t>
        </is>
      </c>
      <c r="G70" t="b">
        <v>1</v>
      </c>
      <c r="H70" t="inlineStr">
        <is>
          <t>9/2026</t>
        </is>
      </c>
    </row>
    <row r="71">
      <c r="A71" t="inlineStr">
        <is>
          <t>Nuv Gastrobar</t>
        </is>
      </c>
      <c r="B71" t="inlineStr">
        <is>
          <t>Custo de Ocupação</t>
        </is>
      </c>
      <c r="C71" t="inlineStr">
        <is>
          <t>Seguro Patrimonial</t>
        </is>
      </c>
      <c r="D71" t="inlineStr">
        <is>
          <t>01/10/2026</t>
        </is>
      </c>
      <c r="E71" t="n">
        <v>0</v>
      </c>
      <c r="F71" t="inlineStr">
        <is>
          <t>Fabrica de Bares (2025)</t>
        </is>
      </c>
      <c r="G71" t="b">
        <v>1</v>
      </c>
      <c r="H71" t="inlineStr">
        <is>
          <t>10/2026</t>
        </is>
      </c>
    </row>
    <row r="72">
      <c r="A72" t="inlineStr">
        <is>
          <t>Nuv Gastrobar</t>
        </is>
      </c>
      <c r="B72" t="inlineStr">
        <is>
          <t>Custo de Ocupação</t>
        </is>
      </c>
      <c r="C72" t="inlineStr">
        <is>
          <t>Seguro Patrimonial</t>
        </is>
      </c>
      <c r="D72" t="inlineStr">
        <is>
          <t>01/11/2026</t>
        </is>
      </c>
      <c r="E72" t="n">
        <v>0</v>
      </c>
      <c r="F72" t="inlineStr">
        <is>
          <t>Fabrica de Bares (2025)</t>
        </is>
      </c>
      <c r="G72" t="b">
        <v>1</v>
      </c>
      <c r="H72" t="inlineStr">
        <is>
          <t>11/2026</t>
        </is>
      </c>
    </row>
    <row r="73">
      <c r="A73" t="inlineStr">
        <is>
          <t>Nuv Gastrobar</t>
        </is>
      </c>
      <c r="B73" t="inlineStr">
        <is>
          <t>Custo de Ocupação</t>
        </is>
      </c>
      <c r="C73" t="inlineStr">
        <is>
          <t>Seguro Patrimonial</t>
        </is>
      </c>
      <c r="D73" t="inlineStr">
        <is>
          <t>01/12/2026</t>
        </is>
      </c>
      <c r="E73" t="n">
        <v>0</v>
      </c>
      <c r="F73" t="inlineStr">
        <is>
          <t>Fabrica de Bares (2025)</t>
        </is>
      </c>
      <c r="G73" t="b">
        <v>1</v>
      </c>
      <c r="H73" t="inlineStr">
        <is>
          <t>12/2026</t>
        </is>
      </c>
    </row>
    <row r="74">
      <c r="A74" t="inlineStr">
        <is>
          <t>Nuv Gastrobar</t>
        </is>
      </c>
      <c r="B74" t="inlineStr">
        <is>
          <t>Custo de Ocupação</t>
        </is>
      </c>
      <c r="C74" t="inlineStr">
        <is>
          <t>Taxas publicas administrativas - Ocupação</t>
        </is>
      </c>
      <c r="D74" t="inlineStr">
        <is>
          <t>01/01/2026</t>
        </is>
      </c>
      <c r="E74" t="n">
        <v>0</v>
      </c>
      <c r="F74" t="inlineStr">
        <is>
          <t>Fabrica de Bares (2025)</t>
        </is>
      </c>
      <c r="G74" t="b">
        <v>1</v>
      </c>
      <c r="H74" t="inlineStr">
        <is>
          <t>1/2026</t>
        </is>
      </c>
    </row>
    <row r="75">
      <c r="A75" t="inlineStr">
        <is>
          <t>Nuv Gastrobar</t>
        </is>
      </c>
      <c r="B75" t="inlineStr">
        <is>
          <t>Custo de Ocupação</t>
        </is>
      </c>
      <c r="C75" t="inlineStr">
        <is>
          <t>Taxas publicas administrativas - Ocupação</t>
        </is>
      </c>
      <c r="D75" t="inlineStr">
        <is>
          <t>01/02/2026</t>
        </is>
      </c>
      <c r="E75" t="n">
        <v>0</v>
      </c>
      <c r="F75" t="inlineStr">
        <is>
          <t>Fabrica de Bares (2025)</t>
        </is>
      </c>
      <c r="G75" t="b">
        <v>1</v>
      </c>
      <c r="H75" t="inlineStr">
        <is>
          <t>2/2026</t>
        </is>
      </c>
    </row>
    <row r="76">
      <c r="A76" t="inlineStr">
        <is>
          <t>Nuv Gastrobar</t>
        </is>
      </c>
      <c r="B76" t="inlineStr">
        <is>
          <t>Custo de Ocupação</t>
        </is>
      </c>
      <c r="C76" t="inlineStr">
        <is>
          <t>Taxas publicas administrativas - Ocupação</t>
        </is>
      </c>
      <c r="D76" t="inlineStr">
        <is>
          <t>01/03/2026</t>
        </is>
      </c>
      <c r="E76" t="n">
        <v>0</v>
      </c>
      <c r="F76" t="inlineStr">
        <is>
          <t>Fabrica de Bares (2025)</t>
        </is>
      </c>
      <c r="G76" t="b">
        <v>1</v>
      </c>
      <c r="H76" t="inlineStr">
        <is>
          <t>3/2026</t>
        </is>
      </c>
    </row>
    <row r="77">
      <c r="A77" t="inlineStr">
        <is>
          <t>Nuv Gastrobar</t>
        </is>
      </c>
      <c r="B77" t="inlineStr">
        <is>
          <t>Custo de Ocupação</t>
        </is>
      </c>
      <c r="C77" t="inlineStr">
        <is>
          <t>Taxas publicas administrativas - Ocupação</t>
        </is>
      </c>
      <c r="D77" t="inlineStr">
        <is>
          <t>01/04/2026</t>
        </is>
      </c>
      <c r="E77" t="n">
        <v>0</v>
      </c>
      <c r="F77" t="inlineStr">
        <is>
          <t>Fabrica de Bares (2025)</t>
        </is>
      </c>
      <c r="G77" t="b">
        <v>1</v>
      </c>
      <c r="H77" t="inlineStr">
        <is>
          <t>4/2026</t>
        </is>
      </c>
    </row>
    <row r="78">
      <c r="A78" t="inlineStr">
        <is>
          <t>Nuv Gastrobar</t>
        </is>
      </c>
      <c r="B78" t="inlineStr">
        <is>
          <t>Custo de Ocupação</t>
        </is>
      </c>
      <c r="C78" t="inlineStr">
        <is>
          <t>Taxas publicas administrativas - Ocupação</t>
        </is>
      </c>
      <c r="D78" t="inlineStr">
        <is>
          <t>01/05/2026</t>
        </is>
      </c>
      <c r="E78" t="n">
        <v>0</v>
      </c>
      <c r="F78" t="inlineStr">
        <is>
          <t>Fabrica de Bares (2025)</t>
        </is>
      </c>
      <c r="G78" t="b">
        <v>1</v>
      </c>
      <c r="H78" t="inlineStr">
        <is>
          <t>5/2026</t>
        </is>
      </c>
    </row>
    <row r="79">
      <c r="A79" t="inlineStr">
        <is>
          <t>Nuv Gastrobar</t>
        </is>
      </c>
      <c r="B79" t="inlineStr">
        <is>
          <t>Custo de Ocupação</t>
        </is>
      </c>
      <c r="C79" t="inlineStr">
        <is>
          <t>Taxas publicas administrativas - Ocupação</t>
        </is>
      </c>
      <c r="D79" t="inlineStr">
        <is>
          <t>01/06/2026</t>
        </is>
      </c>
      <c r="E79" t="n">
        <v>0</v>
      </c>
      <c r="F79" t="inlineStr">
        <is>
          <t>Fabrica de Bares (2025)</t>
        </is>
      </c>
      <c r="G79" t="b">
        <v>1</v>
      </c>
      <c r="H79" t="inlineStr">
        <is>
          <t>6/2026</t>
        </is>
      </c>
    </row>
    <row r="80">
      <c r="A80" t="inlineStr">
        <is>
          <t>Nuv Gastrobar</t>
        </is>
      </c>
      <c r="B80" t="inlineStr">
        <is>
          <t>Custo de Ocupação</t>
        </is>
      </c>
      <c r="C80" t="inlineStr">
        <is>
          <t>Taxas publicas administrativas - Ocupação</t>
        </is>
      </c>
      <c r="D80" t="inlineStr">
        <is>
          <t>01/07/2026</t>
        </is>
      </c>
      <c r="E80" t="n">
        <v>0</v>
      </c>
      <c r="F80" t="inlineStr">
        <is>
          <t>Fabrica de Bares (2025)</t>
        </is>
      </c>
      <c r="G80" t="b">
        <v>1</v>
      </c>
      <c r="H80" t="inlineStr">
        <is>
          <t>7/2026</t>
        </is>
      </c>
    </row>
    <row r="81">
      <c r="A81" t="inlineStr">
        <is>
          <t>Nuv Gastrobar</t>
        </is>
      </c>
      <c r="B81" t="inlineStr">
        <is>
          <t>Custo de Ocupação</t>
        </is>
      </c>
      <c r="C81" t="inlineStr">
        <is>
          <t>Taxas publicas administrativas - Ocupação</t>
        </is>
      </c>
      <c r="D81" t="inlineStr">
        <is>
          <t>01/08/2026</t>
        </is>
      </c>
      <c r="E81" t="n">
        <v>0</v>
      </c>
      <c r="F81" t="inlineStr">
        <is>
          <t>Fabrica de Bares (2025)</t>
        </is>
      </c>
      <c r="G81" t="b">
        <v>1</v>
      </c>
      <c r="H81" t="inlineStr">
        <is>
          <t>8/2026</t>
        </is>
      </c>
    </row>
    <row r="82">
      <c r="A82" t="inlineStr">
        <is>
          <t>Nuv Gastrobar</t>
        </is>
      </c>
      <c r="B82" t="inlineStr">
        <is>
          <t>Custo de Ocupação</t>
        </is>
      </c>
      <c r="C82" t="inlineStr">
        <is>
          <t>Taxas publicas administrativas - Ocupação</t>
        </is>
      </c>
      <c r="D82" t="inlineStr">
        <is>
          <t>01/09/2026</t>
        </is>
      </c>
      <c r="E82" t="n">
        <v>0</v>
      </c>
      <c r="F82" t="inlineStr">
        <is>
          <t>Fabrica de Bares (2025)</t>
        </is>
      </c>
      <c r="G82" t="b">
        <v>1</v>
      </c>
      <c r="H82" t="inlineStr">
        <is>
          <t>9/2026</t>
        </is>
      </c>
    </row>
    <row r="83">
      <c r="A83" t="inlineStr">
        <is>
          <t>Nuv Gastrobar</t>
        </is>
      </c>
      <c r="B83" t="inlineStr">
        <is>
          <t>Custo de Ocupação</t>
        </is>
      </c>
      <c r="C83" t="inlineStr">
        <is>
          <t>Taxas publicas administrativas - Ocupação</t>
        </is>
      </c>
      <c r="D83" t="inlineStr">
        <is>
          <t>01/10/2026</t>
        </is>
      </c>
      <c r="E83" t="n">
        <v>0</v>
      </c>
      <c r="F83" t="inlineStr">
        <is>
          <t>Fabrica de Bares (2025)</t>
        </is>
      </c>
      <c r="G83" t="b">
        <v>1</v>
      </c>
      <c r="H83" t="inlineStr">
        <is>
          <t>10/2026</t>
        </is>
      </c>
    </row>
    <row r="84">
      <c r="A84" t="inlineStr">
        <is>
          <t>Nuv Gastrobar</t>
        </is>
      </c>
      <c r="B84" t="inlineStr">
        <is>
          <t>Custo de Ocupação</t>
        </is>
      </c>
      <c r="C84" t="inlineStr">
        <is>
          <t>Taxas publicas administrativas - Ocupação</t>
        </is>
      </c>
      <c r="D84" t="inlineStr">
        <is>
          <t>01/11/2026</t>
        </is>
      </c>
      <c r="E84" t="n">
        <v>0</v>
      </c>
      <c r="F84" t="inlineStr">
        <is>
          <t>Fabrica de Bares (2025)</t>
        </is>
      </c>
      <c r="G84" t="b">
        <v>1</v>
      </c>
      <c r="H84" t="inlineStr">
        <is>
          <t>11/2026</t>
        </is>
      </c>
    </row>
    <row r="85">
      <c r="A85" t="inlineStr">
        <is>
          <t>Nuv Gastrobar</t>
        </is>
      </c>
      <c r="B85" t="inlineStr">
        <is>
          <t>Custo de Ocupação</t>
        </is>
      </c>
      <c r="C85" t="inlineStr">
        <is>
          <t>Taxas publicas administrativas - Ocupação</t>
        </is>
      </c>
      <c r="D85" t="inlineStr">
        <is>
          <t>01/12/2026</t>
        </is>
      </c>
      <c r="E85" t="n">
        <v>0</v>
      </c>
      <c r="F85" t="inlineStr">
        <is>
          <t>Fabrica de Bares (2025)</t>
        </is>
      </c>
      <c r="G85" t="b">
        <v>1</v>
      </c>
      <c r="H85" t="inlineStr">
        <is>
          <t>12/2026</t>
        </is>
      </c>
    </row>
    <row r="86">
      <c r="A86" t="inlineStr">
        <is>
          <t>Nuv Gastrobar</t>
        </is>
      </c>
      <c r="B86" t="inlineStr">
        <is>
          <t>Custo Mercadoria Vendida</t>
        </is>
      </c>
      <c r="C86" t="inlineStr">
        <is>
          <t>Insumos - Alimentos</t>
        </is>
      </c>
      <c r="D86" t="inlineStr">
        <is>
          <t>01/01/2026</t>
        </is>
      </c>
      <c r="E86" t="n">
        <v>0</v>
      </c>
      <c r="F86" t="inlineStr">
        <is>
          <t>Fabrica de Bares (2025)</t>
        </is>
      </c>
      <c r="G86" t="b">
        <v>1</v>
      </c>
      <c r="H86" t="inlineStr">
        <is>
          <t>1/2026</t>
        </is>
      </c>
    </row>
    <row r="87">
      <c r="A87" t="inlineStr">
        <is>
          <t>Nuv Gastrobar</t>
        </is>
      </c>
      <c r="B87" t="inlineStr">
        <is>
          <t>Custo Mercadoria Vendida</t>
        </is>
      </c>
      <c r="C87" t="inlineStr">
        <is>
          <t>Insumos - Alimentos</t>
        </is>
      </c>
      <c r="D87" t="inlineStr">
        <is>
          <t>01/02/2026</t>
        </is>
      </c>
      <c r="E87" t="n">
        <v>0</v>
      </c>
      <c r="F87" t="inlineStr">
        <is>
          <t>Fabrica de Bares (2025)</t>
        </is>
      </c>
      <c r="G87" t="b">
        <v>1</v>
      </c>
      <c r="H87" t="inlineStr">
        <is>
          <t>2/2026</t>
        </is>
      </c>
    </row>
    <row r="88">
      <c r="A88" t="inlineStr">
        <is>
          <t>Nuv Gastrobar</t>
        </is>
      </c>
      <c r="B88" t="inlineStr">
        <is>
          <t>Custo Mercadoria Vendida</t>
        </is>
      </c>
      <c r="C88" t="inlineStr">
        <is>
          <t>Insumos - Alimentos</t>
        </is>
      </c>
      <c r="D88" t="inlineStr">
        <is>
          <t>01/03/2026</t>
        </is>
      </c>
      <c r="E88" t="n">
        <v>0</v>
      </c>
      <c r="F88" t="inlineStr">
        <is>
          <t>Fabrica de Bares (2025)</t>
        </is>
      </c>
      <c r="G88" t="b">
        <v>1</v>
      </c>
      <c r="H88" t="inlineStr">
        <is>
          <t>3/2026</t>
        </is>
      </c>
    </row>
    <row r="89">
      <c r="A89" t="inlineStr">
        <is>
          <t>Nuv Gastrobar</t>
        </is>
      </c>
      <c r="B89" t="inlineStr">
        <is>
          <t>Custo Mercadoria Vendida</t>
        </is>
      </c>
      <c r="C89" t="inlineStr">
        <is>
          <t>Insumos - Alimentos</t>
        </is>
      </c>
      <c r="D89" t="inlineStr">
        <is>
          <t>01/04/2026</t>
        </is>
      </c>
      <c r="E89" t="n">
        <v>0</v>
      </c>
      <c r="F89" t="inlineStr">
        <is>
          <t>Fabrica de Bares (2025)</t>
        </is>
      </c>
      <c r="G89" t="b">
        <v>1</v>
      </c>
      <c r="H89" t="inlineStr">
        <is>
          <t>4/2026</t>
        </is>
      </c>
    </row>
    <row r="90">
      <c r="A90" t="inlineStr">
        <is>
          <t>Nuv Gastrobar</t>
        </is>
      </c>
      <c r="B90" t="inlineStr">
        <is>
          <t>Custo Mercadoria Vendida</t>
        </is>
      </c>
      <c r="C90" t="inlineStr">
        <is>
          <t>Insumos - Alimentos</t>
        </is>
      </c>
      <c r="D90" t="inlineStr">
        <is>
          <t>01/05/2026</t>
        </is>
      </c>
      <c r="E90" t="n">
        <v>0</v>
      </c>
      <c r="F90" t="inlineStr">
        <is>
          <t>Fabrica de Bares (2025)</t>
        </is>
      </c>
      <c r="G90" t="b">
        <v>1</v>
      </c>
      <c r="H90" t="inlineStr">
        <is>
          <t>5/2026</t>
        </is>
      </c>
    </row>
    <row r="91">
      <c r="A91" t="inlineStr">
        <is>
          <t>Nuv Gastrobar</t>
        </is>
      </c>
      <c r="B91" t="inlineStr">
        <is>
          <t>Custo Mercadoria Vendida</t>
        </is>
      </c>
      <c r="C91" t="inlineStr">
        <is>
          <t>Insumos - Alimentos</t>
        </is>
      </c>
      <c r="D91" t="inlineStr">
        <is>
          <t>01/06/2026</t>
        </is>
      </c>
      <c r="E91" t="n">
        <v>0</v>
      </c>
      <c r="F91" t="inlineStr">
        <is>
          <t>Fabrica de Bares (2025)</t>
        </is>
      </c>
      <c r="G91" t="b">
        <v>1</v>
      </c>
      <c r="H91" t="inlineStr">
        <is>
          <t>6/2026</t>
        </is>
      </c>
    </row>
    <row r="92">
      <c r="A92" t="inlineStr">
        <is>
          <t>Nuv Gastrobar</t>
        </is>
      </c>
      <c r="B92" t="inlineStr">
        <is>
          <t>Custo Mercadoria Vendida</t>
        </is>
      </c>
      <c r="C92" t="inlineStr">
        <is>
          <t>Insumos - Alimentos</t>
        </is>
      </c>
      <c r="D92" t="inlineStr">
        <is>
          <t>01/07/2026</t>
        </is>
      </c>
      <c r="E92" t="n">
        <v>0</v>
      </c>
      <c r="F92" t="inlineStr">
        <is>
          <t>Fabrica de Bares (2025)</t>
        </is>
      </c>
      <c r="G92" t="b">
        <v>1</v>
      </c>
      <c r="H92" t="inlineStr">
        <is>
          <t>7/2026</t>
        </is>
      </c>
    </row>
    <row r="93">
      <c r="A93" t="inlineStr">
        <is>
          <t>Nuv Gastrobar</t>
        </is>
      </c>
      <c r="B93" t="inlineStr">
        <is>
          <t>Custo Mercadoria Vendida</t>
        </is>
      </c>
      <c r="C93" t="inlineStr">
        <is>
          <t>Insumos - Alimentos</t>
        </is>
      </c>
      <c r="D93" t="inlineStr">
        <is>
          <t>01/08/2026</t>
        </is>
      </c>
      <c r="E93" t="n">
        <v>60569.04</v>
      </c>
      <c r="F93" t="inlineStr">
        <is>
          <t>Fabrica de Bares (2025)</t>
        </is>
      </c>
      <c r="G93" t="b">
        <v>1</v>
      </c>
      <c r="H93" t="inlineStr">
        <is>
          <t>8/2026</t>
        </is>
      </c>
    </row>
    <row r="94">
      <c r="A94" t="inlineStr">
        <is>
          <t>Nuv Gastrobar</t>
        </is>
      </c>
      <c r="B94" t="inlineStr">
        <is>
          <t>Custo Mercadoria Vendida</t>
        </is>
      </c>
      <c r="C94" t="inlineStr">
        <is>
          <t>Insumos - Alimentos</t>
        </is>
      </c>
      <c r="D94" t="inlineStr">
        <is>
          <t>01/09/2026</t>
        </is>
      </c>
      <c r="E94" t="n">
        <v>94473.12</v>
      </c>
      <c r="F94" t="inlineStr">
        <is>
          <t>Fabrica de Bares (2025)</t>
        </is>
      </c>
      <c r="G94" t="b">
        <v>1</v>
      </c>
      <c r="H94" t="inlineStr">
        <is>
          <t>9/2026</t>
        </is>
      </c>
    </row>
    <row r="95">
      <c r="A95" t="inlineStr">
        <is>
          <t>Nuv Gastrobar</t>
        </is>
      </c>
      <c r="B95" t="inlineStr">
        <is>
          <t>Custo Mercadoria Vendida</t>
        </is>
      </c>
      <c r="C95" t="inlineStr">
        <is>
          <t>Insumos - Alimentos</t>
        </is>
      </c>
      <c r="D95" t="inlineStr">
        <is>
          <t>01/10/2026</t>
        </is>
      </c>
      <c r="E95" t="n">
        <v>109167.12</v>
      </c>
      <c r="F95" t="inlineStr">
        <is>
          <t>Fabrica de Bares (2025)</t>
        </is>
      </c>
      <c r="G95" t="b">
        <v>1</v>
      </c>
      <c r="H95" t="inlineStr">
        <is>
          <t>10/2026</t>
        </is>
      </c>
    </row>
    <row r="96">
      <c r="A96" t="inlineStr">
        <is>
          <t>Nuv Gastrobar</t>
        </is>
      </c>
      <c r="B96" t="inlineStr">
        <is>
          <t>Custo Mercadoria Vendida</t>
        </is>
      </c>
      <c r="C96" t="inlineStr">
        <is>
          <t>Insumos - Alimentos</t>
        </is>
      </c>
      <c r="D96" t="inlineStr">
        <is>
          <t>01/11/2026</t>
        </is>
      </c>
      <c r="E96" t="n">
        <v>150808.8</v>
      </c>
      <c r="F96" t="inlineStr">
        <is>
          <t>Fabrica de Bares (2025)</t>
        </is>
      </c>
      <c r="G96" t="b">
        <v>1</v>
      </c>
      <c r="H96" t="inlineStr">
        <is>
          <t>11/2026</t>
        </is>
      </c>
    </row>
    <row r="97">
      <c r="A97" t="inlineStr">
        <is>
          <t>Nuv Gastrobar</t>
        </is>
      </c>
      <c r="B97" t="inlineStr">
        <is>
          <t>Custo Mercadoria Vendida</t>
        </is>
      </c>
      <c r="C97" t="inlineStr">
        <is>
          <t>Insumos - Alimentos</t>
        </is>
      </c>
      <c r="D97" t="inlineStr">
        <is>
          <t>01/12/2026</t>
        </is>
      </c>
      <c r="E97" t="n">
        <v>149008.32</v>
      </c>
      <c r="F97" t="inlineStr">
        <is>
          <t>Fabrica de Bares (2025)</t>
        </is>
      </c>
      <c r="G97" t="b">
        <v>1</v>
      </c>
      <c r="H97" t="inlineStr">
        <is>
          <t>12/2026</t>
        </is>
      </c>
    </row>
    <row r="98">
      <c r="A98" t="inlineStr">
        <is>
          <t>Nuv Gastrobar</t>
        </is>
      </c>
      <c r="B98" t="inlineStr">
        <is>
          <t>Custo Mercadoria Vendida</t>
        </is>
      </c>
      <c r="C98" t="inlineStr">
        <is>
          <t>Insumos - Bebidas</t>
        </is>
      </c>
      <c r="D98" t="inlineStr">
        <is>
          <t>01/01/2026</t>
        </is>
      </c>
      <c r="E98" t="n">
        <v>0</v>
      </c>
      <c r="F98" t="inlineStr">
        <is>
          <t>Fabrica de Bares (2025)</t>
        </is>
      </c>
      <c r="G98" t="b">
        <v>1</v>
      </c>
      <c r="H98" t="inlineStr">
        <is>
          <t>1/2026</t>
        </is>
      </c>
    </row>
    <row r="99">
      <c r="A99" t="inlineStr">
        <is>
          <t>Nuv Gastrobar</t>
        </is>
      </c>
      <c r="B99" t="inlineStr">
        <is>
          <t>Custo Mercadoria Vendida</t>
        </is>
      </c>
      <c r="C99" t="inlineStr">
        <is>
          <t>Insumos - Bebidas</t>
        </is>
      </c>
      <c r="D99" t="inlineStr">
        <is>
          <t>01/02/2026</t>
        </is>
      </c>
      <c r="E99" t="n">
        <v>0</v>
      </c>
      <c r="F99" t="inlineStr">
        <is>
          <t>Fabrica de Bares (2025)</t>
        </is>
      </c>
      <c r="G99" t="b">
        <v>1</v>
      </c>
      <c r="H99" t="inlineStr">
        <is>
          <t>2/2026</t>
        </is>
      </c>
    </row>
    <row r="100">
      <c r="A100" t="inlineStr">
        <is>
          <t>Nuv Gastrobar</t>
        </is>
      </c>
      <c r="B100" t="inlineStr">
        <is>
          <t>Custo Mercadoria Vendida</t>
        </is>
      </c>
      <c r="C100" t="inlineStr">
        <is>
          <t>Insumos - Bebidas</t>
        </is>
      </c>
      <c r="D100" t="inlineStr">
        <is>
          <t>01/03/2026</t>
        </is>
      </c>
      <c r="E100" t="n">
        <v>0</v>
      </c>
      <c r="F100" t="inlineStr">
        <is>
          <t>Fabrica de Bares (2025)</t>
        </is>
      </c>
      <c r="G100" t="b">
        <v>1</v>
      </c>
      <c r="H100" t="inlineStr">
        <is>
          <t>3/2026</t>
        </is>
      </c>
    </row>
    <row r="101">
      <c r="A101" t="inlineStr">
        <is>
          <t>Nuv Gastrobar</t>
        </is>
      </c>
      <c r="B101" t="inlineStr">
        <is>
          <t>Custo Mercadoria Vendida</t>
        </is>
      </c>
      <c r="C101" t="inlineStr">
        <is>
          <t>Insumos - Bebidas</t>
        </is>
      </c>
      <c r="D101" t="inlineStr">
        <is>
          <t>01/04/2026</t>
        </is>
      </c>
      <c r="E101" t="n">
        <v>0</v>
      </c>
      <c r="F101" t="inlineStr">
        <is>
          <t>Fabrica de Bares (2025)</t>
        </is>
      </c>
      <c r="G101" t="b">
        <v>1</v>
      </c>
      <c r="H101" t="inlineStr">
        <is>
          <t>4/2026</t>
        </is>
      </c>
    </row>
    <row r="102">
      <c r="A102" t="inlineStr">
        <is>
          <t>Nuv Gastrobar</t>
        </is>
      </c>
      <c r="B102" t="inlineStr">
        <is>
          <t>Custo Mercadoria Vendida</t>
        </is>
      </c>
      <c r="C102" t="inlineStr">
        <is>
          <t>Insumos - Bebidas</t>
        </is>
      </c>
      <c r="D102" t="inlineStr">
        <is>
          <t>01/05/2026</t>
        </is>
      </c>
      <c r="E102" t="n">
        <v>0</v>
      </c>
      <c r="F102" t="inlineStr">
        <is>
          <t>Fabrica de Bares (2025)</t>
        </is>
      </c>
      <c r="G102" t="b">
        <v>1</v>
      </c>
      <c r="H102" t="inlineStr">
        <is>
          <t>5/2026</t>
        </is>
      </c>
    </row>
    <row r="103">
      <c r="A103" t="inlineStr">
        <is>
          <t>Nuv Gastrobar</t>
        </is>
      </c>
      <c r="B103" t="inlineStr">
        <is>
          <t>Custo Mercadoria Vendida</t>
        </is>
      </c>
      <c r="C103" t="inlineStr">
        <is>
          <t>Insumos - Bebidas</t>
        </is>
      </c>
      <c r="D103" t="inlineStr">
        <is>
          <t>01/06/2026</t>
        </is>
      </c>
      <c r="E103" t="n">
        <v>0</v>
      </c>
      <c r="F103" t="inlineStr">
        <is>
          <t>Fabrica de Bares (2025)</t>
        </is>
      </c>
      <c r="G103" t="b">
        <v>1</v>
      </c>
      <c r="H103" t="inlineStr">
        <is>
          <t>6/2026</t>
        </is>
      </c>
    </row>
    <row r="104">
      <c r="A104" t="inlineStr">
        <is>
          <t>Nuv Gastrobar</t>
        </is>
      </c>
      <c r="B104" t="inlineStr">
        <is>
          <t>Custo Mercadoria Vendida</t>
        </is>
      </c>
      <c r="C104" t="inlineStr">
        <is>
          <t>Insumos - Bebidas</t>
        </is>
      </c>
      <c r="D104" t="inlineStr">
        <is>
          <t>01/07/2026</t>
        </is>
      </c>
      <c r="E104" t="n">
        <v>0</v>
      </c>
      <c r="F104" t="inlineStr">
        <is>
          <t>Fabrica de Bares (2025)</t>
        </is>
      </c>
      <c r="G104" t="b">
        <v>1</v>
      </c>
      <c r="H104" t="inlineStr">
        <is>
          <t>7/2026</t>
        </is>
      </c>
    </row>
    <row r="105">
      <c r="A105" t="inlineStr">
        <is>
          <t>Nuv Gastrobar</t>
        </is>
      </c>
      <c r="B105" t="inlineStr">
        <is>
          <t>Custo Mercadoria Vendida</t>
        </is>
      </c>
      <c r="C105" t="inlineStr">
        <is>
          <t>Insumos - Bebidas</t>
        </is>
      </c>
      <c r="D105" t="inlineStr">
        <is>
          <t>01/08/2026</t>
        </is>
      </c>
      <c r="E105" t="n">
        <v>30713.76</v>
      </c>
      <c r="F105" t="inlineStr">
        <is>
          <t>Fabrica de Bares (2025)</t>
        </is>
      </c>
      <c r="G105" t="b">
        <v>1</v>
      </c>
      <c r="H105" t="inlineStr">
        <is>
          <t>8/2026</t>
        </is>
      </c>
    </row>
    <row r="106">
      <c r="A106" t="inlineStr">
        <is>
          <t>Nuv Gastrobar</t>
        </is>
      </c>
      <c r="B106" t="inlineStr">
        <is>
          <t>Custo Mercadoria Vendida</t>
        </is>
      </c>
      <c r="C106" t="inlineStr">
        <is>
          <t>Insumos - Bebidas</t>
        </is>
      </c>
      <c r="D106" t="inlineStr">
        <is>
          <t>01/09/2026</t>
        </is>
      </c>
      <c r="E106" t="n">
        <v>47705.28</v>
      </c>
      <c r="F106" t="inlineStr">
        <is>
          <t>Fabrica de Bares (2025)</t>
        </is>
      </c>
      <c r="G106" t="b">
        <v>1</v>
      </c>
      <c r="H106" t="inlineStr">
        <is>
          <t>9/2026</t>
        </is>
      </c>
    </row>
    <row r="107">
      <c r="A107" t="inlineStr">
        <is>
          <t>Nuv Gastrobar</t>
        </is>
      </c>
      <c r="B107" t="inlineStr">
        <is>
          <t>Custo Mercadoria Vendida</t>
        </is>
      </c>
      <c r="C107" t="inlineStr">
        <is>
          <t>Insumos - Bebidas</t>
        </is>
      </c>
      <c r="D107" t="inlineStr">
        <is>
          <t>01/10/2026</t>
        </is>
      </c>
      <c r="E107" t="n">
        <v>56021.28</v>
      </c>
      <c r="F107" t="inlineStr">
        <is>
          <t>Fabrica de Bares (2025)</t>
        </is>
      </c>
      <c r="G107" t="b">
        <v>1</v>
      </c>
      <c r="H107" t="inlineStr">
        <is>
          <t>10/2026</t>
        </is>
      </c>
    </row>
    <row r="108">
      <c r="A108" t="inlineStr">
        <is>
          <t>Nuv Gastrobar</t>
        </is>
      </c>
      <c r="B108" t="inlineStr">
        <is>
          <t>Custo Mercadoria Vendida</t>
        </is>
      </c>
      <c r="C108" t="inlineStr">
        <is>
          <t>Insumos - Bebidas</t>
        </is>
      </c>
      <c r="D108" t="inlineStr">
        <is>
          <t>01/11/2026</t>
        </is>
      </c>
      <c r="E108" t="n">
        <v>84907.2</v>
      </c>
      <c r="F108" t="inlineStr">
        <is>
          <t>Fabrica de Bares (2025)</t>
        </is>
      </c>
      <c r="G108" t="b">
        <v>1</v>
      </c>
      <c r="H108" t="inlineStr">
        <is>
          <t>11/2026</t>
        </is>
      </c>
    </row>
    <row r="109">
      <c r="A109" t="inlineStr">
        <is>
          <t>Nuv Gastrobar</t>
        </is>
      </c>
      <c r="B109" t="inlineStr">
        <is>
          <t>Custo Mercadoria Vendida</t>
        </is>
      </c>
      <c r="C109" t="inlineStr">
        <is>
          <t>Insumos - Bebidas</t>
        </is>
      </c>
      <c r="D109" t="inlineStr">
        <is>
          <t>01/12/2026</t>
        </is>
      </c>
      <c r="E109" t="n">
        <v>84094.08</v>
      </c>
      <c r="F109" t="inlineStr">
        <is>
          <t>Fabrica de Bares (2025)</t>
        </is>
      </c>
      <c r="G109" t="b">
        <v>1</v>
      </c>
      <c r="H109" t="inlineStr">
        <is>
          <t>12/2026</t>
        </is>
      </c>
    </row>
    <row r="110">
      <c r="A110" t="inlineStr">
        <is>
          <t>Nuv Gastrobar</t>
        </is>
      </c>
      <c r="B110" t="inlineStr">
        <is>
          <t>Custo Mercadoria Vendida</t>
        </is>
      </c>
      <c r="C110" t="inlineStr">
        <is>
          <t>Insumos - Embalagens</t>
        </is>
      </c>
      <c r="D110" t="inlineStr">
        <is>
          <t>01/01/2026</t>
        </is>
      </c>
      <c r="E110" t="n">
        <v>0</v>
      </c>
      <c r="F110" t="inlineStr">
        <is>
          <t>Fabrica de Bares (2025)</t>
        </is>
      </c>
      <c r="G110" t="b">
        <v>1</v>
      </c>
      <c r="H110" t="inlineStr">
        <is>
          <t>1/2026</t>
        </is>
      </c>
    </row>
    <row r="111">
      <c r="A111" t="inlineStr">
        <is>
          <t>Nuv Gastrobar</t>
        </is>
      </c>
      <c r="B111" t="inlineStr">
        <is>
          <t>Custo Mercadoria Vendida</t>
        </is>
      </c>
      <c r="C111" t="inlineStr">
        <is>
          <t>Insumos - Embalagens</t>
        </is>
      </c>
      <c r="D111" t="inlineStr">
        <is>
          <t>01/02/2026</t>
        </is>
      </c>
      <c r="E111" t="n">
        <v>0</v>
      </c>
      <c r="F111" t="inlineStr">
        <is>
          <t>Fabrica de Bares (2025)</t>
        </is>
      </c>
      <c r="G111" t="b">
        <v>1</v>
      </c>
      <c r="H111" t="inlineStr">
        <is>
          <t>2/2026</t>
        </is>
      </c>
    </row>
    <row r="112">
      <c r="A112" t="inlineStr">
        <is>
          <t>Nuv Gastrobar</t>
        </is>
      </c>
      <c r="B112" t="inlineStr">
        <is>
          <t>Custo Mercadoria Vendida</t>
        </is>
      </c>
      <c r="C112" t="inlineStr">
        <is>
          <t>Insumos - Embalagens</t>
        </is>
      </c>
      <c r="D112" t="inlineStr">
        <is>
          <t>01/03/2026</t>
        </is>
      </c>
      <c r="E112" t="n">
        <v>0</v>
      </c>
      <c r="F112" t="inlineStr">
        <is>
          <t>Fabrica de Bares (2025)</t>
        </is>
      </c>
      <c r="G112" t="b">
        <v>1</v>
      </c>
      <c r="H112" t="inlineStr">
        <is>
          <t>3/2026</t>
        </is>
      </c>
    </row>
    <row r="113">
      <c r="A113" t="inlineStr">
        <is>
          <t>Nuv Gastrobar</t>
        </is>
      </c>
      <c r="B113" t="inlineStr">
        <is>
          <t>Custo Mercadoria Vendida</t>
        </is>
      </c>
      <c r="C113" t="inlineStr">
        <is>
          <t>Insumos - Embalagens</t>
        </is>
      </c>
      <c r="D113" t="inlineStr">
        <is>
          <t>01/04/2026</t>
        </is>
      </c>
      <c r="E113" t="n">
        <v>0</v>
      </c>
      <c r="F113" t="inlineStr">
        <is>
          <t>Fabrica de Bares (2025)</t>
        </is>
      </c>
      <c r="G113" t="b">
        <v>1</v>
      </c>
      <c r="H113" t="inlineStr">
        <is>
          <t>4/2026</t>
        </is>
      </c>
    </row>
    <row r="114">
      <c r="A114" t="inlineStr">
        <is>
          <t>Nuv Gastrobar</t>
        </is>
      </c>
      <c r="B114" t="inlineStr">
        <is>
          <t>Custo Mercadoria Vendida</t>
        </is>
      </c>
      <c r="C114" t="inlineStr">
        <is>
          <t>Insumos - Embalagens</t>
        </is>
      </c>
      <c r="D114" t="inlineStr">
        <is>
          <t>01/05/2026</t>
        </is>
      </c>
      <c r="E114" t="n">
        <v>0</v>
      </c>
      <c r="F114" t="inlineStr">
        <is>
          <t>Fabrica de Bares (2025)</t>
        </is>
      </c>
      <c r="G114" t="b">
        <v>1</v>
      </c>
      <c r="H114" t="inlineStr">
        <is>
          <t>5/2026</t>
        </is>
      </c>
    </row>
    <row r="115">
      <c r="A115" t="inlineStr">
        <is>
          <t>Nuv Gastrobar</t>
        </is>
      </c>
      <c r="B115" t="inlineStr">
        <is>
          <t>Custo Mercadoria Vendida</t>
        </is>
      </c>
      <c r="C115" t="inlineStr">
        <is>
          <t>Insumos - Embalagens</t>
        </is>
      </c>
      <c r="D115" t="inlineStr">
        <is>
          <t>01/06/2026</t>
        </is>
      </c>
      <c r="E115" t="n">
        <v>0</v>
      </c>
      <c r="F115" t="inlineStr">
        <is>
          <t>Fabrica de Bares (2025)</t>
        </is>
      </c>
      <c r="G115" t="b">
        <v>1</v>
      </c>
      <c r="H115" t="inlineStr">
        <is>
          <t>6/2026</t>
        </is>
      </c>
    </row>
    <row r="116">
      <c r="A116" t="inlineStr">
        <is>
          <t>Nuv Gastrobar</t>
        </is>
      </c>
      <c r="B116" t="inlineStr">
        <is>
          <t>Custo Mercadoria Vendida</t>
        </is>
      </c>
      <c r="C116" t="inlineStr">
        <is>
          <t>Insumos - Embalagens</t>
        </is>
      </c>
      <c r="D116" t="inlineStr">
        <is>
          <t>01/07/2026</t>
        </is>
      </c>
      <c r="E116" t="n">
        <v>0</v>
      </c>
      <c r="F116" t="inlineStr">
        <is>
          <t>Fabrica de Bares (2025)</t>
        </is>
      </c>
      <c r="G116" t="b">
        <v>1</v>
      </c>
      <c r="H116" t="inlineStr">
        <is>
          <t>7/2026</t>
        </is>
      </c>
    </row>
    <row r="117">
      <c r="A117" t="inlineStr">
        <is>
          <t>Nuv Gastrobar</t>
        </is>
      </c>
      <c r="B117" t="inlineStr">
        <is>
          <t>Custo Mercadoria Vendida</t>
        </is>
      </c>
      <c r="C117" t="inlineStr">
        <is>
          <t>Insumos - Embalagens</t>
        </is>
      </c>
      <c r="D117" t="inlineStr">
        <is>
          <t>01/08/2026</t>
        </is>
      </c>
      <c r="E117" t="n">
        <v>0</v>
      </c>
      <c r="F117" t="inlineStr">
        <is>
          <t>Fabrica de Bares (2025)</t>
        </is>
      </c>
      <c r="G117" t="b">
        <v>1</v>
      </c>
      <c r="H117" t="inlineStr">
        <is>
          <t>8/2026</t>
        </is>
      </c>
    </row>
    <row r="118">
      <c r="A118" t="inlineStr">
        <is>
          <t>Nuv Gastrobar</t>
        </is>
      </c>
      <c r="B118" t="inlineStr">
        <is>
          <t>Custo Mercadoria Vendida</t>
        </is>
      </c>
      <c r="C118" t="inlineStr">
        <is>
          <t>Insumos - Embalagens</t>
        </is>
      </c>
      <c r="D118" t="inlineStr">
        <is>
          <t>01/09/2026</t>
        </is>
      </c>
      <c r="E118" t="n">
        <v>0</v>
      </c>
      <c r="F118" t="inlineStr">
        <is>
          <t>Fabrica de Bares (2025)</t>
        </is>
      </c>
      <c r="G118" t="b">
        <v>1</v>
      </c>
      <c r="H118" t="inlineStr">
        <is>
          <t>9/2026</t>
        </is>
      </c>
    </row>
    <row r="119">
      <c r="A119" t="inlineStr">
        <is>
          <t>Nuv Gastrobar</t>
        </is>
      </c>
      <c r="B119" t="inlineStr">
        <is>
          <t>Custo Mercadoria Vendida</t>
        </is>
      </c>
      <c r="C119" t="inlineStr">
        <is>
          <t>Insumos - Embalagens</t>
        </is>
      </c>
      <c r="D119" t="inlineStr">
        <is>
          <t>01/10/2026</t>
        </is>
      </c>
      <c r="E119" t="n">
        <v>0</v>
      </c>
      <c r="F119" t="inlineStr">
        <is>
          <t>Fabrica de Bares (2025)</t>
        </is>
      </c>
      <c r="G119" t="b">
        <v>1</v>
      </c>
      <c r="H119" t="inlineStr">
        <is>
          <t>10/2026</t>
        </is>
      </c>
    </row>
    <row r="120">
      <c r="A120" t="inlineStr">
        <is>
          <t>Nuv Gastrobar</t>
        </is>
      </c>
      <c r="B120" t="inlineStr">
        <is>
          <t>Custo Mercadoria Vendida</t>
        </is>
      </c>
      <c r="C120" t="inlineStr">
        <is>
          <t>Insumos - Embalagens</t>
        </is>
      </c>
      <c r="D120" t="inlineStr">
        <is>
          <t>01/11/2026</t>
        </is>
      </c>
      <c r="E120" t="n">
        <v>0</v>
      </c>
      <c r="F120" t="inlineStr">
        <is>
          <t>Fabrica de Bares (2025)</t>
        </is>
      </c>
      <c r="G120" t="b">
        <v>1</v>
      </c>
      <c r="H120" t="inlineStr">
        <is>
          <t>11/2026</t>
        </is>
      </c>
    </row>
    <row r="121">
      <c r="A121" t="inlineStr">
        <is>
          <t>Nuv Gastrobar</t>
        </is>
      </c>
      <c r="B121" t="inlineStr">
        <is>
          <t>Custo Mercadoria Vendida</t>
        </is>
      </c>
      <c r="C121" t="inlineStr">
        <is>
          <t>Insumos - Embalagens</t>
        </is>
      </c>
      <c r="D121" t="inlineStr">
        <is>
          <t>01/12/2026</t>
        </is>
      </c>
      <c r="E121" t="n">
        <v>0</v>
      </c>
      <c r="F121" t="inlineStr">
        <is>
          <t>Fabrica de Bares (2025)</t>
        </is>
      </c>
      <c r="G121" t="b">
        <v>1</v>
      </c>
      <c r="H121" t="inlineStr">
        <is>
          <t>12/2026</t>
        </is>
      </c>
    </row>
    <row r="122">
      <c r="A122" t="inlineStr">
        <is>
          <t>Nuv Gastrobar</t>
        </is>
      </c>
      <c r="B122" t="inlineStr">
        <is>
          <t>Custo Mercadoria Vendida</t>
        </is>
      </c>
      <c r="C122" t="inlineStr">
        <is>
          <t>Insumos - Eventos A&amp;B</t>
        </is>
      </c>
      <c r="D122" t="inlineStr">
        <is>
          <t>01/01/2026</t>
        </is>
      </c>
      <c r="E122" t="n">
        <v>0</v>
      </c>
      <c r="F122" t="inlineStr">
        <is>
          <t>Fabrica de Bares (2025)</t>
        </is>
      </c>
      <c r="G122" t="b">
        <v>1</v>
      </c>
      <c r="H122" t="inlineStr">
        <is>
          <t>1/2026</t>
        </is>
      </c>
    </row>
    <row r="123">
      <c r="A123" t="inlineStr">
        <is>
          <t>Nuv Gastrobar</t>
        </is>
      </c>
      <c r="B123" t="inlineStr">
        <is>
          <t>Custo Mercadoria Vendida</t>
        </is>
      </c>
      <c r="C123" t="inlineStr">
        <is>
          <t>Insumos - Eventos A&amp;B</t>
        </is>
      </c>
      <c r="D123" t="inlineStr">
        <is>
          <t>01/02/2026</t>
        </is>
      </c>
      <c r="E123" t="n">
        <v>0</v>
      </c>
      <c r="F123" t="inlineStr">
        <is>
          <t>Fabrica de Bares (2025)</t>
        </is>
      </c>
      <c r="G123" t="b">
        <v>1</v>
      </c>
      <c r="H123" t="inlineStr">
        <is>
          <t>2/2026</t>
        </is>
      </c>
    </row>
    <row r="124">
      <c r="A124" t="inlineStr">
        <is>
          <t>Nuv Gastrobar</t>
        </is>
      </c>
      <c r="B124" t="inlineStr">
        <is>
          <t>Custo Mercadoria Vendida</t>
        </is>
      </c>
      <c r="C124" t="inlineStr">
        <is>
          <t>Insumos - Eventos A&amp;B</t>
        </is>
      </c>
      <c r="D124" t="inlineStr">
        <is>
          <t>01/03/2026</t>
        </is>
      </c>
      <c r="E124" t="n">
        <v>0</v>
      </c>
      <c r="F124" t="inlineStr">
        <is>
          <t>Fabrica de Bares (2025)</t>
        </is>
      </c>
      <c r="G124" t="b">
        <v>1</v>
      </c>
      <c r="H124" t="inlineStr">
        <is>
          <t>3/2026</t>
        </is>
      </c>
    </row>
    <row r="125">
      <c r="A125" t="inlineStr">
        <is>
          <t>Nuv Gastrobar</t>
        </is>
      </c>
      <c r="B125" t="inlineStr">
        <is>
          <t>Custo Mercadoria Vendida</t>
        </is>
      </c>
      <c r="C125" t="inlineStr">
        <is>
          <t>Insumos - Eventos A&amp;B</t>
        </is>
      </c>
      <c r="D125" t="inlineStr">
        <is>
          <t>01/04/2026</t>
        </is>
      </c>
      <c r="E125" t="n">
        <v>0</v>
      </c>
      <c r="F125" t="inlineStr">
        <is>
          <t>Fabrica de Bares (2025)</t>
        </is>
      </c>
      <c r="G125" t="b">
        <v>1</v>
      </c>
      <c r="H125" t="inlineStr">
        <is>
          <t>4/2026</t>
        </is>
      </c>
    </row>
    <row r="126">
      <c r="A126" t="inlineStr">
        <is>
          <t>Nuv Gastrobar</t>
        </is>
      </c>
      <c r="B126" t="inlineStr">
        <is>
          <t>Custo Mercadoria Vendida</t>
        </is>
      </c>
      <c r="C126" t="inlineStr">
        <is>
          <t>Insumos - Eventos A&amp;B</t>
        </is>
      </c>
      <c r="D126" t="inlineStr">
        <is>
          <t>01/05/2026</t>
        </is>
      </c>
      <c r="E126" t="n">
        <v>0</v>
      </c>
      <c r="F126" t="inlineStr">
        <is>
          <t>Fabrica de Bares (2025)</t>
        </is>
      </c>
      <c r="G126" t="b">
        <v>1</v>
      </c>
      <c r="H126" t="inlineStr">
        <is>
          <t>5/2026</t>
        </is>
      </c>
    </row>
    <row r="127">
      <c r="A127" t="inlineStr">
        <is>
          <t>Nuv Gastrobar</t>
        </is>
      </c>
      <c r="B127" t="inlineStr">
        <is>
          <t>Custo Mercadoria Vendida</t>
        </is>
      </c>
      <c r="C127" t="inlineStr">
        <is>
          <t>Insumos - Eventos A&amp;B</t>
        </is>
      </c>
      <c r="D127" t="inlineStr">
        <is>
          <t>01/06/2026</t>
        </is>
      </c>
      <c r="E127" t="n">
        <v>0</v>
      </c>
      <c r="F127" t="inlineStr">
        <is>
          <t>Fabrica de Bares (2025)</t>
        </is>
      </c>
      <c r="G127" t="b">
        <v>1</v>
      </c>
      <c r="H127" t="inlineStr">
        <is>
          <t>6/2026</t>
        </is>
      </c>
    </row>
    <row r="128">
      <c r="A128" t="inlineStr">
        <is>
          <t>Nuv Gastrobar</t>
        </is>
      </c>
      <c r="B128" t="inlineStr">
        <is>
          <t>Custo Mercadoria Vendida</t>
        </is>
      </c>
      <c r="C128" t="inlineStr">
        <is>
          <t>Insumos - Eventos A&amp;B</t>
        </is>
      </c>
      <c r="D128" t="inlineStr">
        <is>
          <t>01/07/2026</t>
        </is>
      </c>
      <c r="E128" t="n">
        <v>0</v>
      </c>
      <c r="F128" t="inlineStr">
        <is>
          <t>Fabrica de Bares (2025)</t>
        </is>
      </c>
      <c r="G128" t="b">
        <v>1</v>
      </c>
      <c r="H128" t="inlineStr">
        <is>
          <t>7/2026</t>
        </is>
      </c>
    </row>
    <row r="129">
      <c r="A129" t="inlineStr">
        <is>
          <t>Nuv Gastrobar</t>
        </is>
      </c>
      <c r="B129" t="inlineStr">
        <is>
          <t>Custo Mercadoria Vendida</t>
        </is>
      </c>
      <c r="C129" t="inlineStr">
        <is>
          <t>Insumos - Eventos A&amp;B</t>
        </is>
      </c>
      <c r="D129" t="inlineStr">
        <is>
          <t>01/08/2026</t>
        </is>
      </c>
      <c r="E129" t="n">
        <v>0</v>
      </c>
      <c r="F129" t="inlineStr">
        <is>
          <t>Fabrica de Bares (2025)</t>
        </is>
      </c>
      <c r="G129" t="b">
        <v>1</v>
      </c>
      <c r="H129" t="inlineStr">
        <is>
          <t>8/2026</t>
        </is>
      </c>
    </row>
    <row r="130">
      <c r="A130" t="inlineStr">
        <is>
          <t>Nuv Gastrobar</t>
        </is>
      </c>
      <c r="B130" t="inlineStr">
        <is>
          <t>Custo Mercadoria Vendida</t>
        </is>
      </c>
      <c r="C130" t="inlineStr">
        <is>
          <t>Insumos - Eventos A&amp;B</t>
        </is>
      </c>
      <c r="D130" t="inlineStr">
        <is>
          <t>01/09/2026</t>
        </is>
      </c>
      <c r="E130" t="n">
        <v>0</v>
      </c>
      <c r="F130" t="inlineStr">
        <is>
          <t>Fabrica de Bares (2025)</t>
        </is>
      </c>
      <c r="G130" t="b">
        <v>1</v>
      </c>
      <c r="H130" t="inlineStr">
        <is>
          <t>9/2026</t>
        </is>
      </c>
    </row>
    <row r="131">
      <c r="A131" t="inlineStr">
        <is>
          <t>Nuv Gastrobar</t>
        </is>
      </c>
      <c r="B131" t="inlineStr">
        <is>
          <t>Custo Mercadoria Vendida</t>
        </is>
      </c>
      <c r="C131" t="inlineStr">
        <is>
          <t>Insumos - Eventos A&amp;B</t>
        </is>
      </c>
      <c r="D131" t="inlineStr">
        <is>
          <t>01/10/2026</t>
        </is>
      </c>
      <c r="E131" t="n">
        <v>0</v>
      </c>
      <c r="F131" t="inlineStr">
        <is>
          <t>Fabrica de Bares (2025)</t>
        </is>
      </c>
      <c r="G131" t="b">
        <v>1</v>
      </c>
      <c r="H131" t="inlineStr">
        <is>
          <t>10/2026</t>
        </is>
      </c>
    </row>
    <row r="132">
      <c r="A132" t="inlineStr">
        <is>
          <t>Nuv Gastrobar</t>
        </is>
      </c>
      <c r="B132" t="inlineStr">
        <is>
          <t>Custo Mercadoria Vendida</t>
        </is>
      </c>
      <c r="C132" t="inlineStr">
        <is>
          <t>Insumos - Eventos A&amp;B</t>
        </is>
      </c>
      <c r="D132" t="inlineStr">
        <is>
          <t>01/11/2026</t>
        </is>
      </c>
      <c r="E132" t="n">
        <v>0</v>
      </c>
      <c r="F132" t="inlineStr">
        <is>
          <t>Fabrica de Bares (2025)</t>
        </is>
      </c>
      <c r="G132" t="b">
        <v>1</v>
      </c>
      <c r="H132" t="inlineStr">
        <is>
          <t>11/2026</t>
        </is>
      </c>
    </row>
    <row r="133">
      <c r="A133" t="inlineStr">
        <is>
          <t>Nuv Gastrobar</t>
        </is>
      </c>
      <c r="B133" t="inlineStr">
        <is>
          <t>Custo Mercadoria Vendida</t>
        </is>
      </c>
      <c r="C133" t="inlineStr">
        <is>
          <t>Insumos - Eventos A&amp;B</t>
        </is>
      </c>
      <c r="D133" t="inlineStr">
        <is>
          <t>01/12/2026</t>
        </is>
      </c>
      <c r="E133" t="n">
        <v>0</v>
      </c>
      <c r="F133" t="inlineStr">
        <is>
          <t>Fabrica de Bares (2025)</t>
        </is>
      </c>
      <c r="G133" t="b">
        <v>1</v>
      </c>
      <c r="H133" t="inlineStr">
        <is>
          <t>12/2026</t>
        </is>
      </c>
    </row>
    <row r="134">
      <c r="A134" t="inlineStr">
        <is>
          <t>Nuv Gastrobar</t>
        </is>
      </c>
      <c r="B134" t="inlineStr">
        <is>
          <t>Custos Artístico Geral</t>
        </is>
      </c>
      <c r="C134" t="inlineStr">
        <is>
          <t>Alimentação e Transporte</t>
        </is>
      </c>
      <c r="D134" t="inlineStr">
        <is>
          <t>01/01/2026</t>
        </is>
      </c>
      <c r="E134" t="n">
        <v>0</v>
      </c>
      <c r="F134" t="inlineStr">
        <is>
          <t>Fabrica de Bares (2025)</t>
        </is>
      </c>
      <c r="G134" t="b">
        <v>1</v>
      </c>
      <c r="H134" t="inlineStr">
        <is>
          <t>1/2026</t>
        </is>
      </c>
    </row>
    <row r="135">
      <c r="A135" t="inlineStr">
        <is>
          <t>Nuv Gastrobar</t>
        </is>
      </c>
      <c r="B135" t="inlineStr">
        <is>
          <t>Custos Artístico Geral</t>
        </is>
      </c>
      <c r="C135" t="inlineStr">
        <is>
          <t>Alimentação e Transporte</t>
        </is>
      </c>
      <c r="D135" t="inlineStr">
        <is>
          <t>01/02/2026</t>
        </is>
      </c>
      <c r="E135" t="n">
        <v>0</v>
      </c>
      <c r="F135" t="inlineStr">
        <is>
          <t>Fabrica de Bares (2025)</t>
        </is>
      </c>
      <c r="G135" t="b">
        <v>1</v>
      </c>
      <c r="H135" t="inlineStr">
        <is>
          <t>2/2026</t>
        </is>
      </c>
    </row>
    <row r="136">
      <c r="A136" t="inlineStr">
        <is>
          <t>Nuv Gastrobar</t>
        </is>
      </c>
      <c r="B136" t="inlineStr">
        <is>
          <t>Custos Artístico Geral</t>
        </is>
      </c>
      <c r="C136" t="inlineStr">
        <is>
          <t>Alimentação e Transporte</t>
        </is>
      </c>
      <c r="D136" t="inlineStr">
        <is>
          <t>01/03/2026</t>
        </is>
      </c>
      <c r="E136" t="n">
        <v>0</v>
      </c>
      <c r="F136" t="inlineStr">
        <is>
          <t>Fabrica de Bares (2025)</t>
        </is>
      </c>
      <c r="G136" t="b">
        <v>1</v>
      </c>
      <c r="H136" t="inlineStr">
        <is>
          <t>3/2026</t>
        </is>
      </c>
    </row>
    <row r="137">
      <c r="A137" t="inlineStr">
        <is>
          <t>Nuv Gastrobar</t>
        </is>
      </c>
      <c r="B137" t="inlineStr">
        <is>
          <t>Custos Artístico Geral</t>
        </is>
      </c>
      <c r="C137" t="inlineStr">
        <is>
          <t>Alimentação e Transporte</t>
        </is>
      </c>
      <c r="D137" t="inlineStr">
        <is>
          <t>01/04/2026</t>
        </is>
      </c>
      <c r="E137" t="n">
        <v>0</v>
      </c>
      <c r="F137" t="inlineStr">
        <is>
          <t>Fabrica de Bares (2025)</t>
        </is>
      </c>
      <c r="G137" t="b">
        <v>1</v>
      </c>
      <c r="H137" t="inlineStr">
        <is>
          <t>4/2026</t>
        </is>
      </c>
    </row>
    <row r="138">
      <c r="A138" t="inlineStr">
        <is>
          <t>Nuv Gastrobar</t>
        </is>
      </c>
      <c r="B138" t="inlineStr">
        <is>
          <t>Custos Artístico Geral</t>
        </is>
      </c>
      <c r="C138" t="inlineStr">
        <is>
          <t>Alimentação e Transporte</t>
        </is>
      </c>
      <c r="D138" t="inlineStr">
        <is>
          <t>01/05/2026</t>
        </is>
      </c>
      <c r="E138" t="n">
        <v>0</v>
      </c>
      <c r="F138" t="inlineStr">
        <is>
          <t>Fabrica de Bares (2025)</t>
        </is>
      </c>
      <c r="G138" t="b">
        <v>1</v>
      </c>
      <c r="H138" t="inlineStr">
        <is>
          <t>5/2026</t>
        </is>
      </c>
    </row>
    <row r="139">
      <c r="A139" t="inlineStr">
        <is>
          <t>Nuv Gastrobar</t>
        </is>
      </c>
      <c r="B139" t="inlineStr">
        <is>
          <t>Custos Artístico Geral</t>
        </is>
      </c>
      <c r="C139" t="inlineStr">
        <is>
          <t>Alimentação e Transporte</t>
        </is>
      </c>
      <c r="D139" t="inlineStr">
        <is>
          <t>01/06/2026</t>
        </is>
      </c>
      <c r="E139" t="n">
        <v>0</v>
      </c>
      <c r="F139" t="inlineStr">
        <is>
          <t>Fabrica de Bares (2025)</t>
        </is>
      </c>
      <c r="G139" t="b">
        <v>1</v>
      </c>
      <c r="H139" t="inlineStr">
        <is>
          <t>6/2026</t>
        </is>
      </c>
    </row>
    <row r="140">
      <c r="A140" t="inlineStr">
        <is>
          <t>Nuv Gastrobar</t>
        </is>
      </c>
      <c r="B140" t="inlineStr">
        <is>
          <t>Custos Artístico Geral</t>
        </is>
      </c>
      <c r="C140" t="inlineStr">
        <is>
          <t>Alimentação e Transporte</t>
        </is>
      </c>
      <c r="D140" t="inlineStr">
        <is>
          <t>01/07/2026</t>
        </is>
      </c>
      <c r="E140" t="n">
        <v>0</v>
      </c>
      <c r="F140" t="inlineStr">
        <is>
          <t>Fabrica de Bares (2025)</t>
        </is>
      </c>
      <c r="G140" t="b">
        <v>1</v>
      </c>
      <c r="H140" t="inlineStr">
        <is>
          <t>7/2026</t>
        </is>
      </c>
    </row>
    <row r="141">
      <c r="A141" t="inlineStr">
        <is>
          <t>Nuv Gastrobar</t>
        </is>
      </c>
      <c r="B141" t="inlineStr">
        <is>
          <t>Custos Artístico Geral</t>
        </is>
      </c>
      <c r="C141" t="inlineStr">
        <is>
          <t>Alimentação e Transporte</t>
        </is>
      </c>
      <c r="D141" t="inlineStr">
        <is>
          <t>01/08/2026</t>
        </is>
      </c>
      <c r="E141" t="n">
        <v>0</v>
      </c>
      <c r="F141" t="inlineStr">
        <is>
          <t>Fabrica de Bares (2025)</t>
        </is>
      </c>
      <c r="G141" t="b">
        <v>1</v>
      </c>
      <c r="H141" t="inlineStr">
        <is>
          <t>8/2026</t>
        </is>
      </c>
    </row>
    <row r="142">
      <c r="A142" t="inlineStr">
        <is>
          <t>Nuv Gastrobar</t>
        </is>
      </c>
      <c r="B142" t="inlineStr">
        <is>
          <t>Custos Artístico Geral</t>
        </is>
      </c>
      <c r="C142" t="inlineStr">
        <is>
          <t>Alimentação e Transporte</t>
        </is>
      </c>
      <c r="D142" t="inlineStr">
        <is>
          <t>01/09/2026</t>
        </is>
      </c>
      <c r="E142" t="n">
        <v>0</v>
      </c>
      <c r="F142" t="inlineStr">
        <is>
          <t>Fabrica de Bares (2025)</t>
        </is>
      </c>
      <c r="G142" t="b">
        <v>1</v>
      </c>
      <c r="H142" t="inlineStr">
        <is>
          <t>9/2026</t>
        </is>
      </c>
    </row>
    <row r="143">
      <c r="A143" t="inlineStr">
        <is>
          <t>Nuv Gastrobar</t>
        </is>
      </c>
      <c r="B143" t="inlineStr">
        <is>
          <t>Custos Artístico Geral</t>
        </is>
      </c>
      <c r="C143" t="inlineStr">
        <is>
          <t>Alimentação e Transporte</t>
        </is>
      </c>
      <c r="D143" t="inlineStr">
        <is>
          <t>01/10/2026</t>
        </is>
      </c>
      <c r="E143" t="n">
        <v>0</v>
      </c>
      <c r="F143" t="inlineStr">
        <is>
          <t>Fabrica de Bares (2025)</t>
        </is>
      </c>
      <c r="G143" t="b">
        <v>1</v>
      </c>
      <c r="H143" t="inlineStr">
        <is>
          <t>10/2026</t>
        </is>
      </c>
    </row>
    <row r="144">
      <c r="A144" t="inlineStr">
        <is>
          <t>Nuv Gastrobar</t>
        </is>
      </c>
      <c r="B144" t="inlineStr">
        <is>
          <t>Custos Artístico Geral</t>
        </is>
      </c>
      <c r="C144" t="inlineStr">
        <is>
          <t>Alimentação e Transporte</t>
        </is>
      </c>
      <c r="D144" t="inlineStr">
        <is>
          <t>01/11/2026</t>
        </is>
      </c>
      <c r="E144" t="n">
        <v>0</v>
      </c>
      <c r="F144" t="inlineStr">
        <is>
          <t>Fabrica de Bares (2025)</t>
        </is>
      </c>
      <c r="G144" t="b">
        <v>1</v>
      </c>
      <c r="H144" t="inlineStr">
        <is>
          <t>11/2026</t>
        </is>
      </c>
    </row>
    <row r="145">
      <c r="A145" t="inlineStr">
        <is>
          <t>Nuv Gastrobar</t>
        </is>
      </c>
      <c r="B145" t="inlineStr">
        <is>
          <t>Custos Artístico Geral</t>
        </is>
      </c>
      <c r="C145" t="inlineStr">
        <is>
          <t>Alimentação e Transporte</t>
        </is>
      </c>
      <c r="D145" t="inlineStr">
        <is>
          <t>01/12/2026</t>
        </is>
      </c>
      <c r="E145" t="n">
        <v>0</v>
      </c>
      <c r="F145" t="inlineStr">
        <is>
          <t>Fabrica de Bares (2025)</t>
        </is>
      </c>
      <c r="G145" t="b">
        <v>1</v>
      </c>
      <c r="H145" t="inlineStr">
        <is>
          <t>12/2026</t>
        </is>
      </c>
    </row>
    <row r="146">
      <c r="A146" t="inlineStr">
        <is>
          <t>Nuv Gastrobar</t>
        </is>
      </c>
      <c r="B146" t="inlineStr">
        <is>
          <t>Custos Artístico Geral</t>
        </is>
      </c>
      <c r="C146" t="inlineStr">
        <is>
          <t>Cachê de Músicos e Artistas</t>
        </is>
      </c>
      <c r="D146" t="inlineStr">
        <is>
          <t>01/01/2026</t>
        </is>
      </c>
      <c r="E146" t="n">
        <v>0</v>
      </c>
      <c r="F146" t="inlineStr">
        <is>
          <t>Fabrica de Bares (2025)</t>
        </is>
      </c>
      <c r="G146" t="b">
        <v>1</v>
      </c>
      <c r="H146" t="inlineStr">
        <is>
          <t>1/2026</t>
        </is>
      </c>
    </row>
    <row r="147">
      <c r="A147" t="inlineStr">
        <is>
          <t>Nuv Gastrobar</t>
        </is>
      </c>
      <c r="B147" t="inlineStr">
        <is>
          <t>Custos Artístico Geral</t>
        </is>
      </c>
      <c r="C147" t="inlineStr">
        <is>
          <t>Cachê de Músicos e Artistas</t>
        </is>
      </c>
      <c r="D147" t="inlineStr">
        <is>
          <t>01/02/2026</t>
        </is>
      </c>
      <c r="E147" t="n">
        <v>0</v>
      </c>
      <c r="F147" t="inlineStr">
        <is>
          <t>Fabrica de Bares (2025)</t>
        </is>
      </c>
      <c r="G147" t="b">
        <v>1</v>
      </c>
      <c r="H147" t="inlineStr">
        <is>
          <t>2/2026</t>
        </is>
      </c>
    </row>
    <row r="148">
      <c r="A148" t="inlineStr">
        <is>
          <t>Nuv Gastrobar</t>
        </is>
      </c>
      <c r="B148" t="inlineStr">
        <is>
          <t>Custos Artístico Geral</t>
        </is>
      </c>
      <c r="C148" t="inlineStr">
        <is>
          <t>Cachê de Músicos e Artistas</t>
        </is>
      </c>
      <c r="D148" t="inlineStr">
        <is>
          <t>01/03/2026</t>
        </is>
      </c>
      <c r="E148" t="n">
        <v>0</v>
      </c>
      <c r="F148" t="inlineStr">
        <is>
          <t>Fabrica de Bares (2025)</t>
        </is>
      </c>
      <c r="G148" t="b">
        <v>1</v>
      </c>
      <c r="H148" t="inlineStr">
        <is>
          <t>3/2026</t>
        </is>
      </c>
    </row>
    <row r="149">
      <c r="A149" t="inlineStr">
        <is>
          <t>Nuv Gastrobar</t>
        </is>
      </c>
      <c r="B149" t="inlineStr">
        <is>
          <t>Custos Artístico Geral</t>
        </is>
      </c>
      <c r="C149" t="inlineStr">
        <is>
          <t>Cachê de Músicos e Artistas</t>
        </is>
      </c>
      <c r="D149" t="inlineStr">
        <is>
          <t>01/04/2026</t>
        </is>
      </c>
      <c r="E149" t="n">
        <v>0</v>
      </c>
      <c r="F149" t="inlineStr">
        <is>
          <t>Fabrica de Bares (2025)</t>
        </is>
      </c>
      <c r="G149" t="b">
        <v>1</v>
      </c>
      <c r="H149" t="inlineStr">
        <is>
          <t>4/2026</t>
        </is>
      </c>
    </row>
    <row r="150">
      <c r="A150" t="inlineStr">
        <is>
          <t>Nuv Gastrobar</t>
        </is>
      </c>
      <c r="B150" t="inlineStr">
        <is>
          <t>Custos Artístico Geral</t>
        </is>
      </c>
      <c r="C150" t="inlineStr">
        <is>
          <t>Cachê de Músicos e Artistas</t>
        </is>
      </c>
      <c r="D150" t="inlineStr">
        <is>
          <t>01/05/2026</t>
        </is>
      </c>
      <c r="E150" t="n">
        <v>0</v>
      </c>
      <c r="F150" t="inlineStr">
        <is>
          <t>Fabrica de Bares (2025)</t>
        </is>
      </c>
      <c r="G150" t="b">
        <v>1</v>
      </c>
      <c r="H150" t="inlineStr">
        <is>
          <t>5/2026</t>
        </is>
      </c>
    </row>
    <row r="151">
      <c r="A151" t="inlineStr">
        <is>
          <t>Nuv Gastrobar</t>
        </is>
      </c>
      <c r="B151" t="inlineStr">
        <is>
          <t>Custos Artístico Geral</t>
        </is>
      </c>
      <c r="C151" t="inlineStr">
        <is>
          <t>Cachê de Músicos e Artistas</t>
        </is>
      </c>
      <c r="D151" t="inlineStr">
        <is>
          <t>01/06/2026</t>
        </is>
      </c>
      <c r="E151" t="n">
        <v>0</v>
      </c>
      <c r="F151" t="inlineStr">
        <is>
          <t>Fabrica de Bares (2025)</t>
        </is>
      </c>
      <c r="G151" t="b">
        <v>1</v>
      </c>
      <c r="H151" t="inlineStr">
        <is>
          <t>6/2026</t>
        </is>
      </c>
    </row>
    <row r="152">
      <c r="A152" t="inlineStr">
        <is>
          <t>Nuv Gastrobar</t>
        </is>
      </c>
      <c r="B152" t="inlineStr">
        <is>
          <t>Custos Artístico Geral</t>
        </is>
      </c>
      <c r="C152" t="inlineStr">
        <is>
          <t>Cachê de Músicos e Artistas</t>
        </is>
      </c>
      <c r="D152" t="inlineStr">
        <is>
          <t>01/07/2026</t>
        </is>
      </c>
      <c r="E152" t="n">
        <v>0</v>
      </c>
      <c r="F152" t="inlineStr">
        <is>
          <t>Fabrica de Bares (2025)</t>
        </is>
      </c>
      <c r="G152" t="b">
        <v>1</v>
      </c>
      <c r="H152" t="inlineStr">
        <is>
          <t>7/2026</t>
        </is>
      </c>
    </row>
    <row r="153">
      <c r="A153" t="inlineStr">
        <is>
          <t>Nuv Gastrobar</t>
        </is>
      </c>
      <c r="B153" t="inlineStr">
        <is>
          <t>Custos Artístico Geral</t>
        </is>
      </c>
      <c r="C153" t="inlineStr">
        <is>
          <t>Cachê de Músicos e Artistas</t>
        </is>
      </c>
      <c r="D153" t="inlineStr">
        <is>
          <t>01/08/2026</t>
        </is>
      </c>
      <c r="E153" t="n">
        <v>0</v>
      </c>
      <c r="F153" t="inlineStr">
        <is>
          <t>Fabrica de Bares (2025)</t>
        </is>
      </c>
      <c r="G153" t="b">
        <v>1</v>
      </c>
      <c r="H153" t="inlineStr">
        <is>
          <t>8/2026</t>
        </is>
      </c>
    </row>
    <row r="154">
      <c r="A154" t="inlineStr">
        <is>
          <t>Nuv Gastrobar</t>
        </is>
      </c>
      <c r="B154" t="inlineStr">
        <is>
          <t>Custos Artístico Geral</t>
        </is>
      </c>
      <c r="C154" t="inlineStr">
        <is>
          <t>Cachê de Músicos e Artistas</t>
        </is>
      </c>
      <c r="D154" t="inlineStr">
        <is>
          <t>01/09/2026</t>
        </is>
      </c>
      <c r="E154" t="n">
        <v>0</v>
      </c>
      <c r="F154" t="inlineStr">
        <is>
          <t>Fabrica de Bares (2025)</t>
        </is>
      </c>
      <c r="G154" t="b">
        <v>1</v>
      </c>
      <c r="H154" t="inlineStr">
        <is>
          <t>9/2026</t>
        </is>
      </c>
    </row>
    <row r="155">
      <c r="A155" t="inlineStr">
        <is>
          <t>Nuv Gastrobar</t>
        </is>
      </c>
      <c r="B155" t="inlineStr">
        <is>
          <t>Custos Artístico Geral</t>
        </is>
      </c>
      <c r="C155" t="inlineStr">
        <is>
          <t>Cachê de Músicos e Artistas</t>
        </is>
      </c>
      <c r="D155" t="inlineStr">
        <is>
          <t>01/10/2026</t>
        </is>
      </c>
      <c r="E155" t="n">
        <v>0</v>
      </c>
      <c r="F155" t="inlineStr">
        <is>
          <t>Fabrica de Bares (2025)</t>
        </is>
      </c>
      <c r="G155" t="b">
        <v>1</v>
      </c>
      <c r="H155" t="inlineStr">
        <is>
          <t>10/2026</t>
        </is>
      </c>
    </row>
    <row r="156">
      <c r="A156" t="inlineStr">
        <is>
          <t>Nuv Gastrobar</t>
        </is>
      </c>
      <c r="B156" t="inlineStr">
        <is>
          <t>Custos Artístico Geral</t>
        </is>
      </c>
      <c r="C156" t="inlineStr">
        <is>
          <t>Cachê de Músicos e Artistas</t>
        </is>
      </c>
      <c r="D156" t="inlineStr">
        <is>
          <t>01/11/2026</t>
        </is>
      </c>
      <c r="E156" t="n">
        <v>0</v>
      </c>
      <c r="F156" t="inlineStr">
        <is>
          <t>Fabrica de Bares (2025)</t>
        </is>
      </c>
      <c r="G156" t="b">
        <v>1</v>
      </c>
      <c r="H156" t="inlineStr">
        <is>
          <t>11/2026</t>
        </is>
      </c>
    </row>
    <row r="157">
      <c r="A157" t="inlineStr">
        <is>
          <t>Nuv Gastrobar</t>
        </is>
      </c>
      <c r="B157" t="inlineStr">
        <is>
          <t>Custos Artístico Geral</t>
        </is>
      </c>
      <c r="C157" t="inlineStr">
        <is>
          <t>Cachê de Músicos e Artistas</t>
        </is>
      </c>
      <c r="D157" t="inlineStr">
        <is>
          <t>01/12/2026</t>
        </is>
      </c>
      <c r="E157" t="n">
        <v>0</v>
      </c>
      <c r="F157" t="inlineStr">
        <is>
          <t>Fabrica de Bares (2025)</t>
        </is>
      </c>
      <c r="G157" t="b">
        <v>1</v>
      </c>
      <c r="H157" t="inlineStr">
        <is>
          <t>12/2026</t>
        </is>
      </c>
    </row>
    <row r="158">
      <c r="A158" t="inlineStr">
        <is>
          <t>Nuv Gastrobar</t>
        </is>
      </c>
      <c r="B158" t="inlineStr">
        <is>
          <t>Custos Artístico Geral</t>
        </is>
      </c>
      <c r="C158" t="inlineStr">
        <is>
          <t>Locação de Equipamentos Fixo</t>
        </is>
      </c>
      <c r="D158" t="inlineStr">
        <is>
          <t>01/01/2026</t>
        </is>
      </c>
      <c r="E158" t="n">
        <v>0</v>
      </c>
      <c r="F158" t="inlineStr">
        <is>
          <t>Fabrica de Bares (2025)</t>
        </is>
      </c>
      <c r="G158" t="b">
        <v>1</v>
      </c>
      <c r="H158" t="inlineStr">
        <is>
          <t>1/2026</t>
        </is>
      </c>
    </row>
    <row r="159">
      <c r="A159" t="inlineStr">
        <is>
          <t>Nuv Gastrobar</t>
        </is>
      </c>
      <c r="B159" t="inlineStr">
        <is>
          <t>Custos Artístico Geral</t>
        </is>
      </c>
      <c r="C159" t="inlineStr">
        <is>
          <t>Locação de Equipamentos Fixo</t>
        </is>
      </c>
      <c r="D159" t="inlineStr">
        <is>
          <t>01/02/2026</t>
        </is>
      </c>
      <c r="E159" t="n">
        <v>0</v>
      </c>
      <c r="F159" t="inlineStr">
        <is>
          <t>Fabrica de Bares (2025)</t>
        </is>
      </c>
      <c r="G159" t="b">
        <v>1</v>
      </c>
      <c r="H159" t="inlineStr">
        <is>
          <t>2/2026</t>
        </is>
      </c>
    </row>
    <row r="160">
      <c r="A160" t="inlineStr">
        <is>
          <t>Nuv Gastrobar</t>
        </is>
      </c>
      <c r="B160" t="inlineStr">
        <is>
          <t>Custos Artístico Geral</t>
        </is>
      </c>
      <c r="C160" t="inlineStr">
        <is>
          <t>Locação de Equipamentos Fixo</t>
        </is>
      </c>
      <c r="D160" t="inlineStr">
        <is>
          <t>01/03/2026</t>
        </is>
      </c>
      <c r="E160" t="n">
        <v>0</v>
      </c>
      <c r="F160" t="inlineStr">
        <is>
          <t>Fabrica de Bares (2025)</t>
        </is>
      </c>
      <c r="G160" t="b">
        <v>1</v>
      </c>
      <c r="H160" t="inlineStr">
        <is>
          <t>3/2026</t>
        </is>
      </c>
    </row>
    <row r="161">
      <c r="A161" t="inlineStr">
        <is>
          <t>Nuv Gastrobar</t>
        </is>
      </c>
      <c r="B161" t="inlineStr">
        <is>
          <t>Custos Artístico Geral</t>
        </is>
      </c>
      <c r="C161" t="inlineStr">
        <is>
          <t>Locação de Equipamentos Fixo</t>
        </is>
      </c>
      <c r="D161" t="inlineStr">
        <is>
          <t>01/04/2026</t>
        </is>
      </c>
      <c r="E161" t="n">
        <v>0</v>
      </c>
      <c r="F161" t="inlineStr">
        <is>
          <t>Fabrica de Bares (2025)</t>
        </is>
      </c>
      <c r="G161" t="b">
        <v>1</v>
      </c>
      <c r="H161" t="inlineStr">
        <is>
          <t>4/2026</t>
        </is>
      </c>
    </row>
    <row r="162">
      <c r="A162" t="inlineStr">
        <is>
          <t>Nuv Gastrobar</t>
        </is>
      </c>
      <c r="B162" t="inlineStr">
        <is>
          <t>Custos Artístico Geral</t>
        </is>
      </c>
      <c r="C162" t="inlineStr">
        <is>
          <t>Locação de Equipamentos Fixo</t>
        </is>
      </c>
      <c r="D162" t="inlineStr">
        <is>
          <t>01/05/2026</t>
        </is>
      </c>
      <c r="E162" t="n">
        <v>0</v>
      </c>
      <c r="F162" t="inlineStr">
        <is>
          <t>Fabrica de Bares (2025)</t>
        </is>
      </c>
      <c r="G162" t="b">
        <v>1</v>
      </c>
      <c r="H162" t="inlineStr">
        <is>
          <t>5/2026</t>
        </is>
      </c>
    </row>
    <row r="163">
      <c r="A163" t="inlineStr">
        <is>
          <t>Nuv Gastrobar</t>
        </is>
      </c>
      <c r="B163" t="inlineStr">
        <is>
          <t>Custos Artístico Geral</t>
        </is>
      </c>
      <c r="C163" t="inlineStr">
        <is>
          <t>Locação de Equipamentos Fixo</t>
        </is>
      </c>
      <c r="D163" t="inlineStr">
        <is>
          <t>01/06/2026</t>
        </is>
      </c>
      <c r="E163" t="n">
        <v>0</v>
      </c>
      <c r="F163" t="inlineStr">
        <is>
          <t>Fabrica de Bares (2025)</t>
        </is>
      </c>
      <c r="G163" t="b">
        <v>1</v>
      </c>
      <c r="H163" t="inlineStr">
        <is>
          <t>6/2026</t>
        </is>
      </c>
    </row>
    <row r="164">
      <c r="A164" t="inlineStr">
        <is>
          <t>Nuv Gastrobar</t>
        </is>
      </c>
      <c r="B164" t="inlineStr">
        <is>
          <t>Custos Artístico Geral</t>
        </is>
      </c>
      <c r="C164" t="inlineStr">
        <is>
          <t>Locação de Equipamentos Fixo</t>
        </is>
      </c>
      <c r="D164" t="inlineStr">
        <is>
          <t>01/07/2026</t>
        </is>
      </c>
      <c r="E164" t="n">
        <v>0</v>
      </c>
      <c r="F164" t="inlineStr">
        <is>
          <t>Fabrica de Bares (2025)</t>
        </is>
      </c>
      <c r="G164" t="b">
        <v>1</v>
      </c>
      <c r="H164" t="inlineStr">
        <is>
          <t>7/2026</t>
        </is>
      </c>
    </row>
    <row r="165">
      <c r="A165" t="inlineStr">
        <is>
          <t>Nuv Gastrobar</t>
        </is>
      </c>
      <c r="B165" t="inlineStr">
        <is>
          <t>Custos Artístico Geral</t>
        </is>
      </c>
      <c r="C165" t="inlineStr">
        <is>
          <t>Locação de Equipamentos Fixo</t>
        </is>
      </c>
      <c r="D165" t="inlineStr">
        <is>
          <t>01/08/2026</t>
        </is>
      </c>
      <c r="E165" t="n">
        <v>0</v>
      </c>
      <c r="F165" t="inlineStr">
        <is>
          <t>Fabrica de Bares (2025)</t>
        </is>
      </c>
      <c r="G165" t="b">
        <v>1</v>
      </c>
      <c r="H165" t="inlineStr">
        <is>
          <t>8/2026</t>
        </is>
      </c>
    </row>
    <row r="166">
      <c r="A166" t="inlineStr">
        <is>
          <t>Nuv Gastrobar</t>
        </is>
      </c>
      <c r="B166" t="inlineStr">
        <is>
          <t>Custos Artístico Geral</t>
        </is>
      </c>
      <c r="C166" t="inlineStr">
        <is>
          <t>Locação de Equipamentos Fixo</t>
        </is>
      </c>
      <c r="D166" t="inlineStr">
        <is>
          <t>01/09/2026</t>
        </is>
      </c>
      <c r="E166" t="n">
        <v>0</v>
      </c>
      <c r="F166" t="inlineStr">
        <is>
          <t>Fabrica de Bares (2025)</t>
        </is>
      </c>
      <c r="G166" t="b">
        <v>1</v>
      </c>
      <c r="H166" t="inlineStr">
        <is>
          <t>9/2026</t>
        </is>
      </c>
    </row>
    <row r="167">
      <c r="A167" t="inlineStr">
        <is>
          <t>Nuv Gastrobar</t>
        </is>
      </c>
      <c r="B167" t="inlineStr">
        <is>
          <t>Custos Artístico Geral</t>
        </is>
      </c>
      <c r="C167" t="inlineStr">
        <is>
          <t>Locação de Equipamentos Fixo</t>
        </is>
      </c>
      <c r="D167" t="inlineStr">
        <is>
          <t>01/10/2026</t>
        </is>
      </c>
      <c r="E167" t="n">
        <v>0</v>
      </c>
      <c r="F167" t="inlineStr">
        <is>
          <t>Fabrica de Bares (2025)</t>
        </is>
      </c>
      <c r="G167" t="b">
        <v>1</v>
      </c>
      <c r="H167" t="inlineStr">
        <is>
          <t>10/2026</t>
        </is>
      </c>
    </row>
    <row r="168">
      <c r="A168" t="inlineStr">
        <is>
          <t>Nuv Gastrobar</t>
        </is>
      </c>
      <c r="B168" t="inlineStr">
        <is>
          <t>Custos Artístico Geral</t>
        </is>
      </c>
      <c r="C168" t="inlineStr">
        <is>
          <t>Locação de Equipamentos Fixo</t>
        </is>
      </c>
      <c r="D168" t="inlineStr">
        <is>
          <t>01/11/2026</t>
        </is>
      </c>
      <c r="E168" t="n">
        <v>0</v>
      </c>
      <c r="F168" t="inlineStr">
        <is>
          <t>Fabrica de Bares (2025)</t>
        </is>
      </c>
      <c r="G168" t="b">
        <v>1</v>
      </c>
      <c r="H168" t="inlineStr">
        <is>
          <t>11/2026</t>
        </is>
      </c>
    </row>
    <row r="169">
      <c r="A169" t="inlineStr">
        <is>
          <t>Nuv Gastrobar</t>
        </is>
      </c>
      <c r="B169" t="inlineStr">
        <is>
          <t>Custos Artístico Geral</t>
        </is>
      </c>
      <c r="C169" t="inlineStr">
        <is>
          <t>Locação de Equipamentos Fixo</t>
        </is>
      </c>
      <c r="D169" t="inlineStr">
        <is>
          <t>01/12/2026</t>
        </is>
      </c>
      <c r="E169" t="n">
        <v>0</v>
      </c>
      <c r="F169" t="inlineStr">
        <is>
          <t>Fabrica de Bares (2025)</t>
        </is>
      </c>
      <c r="G169" t="b">
        <v>1</v>
      </c>
      <c r="H169" t="inlineStr">
        <is>
          <t>12/2026</t>
        </is>
      </c>
    </row>
    <row r="170">
      <c r="A170" t="inlineStr">
        <is>
          <t>Nuv Gastrobar</t>
        </is>
      </c>
      <c r="B170" t="inlineStr">
        <is>
          <t>Custos Artístico Geral</t>
        </is>
      </c>
      <c r="C170" t="inlineStr">
        <is>
          <t>Locação de Equipamentos Variável</t>
        </is>
      </c>
      <c r="D170" t="inlineStr">
        <is>
          <t>01/01/2026</t>
        </is>
      </c>
      <c r="E170" t="n">
        <v>0</v>
      </c>
      <c r="F170" t="inlineStr">
        <is>
          <t>Fabrica de Bares (2025)</t>
        </is>
      </c>
      <c r="G170" t="b">
        <v>1</v>
      </c>
      <c r="H170" t="inlineStr">
        <is>
          <t>1/2026</t>
        </is>
      </c>
    </row>
    <row r="171">
      <c r="A171" t="inlineStr">
        <is>
          <t>Nuv Gastrobar</t>
        </is>
      </c>
      <c r="B171" t="inlineStr">
        <is>
          <t>Custos Artístico Geral</t>
        </is>
      </c>
      <c r="C171" t="inlineStr">
        <is>
          <t>Locação de Equipamentos Variável</t>
        </is>
      </c>
      <c r="D171" t="inlineStr">
        <is>
          <t>01/02/2026</t>
        </is>
      </c>
      <c r="E171" t="n">
        <v>0</v>
      </c>
      <c r="F171" t="inlineStr">
        <is>
          <t>Fabrica de Bares (2025)</t>
        </is>
      </c>
      <c r="G171" t="b">
        <v>1</v>
      </c>
      <c r="H171" t="inlineStr">
        <is>
          <t>2/2026</t>
        </is>
      </c>
    </row>
    <row r="172">
      <c r="A172" t="inlineStr">
        <is>
          <t>Nuv Gastrobar</t>
        </is>
      </c>
      <c r="B172" t="inlineStr">
        <is>
          <t>Custos Artístico Geral</t>
        </is>
      </c>
      <c r="C172" t="inlineStr">
        <is>
          <t>Locação de Equipamentos Variável</t>
        </is>
      </c>
      <c r="D172" t="inlineStr">
        <is>
          <t>01/03/2026</t>
        </is>
      </c>
      <c r="E172" t="n">
        <v>0</v>
      </c>
      <c r="F172" t="inlineStr">
        <is>
          <t>Fabrica de Bares (2025)</t>
        </is>
      </c>
      <c r="G172" t="b">
        <v>1</v>
      </c>
      <c r="H172" t="inlineStr">
        <is>
          <t>3/2026</t>
        </is>
      </c>
    </row>
    <row r="173">
      <c r="A173" t="inlineStr">
        <is>
          <t>Nuv Gastrobar</t>
        </is>
      </c>
      <c r="B173" t="inlineStr">
        <is>
          <t>Custos Artístico Geral</t>
        </is>
      </c>
      <c r="C173" t="inlineStr">
        <is>
          <t>Locação de Equipamentos Variável</t>
        </is>
      </c>
      <c r="D173" t="inlineStr">
        <is>
          <t>01/04/2026</t>
        </is>
      </c>
      <c r="E173" t="n">
        <v>0</v>
      </c>
      <c r="F173" t="inlineStr">
        <is>
          <t>Fabrica de Bares (2025)</t>
        </is>
      </c>
      <c r="G173" t="b">
        <v>1</v>
      </c>
      <c r="H173" t="inlineStr">
        <is>
          <t>4/2026</t>
        </is>
      </c>
    </row>
    <row r="174">
      <c r="A174" t="inlineStr">
        <is>
          <t>Nuv Gastrobar</t>
        </is>
      </c>
      <c r="B174" t="inlineStr">
        <is>
          <t>Custos Artístico Geral</t>
        </is>
      </c>
      <c r="C174" t="inlineStr">
        <is>
          <t>Locação de Equipamentos Variável</t>
        </is>
      </c>
      <c r="D174" t="inlineStr">
        <is>
          <t>01/05/2026</t>
        </is>
      </c>
      <c r="E174" t="n">
        <v>0</v>
      </c>
      <c r="F174" t="inlineStr">
        <is>
          <t>Fabrica de Bares (2025)</t>
        </is>
      </c>
      <c r="G174" t="b">
        <v>1</v>
      </c>
      <c r="H174" t="inlineStr">
        <is>
          <t>5/2026</t>
        </is>
      </c>
    </row>
    <row r="175">
      <c r="A175" t="inlineStr">
        <is>
          <t>Nuv Gastrobar</t>
        </is>
      </c>
      <c r="B175" t="inlineStr">
        <is>
          <t>Custos Artístico Geral</t>
        </is>
      </c>
      <c r="C175" t="inlineStr">
        <is>
          <t>Locação de Equipamentos Variável</t>
        </is>
      </c>
      <c r="D175" t="inlineStr">
        <is>
          <t>01/06/2026</t>
        </is>
      </c>
      <c r="E175" t="n">
        <v>0</v>
      </c>
      <c r="F175" t="inlineStr">
        <is>
          <t>Fabrica de Bares (2025)</t>
        </is>
      </c>
      <c r="G175" t="b">
        <v>1</v>
      </c>
      <c r="H175" t="inlineStr">
        <is>
          <t>6/2026</t>
        </is>
      </c>
    </row>
    <row r="176">
      <c r="A176" t="inlineStr">
        <is>
          <t>Nuv Gastrobar</t>
        </is>
      </c>
      <c r="B176" t="inlineStr">
        <is>
          <t>Custos Artístico Geral</t>
        </is>
      </c>
      <c r="C176" t="inlineStr">
        <is>
          <t>Locação de Equipamentos Variável</t>
        </is>
      </c>
      <c r="D176" t="inlineStr">
        <is>
          <t>01/07/2026</t>
        </is>
      </c>
      <c r="E176" t="n">
        <v>0</v>
      </c>
      <c r="F176" t="inlineStr">
        <is>
          <t>Fabrica de Bares (2025)</t>
        </is>
      </c>
      <c r="G176" t="b">
        <v>1</v>
      </c>
      <c r="H176" t="inlineStr">
        <is>
          <t>7/2026</t>
        </is>
      </c>
    </row>
    <row r="177">
      <c r="A177" t="inlineStr">
        <is>
          <t>Nuv Gastrobar</t>
        </is>
      </c>
      <c r="B177" t="inlineStr">
        <is>
          <t>Custos Artístico Geral</t>
        </is>
      </c>
      <c r="C177" t="inlineStr">
        <is>
          <t>Locação de Equipamentos Variável</t>
        </is>
      </c>
      <c r="D177" t="inlineStr">
        <is>
          <t>01/08/2026</t>
        </is>
      </c>
      <c r="E177" t="n">
        <v>0</v>
      </c>
      <c r="F177" t="inlineStr">
        <is>
          <t>Fabrica de Bares (2025)</t>
        </is>
      </c>
      <c r="G177" t="b">
        <v>1</v>
      </c>
      <c r="H177" t="inlineStr">
        <is>
          <t>8/2026</t>
        </is>
      </c>
    </row>
    <row r="178">
      <c r="A178" t="inlineStr">
        <is>
          <t>Nuv Gastrobar</t>
        </is>
      </c>
      <c r="B178" t="inlineStr">
        <is>
          <t>Custos Artístico Geral</t>
        </is>
      </c>
      <c r="C178" t="inlineStr">
        <is>
          <t>Locação de Equipamentos Variável</t>
        </is>
      </c>
      <c r="D178" t="inlineStr">
        <is>
          <t>01/09/2026</t>
        </is>
      </c>
      <c r="E178" t="n">
        <v>0</v>
      </c>
      <c r="F178" t="inlineStr">
        <is>
          <t>Fabrica de Bares (2025)</t>
        </is>
      </c>
      <c r="G178" t="b">
        <v>1</v>
      </c>
      <c r="H178" t="inlineStr">
        <is>
          <t>9/2026</t>
        </is>
      </c>
    </row>
    <row r="179">
      <c r="A179" t="inlineStr">
        <is>
          <t>Nuv Gastrobar</t>
        </is>
      </c>
      <c r="B179" t="inlineStr">
        <is>
          <t>Custos Artístico Geral</t>
        </is>
      </c>
      <c r="C179" t="inlineStr">
        <is>
          <t>Locação de Equipamentos Variável</t>
        </is>
      </c>
      <c r="D179" t="inlineStr">
        <is>
          <t>01/10/2026</t>
        </is>
      </c>
      <c r="E179" t="n">
        <v>0</v>
      </c>
      <c r="F179" t="inlineStr">
        <is>
          <t>Fabrica de Bares (2025)</t>
        </is>
      </c>
      <c r="G179" t="b">
        <v>1</v>
      </c>
      <c r="H179" t="inlineStr">
        <is>
          <t>10/2026</t>
        </is>
      </c>
    </row>
    <row r="180">
      <c r="A180" t="inlineStr">
        <is>
          <t>Nuv Gastrobar</t>
        </is>
      </c>
      <c r="B180" t="inlineStr">
        <is>
          <t>Custos Artístico Geral</t>
        </is>
      </c>
      <c r="C180" t="inlineStr">
        <is>
          <t>Locação de Equipamentos Variável</t>
        </is>
      </c>
      <c r="D180" t="inlineStr">
        <is>
          <t>01/11/2026</t>
        </is>
      </c>
      <c r="E180" t="n">
        <v>0</v>
      </c>
      <c r="F180" t="inlineStr">
        <is>
          <t>Fabrica de Bares (2025)</t>
        </is>
      </c>
      <c r="G180" t="b">
        <v>1</v>
      </c>
      <c r="H180" t="inlineStr">
        <is>
          <t>11/2026</t>
        </is>
      </c>
    </row>
    <row r="181">
      <c r="A181" t="inlineStr">
        <is>
          <t>Nuv Gastrobar</t>
        </is>
      </c>
      <c r="B181" t="inlineStr">
        <is>
          <t>Custos Artístico Geral</t>
        </is>
      </c>
      <c r="C181" t="inlineStr">
        <is>
          <t>Locação de Equipamentos Variável</t>
        </is>
      </c>
      <c r="D181" t="inlineStr">
        <is>
          <t>01/12/2026</t>
        </is>
      </c>
      <c r="E181" t="n">
        <v>0</v>
      </c>
      <c r="F181" t="inlineStr">
        <is>
          <t>Fabrica de Bares (2025)</t>
        </is>
      </c>
      <c r="G181" t="b">
        <v>1</v>
      </c>
      <c r="H181" t="inlineStr">
        <is>
          <t>12/2026</t>
        </is>
      </c>
    </row>
    <row r="182">
      <c r="A182" t="inlineStr">
        <is>
          <t>Nuv Gastrobar</t>
        </is>
      </c>
      <c r="B182" t="inlineStr">
        <is>
          <t>Custos Artístico Geral</t>
        </is>
      </c>
      <c r="C182" t="inlineStr">
        <is>
          <t>Taxas e Licenças - Artístico</t>
        </is>
      </c>
      <c r="D182" t="inlineStr">
        <is>
          <t>01/01/2026</t>
        </is>
      </c>
      <c r="E182" t="n">
        <v>0</v>
      </c>
      <c r="F182" t="inlineStr">
        <is>
          <t>Fabrica de Bares (2025)</t>
        </is>
      </c>
      <c r="G182" t="b">
        <v>1</v>
      </c>
      <c r="H182" t="inlineStr">
        <is>
          <t>1/2026</t>
        </is>
      </c>
    </row>
    <row r="183">
      <c r="A183" t="inlineStr">
        <is>
          <t>Nuv Gastrobar</t>
        </is>
      </c>
      <c r="B183" t="inlineStr">
        <is>
          <t>Custos Artístico Geral</t>
        </is>
      </c>
      <c r="C183" t="inlineStr">
        <is>
          <t>Taxas e Licenças - Artístico</t>
        </is>
      </c>
      <c r="D183" t="inlineStr">
        <is>
          <t>01/02/2026</t>
        </is>
      </c>
      <c r="E183" t="n">
        <v>0</v>
      </c>
      <c r="F183" t="inlineStr">
        <is>
          <t>Fabrica de Bares (2025)</t>
        </is>
      </c>
      <c r="G183" t="b">
        <v>1</v>
      </c>
      <c r="H183" t="inlineStr">
        <is>
          <t>2/2026</t>
        </is>
      </c>
    </row>
    <row r="184">
      <c r="A184" t="inlineStr">
        <is>
          <t>Nuv Gastrobar</t>
        </is>
      </c>
      <c r="B184" t="inlineStr">
        <is>
          <t>Custos Artístico Geral</t>
        </is>
      </c>
      <c r="C184" t="inlineStr">
        <is>
          <t>Taxas e Licenças - Artístico</t>
        </is>
      </c>
      <c r="D184" t="inlineStr">
        <is>
          <t>01/03/2026</t>
        </is>
      </c>
      <c r="E184" t="n">
        <v>0</v>
      </c>
      <c r="F184" t="inlineStr">
        <is>
          <t>Fabrica de Bares (2025)</t>
        </is>
      </c>
      <c r="G184" t="b">
        <v>1</v>
      </c>
      <c r="H184" t="inlineStr">
        <is>
          <t>3/2026</t>
        </is>
      </c>
    </row>
    <row r="185">
      <c r="A185" t="inlineStr">
        <is>
          <t>Nuv Gastrobar</t>
        </is>
      </c>
      <c r="B185" t="inlineStr">
        <is>
          <t>Custos Artístico Geral</t>
        </is>
      </c>
      <c r="C185" t="inlineStr">
        <is>
          <t>Taxas e Licenças - Artístico</t>
        </is>
      </c>
      <c r="D185" t="inlineStr">
        <is>
          <t>01/04/2026</t>
        </is>
      </c>
      <c r="E185" t="n">
        <v>0</v>
      </c>
      <c r="F185" t="inlineStr">
        <is>
          <t>Fabrica de Bares (2025)</t>
        </is>
      </c>
      <c r="G185" t="b">
        <v>1</v>
      </c>
      <c r="H185" t="inlineStr">
        <is>
          <t>4/2026</t>
        </is>
      </c>
    </row>
    <row r="186">
      <c r="A186" t="inlineStr">
        <is>
          <t>Nuv Gastrobar</t>
        </is>
      </c>
      <c r="B186" t="inlineStr">
        <is>
          <t>Custos Artístico Geral</t>
        </is>
      </c>
      <c r="C186" t="inlineStr">
        <is>
          <t>Taxas e Licenças - Artístico</t>
        </is>
      </c>
      <c r="D186" t="inlineStr">
        <is>
          <t>01/05/2026</t>
        </is>
      </c>
      <c r="E186" t="n">
        <v>0</v>
      </c>
      <c r="F186" t="inlineStr">
        <is>
          <t>Fabrica de Bares (2025)</t>
        </is>
      </c>
      <c r="G186" t="b">
        <v>1</v>
      </c>
      <c r="H186" t="inlineStr">
        <is>
          <t>5/2026</t>
        </is>
      </c>
    </row>
    <row r="187">
      <c r="A187" t="inlineStr">
        <is>
          <t>Nuv Gastrobar</t>
        </is>
      </c>
      <c r="B187" t="inlineStr">
        <is>
          <t>Custos Artístico Geral</t>
        </is>
      </c>
      <c r="C187" t="inlineStr">
        <is>
          <t>Taxas e Licenças - Artístico</t>
        </is>
      </c>
      <c r="D187" t="inlineStr">
        <is>
          <t>01/06/2026</t>
        </is>
      </c>
      <c r="E187" t="n">
        <v>0</v>
      </c>
      <c r="F187" t="inlineStr">
        <is>
          <t>Fabrica de Bares (2025)</t>
        </is>
      </c>
      <c r="G187" t="b">
        <v>1</v>
      </c>
      <c r="H187" t="inlineStr">
        <is>
          <t>6/2026</t>
        </is>
      </c>
    </row>
    <row r="188">
      <c r="A188" t="inlineStr">
        <is>
          <t>Nuv Gastrobar</t>
        </is>
      </c>
      <c r="B188" t="inlineStr">
        <is>
          <t>Custos Artístico Geral</t>
        </is>
      </c>
      <c r="C188" t="inlineStr">
        <is>
          <t>Taxas e Licenças - Artístico</t>
        </is>
      </c>
      <c r="D188" t="inlineStr">
        <is>
          <t>01/07/2026</t>
        </is>
      </c>
      <c r="E188" t="n">
        <v>0</v>
      </c>
      <c r="F188" t="inlineStr">
        <is>
          <t>Fabrica de Bares (2025)</t>
        </is>
      </c>
      <c r="G188" t="b">
        <v>1</v>
      </c>
      <c r="H188" t="inlineStr">
        <is>
          <t>7/2026</t>
        </is>
      </c>
    </row>
    <row r="189">
      <c r="A189" t="inlineStr">
        <is>
          <t>Nuv Gastrobar</t>
        </is>
      </c>
      <c r="B189" t="inlineStr">
        <is>
          <t>Custos Artístico Geral</t>
        </is>
      </c>
      <c r="C189" t="inlineStr">
        <is>
          <t>Taxas e Licenças - Artístico</t>
        </is>
      </c>
      <c r="D189" t="inlineStr">
        <is>
          <t>01/08/2026</t>
        </is>
      </c>
      <c r="E189" t="n">
        <v>0</v>
      </c>
      <c r="F189" t="inlineStr">
        <is>
          <t>Fabrica de Bares (2025)</t>
        </is>
      </c>
      <c r="G189" t="b">
        <v>1</v>
      </c>
      <c r="H189" t="inlineStr">
        <is>
          <t>8/2026</t>
        </is>
      </c>
    </row>
    <row r="190">
      <c r="A190" t="inlineStr">
        <is>
          <t>Nuv Gastrobar</t>
        </is>
      </c>
      <c r="B190" t="inlineStr">
        <is>
          <t>Custos Artístico Geral</t>
        </is>
      </c>
      <c r="C190" t="inlineStr">
        <is>
          <t>Taxas e Licenças - Artístico</t>
        </is>
      </c>
      <c r="D190" t="inlineStr">
        <is>
          <t>01/09/2026</t>
        </is>
      </c>
      <c r="E190" t="n">
        <v>0</v>
      </c>
      <c r="F190" t="inlineStr">
        <is>
          <t>Fabrica de Bares (2025)</t>
        </is>
      </c>
      <c r="G190" t="b">
        <v>1</v>
      </c>
      <c r="H190" t="inlineStr">
        <is>
          <t>9/2026</t>
        </is>
      </c>
    </row>
    <row r="191">
      <c r="A191" t="inlineStr">
        <is>
          <t>Nuv Gastrobar</t>
        </is>
      </c>
      <c r="B191" t="inlineStr">
        <is>
          <t>Custos Artístico Geral</t>
        </is>
      </c>
      <c r="C191" t="inlineStr">
        <is>
          <t>Taxas e Licenças - Artístico</t>
        </is>
      </c>
      <c r="D191" t="inlineStr">
        <is>
          <t>01/10/2026</t>
        </is>
      </c>
      <c r="E191" t="n">
        <v>0</v>
      </c>
      <c r="F191" t="inlineStr">
        <is>
          <t>Fabrica de Bares (2025)</t>
        </is>
      </c>
      <c r="G191" t="b">
        <v>1</v>
      </c>
      <c r="H191" t="inlineStr">
        <is>
          <t>10/2026</t>
        </is>
      </c>
    </row>
    <row r="192">
      <c r="A192" t="inlineStr">
        <is>
          <t>Nuv Gastrobar</t>
        </is>
      </c>
      <c r="B192" t="inlineStr">
        <is>
          <t>Custos Artístico Geral</t>
        </is>
      </c>
      <c r="C192" t="inlineStr">
        <is>
          <t>Taxas e Licenças - Artístico</t>
        </is>
      </c>
      <c r="D192" t="inlineStr">
        <is>
          <t>01/11/2026</t>
        </is>
      </c>
      <c r="E192" t="n">
        <v>0</v>
      </c>
      <c r="F192" t="inlineStr">
        <is>
          <t>Fabrica de Bares (2025)</t>
        </is>
      </c>
      <c r="G192" t="b">
        <v>1</v>
      </c>
      <c r="H192" t="inlineStr">
        <is>
          <t>11/2026</t>
        </is>
      </c>
    </row>
    <row r="193">
      <c r="A193" t="inlineStr">
        <is>
          <t>Nuv Gastrobar</t>
        </is>
      </c>
      <c r="B193" t="inlineStr">
        <is>
          <t>Custos Artístico Geral</t>
        </is>
      </c>
      <c r="C193" t="inlineStr">
        <is>
          <t>Taxas e Licenças - Artístico</t>
        </is>
      </c>
      <c r="D193" t="inlineStr">
        <is>
          <t>01/12/2026</t>
        </is>
      </c>
      <c r="E193" t="n">
        <v>0</v>
      </c>
      <c r="F193" t="inlineStr">
        <is>
          <t>Fabrica de Bares (2025)</t>
        </is>
      </c>
      <c r="G193" t="b">
        <v>1</v>
      </c>
      <c r="H193" t="inlineStr">
        <is>
          <t>12/2026</t>
        </is>
      </c>
    </row>
    <row r="194">
      <c r="A194" t="inlineStr">
        <is>
          <t>Nuv Gastrobar</t>
        </is>
      </c>
      <c r="B194" t="inlineStr">
        <is>
          <t>Custos Artístico Geral</t>
        </is>
      </c>
      <c r="C194" t="inlineStr">
        <is>
          <t>Técnico de Som / Luz</t>
        </is>
      </c>
      <c r="D194" t="inlineStr">
        <is>
          <t>01/01/2026</t>
        </is>
      </c>
      <c r="E194" t="n">
        <v>0</v>
      </c>
      <c r="F194" t="inlineStr">
        <is>
          <t>Fabrica de Bares (2025)</t>
        </is>
      </c>
      <c r="G194" t="b">
        <v>1</v>
      </c>
      <c r="H194" t="inlineStr">
        <is>
          <t>1/2026</t>
        </is>
      </c>
    </row>
    <row r="195">
      <c r="A195" t="inlineStr">
        <is>
          <t>Nuv Gastrobar</t>
        </is>
      </c>
      <c r="B195" t="inlineStr">
        <is>
          <t>Custos Artístico Geral</t>
        </is>
      </c>
      <c r="C195" t="inlineStr">
        <is>
          <t>Técnico de Som / Luz</t>
        </is>
      </c>
      <c r="D195" t="inlineStr">
        <is>
          <t>01/02/2026</t>
        </is>
      </c>
      <c r="E195" t="n">
        <v>0</v>
      </c>
      <c r="F195" t="inlineStr">
        <is>
          <t>Fabrica de Bares (2025)</t>
        </is>
      </c>
      <c r="G195" t="b">
        <v>1</v>
      </c>
      <c r="H195" t="inlineStr">
        <is>
          <t>2/2026</t>
        </is>
      </c>
    </row>
    <row r="196">
      <c r="A196" t="inlineStr">
        <is>
          <t>Nuv Gastrobar</t>
        </is>
      </c>
      <c r="B196" t="inlineStr">
        <is>
          <t>Custos Artístico Geral</t>
        </is>
      </c>
      <c r="C196" t="inlineStr">
        <is>
          <t>Técnico de Som / Luz</t>
        </is>
      </c>
      <c r="D196" t="inlineStr">
        <is>
          <t>01/03/2026</t>
        </is>
      </c>
      <c r="E196" t="n">
        <v>0</v>
      </c>
      <c r="F196" t="inlineStr">
        <is>
          <t>Fabrica de Bares (2025)</t>
        </is>
      </c>
      <c r="G196" t="b">
        <v>1</v>
      </c>
      <c r="H196" t="inlineStr">
        <is>
          <t>3/2026</t>
        </is>
      </c>
    </row>
    <row r="197">
      <c r="A197" t="inlineStr">
        <is>
          <t>Nuv Gastrobar</t>
        </is>
      </c>
      <c r="B197" t="inlineStr">
        <is>
          <t>Custos Artístico Geral</t>
        </is>
      </c>
      <c r="C197" t="inlineStr">
        <is>
          <t>Técnico de Som / Luz</t>
        </is>
      </c>
      <c r="D197" t="inlineStr">
        <is>
          <t>01/04/2026</t>
        </is>
      </c>
      <c r="E197" t="n">
        <v>0</v>
      </c>
      <c r="F197" t="inlineStr">
        <is>
          <t>Fabrica de Bares (2025)</t>
        </is>
      </c>
      <c r="G197" t="b">
        <v>1</v>
      </c>
      <c r="H197" t="inlineStr">
        <is>
          <t>4/2026</t>
        </is>
      </c>
    </row>
    <row r="198">
      <c r="A198" t="inlineStr">
        <is>
          <t>Nuv Gastrobar</t>
        </is>
      </c>
      <c r="B198" t="inlineStr">
        <is>
          <t>Custos Artístico Geral</t>
        </is>
      </c>
      <c r="C198" t="inlineStr">
        <is>
          <t>Técnico de Som / Luz</t>
        </is>
      </c>
      <c r="D198" t="inlineStr">
        <is>
          <t>01/05/2026</t>
        </is>
      </c>
      <c r="E198" t="n">
        <v>0</v>
      </c>
      <c r="F198" t="inlineStr">
        <is>
          <t>Fabrica de Bares (2025)</t>
        </is>
      </c>
      <c r="G198" t="b">
        <v>1</v>
      </c>
      <c r="H198" t="inlineStr">
        <is>
          <t>5/2026</t>
        </is>
      </c>
    </row>
    <row r="199">
      <c r="A199" t="inlineStr">
        <is>
          <t>Nuv Gastrobar</t>
        </is>
      </c>
      <c r="B199" t="inlineStr">
        <is>
          <t>Custos Artístico Geral</t>
        </is>
      </c>
      <c r="C199" t="inlineStr">
        <is>
          <t>Técnico de Som / Luz</t>
        </is>
      </c>
      <c r="D199" t="inlineStr">
        <is>
          <t>01/06/2026</t>
        </is>
      </c>
      <c r="E199" t="n">
        <v>0</v>
      </c>
      <c r="F199" t="inlineStr">
        <is>
          <t>Fabrica de Bares (2025)</t>
        </is>
      </c>
      <c r="G199" t="b">
        <v>1</v>
      </c>
      <c r="H199" t="inlineStr">
        <is>
          <t>6/2026</t>
        </is>
      </c>
    </row>
    <row r="200">
      <c r="A200" t="inlineStr">
        <is>
          <t>Nuv Gastrobar</t>
        </is>
      </c>
      <c r="B200" t="inlineStr">
        <is>
          <t>Custos Artístico Geral</t>
        </is>
      </c>
      <c r="C200" t="inlineStr">
        <is>
          <t>Técnico de Som / Luz</t>
        </is>
      </c>
      <c r="D200" t="inlineStr">
        <is>
          <t>01/07/2026</t>
        </is>
      </c>
      <c r="E200" t="n">
        <v>0</v>
      </c>
      <c r="F200" t="inlineStr">
        <is>
          <t>Fabrica de Bares (2025)</t>
        </is>
      </c>
      <c r="G200" t="b">
        <v>1</v>
      </c>
      <c r="H200" t="inlineStr">
        <is>
          <t>7/2026</t>
        </is>
      </c>
    </row>
    <row r="201">
      <c r="A201" t="inlineStr">
        <is>
          <t>Nuv Gastrobar</t>
        </is>
      </c>
      <c r="B201" t="inlineStr">
        <is>
          <t>Custos Artístico Geral</t>
        </is>
      </c>
      <c r="C201" t="inlineStr">
        <is>
          <t>Técnico de Som / Luz</t>
        </is>
      </c>
      <c r="D201" t="inlineStr">
        <is>
          <t>01/08/2026</t>
        </is>
      </c>
      <c r="E201" t="n">
        <v>0</v>
      </c>
      <c r="F201" t="inlineStr">
        <is>
          <t>Fabrica de Bares (2025)</t>
        </is>
      </c>
      <c r="G201" t="b">
        <v>1</v>
      </c>
      <c r="H201" t="inlineStr">
        <is>
          <t>8/2026</t>
        </is>
      </c>
    </row>
    <row r="202">
      <c r="A202" t="inlineStr">
        <is>
          <t>Nuv Gastrobar</t>
        </is>
      </c>
      <c r="B202" t="inlineStr">
        <is>
          <t>Custos Artístico Geral</t>
        </is>
      </c>
      <c r="C202" t="inlineStr">
        <is>
          <t>Técnico de Som / Luz</t>
        </is>
      </c>
      <c r="D202" t="inlineStr">
        <is>
          <t>01/09/2026</t>
        </is>
      </c>
      <c r="E202" t="n">
        <v>0</v>
      </c>
      <c r="F202" t="inlineStr">
        <is>
          <t>Fabrica de Bares (2025)</t>
        </is>
      </c>
      <c r="G202" t="b">
        <v>1</v>
      </c>
      <c r="H202" t="inlineStr">
        <is>
          <t>9/2026</t>
        </is>
      </c>
    </row>
    <row r="203">
      <c r="A203" t="inlineStr">
        <is>
          <t>Nuv Gastrobar</t>
        </is>
      </c>
      <c r="B203" t="inlineStr">
        <is>
          <t>Custos Artístico Geral</t>
        </is>
      </c>
      <c r="C203" t="inlineStr">
        <is>
          <t>Técnico de Som / Luz</t>
        </is>
      </c>
      <c r="D203" t="inlineStr">
        <is>
          <t>01/10/2026</t>
        </is>
      </c>
      <c r="E203" t="n">
        <v>0</v>
      </c>
      <c r="F203" t="inlineStr">
        <is>
          <t>Fabrica de Bares (2025)</t>
        </is>
      </c>
      <c r="G203" t="b">
        <v>1</v>
      </c>
      <c r="H203" t="inlineStr">
        <is>
          <t>10/2026</t>
        </is>
      </c>
    </row>
    <row r="204">
      <c r="A204" t="inlineStr">
        <is>
          <t>Nuv Gastrobar</t>
        </is>
      </c>
      <c r="B204" t="inlineStr">
        <is>
          <t>Custos Artístico Geral</t>
        </is>
      </c>
      <c r="C204" t="inlineStr">
        <is>
          <t>Técnico de Som / Luz</t>
        </is>
      </c>
      <c r="D204" t="inlineStr">
        <is>
          <t>01/11/2026</t>
        </is>
      </c>
      <c r="E204" t="n">
        <v>0</v>
      </c>
      <c r="F204" t="inlineStr">
        <is>
          <t>Fabrica de Bares (2025)</t>
        </is>
      </c>
      <c r="G204" t="b">
        <v>1</v>
      </c>
      <c r="H204" t="inlineStr">
        <is>
          <t>11/2026</t>
        </is>
      </c>
    </row>
    <row r="205">
      <c r="A205" t="inlineStr">
        <is>
          <t>Nuv Gastrobar</t>
        </is>
      </c>
      <c r="B205" t="inlineStr">
        <is>
          <t>Custos Artístico Geral</t>
        </is>
      </c>
      <c r="C205" t="inlineStr">
        <is>
          <t>Técnico de Som / Luz</t>
        </is>
      </c>
      <c r="D205" t="inlineStr">
        <is>
          <t>01/12/2026</t>
        </is>
      </c>
      <c r="E205" t="n">
        <v>0</v>
      </c>
      <c r="F205" t="inlineStr">
        <is>
          <t>Fabrica de Bares (2025)</t>
        </is>
      </c>
      <c r="G205" t="b">
        <v>1</v>
      </c>
      <c r="H205" t="inlineStr">
        <is>
          <t>12/2026</t>
        </is>
      </c>
    </row>
    <row r="206">
      <c r="A206" t="inlineStr">
        <is>
          <t>Nuv Gastrobar</t>
        </is>
      </c>
      <c r="B206" t="inlineStr">
        <is>
          <t>Custos de Eventos</t>
        </is>
      </c>
      <c r="C206" t="inlineStr">
        <is>
          <t>Artistas e Palestrantes - Eventos</t>
        </is>
      </c>
      <c r="D206" t="inlineStr">
        <is>
          <t>01/01/2026</t>
        </is>
      </c>
      <c r="E206" t="n">
        <v>0</v>
      </c>
      <c r="F206" t="inlineStr">
        <is>
          <t>Fabrica de Bares (2025)</t>
        </is>
      </c>
      <c r="G206" t="b">
        <v>1</v>
      </c>
      <c r="H206" t="inlineStr">
        <is>
          <t>1/2026</t>
        </is>
      </c>
    </row>
    <row r="207">
      <c r="A207" t="inlineStr">
        <is>
          <t>Nuv Gastrobar</t>
        </is>
      </c>
      <c r="B207" t="inlineStr">
        <is>
          <t>Custos de Eventos</t>
        </is>
      </c>
      <c r="C207" t="inlineStr">
        <is>
          <t>Artistas e Palestrantes - Eventos</t>
        </is>
      </c>
      <c r="D207" t="inlineStr">
        <is>
          <t>01/02/2026</t>
        </is>
      </c>
      <c r="E207" t="n">
        <v>0</v>
      </c>
      <c r="F207" t="inlineStr">
        <is>
          <t>Fabrica de Bares (2025)</t>
        </is>
      </c>
      <c r="G207" t="b">
        <v>1</v>
      </c>
      <c r="H207" t="inlineStr">
        <is>
          <t>2/2026</t>
        </is>
      </c>
    </row>
    <row r="208">
      <c r="A208" t="inlineStr">
        <is>
          <t>Nuv Gastrobar</t>
        </is>
      </c>
      <c r="B208" t="inlineStr">
        <is>
          <t>Custos de Eventos</t>
        </is>
      </c>
      <c r="C208" t="inlineStr">
        <is>
          <t>Artistas e Palestrantes - Eventos</t>
        </is>
      </c>
      <c r="D208" t="inlineStr">
        <is>
          <t>01/03/2026</t>
        </is>
      </c>
      <c r="E208" t="n">
        <v>0</v>
      </c>
      <c r="F208" t="inlineStr">
        <is>
          <t>Fabrica de Bares (2025)</t>
        </is>
      </c>
      <c r="G208" t="b">
        <v>1</v>
      </c>
      <c r="H208" t="inlineStr">
        <is>
          <t>3/2026</t>
        </is>
      </c>
    </row>
    <row r="209">
      <c r="A209" t="inlineStr">
        <is>
          <t>Nuv Gastrobar</t>
        </is>
      </c>
      <c r="B209" t="inlineStr">
        <is>
          <t>Custos de Eventos</t>
        </is>
      </c>
      <c r="C209" t="inlineStr">
        <is>
          <t>Artistas e Palestrantes - Eventos</t>
        </is>
      </c>
      <c r="D209" t="inlineStr">
        <is>
          <t>01/04/2026</t>
        </is>
      </c>
      <c r="E209" t="n">
        <v>0</v>
      </c>
      <c r="F209" t="inlineStr">
        <is>
          <t>Fabrica de Bares (2025)</t>
        </is>
      </c>
      <c r="G209" t="b">
        <v>1</v>
      </c>
      <c r="H209" t="inlineStr">
        <is>
          <t>4/2026</t>
        </is>
      </c>
    </row>
    <row r="210">
      <c r="A210" t="inlineStr">
        <is>
          <t>Nuv Gastrobar</t>
        </is>
      </c>
      <c r="B210" t="inlineStr">
        <is>
          <t>Custos de Eventos</t>
        </is>
      </c>
      <c r="C210" t="inlineStr">
        <is>
          <t>Artistas e Palestrantes - Eventos</t>
        </is>
      </c>
      <c r="D210" t="inlineStr">
        <is>
          <t>01/05/2026</t>
        </is>
      </c>
      <c r="E210" t="n">
        <v>0</v>
      </c>
      <c r="F210" t="inlineStr">
        <is>
          <t>Fabrica de Bares (2025)</t>
        </is>
      </c>
      <c r="G210" t="b">
        <v>1</v>
      </c>
      <c r="H210" t="inlineStr">
        <is>
          <t>5/2026</t>
        </is>
      </c>
    </row>
    <row r="211">
      <c r="A211" t="inlineStr">
        <is>
          <t>Nuv Gastrobar</t>
        </is>
      </c>
      <c r="B211" t="inlineStr">
        <is>
          <t>Custos de Eventos</t>
        </is>
      </c>
      <c r="C211" t="inlineStr">
        <is>
          <t>Artistas e Palestrantes - Eventos</t>
        </is>
      </c>
      <c r="D211" t="inlineStr">
        <is>
          <t>01/06/2026</t>
        </is>
      </c>
      <c r="E211" t="n">
        <v>0</v>
      </c>
      <c r="F211" t="inlineStr">
        <is>
          <t>Fabrica de Bares (2025)</t>
        </is>
      </c>
      <c r="G211" t="b">
        <v>1</v>
      </c>
      <c r="H211" t="inlineStr">
        <is>
          <t>6/2026</t>
        </is>
      </c>
    </row>
    <row r="212">
      <c r="A212" t="inlineStr">
        <is>
          <t>Nuv Gastrobar</t>
        </is>
      </c>
      <c r="B212" t="inlineStr">
        <is>
          <t>Custos de Eventos</t>
        </is>
      </c>
      <c r="C212" t="inlineStr">
        <is>
          <t>Artistas e Palestrantes - Eventos</t>
        </is>
      </c>
      <c r="D212" t="inlineStr">
        <is>
          <t>01/07/2026</t>
        </is>
      </c>
      <c r="E212" t="n">
        <v>0</v>
      </c>
      <c r="F212" t="inlineStr">
        <is>
          <t>Fabrica de Bares (2025)</t>
        </is>
      </c>
      <c r="G212" t="b">
        <v>1</v>
      </c>
      <c r="H212" t="inlineStr">
        <is>
          <t>7/2026</t>
        </is>
      </c>
    </row>
    <row r="213">
      <c r="A213" t="inlineStr">
        <is>
          <t>Nuv Gastrobar</t>
        </is>
      </c>
      <c r="B213" t="inlineStr">
        <is>
          <t>Custos de Eventos</t>
        </is>
      </c>
      <c r="C213" t="inlineStr">
        <is>
          <t>Artistas e Palestrantes - Eventos</t>
        </is>
      </c>
      <c r="D213" t="inlineStr">
        <is>
          <t>01/08/2026</t>
        </is>
      </c>
      <c r="E213" t="n">
        <v>0</v>
      </c>
      <c r="F213" t="inlineStr">
        <is>
          <t>Fabrica de Bares (2025)</t>
        </is>
      </c>
      <c r="G213" t="b">
        <v>1</v>
      </c>
      <c r="H213" t="inlineStr">
        <is>
          <t>8/2026</t>
        </is>
      </c>
    </row>
    <row r="214">
      <c r="A214" t="inlineStr">
        <is>
          <t>Nuv Gastrobar</t>
        </is>
      </c>
      <c r="B214" t="inlineStr">
        <is>
          <t>Custos de Eventos</t>
        </is>
      </c>
      <c r="C214" t="inlineStr">
        <is>
          <t>Artistas e Palestrantes - Eventos</t>
        </is>
      </c>
      <c r="D214" t="inlineStr">
        <is>
          <t>01/09/2026</t>
        </is>
      </c>
      <c r="E214" t="n">
        <v>0</v>
      </c>
      <c r="F214" t="inlineStr">
        <is>
          <t>Fabrica de Bares (2025)</t>
        </is>
      </c>
      <c r="G214" t="b">
        <v>1</v>
      </c>
      <c r="H214" t="inlineStr">
        <is>
          <t>9/2026</t>
        </is>
      </c>
    </row>
    <row r="215">
      <c r="A215" t="inlineStr">
        <is>
          <t>Nuv Gastrobar</t>
        </is>
      </c>
      <c r="B215" t="inlineStr">
        <is>
          <t>Custos de Eventos</t>
        </is>
      </c>
      <c r="C215" t="inlineStr">
        <is>
          <t>Artistas e Palestrantes - Eventos</t>
        </is>
      </c>
      <c r="D215" t="inlineStr">
        <is>
          <t>01/10/2026</t>
        </is>
      </c>
      <c r="E215" t="n">
        <v>0</v>
      </c>
      <c r="F215" t="inlineStr">
        <is>
          <t>Fabrica de Bares (2025)</t>
        </is>
      </c>
      <c r="G215" t="b">
        <v>1</v>
      </c>
      <c r="H215" t="inlineStr">
        <is>
          <t>10/2026</t>
        </is>
      </c>
    </row>
    <row r="216">
      <c r="A216" t="inlineStr">
        <is>
          <t>Nuv Gastrobar</t>
        </is>
      </c>
      <c r="B216" t="inlineStr">
        <is>
          <t>Custos de Eventos</t>
        </is>
      </c>
      <c r="C216" t="inlineStr">
        <is>
          <t>Artistas e Palestrantes - Eventos</t>
        </is>
      </c>
      <c r="D216" t="inlineStr">
        <is>
          <t>01/11/2026</t>
        </is>
      </c>
      <c r="E216" t="n">
        <v>0</v>
      </c>
      <c r="F216" t="inlineStr">
        <is>
          <t>Fabrica de Bares (2025)</t>
        </is>
      </c>
      <c r="G216" t="b">
        <v>1</v>
      </c>
      <c r="H216" t="inlineStr">
        <is>
          <t>11/2026</t>
        </is>
      </c>
    </row>
    <row r="217">
      <c r="A217" t="inlineStr">
        <is>
          <t>Nuv Gastrobar</t>
        </is>
      </c>
      <c r="B217" t="inlineStr">
        <is>
          <t>Custos de Eventos</t>
        </is>
      </c>
      <c r="C217" t="inlineStr">
        <is>
          <t>Artistas e Palestrantes - Eventos</t>
        </is>
      </c>
      <c r="D217" t="inlineStr">
        <is>
          <t>01/12/2026</t>
        </is>
      </c>
      <c r="E217" t="n">
        <v>0</v>
      </c>
      <c r="F217" t="inlineStr">
        <is>
          <t>Fabrica de Bares (2025)</t>
        </is>
      </c>
      <c r="G217" t="b">
        <v>1</v>
      </c>
      <c r="H217" t="inlineStr">
        <is>
          <t>12/2026</t>
        </is>
      </c>
    </row>
    <row r="218">
      <c r="A218" t="inlineStr">
        <is>
          <t>Nuv Gastrobar</t>
        </is>
      </c>
      <c r="B218" t="inlineStr">
        <is>
          <t>Custos de Eventos</t>
        </is>
      </c>
      <c r="C218" t="inlineStr">
        <is>
          <t>Brindes e Confraternizações - Eventos</t>
        </is>
      </c>
      <c r="D218" t="inlineStr">
        <is>
          <t>01/01/2026</t>
        </is>
      </c>
      <c r="E218" t="n">
        <v>0</v>
      </c>
      <c r="F218" t="inlineStr">
        <is>
          <t>Fabrica de Bares (2025)</t>
        </is>
      </c>
      <c r="G218" t="b">
        <v>1</v>
      </c>
      <c r="H218" t="inlineStr">
        <is>
          <t>1/2026</t>
        </is>
      </c>
    </row>
    <row r="219">
      <c r="A219" t="inlineStr">
        <is>
          <t>Nuv Gastrobar</t>
        </is>
      </c>
      <c r="B219" t="inlineStr">
        <is>
          <t>Custos de Eventos</t>
        </is>
      </c>
      <c r="C219" t="inlineStr">
        <is>
          <t>Brindes e Confraternizações - Eventos</t>
        </is>
      </c>
      <c r="D219" t="inlineStr">
        <is>
          <t>01/02/2026</t>
        </is>
      </c>
      <c r="E219" t="n">
        <v>0</v>
      </c>
      <c r="F219" t="inlineStr">
        <is>
          <t>Fabrica de Bares (2025)</t>
        </is>
      </c>
      <c r="G219" t="b">
        <v>1</v>
      </c>
      <c r="H219" t="inlineStr">
        <is>
          <t>2/2026</t>
        </is>
      </c>
    </row>
    <row r="220">
      <c r="A220" t="inlineStr">
        <is>
          <t>Nuv Gastrobar</t>
        </is>
      </c>
      <c r="B220" t="inlineStr">
        <is>
          <t>Custos de Eventos</t>
        </is>
      </c>
      <c r="C220" t="inlineStr">
        <is>
          <t>Brindes e Confraternizações - Eventos</t>
        </is>
      </c>
      <c r="D220" t="inlineStr">
        <is>
          <t>01/03/2026</t>
        </is>
      </c>
      <c r="E220" t="n">
        <v>0</v>
      </c>
      <c r="F220" t="inlineStr">
        <is>
          <t>Fabrica de Bares (2025)</t>
        </is>
      </c>
      <c r="G220" t="b">
        <v>1</v>
      </c>
      <c r="H220" t="inlineStr">
        <is>
          <t>3/2026</t>
        </is>
      </c>
    </row>
    <row r="221">
      <c r="A221" t="inlineStr">
        <is>
          <t>Nuv Gastrobar</t>
        </is>
      </c>
      <c r="B221" t="inlineStr">
        <is>
          <t>Custos de Eventos</t>
        </is>
      </c>
      <c r="C221" t="inlineStr">
        <is>
          <t>Brindes e Confraternizações - Eventos</t>
        </is>
      </c>
      <c r="D221" t="inlineStr">
        <is>
          <t>01/04/2026</t>
        </is>
      </c>
      <c r="E221" t="n">
        <v>0</v>
      </c>
      <c r="F221" t="inlineStr">
        <is>
          <t>Fabrica de Bares (2025)</t>
        </is>
      </c>
      <c r="G221" t="b">
        <v>1</v>
      </c>
      <c r="H221" t="inlineStr">
        <is>
          <t>4/2026</t>
        </is>
      </c>
    </row>
    <row r="222">
      <c r="A222" t="inlineStr">
        <is>
          <t>Nuv Gastrobar</t>
        </is>
      </c>
      <c r="B222" t="inlineStr">
        <is>
          <t>Custos de Eventos</t>
        </is>
      </c>
      <c r="C222" t="inlineStr">
        <is>
          <t>Brindes e Confraternizações - Eventos</t>
        </is>
      </c>
      <c r="D222" t="inlineStr">
        <is>
          <t>01/05/2026</t>
        </is>
      </c>
      <c r="E222" t="n">
        <v>0</v>
      </c>
      <c r="F222" t="inlineStr">
        <is>
          <t>Fabrica de Bares (2025)</t>
        </is>
      </c>
      <c r="G222" t="b">
        <v>1</v>
      </c>
      <c r="H222" t="inlineStr">
        <is>
          <t>5/2026</t>
        </is>
      </c>
    </row>
    <row r="223">
      <c r="A223" t="inlineStr">
        <is>
          <t>Nuv Gastrobar</t>
        </is>
      </c>
      <c r="B223" t="inlineStr">
        <is>
          <t>Custos de Eventos</t>
        </is>
      </c>
      <c r="C223" t="inlineStr">
        <is>
          <t>Brindes e Confraternizações - Eventos</t>
        </is>
      </c>
      <c r="D223" t="inlineStr">
        <is>
          <t>01/06/2026</t>
        </is>
      </c>
      <c r="E223" t="n">
        <v>0</v>
      </c>
      <c r="F223" t="inlineStr">
        <is>
          <t>Fabrica de Bares (2025)</t>
        </is>
      </c>
      <c r="G223" t="b">
        <v>1</v>
      </c>
      <c r="H223" t="inlineStr">
        <is>
          <t>6/2026</t>
        </is>
      </c>
    </row>
    <row r="224">
      <c r="A224" t="inlineStr">
        <is>
          <t>Nuv Gastrobar</t>
        </is>
      </c>
      <c r="B224" t="inlineStr">
        <is>
          <t>Custos de Eventos</t>
        </is>
      </c>
      <c r="C224" t="inlineStr">
        <is>
          <t>Brindes e Confraternizações - Eventos</t>
        </is>
      </c>
      <c r="D224" t="inlineStr">
        <is>
          <t>01/07/2026</t>
        </is>
      </c>
      <c r="E224" t="n">
        <v>0</v>
      </c>
      <c r="F224" t="inlineStr">
        <is>
          <t>Fabrica de Bares (2025)</t>
        </is>
      </c>
      <c r="G224" t="b">
        <v>1</v>
      </c>
      <c r="H224" t="inlineStr">
        <is>
          <t>7/2026</t>
        </is>
      </c>
    </row>
    <row r="225">
      <c r="A225" t="inlineStr">
        <is>
          <t>Nuv Gastrobar</t>
        </is>
      </c>
      <c r="B225" t="inlineStr">
        <is>
          <t>Custos de Eventos</t>
        </is>
      </c>
      <c r="C225" t="inlineStr">
        <is>
          <t>Brindes e Confraternizações - Eventos</t>
        </is>
      </c>
      <c r="D225" t="inlineStr">
        <is>
          <t>01/08/2026</t>
        </is>
      </c>
      <c r="E225" t="n">
        <v>0</v>
      </c>
      <c r="F225" t="inlineStr">
        <is>
          <t>Fabrica de Bares (2025)</t>
        </is>
      </c>
      <c r="G225" t="b">
        <v>1</v>
      </c>
      <c r="H225" t="inlineStr">
        <is>
          <t>8/2026</t>
        </is>
      </c>
    </row>
    <row r="226">
      <c r="A226" t="inlineStr">
        <is>
          <t>Nuv Gastrobar</t>
        </is>
      </c>
      <c r="B226" t="inlineStr">
        <is>
          <t>Custos de Eventos</t>
        </is>
      </c>
      <c r="C226" t="inlineStr">
        <is>
          <t>Brindes e Confraternizações - Eventos</t>
        </is>
      </c>
      <c r="D226" t="inlineStr">
        <is>
          <t>01/09/2026</t>
        </is>
      </c>
      <c r="E226" t="n">
        <v>0</v>
      </c>
      <c r="F226" t="inlineStr">
        <is>
          <t>Fabrica de Bares (2025)</t>
        </is>
      </c>
      <c r="G226" t="b">
        <v>1</v>
      </c>
      <c r="H226" t="inlineStr">
        <is>
          <t>9/2026</t>
        </is>
      </c>
    </row>
    <row r="227">
      <c r="A227" t="inlineStr">
        <is>
          <t>Nuv Gastrobar</t>
        </is>
      </c>
      <c r="B227" t="inlineStr">
        <is>
          <t>Custos de Eventos</t>
        </is>
      </c>
      <c r="C227" t="inlineStr">
        <is>
          <t>Brindes e Confraternizações - Eventos</t>
        </is>
      </c>
      <c r="D227" t="inlineStr">
        <is>
          <t>01/10/2026</t>
        </is>
      </c>
      <c r="E227" t="n">
        <v>0</v>
      </c>
      <c r="F227" t="inlineStr">
        <is>
          <t>Fabrica de Bares (2025)</t>
        </is>
      </c>
      <c r="G227" t="b">
        <v>1</v>
      </c>
      <c r="H227" t="inlineStr">
        <is>
          <t>10/2026</t>
        </is>
      </c>
    </row>
    <row r="228">
      <c r="A228" t="inlineStr">
        <is>
          <t>Nuv Gastrobar</t>
        </is>
      </c>
      <c r="B228" t="inlineStr">
        <is>
          <t>Custos de Eventos</t>
        </is>
      </c>
      <c r="C228" t="inlineStr">
        <is>
          <t>Brindes e Confraternizações - Eventos</t>
        </is>
      </c>
      <c r="D228" t="inlineStr">
        <is>
          <t>01/11/2026</t>
        </is>
      </c>
      <c r="E228" t="n">
        <v>0</v>
      </c>
      <c r="F228" t="inlineStr">
        <is>
          <t>Fabrica de Bares (2025)</t>
        </is>
      </c>
      <c r="G228" t="b">
        <v>1</v>
      </c>
      <c r="H228" t="inlineStr">
        <is>
          <t>11/2026</t>
        </is>
      </c>
    </row>
    <row r="229">
      <c r="A229" t="inlineStr">
        <is>
          <t>Nuv Gastrobar</t>
        </is>
      </c>
      <c r="B229" t="inlineStr">
        <is>
          <t>Custos de Eventos</t>
        </is>
      </c>
      <c r="C229" t="inlineStr">
        <is>
          <t>Brindes e Confraternizações - Eventos</t>
        </is>
      </c>
      <c r="D229" t="inlineStr">
        <is>
          <t>01/12/2026</t>
        </is>
      </c>
      <c r="E229" t="n">
        <v>0</v>
      </c>
      <c r="F229" t="inlineStr">
        <is>
          <t>Fabrica de Bares (2025)</t>
        </is>
      </c>
      <c r="G229" t="b">
        <v>1</v>
      </c>
      <c r="H229" t="inlineStr">
        <is>
          <t>12/2026</t>
        </is>
      </c>
    </row>
    <row r="230">
      <c r="A230" t="inlineStr">
        <is>
          <t>Nuv Gastrobar</t>
        </is>
      </c>
      <c r="B230" t="inlineStr">
        <is>
          <t>Custos de Eventos</t>
        </is>
      </c>
      <c r="C230" t="inlineStr">
        <is>
          <t>Comissões de Vendas - Eventos</t>
        </is>
      </c>
      <c r="D230" t="inlineStr">
        <is>
          <t>01/01/2026</t>
        </is>
      </c>
      <c r="E230" t="n">
        <v>0</v>
      </c>
      <c r="F230" t="inlineStr">
        <is>
          <t>Fabrica de Bares (2025)</t>
        </is>
      </c>
      <c r="G230" t="b">
        <v>1</v>
      </c>
      <c r="H230" t="inlineStr">
        <is>
          <t>1/2026</t>
        </is>
      </c>
    </row>
    <row r="231">
      <c r="A231" t="inlineStr">
        <is>
          <t>Nuv Gastrobar</t>
        </is>
      </c>
      <c r="B231" t="inlineStr">
        <is>
          <t>Custos de Eventos</t>
        </is>
      </c>
      <c r="C231" t="inlineStr">
        <is>
          <t>Comissões de Vendas - Eventos</t>
        </is>
      </c>
      <c r="D231" t="inlineStr">
        <is>
          <t>01/02/2026</t>
        </is>
      </c>
      <c r="E231" t="n">
        <v>0</v>
      </c>
      <c r="F231" t="inlineStr">
        <is>
          <t>Fabrica de Bares (2025)</t>
        </is>
      </c>
      <c r="G231" t="b">
        <v>1</v>
      </c>
      <c r="H231" t="inlineStr">
        <is>
          <t>2/2026</t>
        </is>
      </c>
    </row>
    <row r="232">
      <c r="A232" t="inlineStr">
        <is>
          <t>Nuv Gastrobar</t>
        </is>
      </c>
      <c r="B232" t="inlineStr">
        <is>
          <t>Custos de Eventos</t>
        </is>
      </c>
      <c r="C232" t="inlineStr">
        <is>
          <t>Comissões de Vendas - Eventos</t>
        </is>
      </c>
      <c r="D232" t="inlineStr">
        <is>
          <t>01/03/2026</t>
        </is>
      </c>
      <c r="E232" t="n">
        <v>0</v>
      </c>
      <c r="F232" t="inlineStr">
        <is>
          <t>Fabrica de Bares (2025)</t>
        </is>
      </c>
      <c r="G232" t="b">
        <v>1</v>
      </c>
      <c r="H232" t="inlineStr">
        <is>
          <t>3/2026</t>
        </is>
      </c>
    </row>
    <row r="233">
      <c r="A233" t="inlineStr">
        <is>
          <t>Nuv Gastrobar</t>
        </is>
      </c>
      <c r="B233" t="inlineStr">
        <is>
          <t>Custos de Eventos</t>
        </is>
      </c>
      <c r="C233" t="inlineStr">
        <is>
          <t>Comissões de Vendas - Eventos</t>
        </is>
      </c>
      <c r="D233" t="inlineStr">
        <is>
          <t>01/04/2026</t>
        </is>
      </c>
      <c r="E233" t="n">
        <v>0</v>
      </c>
      <c r="F233" t="inlineStr">
        <is>
          <t>Fabrica de Bares (2025)</t>
        </is>
      </c>
      <c r="G233" t="b">
        <v>1</v>
      </c>
      <c r="H233" t="inlineStr">
        <is>
          <t>4/2026</t>
        </is>
      </c>
    </row>
    <row r="234">
      <c r="A234" t="inlineStr">
        <is>
          <t>Nuv Gastrobar</t>
        </is>
      </c>
      <c r="B234" t="inlineStr">
        <is>
          <t>Custos de Eventos</t>
        </is>
      </c>
      <c r="C234" t="inlineStr">
        <is>
          <t>Comissões de Vendas - Eventos</t>
        </is>
      </c>
      <c r="D234" t="inlineStr">
        <is>
          <t>01/05/2026</t>
        </is>
      </c>
      <c r="E234" t="n">
        <v>0</v>
      </c>
      <c r="F234" t="inlineStr">
        <is>
          <t>Fabrica de Bares (2025)</t>
        </is>
      </c>
      <c r="G234" t="b">
        <v>1</v>
      </c>
      <c r="H234" t="inlineStr">
        <is>
          <t>5/2026</t>
        </is>
      </c>
    </row>
    <row r="235">
      <c r="A235" t="inlineStr">
        <is>
          <t>Nuv Gastrobar</t>
        </is>
      </c>
      <c r="B235" t="inlineStr">
        <is>
          <t>Custos de Eventos</t>
        </is>
      </c>
      <c r="C235" t="inlineStr">
        <is>
          <t>Comissões de Vendas - Eventos</t>
        </is>
      </c>
      <c r="D235" t="inlineStr">
        <is>
          <t>01/06/2026</t>
        </is>
      </c>
      <c r="E235" t="n">
        <v>0</v>
      </c>
      <c r="F235" t="inlineStr">
        <is>
          <t>Fabrica de Bares (2025)</t>
        </is>
      </c>
      <c r="G235" t="b">
        <v>1</v>
      </c>
      <c r="H235" t="inlineStr">
        <is>
          <t>6/2026</t>
        </is>
      </c>
    </row>
    <row r="236">
      <c r="A236" t="inlineStr">
        <is>
          <t>Nuv Gastrobar</t>
        </is>
      </c>
      <c r="B236" t="inlineStr">
        <is>
          <t>Custos de Eventos</t>
        </is>
      </c>
      <c r="C236" t="inlineStr">
        <is>
          <t>Comissões de Vendas - Eventos</t>
        </is>
      </c>
      <c r="D236" t="inlineStr">
        <is>
          <t>01/07/2026</t>
        </is>
      </c>
      <c r="E236" t="n">
        <v>0</v>
      </c>
      <c r="F236" t="inlineStr">
        <is>
          <t>Fabrica de Bares (2025)</t>
        </is>
      </c>
      <c r="G236" t="b">
        <v>1</v>
      </c>
      <c r="H236" t="inlineStr">
        <is>
          <t>7/2026</t>
        </is>
      </c>
    </row>
    <row r="237">
      <c r="A237" t="inlineStr">
        <is>
          <t>Nuv Gastrobar</t>
        </is>
      </c>
      <c r="B237" t="inlineStr">
        <is>
          <t>Custos de Eventos</t>
        </is>
      </c>
      <c r="C237" t="inlineStr">
        <is>
          <t>Comissões de Vendas - Eventos</t>
        </is>
      </c>
      <c r="D237" t="inlineStr">
        <is>
          <t>01/08/2026</t>
        </is>
      </c>
      <c r="E237" t="n">
        <v>480</v>
      </c>
      <c r="F237" t="inlineStr">
        <is>
          <t>Fabrica de Bares (2025)</t>
        </is>
      </c>
      <c r="G237" t="b">
        <v>1</v>
      </c>
      <c r="H237" t="inlineStr">
        <is>
          <t>8/2026</t>
        </is>
      </c>
    </row>
    <row r="238">
      <c r="A238" t="inlineStr">
        <is>
          <t>Nuv Gastrobar</t>
        </is>
      </c>
      <c r="B238" t="inlineStr">
        <is>
          <t>Custos de Eventos</t>
        </is>
      </c>
      <c r="C238" t="inlineStr">
        <is>
          <t>Comissões de Vendas - Eventos</t>
        </is>
      </c>
      <c r="D238" t="inlineStr">
        <is>
          <t>01/09/2026</t>
        </is>
      </c>
      <c r="E238" t="n">
        <v>720</v>
      </c>
      <c r="F238" t="inlineStr">
        <is>
          <t>Fabrica de Bares (2025)</t>
        </is>
      </c>
      <c r="G238" t="b">
        <v>1</v>
      </c>
      <c r="H238" t="inlineStr">
        <is>
          <t>9/2026</t>
        </is>
      </c>
    </row>
    <row r="239">
      <c r="A239" t="inlineStr">
        <is>
          <t>Nuv Gastrobar</t>
        </is>
      </c>
      <c r="B239" t="inlineStr">
        <is>
          <t>Custos de Eventos</t>
        </is>
      </c>
      <c r="C239" t="inlineStr">
        <is>
          <t>Comissões de Vendas - Eventos</t>
        </is>
      </c>
      <c r="D239" t="inlineStr">
        <is>
          <t>01/10/2026</t>
        </is>
      </c>
      <c r="E239" t="n">
        <v>960</v>
      </c>
      <c r="F239" t="inlineStr">
        <is>
          <t>Fabrica de Bares (2025)</t>
        </is>
      </c>
      <c r="G239" t="b">
        <v>1</v>
      </c>
      <c r="H239" t="inlineStr">
        <is>
          <t>10/2026</t>
        </is>
      </c>
    </row>
    <row r="240">
      <c r="A240" t="inlineStr">
        <is>
          <t>Nuv Gastrobar</t>
        </is>
      </c>
      <c r="B240" t="inlineStr">
        <is>
          <t>Custos de Eventos</t>
        </is>
      </c>
      <c r="C240" t="inlineStr">
        <is>
          <t>Comissões de Vendas - Eventos</t>
        </is>
      </c>
      <c r="D240" t="inlineStr">
        <is>
          <t>01/11/2026</t>
        </is>
      </c>
      <c r="E240" t="n">
        <v>2400</v>
      </c>
      <c r="F240" t="inlineStr">
        <is>
          <t>Fabrica de Bares (2025)</t>
        </is>
      </c>
      <c r="G240" t="b">
        <v>1</v>
      </c>
      <c r="H240" t="inlineStr">
        <is>
          <t>11/2026</t>
        </is>
      </c>
    </row>
    <row r="241">
      <c r="A241" t="inlineStr">
        <is>
          <t>Nuv Gastrobar</t>
        </is>
      </c>
      <c r="B241" t="inlineStr">
        <is>
          <t>Custos de Eventos</t>
        </is>
      </c>
      <c r="C241" t="inlineStr">
        <is>
          <t>Comissões de Vendas - Eventos</t>
        </is>
      </c>
      <c r="D241" t="inlineStr">
        <is>
          <t>01/12/2026</t>
        </is>
      </c>
      <c r="E241" t="n">
        <v>2400</v>
      </c>
      <c r="F241" t="inlineStr">
        <is>
          <t>Fabrica de Bares (2025)</t>
        </is>
      </c>
      <c r="G241" t="b">
        <v>1</v>
      </c>
      <c r="H241" t="inlineStr">
        <is>
          <t>12/2026</t>
        </is>
      </c>
    </row>
    <row r="242">
      <c r="A242" t="inlineStr">
        <is>
          <t>Nuv Gastrobar</t>
        </is>
      </c>
      <c r="B242" t="inlineStr">
        <is>
          <t>Custos de Eventos</t>
        </is>
      </c>
      <c r="C242" t="inlineStr">
        <is>
          <t>Decoração - Eventos</t>
        </is>
      </c>
      <c r="D242" t="inlineStr">
        <is>
          <t>01/01/2026</t>
        </is>
      </c>
      <c r="E242" t="n">
        <v>0</v>
      </c>
      <c r="F242" t="inlineStr">
        <is>
          <t>Fabrica de Bares (2025)</t>
        </is>
      </c>
      <c r="G242" t="b">
        <v>1</v>
      </c>
      <c r="H242" t="inlineStr">
        <is>
          <t>1/2026</t>
        </is>
      </c>
    </row>
    <row r="243">
      <c r="A243" t="inlineStr">
        <is>
          <t>Nuv Gastrobar</t>
        </is>
      </c>
      <c r="B243" t="inlineStr">
        <is>
          <t>Custos de Eventos</t>
        </is>
      </c>
      <c r="C243" t="inlineStr">
        <is>
          <t>Decoração - Eventos</t>
        </is>
      </c>
      <c r="D243" t="inlineStr">
        <is>
          <t>01/02/2026</t>
        </is>
      </c>
      <c r="E243" t="n">
        <v>0</v>
      </c>
      <c r="F243" t="inlineStr">
        <is>
          <t>Fabrica de Bares (2025)</t>
        </is>
      </c>
      <c r="G243" t="b">
        <v>1</v>
      </c>
      <c r="H243" t="inlineStr">
        <is>
          <t>2/2026</t>
        </is>
      </c>
    </row>
    <row r="244">
      <c r="A244" t="inlineStr">
        <is>
          <t>Nuv Gastrobar</t>
        </is>
      </c>
      <c r="B244" t="inlineStr">
        <is>
          <t>Custos de Eventos</t>
        </is>
      </c>
      <c r="C244" t="inlineStr">
        <is>
          <t>Decoração - Eventos</t>
        </is>
      </c>
      <c r="D244" t="inlineStr">
        <is>
          <t>01/03/2026</t>
        </is>
      </c>
      <c r="E244" t="n">
        <v>0</v>
      </c>
      <c r="F244" t="inlineStr">
        <is>
          <t>Fabrica de Bares (2025)</t>
        </is>
      </c>
      <c r="G244" t="b">
        <v>1</v>
      </c>
      <c r="H244" t="inlineStr">
        <is>
          <t>3/2026</t>
        </is>
      </c>
    </row>
    <row r="245">
      <c r="A245" t="inlineStr">
        <is>
          <t>Nuv Gastrobar</t>
        </is>
      </c>
      <c r="B245" t="inlineStr">
        <is>
          <t>Custos de Eventos</t>
        </is>
      </c>
      <c r="C245" t="inlineStr">
        <is>
          <t>Decoração - Eventos</t>
        </is>
      </c>
      <c r="D245" t="inlineStr">
        <is>
          <t>01/04/2026</t>
        </is>
      </c>
      <c r="E245" t="n">
        <v>0</v>
      </c>
      <c r="F245" t="inlineStr">
        <is>
          <t>Fabrica de Bares (2025)</t>
        </is>
      </c>
      <c r="G245" t="b">
        <v>1</v>
      </c>
      <c r="H245" t="inlineStr">
        <is>
          <t>4/2026</t>
        </is>
      </c>
    </row>
    <row r="246">
      <c r="A246" t="inlineStr">
        <is>
          <t>Nuv Gastrobar</t>
        </is>
      </c>
      <c r="B246" t="inlineStr">
        <is>
          <t>Custos de Eventos</t>
        </is>
      </c>
      <c r="C246" t="inlineStr">
        <is>
          <t>Decoração - Eventos</t>
        </is>
      </c>
      <c r="D246" t="inlineStr">
        <is>
          <t>01/05/2026</t>
        </is>
      </c>
      <c r="E246" t="n">
        <v>0</v>
      </c>
      <c r="F246" t="inlineStr">
        <is>
          <t>Fabrica de Bares (2025)</t>
        </is>
      </c>
      <c r="G246" t="b">
        <v>1</v>
      </c>
      <c r="H246" t="inlineStr">
        <is>
          <t>5/2026</t>
        </is>
      </c>
    </row>
    <row r="247">
      <c r="A247" t="inlineStr">
        <is>
          <t>Nuv Gastrobar</t>
        </is>
      </c>
      <c r="B247" t="inlineStr">
        <is>
          <t>Custos de Eventos</t>
        </is>
      </c>
      <c r="C247" t="inlineStr">
        <is>
          <t>Decoração - Eventos</t>
        </is>
      </c>
      <c r="D247" t="inlineStr">
        <is>
          <t>01/06/2026</t>
        </is>
      </c>
      <c r="E247" t="n">
        <v>0</v>
      </c>
      <c r="F247" t="inlineStr">
        <is>
          <t>Fabrica de Bares (2025)</t>
        </is>
      </c>
      <c r="G247" t="b">
        <v>1</v>
      </c>
      <c r="H247" t="inlineStr">
        <is>
          <t>6/2026</t>
        </is>
      </c>
    </row>
    <row r="248">
      <c r="A248" t="inlineStr">
        <is>
          <t>Nuv Gastrobar</t>
        </is>
      </c>
      <c r="B248" t="inlineStr">
        <is>
          <t>Custos de Eventos</t>
        </is>
      </c>
      <c r="C248" t="inlineStr">
        <is>
          <t>Decoração - Eventos</t>
        </is>
      </c>
      <c r="D248" t="inlineStr">
        <is>
          <t>01/07/2026</t>
        </is>
      </c>
      <c r="E248" t="n">
        <v>0</v>
      </c>
      <c r="F248" t="inlineStr">
        <is>
          <t>Fabrica de Bares (2025)</t>
        </is>
      </c>
      <c r="G248" t="b">
        <v>1</v>
      </c>
      <c r="H248" t="inlineStr">
        <is>
          <t>7/2026</t>
        </is>
      </c>
    </row>
    <row r="249">
      <c r="A249" t="inlineStr">
        <is>
          <t>Nuv Gastrobar</t>
        </is>
      </c>
      <c r="B249" t="inlineStr">
        <is>
          <t>Custos de Eventos</t>
        </is>
      </c>
      <c r="C249" t="inlineStr">
        <is>
          <t>Decoração - Eventos</t>
        </is>
      </c>
      <c r="D249" t="inlineStr">
        <is>
          <t>01/08/2026</t>
        </is>
      </c>
      <c r="E249" t="n">
        <v>0</v>
      </c>
      <c r="F249" t="inlineStr">
        <is>
          <t>Fabrica de Bares (2025)</t>
        </is>
      </c>
      <c r="G249" t="b">
        <v>1</v>
      </c>
      <c r="H249" t="inlineStr">
        <is>
          <t>8/2026</t>
        </is>
      </c>
    </row>
    <row r="250">
      <c r="A250" t="inlineStr">
        <is>
          <t>Nuv Gastrobar</t>
        </is>
      </c>
      <c r="B250" t="inlineStr">
        <is>
          <t>Custos de Eventos</t>
        </is>
      </c>
      <c r="C250" t="inlineStr">
        <is>
          <t>Decoração - Eventos</t>
        </is>
      </c>
      <c r="D250" t="inlineStr">
        <is>
          <t>01/09/2026</t>
        </is>
      </c>
      <c r="E250" t="n">
        <v>0</v>
      </c>
      <c r="F250" t="inlineStr">
        <is>
          <t>Fabrica de Bares (2025)</t>
        </is>
      </c>
      <c r="G250" t="b">
        <v>1</v>
      </c>
      <c r="H250" t="inlineStr">
        <is>
          <t>9/2026</t>
        </is>
      </c>
    </row>
    <row r="251">
      <c r="A251" t="inlineStr">
        <is>
          <t>Nuv Gastrobar</t>
        </is>
      </c>
      <c r="B251" t="inlineStr">
        <is>
          <t>Custos de Eventos</t>
        </is>
      </c>
      <c r="C251" t="inlineStr">
        <is>
          <t>Decoração - Eventos</t>
        </is>
      </c>
      <c r="D251" t="inlineStr">
        <is>
          <t>01/10/2026</t>
        </is>
      </c>
      <c r="E251" t="n">
        <v>0</v>
      </c>
      <c r="F251" t="inlineStr">
        <is>
          <t>Fabrica de Bares (2025)</t>
        </is>
      </c>
      <c r="G251" t="b">
        <v>1</v>
      </c>
      <c r="H251" t="inlineStr">
        <is>
          <t>10/2026</t>
        </is>
      </c>
    </row>
    <row r="252">
      <c r="A252" t="inlineStr">
        <is>
          <t>Nuv Gastrobar</t>
        </is>
      </c>
      <c r="B252" t="inlineStr">
        <is>
          <t>Custos de Eventos</t>
        </is>
      </c>
      <c r="C252" t="inlineStr">
        <is>
          <t>Decoração - Eventos</t>
        </is>
      </c>
      <c r="D252" t="inlineStr">
        <is>
          <t>01/11/2026</t>
        </is>
      </c>
      <c r="E252" t="n">
        <v>0</v>
      </c>
      <c r="F252" t="inlineStr">
        <is>
          <t>Fabrica de Bares (2025)</t>
        </is>
      </c>
      <c r="G252" t="b">
        <v>1</v>
      </c>
      <c r="H252" t="inlineStr">
        <is>
          <t>11/2026</t>
        </is>
      </c>
    </row>
    <row r="253">
      <c r="A253" t="inlineStr">
        <is>
          <t>Nuv Gastrobar</t>
        </is>
      </c>
      <c r="B253" t="inlineStr">
        <is>
          <t>Custos de Eventos</t>
        </is>
      </c>
      <c r="C253" t="inlineStr">
        <is>
          <t>Decoração - Eventos</t>
        </is>
      </c>
      <c r="D253" t="inlineStr">
        <is>
          <t>01/12/2026</t>
        </is>
      </c>
      <c r="E253" t="n">
        <v>0</v>
      </c>
      <c r="F253" t="inlineStr">
        <is>
          <t>Fabrica de Bares (2025)</t>
        </is>
      </c>
      <c r="G253" t="b">
        <v>1</v>
      </c>
      <c r="H253" t="inlineStr">
        <is>
          <t>12/2026</t>
        </is>
      </c>
    </row>
    <row r="254">
      <c r="A254" t="inlineStr">
        <is>
          <t>Nuv Gastrobar</t>
        </is>
      </c>
      <c r="B254" t="inlineStr">
        <is>
          <t>Custos de Eventos</t>
        </is>
      </c>
      <c r="C254" t="inlineStr">
        <is>
          <t>Fretes e Carretos - Eventos</t>
        </is>
      </c>
      <c r="D254" t="inlineStr">
        <is>
          <t>01/01/2026</t>
        </is>
      </c>
      <c r="E254" t="n">
        <v>0</v>
      </c>
      <c r="F254" t="inlineStr">
        <is>
          <t>Fabrica de Bares (2025)</t>
        </is>
      </c>
      <c r="G254" t="b">
        <v>1</v>
      </c>
      <c r="H254" t="inlineStr">
        <is>
          <t>1/2026</t>
        </is>
      </c>
    </row>
    <row r="255">
      <c r="A255" t="inlineStr">
        <is>
          <t>Nuv Gastrobar</t>
        </is>
      </c>
      <c r="B255" t="inlineStr">
        <is>
          <t>Custos de Eventos</t>
        </is>
      </c>
      <c r="C255" t="inlineStr">
        <is>
          <t>Fretes e Carretos - Eventos</t>
        </is>
      </c>
      <c r="D255" t="inlineStr">
        <is>
          <t>01/02/2026</t>
        </is>
      </c>
      <c r="E255" t="n">
        <v>0</v>
      </c>
      <c r="F255" t="inlineStr">
        <is>
          <t>Fabrica de Bares (2025)</t>
        </is>
      </c>
      <c r="G255" t="b">
        <v>1</v>
      </c>
      <c r="H255" t="inlineStr">
        <is>
          <t>2/2026</t>
        </is>
      </c>
    </row>
    <row r="256">
      <c r="A256" t="inlineStr">
        <is>
          <t>Nuv Gastrobar</t>
        </is>
      </c>
      <c r="B256" t="inlineStr">
        <is>
          <t>Custos de Eventos</t>
        </is>
      </c>
      <c r="C256" t="inlineStr">
        <is>
          <t>Fretes e Carretos - Eventos</t>
        </is>
      </c>
      <c r="D256" t="inlineStr">
        <is>
          <t>01/03/2026</t>
        </is>
      </c>
      <c r="E256" t="n">
        <v>0</v>
      </c>
      <c r="F256" t="inlineStr">
        <is>
          <t>Fabrica de Bares (2025)</t>
        </is>
      </c>
      <c r="G256" t="b">
        <v>1</v>
      </c>
      <c r="H256" t="inlineStr">
        <is>
          <t>3/2026</t>
        </is>
      </c>
    </row>
    <row r="257">
      <c r="A257" t="inlineStr">
        <is>
          <t>Nuv Gastrobar</t>
        </is>
      </c>
      <c r="B257" t="inlineStr">
        <is>
          <t>Custos de Eventos</t>
        </is>
      </c>
      <c r="C257" t="inlineStr">
        <is>
          <t>Fretes e Carretos - Eventos</t>
        </is>
      </c>
      <c r="D257" t="inlineStr">
        <is>
          <t>01/04/2026</t>
        </is>
      </c>
      <c r="E257" t="n">
        <v>0</v>
      </c>
      <c r="F257" t="inlineStr">
        <is>
          <t>Fabrica de Bares (2025)</t>
        </is>
      </c>
      <c r="G257" t="b">
        <v>1</v>
      </c>
      <c r="H257" t="inlineStr">
        <is>
          <t>4/2026</t>
        </is>
      </c>
    </row>
    <row r="258">
      <c r="A258" t="inlineStr">
        <is>
          <t>Nuv Gastrobar</t>
        </is>
      </c>
      <c r="B258" t="inlineStr">
        <is>
          <t>Custos de Eventos</t>
        </is>
      </c>
      <c r="C258" t="inlineStr">
        <is>
          <t>Fretes e Carretos - Eventos</t>
        </is>
      </c>
      <c r="D258" t="inlineStr">
        <is>
          <t>01/05/2026</t>
        </is>
      </c>
      <c r="E258" t="n">
        <v>0</v>
      </c>
      <c r="F258" t="inlineStr">
        <is>
          <t>Fabrica de Bares (2025)</t>
        </is>
      </c>
      <c r="G258" t="b">
        <v>1</v>
      </c>
      <c r="H258" t="inlineStr">
        <is>
          <t>5/2026</t>
        </is>
      </c>
    </row>
    <row r="259">
      <c r="A259" t="inlineStr">
        <is>
          <t>Nuv Gastrobar</t>
        </is>
      </c>
      <c r="B259" t="inlineStr">
        <is>
          <t>Custos de Eventos</t>
        </is>
      </c>
      <c r="C259" t="inlineStr">
        <is>
          <t>Fretes e Carretos - Eventos</t>
        </is>
      </c>
      <c r="D259" t="inlineStr">
        <is>
          <t>01/06/2026</t>
        </is>
      </c>
      <c r="E259" t="n">
        <v>0</v>
      </c>
      <c r="F259" t="inlineStr">
        <is>
          <t>Fabrica de Bares (2025)</t>
        </is>
      </c>
      <c r="G259" t="b">
        <v>1</v>
      </c>
      <c r="H259" t="inlineStr">
        <is>
          <t>6/2026</t>
        </is>
      </c>
    </row>
    <row r="260">
      <c r="A260" t="inlineStr">
        <is>
          <t>Nuv Gastrobar</t>
        </is>
      </c>
      <c r="B260" t="inlineStr">
        <is>
          <t>Custos de Eventos</t>
        </is>
      </c>
      <c r="C260" t="inlineStr">
        <is>
          <t>Fretes e Carretos - Eventos</t>
        </is>
      </c>
      <c r="D260" t="inlineStr">
        <is>
          <t>01/07/2026</t>
        </is>
      </c>
      <c r="E260" t="n">
        <v>0</v>
      </c>
      <c r="F260" t="inlineStr">
        <is>
          <t>Fabrica de Bares (2025)</t>
        </is>
      </c>
      <c r="G260" t="b">
        <v>1</v>
      </c>
      <c r="H260" t="inlineStr">
        <is>
          <t>7/2026</t>
        </is>
      </c>
    </row>
    <row r="261">
      <c r="A261" t="inlineStr">
        <is>
          <t>Nuv Gastrobar</t>
        </is>
      </c>
      <c r="B261" t="inlineStr">
        <is>
          <t>Custos de Eventos</t>
        </is>
      </c>
      <c r="C261" t="inlineStr">
        <is>
          <t>Fretes e Carretos - Eventos</t>
        </is>
      </c>
      <c r="D261" t="inlineStr">
        <is>
          <t>01/08/2026</t>
        </is>
      </c>
      <c r="E261" t="n">
        <v>0</v>
      </c>
      <c r="F261" t="inlineStr">
        <is>
          <t>Fabrica de Bares (2025)</t>
        </is>
      </c>
      <c r="G261" t="b">
        <v>1</v>
      </c>
      <c r="H261" t="inlineStr">
        <is>
          <t>8/2026</t>
        </is>
      </c>
    </row>
    <row r="262">
      <c r="A262" t="inlineStr">
        <is>
          <t>Nuv Gastrobar</t>
        </is>
      </c>
      <c r="B262" t="inlineStr">
        <is>
          <t>Custos de Eventos</t>
        </is>
      </c>
      <c r="C262" t="inlineStr">
        <is>
          <t>Fretes e Carretos - Eventos</t>
        </is>
      </c>
      <c r="D262" t="inlineStr">
        <is>
          <t>01/09/2026</t>
        </is>
      </c>
      <c r="E262" t="n">
        <v>0</v>
      </c>
      <c r="F262" t="inlineStr">
        <is>
          <t>Fabrica de Bares (2025)</t>
        </is>
      </c>
      <c r="G262" t="b">
        <v>1</v>
      </c>
      <c r="H262" t="inlineStr">
        <is>
          <t>9/2026</t>
        </is>
      </c>
    </row>
    <row r="263">
      <c r="A263" t="inlineStr">
        <is>
          <t>Nuv Gastrobar</t>
        </is>
      </c>
      <c r="B263" t="inlineStr">
        <is>
          <t>Custos de Eventos</t>
        </is>
      </c>
      <c r="C263" t="inlineStr">
        <is>
          <t>Fretes e Carretos - Eventos</t>
        </is>
      </c>
      <c r="D263" t="inlineStr">
        <is>
          <t>01/10/2026</t>
        </is>
      </c>
      <c r="E263" t="n">
        <v>0</v>
      </c>
      <c r="F263" t="inlineStr">
        <is>
          <t>Fabrica de Bares (2025)</t>
        </is>
      </c>
      <c r="G263" t="b">
        <v>1</v>
      </c>
      <c r="H263" t="inlineStr">
        <is>
          <t>10/2026</t>
        </is>
      </c>
    </row>
    <row r="264">
      <c r="A264" t="inlineStr">
        <is>
          <t>Nuv Gastrobar</t>
        </is>
      </c>
      <c r="B264" t="inlineStr">
        <is>
          <t>Custos de Eventos</t>
        </is>
      </c>
      <c r="C264" t="inlineStr">
        <is>
          <t>Fretes e Carretos - Eventos</t>
        </is>
      </c>
      <c r="D264" t="inlineStr">
        <is>
          <t>01/11/2026</t>
        </is>
      </c>
      <c r="E264" t="n">
        <v>0</v>
      </c>
      <c r="F264" t="inlineStr">
        <is>
          <t>Fabrica de Bares (2025)</t>
        </is>
      </c>
      <c r="G264" t="b">
        <v>1</v>
      </c>
      <c r="H264" t="inlineStr">
        <is>
          <t>11/2026</t>
        </is>
      </c>
    </row>
    <row r="265">
      <c r="A265" t="inlineStr">
        <is>
          <t>Nuv Gastrobar</t>
        </is>
      </c>
      <c r="B265" t="inlineStr">
        <is>
          <t>Custos de Eventos</t>
        </is>
      </c>
      <c r="C265" t="inlineStr">
        <is>
          <t>Fretes e Carretos - Eventos</t>
        </is>
      </c>
      <c r="D265" t="inlineStr">
        <is>
          <t>01/12/2026</t>
        </is>
      </c>
      <c r="E265" t="n">
        <v>0</v>
      </c>
      <c r="F265" t="inlineStr">
        <is>
          <t>Fabrica de Bares (2025)</t>
        </is>
      </c>
      <c r="G265" t="b">
        <v>1</v>
      </c>
      <c r="H265" t="inlineStr">
        <is>
          <t>12/2026</t>
        </is>
      </c>
    </row>
    <row r="266">
      <c r="A266" t="inlineStr">
        <is>
          <t>Nuv Gastrobar</t>
        </is>
      </c>
      <c r="B266" t="inlineStr">
        <is>
          <t>Custos de Eventos</t>
        </is>
      </c>
      <c r="C266" t="inlineStr">
        <is>
          <t>Locação de Coberturas - Eventos</t>
        </is>
      </c>
      <c r="D266" t="inlineStr">
        <is>
          <t>01/01/2026</t>
        </is>
      </c>
      <c r="E266" t="n">
        <v>0</v>
      </c>
      <c r="F266" t="inlineStr">
        <is>
          <t>Fabrica de Bares (2025)</t>
        </is>
      </c>
      <c r="G266" t="b">
        <v>1</v>
      </c>
      <c r="H266" t="inlineStr">
        <is>
          <t>1/2026</t>
        </is>
      </c>
    </row>
    <row r="267">
      <c r="A267" t="inlineStr">
        <is>
          <t>Nuv Gastrobar</t>
        </is>
      </c>
      <c r="B267" t="inlineStr">
        <is>
          <t>Custos de Eventos</t>
        </is>
      </c>
      <c r="C267" t="inlineStr">
        <is>
          <t>Locação de Coberturas - Eventos</t>
        </is>
      </c>
      <c r="D267" t="inlineStr">
        <is>
          <t>01/02/2026</t>
        </is>
      </c>
      <c r="E267" t="n">
        <v>0</v>
      </c>
      <c r="F267" t="inlineStr">
        <is>
          <t>Fabrica de Bares (2025)</t>
        </is>
      </c>
      <c r="G267" t="b">
        <v>1</v>
      </c>
      <c r="H267" t="inlineStr">
        <is>
          <t>2/2026</t>
        </is>
      </c>
    </row>
    <row r="268">
      <c r="A268" t="inlineStr">
        <is>
          <t>Nuv Gastrobar</t>
        </is>
      </c>
      <c r="B268" t="inlineStr">
        <is>
          <t>Custos de Eventos</t>
        </is>
      </c>
      <c r="C268" t="inlineStr">
        <is>
          <t>Locação de Coberturas - Eventos</t>
        </is>
      </c>
      <c r="D268" t="inlineStr">
        <is>
          <t>01/03/2026</t>
        </is>
      </c>
      <c r="E268" t="n">
        <v>0</v>
      </c>
      <c r="F268" t="inlineStr">
        <is>
          <t>Fabrica de Bares (2025)</t>
        </is>
      </c>
      <c r="G268" t="b">
        <v>1</v>
      </c>
      <c r="H268" t="inlineStr">
        <is>
          <t>3/2026</t>
        </is>
      </c>
    </row>
    <row r="269">
      <c r="A269" t="inlineStr">
        <is>
          <t>Nuv Gastrobar</t>
        </is>
      </c>
      <c r="B269" t="inlineStr">
        <is>
          <t>Custos de Eventos</t>
        </is>
      </c>
      <c r="C269" t="inlineStr">
        <is>
          <t>Locação de Coberturas - Eventos</t>
        </is>
      </c>
      <c r="D269" t="inlineStr">
        <is>
          <t>01/04/2026</t>
        </is>
      </c>
      <c r="E269" t="n">
        <v>0</v>
      </c>
      <c r="F269" t="inlineStr">
        <is>
          <t>Fabrica de Bares (2025)</t>
        </is>
      </c>
      <c r="G269" t="b">
        <v>1</v>
      </c>
      <c r="H269" t="inlineStr">
        <is>
          <t>4/2026</t>
        </is>
      </c>
    </row>
    <row r="270">
      <c r="A270" t="inlineStr">
        <is>
          <t>Nuv Gastrobar</t>
        </is>
      </c>
      <c r="B270" t="inlineStr">
        <is>
          <t>Custos de Eventos</t>
        </is>
      </c>
      <c r="C270" t="inlineStr">
        <is>
          <t>Locação de Coberturas - Eventos</t>
        </is>
      </c>
      <c r="D270" t="inlineStr">
        <is>
          <t>01/05/2026</t>
        </is>
      </c>
      <c r="E270" t="n">
        <v>0</v>
      </c>
      <c r="F270" t="inlineStr">
        <is>
          <t>Fabrica de Bares (2025)</t>
        </is>
      </c>
      <c r="G270" t="b">
        <v>1</v>
      </c>
      <c r="H270" t="inlineStr">
        <is>
          <t>5/2026</t>
        </is>
      </c>
    </row>
    <row r="271">
      <c r="A271" t="inlineStr">
        <is>
          <t>Nuv Gastrobar</t>
        </is>
      </c>
      <c r="B271" t="inlineStr">
        <is>
          <t>Custos de Eventos</t>
        </is>
      </c>
      <c r="C271" t="inlineStr">
        <is>
          <t>Locação de Coberturas - Eventos</t>
        </is>
      </c>
      <c r="D271" t="inlineStr">
        <is>
          <t>01/06/2026</t>
        </is>
      </c>
      <c r="E271" t="n">
        <v>0</v>
      </c>
      <c r="F271" t="inlineStr">
        <is>
          <t>Fabrica de Bares (2025)</t>
        </is>
      </c>
      <c r="G271" t="b">
        <v>1</v>
      </c>
      <c r="H271" t="inlineStr">
        <is>
          <t>6/2026</t>
        </is>
      </c>
    </row>
    <row r="272">
      <c r="A272" t="inlineStr">
        <is>
          <t>Nuv Gastrobar</t>
        </is>
      </c>
      <c r="B272" t="inlineStr">
        <is>
          <t>Custos de Eventos</t>
        </is>
      </c>
      <c r="C272" t="inlineStr">
        <is>
          <t>Locação de Coberturas - Eventos</t>
        </is>
      </c>
      <c r="D272" t="inlineStr">
        <is>
          <t>01/07/2026</t>
        </is>
      </c>
      <c r="E272" t="n">
        <v>0</v>
      </c>
      <c r="F272" t="inlineStr">
        <is>
          <t>Fabrica de Bares (2025)</t>
        </is>
      </c>
      <c r="G272" t="b">
        <v>1</v>
      </c>
      <c r="H272" t="inlineStr">
        <is>
          <t>7/2026</t>
        </is>
      </c>
    </row>
    <row r="273">
      <c r="A273" t="inlineStr">
        <is>
          <t>Nuv Gastrobar</t>
        </is>
      </c>
      <c r="B273" t="inlineStr">
        <is>
          <t>Custos de Eventos</t>
        </is>
      </c>
      <c r="C273" t="inlineStr">
        <is>
          <t>Locação de Coberturas - Eventos</t>
        </is>
      </c>
      <c r="D273" t="inlineStr">
        <is>
          <t>01/08/2026</t>
        </is>
      </c>
      <c r="E273" t="n">
        <v>0</v>
      </c>
      <c r="F273" t="inlineStr">
        <is>
          <t>Fabrica de Bares (2025)</t>
        </is>
      </c>
      <c r="G273" t="b">
        <v>1</v>
      </c>
      <c r="H273" t="inlineStr">
        <is>
          <t>8/2026</t>
        </is>
      </c>
    </row>
    <row r="274">
      <c r="A274" t="inlineStr">
        <is>
          <t>Nuv Gastrobar</t>
        </is>
      </c>
      <c r="B274" t="inlineStr">
        <is>
          <t>Custos de Eventos</t>
        </is>
      </c>
      <c r="C274" t="inlineStr">
        <is>
          <t>Locação de Coberturas - Eventos</t>
        </is>
      </c>
      <c r="D274" t="inlineStr">
        <is>
          <t>01/09/2026</t>
        </is>
      </c>
      <c r="E274" t="n">
        <v>0</v>
      </c>
      <c r="F274" t="inlineStr">
        <is>
          <t>Fabrica de Bares (2025)</t>
        </is>
      </c>
      <c r="G274" t="b">
        <v>1</v>
      </c>
      <c r="H274" t="inlineStr">
        <is>
          <t>9/2026</t>
        </is>
      </c>
    </row>
    <row r="275">
      <c r="A275" t="inlineStr">
        <is>
          <t>Nuv Gastrobar</t>
        </is>
      </c>
      <c r="B275" t="inlineStr">
        <is>
          <t>Custos de Eventos</t>
        </is>
      </c>
      <c r="C275" t="inlineStr">
        <is>
          <t>Locação de Coberturas - Eventos</t>
        </is>
      </c>
      <c r="D275" t="inlineStr">
        <is>
          <t>01/10/2026</t>
        </is>
      </c>
      <c r="E275" t="n">
        <v>0</v>
      </c>
      <c r="F275" t="inlineStr">
        <is>
          <t>Fabrica de Bares (2025)</t>
        </is>
      </c>
      <c r="G275" t="b">
        <v>1</v>
      </c>
      <c r="H275" t="inlineStr">
        <is>
          <t>10/2026</t>
        </is>
      </c>
    </row>
    <row r="276">
      <c r="A276" t="inlineStr">
        <is>
          <t>Nuv Gastrobar</t>
        </is>
      </c>
      <c r="B276" t="inlineStr">
        <is>
          <t>Custos de Eventos</t>
        </is>
      </c>
      <c r="C276" t="inlineStr">
        <is>
          <t>Locação de Coberturas - Eventos</t>
        </is>
      </c>
      <c r="D276" t="inlineStr">
        <is>
          <t>01/11/2026</t>
        </is>
      </c>
      <c r="E276" t="n">
        <v>0</v>
      </c>
      <c r="F276" t="inlineStr">
        <is>
          <t>Fabrica de Bares (2025)</t>
        </is>
      </c>
      <c r="G276" t="b">
        <v>1</v>
      </c>
      <c r="H276" t="inlineStr">
        <is>
          <t>11/2026</t>
        </is>
      </c>
    </row>
    <row r="277">
      <c r="A277" t="inlineStr">
        <is>
          <t>Nuv Gastrobar</t>
        </is>
      </c>
      <c r="B277" t="inlineStr">
        <is>
          <t>Custos de Eventos</t>
        </is>
      </c>
      <c r="C277" t="inlineStr">
        <is>
          <t>Locação de Coberturas - Eventos</t>
        </is>
      </c>
      <c r="D277" t="inlineStr">
        <is>
          <t>01/12/2026</t>
        </is>
      </c>
      <c r="E277" t="n">
        <v>0</v>
      </c>
      <c r="F277" t="inlineStr">
        <is>
          <t>Fabrica de Bares (2025)</t>
        </is>
      </c>
      <c r="G277" t="b">
        <v>1</v>
      </c>
      <c r="H277" t="inlineStr">
        <is>
          <t>12/2026</t>
        </is>
      </c>
    </row>
    <row r="278">
      <c r="A278" t="inlineStr">
        <is>
          <t>Nuv Gastrobar</t>
        </is>
      </c>
      <c r="B278" t="inlineStr">
        <is>
          <t>Custos de Eventos</t>
        </is>
      </c>
      <c r="C278" t="inlineStr">
        <is>
          <t>Locação de Equipamentos - Eventos</t>
        </is>
      </c>
      <c r="D278" t="inlineStr">
        <is>
          <t>01/01/2026</t>
        </is>
      </c>
      <c r="E278" t="n">
        <v>0</v>
      </c>
      <c r="F278" t="inlineStr">
        <is>
          <t>Fabrica de Bares (2025)</t>
        </is>
      </c>
      <c r="G278" t="b">
        <v>1</v>
      </c>
      <c r="H278" t="inlineStr">
        <is>
          <t>1/2026</t>
        </is>
      </c>
    </row>
    <row r="279">
      <c r="A279" t="inlineStr">
        <is>
          <t>Nuv Gastrobar</t>
        </is>
      </c>
      <c r="B279" t="inlineStr">
        <is>
          <t>Custos de Eventos</t>
        </is>
      </c>
      <c r="C279" t="inlineStr">
        <is>
          <t>Locação de Equipamentos - Eventos</t>
        </is>
      </c>
      <c r="D279" t="inlineStr">
        <is>
          <t>01/02/2026</t>
        </is>
      </c>
      <c r="E279" t="n">
        <v>0</v>
      </c>
      <c r="F279" t="inlineStr">
        <is>
          <t>Fabrica de Bares (2025)</t>
        </is>
      </c>
      <c r="G279" t="b">
        <v>1</v>
      </c>
      <c r="H279" t="inlineStr">
        <is>
          <t>2/2026</t>
        </is>
      </c>
    </row>
    <row r="280">
      <c r="A280" t="inlineStr">
        <is>
          <t>Nuv Gastrobar</t>
        </is>
      </c>
      <c r="B280" t="inlineStr">
        <is>
          <t>Custos de Eventos</t>
        </is>
      </c>
      <c r="C280" t="inlineStr">
        <is>
          <t>Locação de Equipamentos - Eventos</t>
        </is>
      </c>
      <c r="D280" t="inlineStr">
        <is>
          <t>01/03/2026</t>
        </is>
      </c>
      <c r="E280" t="n">
        <v>0</v>
      </c>
      <c r="F280" t="inlineStr">
        <is>
          <t>Fabrica de Bares (2025)</t>
        </is>
      </c>
      <c r="G280" t="b">
        <v>1</v>
      </c>
      <c r="H280" t="inlineStr">
        <is>
          <t>3/2026</t>
        </is>
      </c>
    </row>
    <row r="281">
      <c r="A281" t="inlineStr">
        <is>
          <t>Nuv Gastrobar</t>
        </is>
      </c>
      <c r="B281" t="inlineStr">
        <is>
          <t>Custos de Eventos</t>
        </is>
      </c>
      <c r="C281" t="inlineStr">
        <is>
          <t>Locação de Equipamentos - Eventos</t>
        </is>
      </c>
      <c r="D281" t="inlineStr">
        <is>
          <t>01/04/2026</t>
        </is>
      </c>
      <c r="E281" t="n">
        <v>0</v>
      </c>
      <c r="F281" t="inlineStr">
        <is>
          <t>Fabrica de Bares (2025)</t>
        </is>
      </c>
      <c r="G281" t="b">
        <v>1</v>
      </c>
      <c r="H281" t="inlineStr">
        <is>
          <t>4/2026</t>
        </is>
      </c>
    </row>
    <row r="282">
      <c r="A282" t="inlineStr">
        <is>
          <t>Nuv Gastrobar</t>
        </is>
      </c>
      <c r="B282" t="inlineStr">
        <is>
          <t>Custos de Eventos</t>
        </is>
      </c>
      <c r="C282" t="inlineStr">
        <is>
          <t>Locação de Equipamentos - Eventos</t>
        </is>
      </c>
      <c r="D282" t="inlineStr">
        <is>
          <t>01/05/2026</t>
        </is>
      </c>
      <c r="E282" t="n">
        <v>0</v>
      </c>
      <c r="F282" t="inlineStr">
        <is>
          <t>Fabrica de Bares (2025)</t>
        </is>
      </c>
      <c r="G282" t="b">
        <v>1</v>
      </c>
      <c r="H282" t="inlineStr">
        <is>
          <t>5/2026</t>
        </is>
      </c>
    </row>
    <row r="283">
      <c r="A283" t="inlineStr">
        <is>
          <t>Nuv Gastrobar</t>
        </is>
      </c>
      <c r="B283" t="inlineStr">
        <is>
          <t>Custos de Eventos</t>
        </is>
      </c>
      <c r="C283" t="inlineStr">
        <is>
          <t>Locação de Equipamentos - Eventos</t>
        </is>
      </c>
      <c r="D283" t="inlineStr">
        <is>
          <t>01/06/2026</t>
        </is>
      </c>
      <c r="E283" t="n">
        <v>0</v>
      </c>
      <c r="F283" t="inlineStr">
        <is>
          <t>Fabrica de Bares (2025)</t>
        </is>
      </c>
      <c r="G283" t="b">
        <v>1</v>
      </c>
      <c r="H283" t="inlineStr">
        <is>
          <t>6/2026</t>
        </is>
      </c>
    </row>
    <row r="284">
      <c r="A284" t="inlineStr">
        <is>
          <t>Nuv Gastrobar</t>
        </is>
      </c>
      <c r="B284" t="inlineStr">
        <is>
          <t>Custos de Eventos</t>
        </is>
      </c>
      <c r="C284" t="inlineStr">
        <is>
          <t>Locação de Equipamentos - Eventos</t>
        </is>
      </c>
      <c r="D284" t="inlineStr">
        <is>
          <t>01/07/2026</t>
        </is>
      </c>
      <c r="E284" t="n">
        <v>0</v>
      </c>
      <c r="F284" t="inlineStr">
        <is>
          <t>Fabrica de Bares (2025)</t>
        </is>
      </c>
      <c r="G284" t="b">
        <v>1</v>
      </c>
      <c r="H284" t="inlineStr">
        <is>
          <t>7/2026</t>
        </is>
      </c>
    </row>
    <row r="285">
      <c r="A285" t="inlineStr">
        <is>
          <t>Nuv Gastrobar</t>
        </is>
      </c>
      <c r="B285" t="inlineStr">
        <is>
          <t>Custos de Eventos</t>
        </is>
      </c>
      <c r="C285" t="inlineStr">
        <is>
          <t>Locação de Equipamentos - Eventos</t>
        </is>
      </c>
      <c r="D285" t="inlineStr">
        <is>
          <t>01/08/2026</t>
        </is>
      </c>
      <c r="E285" t="n">
        <v>0</v>
      </c>
      <c r="F285" t="inlineStr">
        <is>
          <t>Fabrica de Bares (2025)</t>
        </is>
      </c>
      <c r="G285" t="b">
        <v>1</v>
      </c>
      <c r="H285" t="inlineStr">
        <is>
          <t>8/2026</t>
        </is>
      </c>
    </row>
    <row r="286">
      <c r="A286" t="inlineStr">
        <is>
          <t>Nuv Gastrobar</t>
        </is>
      </c>
      <c r="B286" t="inlineStr">
        <is>
          <t>Custos de Eventos</t>
        </is>
      </c>
      <c r="C286" t="inlineStr">
        <is>
          <t>Locação de Equipamentos - Eventos</t>
        </is>
      </c>
      <c r="D286" t="inlineStr">
        <is>
          <t>01/09/2026</t>
        </is>
      </c>
      <c r="E286" t="n">
        <v>0</v>
      </c>
      <c r="F286" t="inlineStr">
        <is>
          <t>Fabrica de Bares (2025)</t>
        </is>
      </c>
      <c r="G286" t="b">
        <v>1</v>
      </c>
      <c r="H286" t="inlineStr">
        <is>
          <t>9/2026</t>
        </is>
      </c>
    </row>
    <row r="287">
      <c r="A287" t="inlineStr">
        <is>
          <t>Nuv Gastrobar</t>
        </is>
      </c>
      <c r="B287" t="inlineStr">
        <is>
          <t>Custos de Eventos</t>
        </is>
      </c>
      <c r="C287" t="inlineStr">
        <is>
          <t>Locação de Equipamentos - Eventos</t>
        </is>
      </c>
      <c r="D287" t="inlineStr">
        <is>
          <t>01/10/2026</t>
        </is>
      </c>
      <c r="E287" t="n">
        <v>0</v>
      </c>
      <c r="F287" t="inlineStr">
        <is>
          <t>Fabrica de Bares (2025)</t>
        </is>
      </c>
      <c r="G287" t="b">
        <v>1</v>
      </c>
      <c r="H287" t="inlineStr">
        <is>
          <t>10/2026</t>
        </is>
      </c>
    </row>
    <row r="288">
      <c r="A288" t="inlineStr">
        <is>
          <t>Nuv Gastrobar</t>
        </is>
      </c>
      <c r="B288" t="inlineStr">
        <is>
          <t>Custos de Eventos</t>
        </is>
      </c>
      <c r="C288" t="inlineStr">
        <is>
          <t>Locação de Equipamentos - Eventos</t>
        </is>
      </c>
      <c r="D288" t="inlineStr">
        <is>
          <t>01/11/2026</t>
        </is>
      </c>
      <c r="E288" t="n">
        <v>0</v>
      </c>
      <c r="F288" t="inlineStr">
        <is>
          <t>Fabrica de Bares (2025)</t>
        </is>
      </c>
      <c r="G288" t="b">
        <v>1</v>
      </c>
      <c r="H288" t="inlineStr">
        <is>
          <t>11/2026</t>
        </is>
      </c>
    </row>
    <row r="289">
      <c r="A289" t="inlineStr">
        <is>
          <t>Nuv Gastrobar</t>
        </is>
      </c>
      <c r="B289" t="inlineStr">
        <is>
          <t>Custos de Eventos</t>
        </is>
      </c>
      <c r="C289" t="inlineStr">
        <is>
          <t>Locação de Equipamentos - Eventos</t>
        </is>
      </c>
      <c r="D289" t="inlineStr">
        <is>
          <t>01/12/2026</t>
        </is>
      </c>
      <c r="E289" t="n">
        <v>0</v>
      </c>
      <c r="F289" t="inlineStr">
        <is>
          <t>Fabrica de Bares (2025)</t>
        </is>
      </c>
      <c r="G289" t="b">
        <v>1</v>
      </c>
      <c r="H289" t="inlineStr">
        <is>
          <t>12/2026</t>
        </is>
      </c>
    </row>
    <row r="290">
      <c r="A290" t="inlineStr">
        <is>
          <t>Nuv Gastrobar</t>
        </is>
      </c>
      <c r="B290" t="inlineStr">
        <is>
          <t>Custos de Eventos</t>
        </is>
      </c>
      <c r="C290" t="inlineStr">
        <is>
          <t>Locação de Mobiliário - Eventos</t>
        </is>
      </c>
      <c r="D290" t="inlineStr">
        <is>
          <t>01/01/2026</t>
        </is>
      </c>
      <c r="E290" t="n">
        <v>0</v>
      </c>
      <c r="F290" t="inlineStr">
        <is>
          <t>Fabrica de Bares (2025)</t>
        </is>
      </c>
      <c r="G290" t="b">
        <v>1</v>
      </c>
      <c r="H290" t="inlineStr">
        <is>
          <t>1/2026</t>
        </is>
      </c>
    </row>
    <row r="291">
      <c r="A291" t="inlineStr">
        <is>
          <t>Nuv Gastrobar</t>
        </is>
      </c>
      <c r="B291" t="inlineStr">
        <is>
          <t>Custos de Eventos</t>
        </is>
      </c>
      <c r="C291" t="inlineStr">
        <is>
          <t>Locação de Mobiliário - Eventos</t>
        </is>
      </c>
      <c r="D291" t="inlineStr">
        <is>
          <t>01/02/2026</t>
        </is>
      </c>
      <c r="E291" t="n">
        <v>0</v>
      </c>
      <c r="F291" t="inlineStr">
        <is>
          <t>Fabrica de Bares (2025)</t>
        </is>
      </c>
      <c r="G291" t="b">
        <v>1</v>
      </c>
      <c r="H291" t="inlineStr">
        <is>
          <t>2/2026</t>
        </is>
      </c>
    </row>
    <row r="292">
      <c r="A292" t="inlineStr">
        <is>
          <t>Nuv Gastrobar</t>
        </is>
      </c>
      <c r="B292" t="inlineStr">
        <is>
          <t>Custos de Eventos</t>
        </is>
      </c>
      <c r="C292" t="inlineStr">
        <is>
          <t>Locação de Mobiliário - Eventos</t>
        </is>
      </c>
      <c r="D292" t="inlineStr">
        <is>
          <t>01/03/2026</t>
        </is>
      </c>
      <c r="E292" t="n">
        <v>0</v>
      </c>
      <c r="F292" t="inlineStr">
        <is>
          <t>Fabrica de Bares (2025)</t>
        </is>
      </c>
      <c r="G292" t="b">
        <v>1</v>
      </c>
      <c r="H292" t="inlineStr">
        <is>
          <t>3/2026</t>
        </is>
      </c>
    </row>
    <row r="293">
      <c r="A293" t="inlineStr">
        <is>
          <t>Nuv Gastrobar</t>
        </is>
      </c>
      <c r="B293" t="inlineStr">
        <is>
          <t>Custos de Eventos</t>
        </is>
      </c>
      <c r="C293" t="inlineStr">
        <is>
          <t>Locação de Mobiliário - Eventos</t>
        </is>
      </c>
      <c r="D293" t="inlineStr">
        <is>
          <t>01/04/2026</t>
        </is>
      </c>
      <c r="E293" t="n">
        <v>0</v>
      </c>
      <c r="F293" t="inlineStr">
        <is>
          <t>Fabrica de Bares (2025)</t>
        </is>
      </c>
      <c r="G293" t="b">
        <v>1</v>
      </c>
      <c r="H293" t="inlineStr">
        <is>
          <t>4/2026</t>
        </is>
      </c>
    </row>
    <row r="294">
      <c r="A294" t="inlineStr">
        <is>
          <t>Nuv Gastrobar</t>
        </is>
      </c>
      <c r="B294" t="inlineStr">
        <is>
          <t>Custos de Eventos</t>
        </is>
      </c>
      <c r="C294" t="inlineStr">
        <is>
          <t>Locação de Mobiliário - Eventos</t>
        </is>
      </c>
      <c r="D294" t="inlineStr">
        <is>
          <t>01/05/2026</t>
        </is>
      </c>
      <c r="E294" t="n">
        <v>0</v>
      </c>
      <c r="F294" t="inlineStr">
        <is>
          <t>Fabrica de Bares (2025)</t>
        </is>
      </c>
      <c r="G294" t="b">
        <v>1</v>
      </c>
      <c r="H294" t="inlineStr">
        <is>
          <t>5/2026</t>
        </is>
      </c>
    </row>
    <row r="295">
      <c r="A295" t="inlineStr">
        <is>
          <t>Nuv Gastrobar</t>
        </is>
      </c>
      <c r="B295" t="inlineStr">
        <is>
          <t>Custos de Eventos</t>
        </is>
      </c>
      <c r="C295" t="inlineStr">
        <is>
          <t>Locação de Mobiliário - Eventos</t>
        </is>
      </c>
      <c r="D295" t="inlineStr">
        <is>
          <t>01/06/2026</t>
        </is>
      </c>
      <c r="E295" t="n">
        <v>0</v>
      </c>
      <c r="F295" t="inlineStr">
        <is>
          <t>Fabrica de Bares (2025)</t>
        </is>
      </c>
      <c r="G295" t="b">
        <v>1</v>
      </c>
      <c r="H295" t="inlineStr">
        <is>
          <t>6/2026</t>
        </is>
      </c>
    </row>
    <row r="296">
      <c r="A296" t="inlineStr">
        <is>
          <t>Nuv Gastrobar</t>
        </is>
      </c>
      <c r="B296" t="inlineStr">
        <is>
          <t>Custos de Eventos</t>
        </is>
      </c>
      <c r="C296" t="inlineStr">
        <is>
          <t>Locação de Mobiliário - Eventos</t>
        </is>
      </c>
      <c r="D296" t="inlineStr">
        <is>
          <t>01/07/2026</t>
        </is>
      </c>
      <c r="E296" t="n">
        <v>0</v>
      </c>
      <c r="F296" t="inlineStr">
        <is>
          <t>Fabrica de Bares (2025)</t>
        </is>
      </c>
      <c r="G296" t="b">
        <v>1</v>
      </c>
      <c r="H296" t="inlineStr">
        <is>
          <t>7/2026</t>
        </is>
      </c>
    </row>
    <row r="297">
      <c r="A297" t="inlineStr">
        <is>
          <t>Nuv Gastrobar</t>
        </is>
      </c>
      <c r="B297" t="inlineStr">
        <is>
          <t>Custos de Eventos</t>
        </is>
      </c>
      <c r="C297" t="inlineStr">
        <is>
          <t>Locação de Mobiliário - Eventos</t>
        </is>
      </c>
      <c r="D297" t="inlineStr">
        <is>
          <t>01/08/2026</t>
        </is>
      </c>
      <c r="E297" t="n">
        <v>0</v>
      </c>
      <c r="F297" t="inlineStr">
        <is>
          <t>Fabrica de Bares (2025)</t>
        </is>
      </c>
      <c r="G297" t="b">
        <v>1</v>
      </c>
      <c r="H297" t="inlineStr">
        <is>
          <t>8/2026</t>
        </is>
      </c>
    </row>
    <row r="298">
      <c r="A298" t="inlineStr">
        <is>
          <t>Nuv Gastrobar</t>
        </is>
      </c>
      <c r="B298" t="inlineStr">
        <is>
          <t>Custos de Eventos</t>
        </is>
      </c>
      <c r="C298" t="inlineStr">
        <is>
          <t>Locação de Mobiliário - Eventos</t>
        </is>
      </c>
      <c r="D298" t="inlineStr">
        <is>
          <t>01/09/2026</t>
        </is>
      </c>
      <c r="E298" t="n">
        <v>0</v>
      </c>
      <c r="F298" t="inlineStr">
        <is>
          <t>Fabrica de Bares (2025)</t>
        </is>
      </c>
      <c r="G298" t="b">
        <v>1</v>
      </c>
      <c r="H298" t="inlineStr">
        <is>
          <t>9/2026</t>
        </is>
      </c>
    </row>
    <row r="299">
      <c r="A299" t="inlineStr">
        <is>
          <t>Nuv Gastrobar</t>
        </is>
      </c>
      <c r="B299" t="inlineStr">
        <is>
          <t>Custos de Eventos</t>
        </is>
      </c>
      <c r="C299" t="inlineStr">
        <is>
          <t>Locação de Mobiliário - Eventos</t>
        </is>
      </c>
      <c r="D299" t="inlineStr">
        <is>
          <t>01/10/2026</t>
        </is>
      </c>
      <c r="E299" t="n">
        <v>0</v>
      </c>
      <c r="F299" t="inlineStr">
        <is>
          <t>Fabrica de Bares (2025)</t>
        </is>
      </c>
      <c r="G299" t="b">
        <v>1</v>
      </c>
      <c r="H299" t="inlineStr">
        <is>
          <t>10/2026</t>
        </is>
      </c>
    </row>
    <row r="300">
      <c r="A300" t="inlineStr">
        <is>
          <t>Nuv Gastrobar</t>
        </is>
      </c>
      <c r="B300" t="inlineStr">
        <is>
          <t>Custos de Eventos</t>
        </is>
      </c>
      <c r="C300" t="inlineStr">
        <is>
          <t>Locação de Mobiliário - Eventos</t>
        </is>
      </c>
      <c r="D300" t="inlineStr">
        <is>
          <t>01/11/2026</t>
        </is>
      </c>
      <c r="E300" t="n">
        <v>0</v>
      </c>
      <c r="F300" t="inlineStr">
        <is>
          <t>Fabrica de Bares (2025)</t>
        </is>
      </c>
      <c r="G300" t="b">
        <v>1</v>
      </c>
      <c r="H300" t="inlineStr">
        <is>
          <t>11/2026</t>
        </is>
      </c>
    </row>
    <row r="301">
      <c r="A301" t="inlineStr">
        <is>
          <t>Nuv Gastrobar</t>
        </is>
      </c>
      <c r="B301" t="inlineStr">
        <is>
          <t>Custos de Eventos</t>
        </is>
      </c>
      <c r="C301" t="inlineStr">
        <is>
          <t>Locação de Mobiliário - Eventos</t>
        </is>
      </c>
      <c r="D301" t="inlineStr">
        <is>
          <t>01/12/2026</t>
        </is>
      </c>
      <c r="E301" t="n">
        <v>0</v>
      </c>
      <c r="F301" t="inlineStr">
        <is>
          <t>Fabrica de Bares (2025)</t>
        </is>
      </c>
      <c r="G301" t="b">
        <v>1</v>
      </c>
      <c r="H301" t="inlineStr">
        <is>
          <t>12/2026</t>
        </is>
      </c>
    </row>
    <row r="302">
      <c r="A302" t="inlineStr">
        <is>
          <t>Nuv Gastrobar</t>
        </is>
      </c>
      <c r="B302" t="inlineStr">
        <is>
          <t>Custos de Eventos</t>
        </is>
      </c>
      <c r="C302" t="inlineStr">
        <is>
          <t>Locação de Utensílios - Eventos</t>
        </is>
      </c>
      <c r="D302" t="inlineStr">
        <is>
          <t>01/01/2026</t>
        </is>
      </c>
      <c r="E302" t="n">
        <v>0</v>
      </c>
      <c r="F302" t="inlineStr">
        <is>
          <t>Fabrica de Bares (2025)</t>
        </is>
      </c>
      <c r="G302" t="b">
        <v>1</v>
      </c>
      <c r="H302" t="inlineStr">
        <is>
          <t>1/2026</t>
        </is>
      </c>
    </row>
    <row r="303">
      <c r="A303" t="inlineStr">
        <is>
          <t>Nuv Gastrobar</t>
        </is>
      </c>
      <c r="B303" t="inlineStr">
        <is>
          <t>Custos de Eventos</t>
        </is>
      </c>
      <c r="C303" t="inlineStr">
        <is>
          <t>Locação de Utensílios - Eventos</t>
        </is>
      </c>
      <c r="D303" t="inlineStr">
        <is>
          <t>01/02/2026</t>
        </is>
      </c>
      <c r="E303" t="n">
        <v>0</v>
      </c>
      <c r="F303" t="inlineStr">
        <is>
          <t>Fabrica de Bares (2025)</t>
        </is>
      </c>
      <c r="G303" t="b">
        <v>1</v>
      </c>
      <c r="H303" t="inlineStr">
        <is>
          <t>2/2026</t>
        </is>
      </c>
    </row>
    <row r="304">
      <c r="A304" t="inlineStr">
        <is>
          <t>Nuv Gastrobar</t>
        </is>
      </c>
      <c r="B304" t="inlineStr">
        <is>
          <t>Custos de Eventos</t>
        </is>
      </c>
      <c r="C304" t="inlineStr">
        <is>
          <t>Locação de Utensílios - Eventos</t>
        </is>
      </c>
      <c r="D304" t="inlineStr">
        <is>
          <t>01/03/2026</t>
        </is>
      </c>
      <c r="E304" t="n">
        <v>0</v>
      </c>
      <c r="F304" t="inlineStr">
        <is>
          <t>Fabrica de Bares (2025)</t>
        </is>
      </c>
      <c r="G304" t="b">
        <v>1</v>
      </c>
      <c r="H304" t="inlineStr">
        <is>
          <t>3/2026</t>
        </is>
      </c>
    </row>
    <row r="305">
      <c r="A305" t="inlineStr">
        <is>
          <t>Nuv Gastrobar</t>
        </is>
      </c>
      <c r="B305" t="inlineStr">
        <is>
          <t>Custos de Eventos</t>
        </is>
      </c>
      <c r="C305" t="inlineStr">
        <is>
          <t>Locação de Utensílios - Eventos</t>
        </is>
      </c>
      <c r="D305" t="inlineStr">
        <is>
          <t>01/04/2026</t>
        </is>
      </c>
      <c r="E305" t="n">
        <v>0</v>
      </c>
      <c r="F305" t="inlineStr">
        <is>
          <t>Fabrica de Bares (2025)</t>
        </is>
      </c>
      <c r="G305" t="b">
        <v>1</v>
      </c>
      <c r="H305" t="inlineStr">
        <is>
          <t>4/2026</t>
        </is>
      </c>
    </row>
    <row r="306">
      <c r="A306" t="inlineStr">
        <is>
          <t>Nuv Gastrobar</t>
        </is>
      </c>
      <c r="B306" t="inlineStr">
        <is>
          <t>Custos de Eventos</t>
        </is>
      </c>
      <c r="C306" t="inlineStr">
        <is>
          <t>Locação de Utensílios - Eventos</t>
        </is>
      </c>
      <c r="D306" t="inlineStr">
        <is>
          <t>01/05/2026</t>
        </is>
      </c>
      <c r="E306" t="n">
        <v>0</v>
      </c>
      <c r="F306" t="inlineStr">
        <is>
          <t>Fabrica de Bares (2025)</t>
        </is>
      </c>
      <c r="G306" t="b">
        <v>1</v>
      </c>
      <c r="H306" t="inlineStr">
        <is>
          <t>5/2026</t>
        </is>
      </c>
    </row>
    <row r="307">
      <c r="A307" t="inlineStr">
        <is>
          <t>Nuv Gastrobar</t>
        </is>
      </c>
      <c r="B307" t="inlineStr">
        <is>
          <t>Custos de Eventos</t>
        </is>
      </c>
      <c r="C307" t="inlineStr">
        <is>
          <t>Locação de Utensílios - Eventos</t>
        </is>
      </c>
      <c r="D307" t="inlineStr">
        <is>
          <t>01/06/2026</t>
        </is>
      </c>
      <c r="E307" t="n">
        <v>0</v>
      </c>
      <c r="F307" t="inlineStr">
        <is>
          <t>Fabrica de Bares (2025)</t>
        </is>
      </c>
      <c r="G307" t="b">
        <v>1</v>
      </c>
      <c r="H307" t="inlineStr">
        <is>
          <t>6/2026</t>
        </is>
      </c>
    </row>
    <row r="308">
      <c r="A308" t="inlineStr">
        <is>
          <t>Nuv Gastrobar</t>
        </is>
      </c>
      <c r="B308" t="inlineStr">
        <is>
          <t>Custos de Eventos</t>
        </is>
      </c>
      <c r="C308" t="inlineStr">
        <is>
          <t>Locação de Utensílios - Eventos</t>
        </is>
      </c>
      <c r="D308" t="inlineStr">
        <is>
          <t>01/07/2026</t>
        </is>
      </c>
      <c r="E308" t="n">
        <v>0</v>
      </c>
      <c r="F308" t="inlineStr">
        <is>
          <t>Fabrica de Bares (2025)</t>
        </is>
      </c>
      <c r="G308" t="b">
        <v>1</v>
      </c>
      <c r="H308" t="inlineStr">
        <is>
          <t>7/2026</t>
        </is>
      </c>
    </row>
    <row r="309">
      <c r="A309" t="inlineStr">
        <is>
          <t>Nuv Gastrobar</t>
        </is>
      </c>
      <c r="B309" t="inlineStr">
        <is>
          <t>Custos de Eventos</t>
        </is>
      </c>
      <c r="C309" t="inlineStr">
        <is>
          <t>Locação de Utensílios - Eventos</t>
        </is>
      </c>
      <c r="D309" t="inlineStr">
        <is>
          <t>01/08/2026</t>
        </is>
      </c>
      <c r="E309" t="n">
        <v>0</v>
      </c>
      <c r="F309" t="inlineStr">
        <is>
          <t>Fabrica de Bares (2025)</t>
        </is>
      </c>
      <c r="G309" t="b">
        <v>1</v>
      </c>
      <c r="H309" t="inlineStr">
        <is>
          <t>8/2026</t>
        </is>
      </c>
    </row>
    <row r="310">
      <c r="A310" t="inlineStr">
        <is>
          <t>Nuv Gastrobar</t>
        </is>
      </c>
      <c r="B310" t="inlineStr">
        <is>
          <t>Custos de Eventos</t>
        </is>
      </c>
      <c r="C310" t="inlineStr">
        <is>
          <t>Locação de Utensílios - Eventos</t>
        </is>
      </c>
      <c r="D310" t="inlineStr">
        <is>
          <t>01/09/2026</t>
        </is>
      </c>
      <c r="E310" t="n">
        <v>0</v>
      </c>
      <c r="F310" t="inlineStr">
        <is>
          <t>Fabrica de Bares (2025)</t>
        </is>
      </c>
      <c r="G310" t="b">
        <v>1</v>
      </c>
      <c r="H310" t="inlineStr">
        <is>
          <t>9/2026</t>
        </is>
      </c>
    </row>
    <row r="311">
      <c r="A311" t="inlineStr">
        <is>
          <t>Nuv Gastrobar</t>
        </is>
      </c>
      <c r="B311" t="inlineStr">
        <is>
          <t>Custos de Eventos</t>
        </is>
      </c>
      <c r="C311" t="inlineStr">
        <is>
          <t>Locação de Utensílios - Eventos</t>
        </is>
      </c>
      <c r="D311" t="inlineStr">
        <is>
          <t>01/10/2026</t>
        </is>
      </c>
      <c r="E311" t="n">
        <v>0</v>
      </c>
      <c r="F311" t="inlineStr">
        <is>
          <t>Fabrica de Bares (2025)</t>
        </is>
      </c>
      <c r="G311" t="b">
        <v>1</v>
      </c>
      <c r="H311" t="inlineStr">
        <is>
          <t>10/2026</t>
        </is>
      </c>
    </row>
    <row r="312">
      <c r="A312" t="inlineStr">
        <is>
          <t>Nuv Gastrobar</t>
        </is>
      </c>
      <c r="B312" t="inlineStr">
        <is>
          <t>Custos de Eventos</t>
        </is>
      </c>
      <c r="C312" t="inlineStr">
        <is>
          <t>Locação de Utensílios - Eventos</t>
        </is>
      </c>
      <c r="D312" t="inlineStr">
        <is>
          <t>01/11/2026</t>
        </is>
      </c>
      <c r="E312" t="n">
        <v>0</v>
      </c>
      <c r="F312" t="inlineStr">
        <is>
          <t>Fabrica de Bares (2025)</t>
        </is>
      </c>
      <c r="G312" t="b">
        <v>1</v>
      </c>
      <c r="H312" t="inlineStr">
        <is>
          <t>11/2026</t>
        </is>
      </c>
    </row>
    <row r="313">
      <c r="A313" t="inlineStr">
        <is>
          <t>Nuv Gastrobar</t>
        </is>
      </c>
      <c r="B313" t="inlineStr">
        <is>
          <t>Custos de Eventos</t>
        </is>
      </c>
      <c r="C313" t="inlineStr">
        <is>
          <t>Locação de Utensílios - Eventos</t>
        </is>
      </c>
      <c r="D313" t="inlineStr">
        <is>
          <t>01/12/2026</t>
        </is>
      </c>
      <c r="E313" t="n">
        <v>0</v>
      </c>
      <c r="F313" t="inlineStr">
        <is>
          <t>Fabrica de Bares (2025)</t>
        </is>
      </c>
      <c r="G313" t="b">
        <v>1</v>
      </c>
      <c r="H313" t="inlineStr">
        <is>
          <t>12/2026</t>
        </is>
      </c>
    </row>
    <row r="314">
      <c r="A314" t="inlineStr">
        <is>
          <t>Nuv Gastrobar</t>
        </is>
      </c>
      <c r="B314" t="inlineStr">
        <is>
          <t>Custos de Eventos</t>
        </is>
      </c>
      <c r="C314" t="inlineStr">
        <is>
          <t>Material de Escritório - Eventos</t>
        </is>
      </c>
      <c r="D314" t="inlineStr">
        <is>
          <t>01/01/2026</t>
        </is>
      </c>
      <c r="E314" t="n">
        <v>0</v>
      </c>
      <c r="F314" t="inlineStr">
        <is>
          <t>Fabrica de Bares (2025)</t>
        </is>
      </c>
      <c r="G314" t="b">
        <v>1</v>
      </c>
      <c r="H314" t="inlineStr">
        <is>
          <t>1/2026</t>
        </is>
      </c>
    </row>
    <row r="315">
      <c r="A315" t="inlineStr">
        <is>
          <t>Nuv Gastrobar</t>
        </is>
      </c>
      <c r="B315" t="inlineStr">
        <is>
          <t>Custos de Eventos</t>
        </is>
      </c>
      <c r="C315" t="inlineStr">
        <is>
          <t>Material de Escritório - Eventos</t>
        </is>
      </c>
      <c r="D315" t="inlineStr">
        <is>
          <t>01/02/2026</t>
        </is>
      </c>
      <c r="E315" t="n">
        <v>0</v>
      </c>
      <c r="F315" t="inlineStr">
        <is>
          <t>Fabrica de Bares (2025)</t>
        </is>
      </c>
      <c r="G315" t="b">
        <v>1</v>
      </c>
      <c r="H315" t="inlineStr">
        <is>
          <t>2/2026</t>
        </is>
      </c>
    </row>
    <row r="316">
      <c r="A316" t="inlineStr">
        <is>
          <t>Nuv Gastrobar</t>
        </is>
      </c>
      <c r="B316" t="inlineStr">
        <is>
          <t>Custos de Eventos</t>
        </is>
      </c>
      <c r="C316" t="inlineStr">
        <is>
          <t>Material de Escritório - Eventos</t>
        </is>
      </c>
      <c r="D316" t="inlineStr">
        <is>
          <t>01/03/2026</t>
        </is>
      </c>
      <c r="E316" t="n">
        <v>0</v>
      </c>
      <c r="F316" t="inlineStr">
        <is>
          <t>Fabrica de Bares (2025)</t>
        </is>
      </c>
      <c r="G316" t="b">
        <v>1</v>
      </c>
      <c r="H316" t="inlineStr">
        <is>
          <t>3/2026</t>
        </is>
      </c>
    </row>
    <row r="317">
      <c r="A317" t="inlineStr">
        <is>
          <t>Nuv Gastrobar</t>
        </is>
      </c>
      <c r="B317" t="inlineStr">
        <is>
          <t>Custos de Eventos</t>
        </is>
      </c>
      <c r="C317" t="inlineStr">
        <is>
          <t>Material de Escritório - Eventos</t>
        </is>
      </c>
      <c r="D317" t="inlineStr">
        <is>
          <t>01/04/2026</t>
        </is>
      </c>
      <c r="E317" t="n">
        <v>0</v>
      </c>
      <c r="F317" t="inlineStr">
        <is>
          <t>Fabrica de Bares (2025)</t>
        </is>
      </c>
      <c r="G317" t="b">
        <v>1</v>
      </c>
      <c r="H317" t="inlineStr">
        <is>
          <t>4/2026</t>
        </is>
      </c>
    </row>
    <row r="318">
      <c r="A318" t="inlineStr">
        <is>
          <t>Nuv Gastrobar</t>
        </is>
      </c>
      <c r="B318" t="inlineStr">
        <is>
          <t>Custos de Eventos</t>
        </is>
      </c>
      <c r="C318" t="inlineStr">
        <is>
          <t>Material de Escritório - Eventos</t>
        </is>
      </c>
      <c r="D318" t="inlineStr">
        <is>
          <t>01/05/2026</t>
        </is>
      </c>
      <c r="E318" t="n">
        <v>0</v>
      </c>
      <c r="F318" t="inlineStr">
        <is>
          <t>Fabrica de Bares (2025)</t>
        </is>
      </c>
      <c r="G318" t="b">
        <v>1</v>
      </c>
      <c r="H318" t="inlineStr">
        <is>
          <t>5/2026</t>
        </is>
      </c>
    </row>
    <row r="319">
      <c r="A319" t="inlineStr">
        <is>
          <t>Nuv Gastrobar</t>
        </is>
      </c>
      <c r="B319" t="inlineStr">
        <is>
          <t>Custos de Eventos</t>
        </is>
      </c>
      <c r="C319" t="inlineStr">
        <is>
          <t>Material de Escritório - Eventos</t>
        </is>
      </c>
      <c r="D319" t="inlineStr">
        <is>
          <t>01/06/2026</t>
        </is>
      </c>
      <c r="E319" t="n">
        <v>0</v>
      </c>
      <c r="F319" t="inlineStr">
        <is>
          <t>Fabrica de Bares (2025)</t>
        </is>
      </c>
      <c r="G319" t="b">
        <v>1</v>
      </c>
      <c r="H319" t="inlineStr">
        <is>
          <t>6/2026</t>
        </is>
      </c>
    </row>
    <row r="320">
      <c r="A320" t="inlineStr">
        <is>
          <t>Nuv Gastrobar</t>
        </is>
      </c>
      <c r="B320" t="inlineStr">
        <is>
          <t>Custos de Eventos</t>
        </is>
      </c>
      <c r="C320" t="inlineStr">
        <is>
          <t>Material de Escritório - Eventos</t>
        </is>
      </c>
      <c r="D320" t="inlineStr">
        <is>
          <t>01/07/2026</t>
        </is>
      </c>
      <c r="E320" t="n">
        <v>0</v>
      </c>
      <c r="F320" t="inlineStr">
        <is>
          <t>Fabrica de Bares (2025)</t>
        </is>
      </c>
      <c r="G320" t="b">
        <v>1</v>
      </c>
      <c r="H320" t="inlineStr">
        <is>
          <t>7/2026</t>
        </is>
      </c>
    </row>
    <row r="321">
      <c r="A321" t="inlineStr">
        <is>
          <t>Nuv Gastrobar</t>
        </is>
      </c>
      <c r="B321" t="inlineStr">
        <is>
          <t>Custos de Eventos</t>
        </is>
      </c>
      <c r="C321" t="inlineStr">
        <is>
          <t>Material de Escritório - Eventos</t>
        </is>
      </c>
      <c r="D321" t="inlineStr">
        <is>
          <t>01/08/2026</t>
        </is>
      </c>
      <c r="E321" t="n">
        <v>0</v>
      </c>
      <c r="F321" t="inlineStr">
        <is>
          <t>Fabrica de Bares (2025)</t>
        </is>
      </c>
      <c r="G321" t="b">
        <v>1</v>
      </c>
      <c r="H321" t="inlineStr">
        <is>
          <t>8/2026</t>
        </is>
      </c>
    </row>
    <row r="322">
      <c r="A322" t="inlineStr">
        <is>
          <t>Nuv Gastrobar</t>
        </is>
      </c>
      <c r="B322" t="inlineStr">
        <is>
          <t>Custos de Eventos</t>
        </is>
      </c>
      <c r="C322" t="inlineStr">
        <is>
          <t>Material de Escritório - Eventos</t>
        </is>
      </c>
      <c r="D322" t="inlineStr">
        <is>
          <t>01/09/2026</t>
        </is>
      </c>
      <c r="E322" t="n">
        <v>0</v>
      </c>
      <c r="F322" t="inlineStr">
        <is>
          <t>Fabrica de Bares (2025)</t>
        </is>
      </c>
      <c r="G322" t="b">
        <v>1</v>
      </c>
      <c r="H322" t="inlineStr">
        <is>
          <t>9/2026</t>
        </is>
      </c>
    </row>
    <row r="323">
      <c r="A323" t="inlineStr">
        <is>
          <t>Nuv Gastrobar</t>
        </is>
      </c>
      <c r="B323" t="inlineStr">
        <is>
          <t>Custos de Eventos</t>
        </is>
      </c>
      <c r="C323" t="inlineStr">
        <is>
          <t>Material de Escritório - Eventos</t>
        </is>
      </c>
      <c r="D323" t="inlineStr">
        <is>
          <t>01/10/2026</t>
        </is>
      </c>
      <c r="E323" t="n">
        <v>0</v>
      </c>
      <c r="F323" t="inlineStr">
        <is>
          <t>Fabrica de Bares (2025)</t>
        </is>
      </c>
      <c r="G323" t="b">
        <v>1</v>
      </c>
      <c r="H323" t="inlineStr">
        <is>
          <t>10/2026</t>
        </is>
      </c>
    </row>
    <row r="324">
      <c r="A324" t="inlineStr">
        <is>
          <t>Nuv Gastrobar</t>
        </is>
      </c>
      <c r="B324" t="inlineStr">
        <is>
          <t>Custos de Eventos</t>
        </is>
      </c>
      <c r="C324" t="inlineStr">
        <is>
          <t>Material de Escritório - Eventos</t>
        </is>
      </c>
      <c r="D324" t="inlineStr">
        <is>
          <t>01/11/2026</t>
        </is>
      </c>
      <c r="E324" t="n">
        <v>0</v>
      </c>
      <c r="F324" t="inlineStr">
        <is>
          <t>Fabrica de Bares (2025)</t>
        </is>
      </c>
      <c r="G324" t="b">
        <v>1</v>
      </c>
      <c r="H324" t="inlineStr">
        <is>
          <t>11/2026</t>
        </is>
      </c>
    </row>
    <row r="325">
      <c r="A325" t="inlineStr">
        <is>
          <t>Nuv Gastrobar</t>
        </is>
      </c>
      <c r="B325" t="inlineStr">
        <is>
          <t>Custos de Eventos</t>
        </is>
      </c>
      <c r="C325" t="inlineStr">
        <is>
          <t>Material de Escritório - Eventos</t>
        </is>
      </c>
      <c r="D325" t="inlineStr">
        <is>
          <t>01/12/2026</t>
        </is>
      </c>
      <c r="E325" t="n">
        <v>0</v>
      </c>
      <c r="F325" t="inlineStr">
        <is>
          <t>Fabrica de Bares (2025)</t>
        </is>
      </c>
      <c r="G325" t="b">
        <v>1</v>
      </c>
      <c r="H325" t="inlineStr">
        <is>
          <t>12/2026</t>
        </is>
      </c>
    </row>
    <row r="326">
      <c r="A326" t="inlineStr">
        <is>
          <t>Nuv Gastrobar</t>
        </is>
      </c>
      <c r="B326" t="inlineStr">
        <is>
          <t>Custos de Eventos</t>
        </is>
      </c>
      <c r="C326" t="inlineStr">
        <is>
          <t>Material de Manutenção - Eventos</t>
        </is>
      </c>
      <c r="D326" t="inlineStr">
        <is>
          <t>01/01/2026</t>
        </is>
      </c>
      <c r="E326" t="n">
        <v>0</v>
      </c>
      <c r="F326" t="inlineStr">
        <is>
          <t>Fabrica de Bares (2025)</t>
        </is>
      </c>
      <c r="G326" t="b">
        <v>1</v>
      </c>
      <c r="H326" t="inlineStr">
        <is>
          <t>1/2026</t>
        </is>
      </c>
    </row>
    <row r="327">
      <c r="A327" t="inlineStr">
        <is>
          <t>Nuv Gastrobar</t>
        </is>
      </c>
      <c r="B327" t="inlineStr">
        <is>
          <t>Custos de Eventos</t>
        </is>
      </c>
      <c r="C327" t="inlineStr">
        <is>
          <t>Material de Manutenção - Eventos</t>
        </is>
      </c>
      <c r="D327" t="inlineStr">
        <is>
          <t>01/02/2026</t>
        </is>
      </c>
      <c r="E327" t="n">
        <v>0</v>
      </c>
      <c r="F327" t="inlineStr">
        <is>
          <t>Fabrica de Bares (2025)</t>
        </is>
      </c>
      <c r="G327" t="b">
        <v>1</v>
      </c>
      <c r="H327" t="inlineStr">
        <is>
          <t>2/2026</t>
        </is>
      </c>
    </row>
    <row r="328">
      <c r="A328" t="inlineStr">
        <is>
          <t>Nuv Gastrobar</t>
        </is>
      </c>
      <c r="B328" t="inlineStr">
        <is>
          <t>Custos de Eventos</t>
        </is>
      </c>
      <c r="C328" t="inlineStr">
        <is>
          <t>Material de Manutenção - Eventos</t>
        </is>
      </c>
      <c r="D328" t="inlineStr">
        <is>
          <t>01/03/2026</t>
        </is>
      </c>
      <c r="E328" t="n">
        <v>0</v>
      </c>
      <c r="F328" t="inlineStr">
        <is>
          <t>Fabrica de Bares (2025)</t>
        </is>
      </c>
      <c r="G328" t="b">
        <v>1</v>
      </c>
      <c r="H328" t="inlineStr">
        <is>
          <t>3/2026</t>
        </is>
      </c>
    </row>
    <row r="329">
      <c r="A329" t="inlineStr">
        <is>
          <t>Nuv Gastrobar</t>
        </is>
      </c>
      <c r="B329" t="inlineStr">
        <is>
          <t>Custos de Eventos</t>
        </is>
      </c>
      <c r="C329" t="inlineStr">
        <is>
          <t>Material de Manutenção - Eventos</t>
        </is>
      </c>
      <c r="D329" t="inlineStr">
        <is>
          <t>01/04/2026</t>
        </is>
      </c>
      <c r="E329" t="n">
        <v>0</v>
      </c>
      <c r="F329" t="inlineStr">
        <is>
          <t>Fabrica de Bares (2025)</t>
        </is>
      </c>
      <c r="G329" t="b">
        <v>1</v>
      </c>
      <c r="H329" t="inlineStr">
        <is>
          <t>4/2026</t>
        </is>
      </c>
    </row>
    <row r="330">
      <c r="A330" t="inlineStr">
        <is>
          <t>Nuv Gastrobar</t>
        </is>
      </c>
      <c r="B330" t="inlineStr">
        <is>
          <t>Custos de Eventos</t>
        </is>
      </c>
      <c r="C330" t="inlineStr">
        <is>
          <t>Material de Manutenção - Eventos</t>
        </is>
      </c>
      <c r="D330" t="inlineStr">
        <is>
          <t>01/05/2026</t>
        </is>
      </c>
      <c r="E330" t="n">
        <v>0</v>
      </c>
      <c r="F330" t="inlineStr">
        <is>
          <t>Fabrica de Bares (2025)</t>
        </is>
      </c>
      <c r="G330" t="b">
        <v>1</v>
      </c>
      <c r="H330" t="inlineStr">
        <is>
          <t>5/2026</t>
        </is>
      </c>
    </row>
    <row r="331">
      <c r="A331" t="inlineStr">
        <is>
          <t>Nuv Gastrobar</t>
        </is>
      </c>
      <c r="B331" t="inlineStr">
        <is>
          <t>Custos de Eventos</t>
        </is>
      </c>
      <c r="C331" t="inlineStr">
        <is>
          <t>Material de Manutenção - Eventos</t>
        </is>
      </c>
      <c r="D331" t="inlineStr">
        <is>
          <t>01/06/2026</t>
        </is>
      </c>
      <c r="E331" t="n">
        <v>0</v>
      </c>
      <c r="F331" t="inlineStr">
        <is>
          <t>Fabrica de Bares (2025)</t>
        </is>
      </c>
      <c r="G331" t="b">
        <v>1</v>
      </c>
      <c r="H331" t="inlineStr">
        <is>
          <t>6/2026</t>
        </is>
      </c>
    </row>
    <row r="332">
      <c r="A332" t="inlineStr">
        <is>
          <t>Nuv Gastrobar</t>
        </is>
      </c>
      <c r="B332" t="inlineStr">
        <is>
          <t>Custos de Eventos</t>
        </is>
      </c>
      <c r="C332" t="inlineStr">
        <is>
          <t>Material de Manutenção - Eventos</t>
        </is>
      </c>
      <c r="D332" t="inlineStr">
        <is>
          <t>01/07/2026</t>
        </is>
      </c>
      <c r="E332" t="n">
        <v>0</v>
      </c>
      <c r="F332" t="inlineStr">
        <is>
          <t>Fabrica de Bares (2025)</t>
        </is>
      </c>
      <c r="G332" t="b">
        <v>1</v>
      </c>
      <c r="H332" t="inlineStr">
        <is>
          <t>7/2026</t>
        </is>
      </c>
    </row>
    <row r="333">
      <c r="A333" t="inlineStr">
        <is>
          <t>Nuv Gastrobar</t>
        </is>
      </c>
      <c r="B333" t="inlineStr">
        <is>
          <t>Custos de Eventos</t>
        </is>
      </c>
      <c r="C333" t="inlineStr">
        <is>
          <t>Material de Manutenção - Eventos</t>
        </is>
      </c>
      <c r="D333" t="inlineStr">
        <is>
          <t>01/08/2026</t>
        </is>
      </c>
      <c r="E333" t="n">
        <v>0</v>
      </c>
      <c r="F333" t="inlineStr">
        <is>
          <t>Fabrica de Bares (2025)</t>
        </is>
      </c>
      <c r="G333" t="b">
        <v>1</v>
      </c>
      <c r="H333" t="inlineStr">
        <is>
          <t>8/2026</t>
        </is>
      </c>
    </row>
    <row r="334">
      <c r="A334" t="inlineStr">
        <is>
          <t>Nuv Gastrobar</t>
        </is>
      </c>
      <c r="B334" t="inlineStr">
        <is>
          <t>Custos de Eventos</t>
        </is>
      </c>
      <c r="C334" t="inlineStr">
        <is>
          <t>Material de Manutenção - Eventos</t>
        </is>
      </c>
      <c r="D334" t="inlineStr">
        <is>
          <t>01/09/2026</t>
        </is>
      </c>
      <c r="E334" t="n">
        <v>0</v>
      </c>
      <c r="F334" t="inlineStr">
        <is>
          <t>Fabrica de Bares (2025)</t>
        </is>
      </c>
      <c r="G334" t="b">
        <v>1</v>
      </c>
      <c r="H334" t="inlineStr">
        <is>
          <t>9/2026</t>
        </is>
      </c>
    </row>
    <row r="335">
      <c r="A335" t="inlineStr">
        <is>
          <t>Nuv Gastrobar</t>
        </is>
      </c>
      <c r="B335" t="inlineStr">
        <is>
          <t>Custos de Eventos</t>
        </is>
      </c>
      <c r="C335" t="inlineStr">
        <is>
          <t>Material de Manutenção - Eventos</t>
        </is>
      </c>
      <c r="D335" t="inlineStr">
        <is>
          <t>01/10/2026</t>
        </is>
      </c>
      <c r="E335" t="n">
        <v>0</v>
      </c>
      <c r="F335" t="inlineStr">
        <is>
          <t>Fabrica de Bares (2025)</t>
        </is>
      </c>
      <c r="G335" t="b">
        <v>1</v>
      </c>
      <c r="H335" t="inlineStr">
        <is>
          <t>10/2026</t>
        </is>
      </c>
    </row>
    <row r="336">
      <c r="A336" t="inlineStr">
        <is>
          <t>Nuv Gastrobar</t>
        </is>
      </c>
      <c r="B336" t="inlineStr">
        <is>
          <t>Custos de Eventos</t>
        </is>
      </c>
      <c r="C336" t="inlineStr">
        <is>
          <t>Material de Manutenção - Eventos</t>
        </is>
      </c>
      <c r="D336" t="inlineStr">
        <is>
          <t>01/11/2026</t>
        </is>
      </c>
      <c r="E336" t="n">
        <v>0</v>
      </c>
      <c r="F336" t="inlineStr">
        <is>
          <t>Fabrica de Bares (2025)</t>
        </is>
      </c>
      <c r="G336" t="b">
        <v>1</v>
      </c>
      <c r="H336" t="inlineStr">
        <is>
          <t>11/2026</t>
        </is>
      </c>
    </row>
    <row r="337">
      <c r="A337" t="inlineStr">
        <is>
          <t>Nuv Gastrobar</t>
        </is>
      </c>
      <c r="B337" t="inlineStr">
        <is>
          <t>Custos de Eventos</t>
        </is>
      </c>
      <c r="C337" t="inlineStr">
        <is>
          <t>Material de Manutenção - Eventos</t>
        </is>
      </c>
      <c r="D337" t="inlineStr">
        <is>
          <t>01/12/2026</t>
        </is>
      </c>
      <c r="E337" t="n">
        <v>0</v>
      </c>
      <c r="F337" t="inlineStr">
        <is>
          <t>Fabrica de Bares (2025)</t>
        </is>
      </c>
      <c r="G337" t="b">
        <v>1</v>
      </c>
      <c r="H337" t="inlineStr">
        <is>
          <t>12/2026</t>
        </is>
      </c>
    </row>
    <row r="338">
      <c r="A338" t="inlineStr">
        <is>
          <t>Nuv Gastrobar</t>
        </is>
      </c>
      <c r="B338" t="inlineStr">
        <is>
          <t>Custos de Eventos</t>
        </is>
      </c>
      <c r="C338" t="inlineStr">
        <is>
          <t>Material Descartável - Eventos</t>
        </is>
      </c>
      <c r="D338" t="inlineStr">
        <is>
          <t>01/01/2026</t>
        </is>
      </c>
      <c r="E338" t="n">
        <v>0</v>
      </c>
      <c r="F338" t="inlineStr">
        <is>
          <t>Fabrica de Bares (2025)</t>
        </is>
      </c>
      <c r="G338" t="b">
        <v>1</v>
      </c>
      <c r="H338" t="inlineStr">
        <is>
          <t>1/2026</t>
        </is>
      </c>
    </row>
    <row r="339">
      <c r="A339" t="inlineStr">
        <is>
          <t>Nuv Gastrobar</t>
        </is>
      </c>
      <c r="B339" t="inlineStr">
        <is>
          <t>Custos de Eventos</t>
        </is>
      </c>
      <c r="C339" t="inlineStr">
        <is>
          <t>Material Descartável - Eventos</t>
        </is>
      </c>
      <c r="D339" t="inlineStr">
        <is>
          <t>01/02/2026</t>
        </is>
      </c>
      <c r="E339" t="n">
        <v>0</v>
      </c>
      <c r="F339" t="inlineStr">
        <is>
          <t>Fabrica de Bares (2025)</t>
        </is>
      </c>
      <c r="G339" t="b">
        <v>1</v>
      </c>
      <c r="H339" t="inlineStr">
        <is>
          <t>2/2026</t>
        </is>
      </c>
    </row>
    <row r="340">
      <c r="A340" t="inlineStr">
        <is>
          <t>Nuv Gastrobar</t>
        </is>
      </c>
      <c r="B340" t="inlineStr">
        <is>
          <t>Custos de Eventos</t>
        </is>
      </c>
      <c r="C340" t="inlineStr">
        <is>
          <t>Material Descartável - Eventos</t>
        </is>
      </c>
      <c r="D340" t="inlineStr">
        <is>
          <t>01/03/2026</t>
        </is>
      </c>
      <c r="E340" t="n">
        <v>0</v>
      </c>
      <c r="F340" t="inlineStr">
        <is>
          <t>Fabrica de Bares (2025)</t>
        </is>
      </c>
      <c r="G340" t="b">
        <v>1</v>
      </c>
      <c r="H340" t="inlineStr">
        <is>
          <t>3/2026</t>
        </is>
      </c>
    </row>
    <row r="341">
      <c r="A341" t="inlineStr">
        <is>
          <t>Nuv Gastrobar</t>
        </is>
      </c>
      <c r="B341" t="inlineStr">
        <is>
          <t>Custos de Eventos</t>
        </is>
      </c>
      <c r="C341" t="inlineStr">
        <is>
          <t>Material Descartável - Eventos</t>
        </is>
      </c>
      <c r="D341" t="inlineStr">
        <is>
          <t>01/04/2026</t>
        </is>
      </c>
      <c r="E341" t="n">
        <v>0</v>
      </c>
      <c r="F341" t="inlineStr">
        <is>
          <t>Fabrica de Bares (2025)</t>
        </is>
      </c>
      <c r="G341" t="b">
        <v>1</v>
      </c>
      <c r="H341" t="inlineStr">
        <is>
          <t>4/2026</t>
        </is>
      </c>
    </row>
    <row r="342">
      <c r="A342" t="inlineStr">
        <is>
          <t>Nuv Gastrobar</t>
        </is>
      </c>
      <c r="B342" t="inlineStr">
        <is>
          <t>Custos de Eventos</t>
        </is>
      </c>
      <c r="C342" t="inlineStr">
        <is>
          <t>Material Descartável - Eventos</t>
        </is>
      </c>
      <c r="D342" t="inlineStr">
        <is>
          <t>01/05/2026</t>
        </is>
      </c>
      <c r="E342" t="n">
        <v>0</v>
      </c>
      <c r="F342" t="inlineStr">
        <is>
          <t>Fabrica de Bares (2025)</t>
        </is>
      </c>
      <c r="G342" t="b">
        <v>1</v>
      </c>
      <c r="H342" t="inlineStr">
        <is>
          <t>5/2026</t>
        </is>
      </c>
    </row>
    <row r="343">
      <c r="A343" t="inlineStr">
        <is>
          <t>Nuv Gastrobar</t>
        </is>
      </c>
      <c r="B343" t="inlineStr">
        <is>
          <t>Custos de Eventos</t>
        </is>
      </c>
      <c r="C343" t="inlineStr">
        <is>
          <t>Material Descartável - Eventos</t>
        </is>
      </c>
      <c r="D343" t="inlineStr">
        <is>
          <t>01/06/2026</t>
        </is>
      </c>
      <c r="E343" t="n">
        <v>0</v>
      </c>
      <c r="F343" t="inlineStr">
        <is>
          <t>Fabrica de Bares (2025)</t>
        </is>
      </c>
      <c r="G343" t="b">
        <v>1</v>
      </c>
      <c r="H343" t="inlineStr">
        <is>
          <t>6/2026</t>
        </is>
      </c>
    </row>
    <row r="344">
      <c r="A344" t="inlineStr">
        <is>
          <t>Nuv Gastrobar</t>
        </is>
      </c>
      <c r="B344" t="inlineStr">
        <is>
          <t>Custos de Eventos</t>
        </is>
      </c>
      <c r="C344" t="inlineStr">
        <is>
          <t>Material Descartável - Eventos</t>
        </is>
      </c>
      <c r="D344" t="inlineStr">
        <is>
          <t>01/07/2026</t>
        </is>
      </c>
      <c r="E344" t="n">
        <v>0</v>
      </c>
      <c r="F344" t="inlineStr">
        <is>
          <t>Fabrica de Bares (2025)</t>
        </is>
      </c>
      <c r="G344" t="b">
        <v>1</v>
      </c>
      <c r="H344" t="inlineStr">
        <is>
          <t>7/2026</t>
        </is>
      </c>
    </row>
    <row r="345">
      <c r="A345" t="inlineStr">
        <is>
          <t>Nuv Gastrobar</t>
        </is>
      </c>
      <c r="B345" t="inlineStr">
        <is>
          <t>Custos de Eventos</t>
        </is>
      </c>
      <c r="C345" t="inlineStr">
        <is>
          <t>Material Descartável - Eventos</t>
        </is>
      </c>
      <c r="D345" t="inlineStr">
        <is>
          <t>01/08/2026</t>
        </is>
      </c>
      <c r="E345" t="n">
        <v>0</v>
      </c>
      <c r="F345" t="inlineStr">
        <is>
          <t>Fabrica de Bares (2025)</t>
        </is>
      </c>
      <c r="G345" t="b">
        <v>1</v>
      </c>
      <c r="H345" t="inlineStr">
        <is>
          <t>8/2026</t>
        </is>
      </c>
    </row>
    <row r="346">
      <c r="A346" t="inlineStr">
        <is>
          <t>Nuv Gastrobar</t>
        </is>
      </c>
      <c r="B346" t="inlineStr">
        <is>
          <t>Custos de Eventos</t>
        </is>
      </c>
      <c r="C346" t="inlineStr">
        <is>
          <t>Material Descartável - Eventos</t>
        </is>
      </c>
      <c r="D346" t="inlineStr">
        <is>
          <t>01/09/2026</t>
        </is>
      </c>
      <c r="E346" t="n">
        <v>0</v>
      </c>
      <c r="F346" t="inlineStr">
        <is>
          <t>Fabrica de Bares (2025)</t>
        </is>
      </c>
      <c r="G346" t="b">
        <v>1</v>
      </c>
      <c r="H346" t="inlineStr">
        <is>
          <t>9/2026</t>
        </is>
      </c>
    </row>
    <row r="347">
      <c r="A347" t="inlineStr">
        <is>
          <t>Nuv Gastrobar</t>
        </is>
      </c>
      <c r="B347" t="inlineStr">
        <is>
          <t>Custos de Eventos</t>
        </is>
      </c>
      <c r="C347" t="inlineStr">
        <is>
          <t>Material Descartável - Eventos</t>
        </is>
      </c>
      <c r="D347" t="inlineStr">
        <is>
          <t>01/10/2026</t>
        </is>
      </c>
      <c r="E347" t="n">
        <v>0</v>
      </c>
      <c r="F347" t="inlineStr">
        <is>
          <t>Fabrica de Bares (2025)</t>
        </is>
      </c>
      <c r="G347" t="b">
        <v>1</v>
      </c>
      <c r="H347" t="inlineStr">
        <is>
          <t>10/2026</t>
        </is>
      </c>
    </row>
    <row r="348">
      <c r="A348" t="inlineStr">
        <is>
          <t>Nuv Gastrobar</t>
        </is>
      </c>
      <c r="B348" t="inlineStr">
        <is>
          <t>Custos de Eventos</t>
        </is>
      </c>
      <c r="C348" t="inlineStr">
        <is>
          <t>Material Descartável - Eventos</t>
        </is>
      </c>
      <c r="D348" t="inlineStr">
        <is>
          <t>01/11/2026</t>
        </is>
      </c>
      <c r="E348" t="n">
        <v>0</v>
      </c>
      <c r="F348" t="inlineStr">
        <is>
          <t>Fabrica de Bares (2025)</t>
        </is>
      </c>
      <c r="G348" t="b">
        <v>1</v>
      </c>
      <c r="H348" t="inlineStr">
        <is>
          <t>11/2026</t>
        </is>
      </c>
    </row>
    <row r="349">
      <c r="A349" t="inlineStr">
        <is>
          <t>Nuv Gastrobar</t>
        </is>
      </c>
      <c r="B349" t="inlineStr">
        <is>
          <t>Custos de Eventos</t>
        </is>
      </c>
      <c r="C349" t="inlineStr">
        <is>
          <t>Material Descartável - Eventos</t>
        </is>
      </c>
      <c r="D349" t="inlineStr">
        <is>
          <t>01/12/2026</t>
        </is>
      </c>
      <c r="E349" t="n">
        <v>0</v>
      </c>
      <c r="F349" t="inlineStr">
        <is>
          <t>Fabrica de Bares (2025)</t>
        </is>
      </c>
      <c r="G349" t="b">
        <v>1</v>
      </c>
      <c r="H349" t="inlineStr">
        <is>
          <t>12/2026</t>
        </is>
      </c>
    </row>
    <row r="350">
      <c r="A350" t="inlineStr">
        <is>
          <t>Nuv Gastrobar</t>
        </is>
      </c>
      <c r="B350" t="inlineStr">
        <is>
          <t>Custos de Eventos</t>
        </is>
      </c>
      <c r="C350" t="inlineStr">
        <is>
          <t>Repasse Gazit - Locação Anexo Abaru</t>
        </is>
      </c>
      <c r="D350" t="inlineStr">
        <is>
          <t>01/01/2026</t>
        </is>
      </c>
      <c r="E350" t="n">
        <v>0</v>
      </c>
      <c r="F350" t="inlineStr">
        <is>
          <t>Fabrica de Bares (2025)</t>
        </is>
      </c>
      <c r="G350" t="b">
        <v>1</v>
      </c>
      <c r="H350" t="inlineStr">
        <is>
          <t>1/2026</t>
        </is>
      </c>
    </row>
    <row r="351">
      <c r="A351" t="inlineStr">
        <is>
          <t>Nuv Gastrobar</t>
        </is>
      </c>
      <c r="B351" t="inlineStr">
        <is>
          <t>Custos de Eventos</t>
        </is>
      </c>
      <c r="C351" t="inlineStr">
        <is>
          <t>Repasse Gazit - Locação Anexo Abaru</t>
        </is>
      </c>
      <c r="D351" t="inlineStr">
        <is>
          <t>01/02/2026</t>
        </is>
      </c>
      <c r="E351" t="n">
        <v>0</v>
      </c>
      <c r="F351" t="inlineStr">
        <is>
          <t>Fabrica de Bares (2025)</t>
        </is>
      </c>
      <c r="G351" t="b">
        <v>1</v>
      </c>
      <c r="H351" t="inlineStr">
        <is>
          <t>2/2026</t>
        </is>
      </c>
    </row>
    <row r="352">
      <c r="A352" t="inlineStr">
        <is>
          <t>Nuv Gastrobar</t>
        </is>
      </c>
      <c r="B352" t="inlineStr">
        <is>
          <t>Custos de Eventos</t>
        </is>
      </c>
      <c r="C352" t="inlineStr">
        <is>
          <t>Repasse Gazit - Locação Anexo Abaru</t>
        </is>
      </c>
      <c r="D352" t="inlineStr">
        <is>
          <t>01/03/2026</t>
        </is>
      </c>
      <c r="E352" t="n">
        <v>0</v>
      </c>
      <c r="F352" t="inlineStr">
        <is>
          <t>Fabrica de Bares (2025)</t>
        </is>
      </c>
      <c r="G352" t="b">
        <v>1</v>
      </c>
      <c r="H352" t="inlineStr">
        <is>
          <t>3/2026</t>
        </is>
      </c>
    </row>
    <row r="353">
      <c r="A353" t="inlineStr">
        <is>
          <t>Nuv Gastrobar</t>
        </is>
      </c>
      <c r="B353" t="inlineStr">
        <is>
          <t>Custos de Eventos</t>
        </is>
      </c>
      <c r="C353" t="inlineStr">
        <is>
          <t>Repasse Gazit - Locação Anexo Abaru</t>
        </is>
      </c>
      <c r="D353" t="inlineStr">
        <is>
          <t>01/04/2026</t>
        </is>
      </c>
      <c r="E353" t="n">
        <v>0</v>
      </c>
      <c r="F353" t="inlineStr">
        <is>
          <t>Fabrica de Bares (2025)</t>
        </is>
      </c>
      <c r="G353" t="b">
        <v>1</v>
      </c>
      <c r="H353" t="inlineStr">
        <is>
          <t>4/2026</t>
        </is>
      </c>
    </row>
    <row r="354">
      <c r="A354" t="inlineStr">
        <is>
          <t>Nuv Gastrobar</t>
        </is>
      </c>
      <c r="B354" t="inlineStr">
        <is>
          <t>Custos de Eventos</t>
        </is>
      </c>
      <c r="C354" t="inlineStr">
        <is>
          <t>Repasse Gazit - Locação Anexo Abaru</t>
        </is>
      </c>
      <c r="D354" t="inlineStr">
        <is>
          <t>01/05/2026</t>
        </is>
      </c>
      <c r="E354" t="n">
        <v>0</v>
      </c>
      <c r="F354" t="inlineStr">
        <is>
          <t>Fabrica de Bares (2025)</t>
        </is>
      </c>
      <c r="G354" t="b">
        <v>1</v>
      </c>
      <c r="H354" t="inlineStr">
        <is>
          <t>5/2026</t>
        </is>
      </c>
    </row>
    <row r="355">
      <c r="A355" t="inlineStr">
        <is>
          <t>Nuv Gastrobar</t>
        </is>
      </c>
      <c r="B355" t="inlineStr">
        <is>
          <t>Custos de Eventos</t>
        </is>
      </c>
      <c r="C355" t="inlineStr">
        <is>
          <t>Repasse Gazit - Locação Anexo Abaru</t>
        </is>
      </c>
      <c r="D355" t="inlineStr">
        <is>
          <t>01/06/2026</t>
        </is>
      </c>
      <c r="E355" t="n">
        <v>0</v>
      </c>
      <c r="F355" t="inlineStr">
        <is>
          <t>Fabrica de Bares (2025)</t>
        </is>
      </c>
      <c r="G355" t="b">
        <v>1</v>
      </c>
      <c r="H355" t="inlineStr">
        <is>
          <t>6/2026</t>
        </is>
      </c>
    </row>
    <row r="356">
      <c r="A356" t="inlineStr">
        <is>
          <t>Nuv Gastrobar</t>
        </is>
      </c>
      <c r="B356" t="inlineStr">
        <is>
          <t>Custos de Eventos</t>
        </is>
      </c>
      <c r="C356" t="inlineStr">
        <is>
          <t>Repasse Gazit - Locação Anexo Abaru</t>
        </is>
      </c>
      <c r="D356" t="inlineStr">
        <is>
          <t>01/07/2026</t>
        </is>
      </c>
      <c r="E356" t="n">
        <v>0</v>
      </c>
      <c r="F356" t="inlineStr">
        <is>
          <t>Fabrica de Bares (2025)</t>
        </is>
      </c>
      <c r="G356" t="b">
        <v>1</v>
      </c>
      <c r="H356" t="inlineStr">
        <is>
          <t>7/2026</t>
        </is>
      </c>
    </row>
    <row r="357">
      <c r="A357" t="inlineStr">
        <is>
          <t>Nuv Gastrobar</t>
        </is>
      </c>
      <c r="B357" t="inlineStr">
        <is>
          <t>Custos de Eventos</t>
        </is>
      </c>
      <c r="C357" t="inlineStr">
        <is>
          <t>Repasse Gazit - Locação Anexo Abaru</t>
        </is>
      </c>
      <c r="D357" t="inlineStr">
        <is>
          <t>01/08/2026</t>
        </is>
      </c>
      <c r="E357" t="n">
        <v>0</v>
      </c>
      <c r="F357" t="inlineStr">
        <is>
          <t>Fabrica de Bares (2025)</t>
        </is>
      </c>
      <c r="G357" t="b">
        <v>1</v>
      </c>
      <c r="H357" t="inlineStr">
        <is>
          <t>8/2026</t>
        </is>
      </c>
    </row>
    <row r="358">
      <c r="A358" t="inlineStr">
        <is>
          <t>Nuv Gastrobar</t>
        </is>
      </c>
      <c r="B358" t="inlineStr">
        <is>
          <t>Custos de Eventos</t>
        </is>
      </c>
      <c r="C358" t="inlineStr">
        <is>
          <t>Repasse Gazit - Locação Anexo Abaru</t>
        </is>
      </c>
      <c r="D358" t="inlineStr">
        <is>
          <t>01/09/2026</t>
        </is>
      </c>
      <c r="E358" t="n">
        <v>0</v>
      </c>
      <c r="F358" t="inlineStr">
        <is>
          <t>Fabrica de Bares (2025)</t>
        </is>
      </c>
      <c r="G358" t="b">
        <v>1</v>
      </c>
      <c r="H358" t="inlineStr">
        <is>
          <t>9/2026</t>
        </is>
      </c>
    </row>
    <row r="359">
      <c r="A359" t="inlineStr">
        <is>
          <t>Nuv Gastrobar</t>
        </is>
      </c>
      <c r="B359" t="inlineStr">
        <is>
          <t>Custos de Eventos</t>
        </is>
      </c>
      <c r="C359" t="inlineStr">
        <is>
          <t>Repasse Gazit - Locação Anexo Abaru</t>
        </is>
      </c>
      <c r="D359" t="inlineStr">
        <is>
          <t>01/10/2026</t>
        </is>
      </c>
      <c r="E359" t="n">
        <v>0</v>
      </c>
      <c r="F359" t="inlineStr">
        <is>
          <t>Fabrica de Bares (2025)</t>
        </is>
      </c>
      <c r="G359" t="b">
        <v>1</v>
      </c>
      <c r="H359" t="inlineStr">
        <is>
          <t>10/2026</t>
        </is>
      </c>
    </row>
    <row r="360">
      <c r="A360" t="inlineStr">
        <is>
          <t>Nuv Gastrobar</t>
        </is>
      </c>
      <c r="B360" t="inlineStr">
        <is>
          <t>Custos de Eventos</t>
        </is>
      </c>
      <c r="C360" t="inlineStr">
        <is>
          <t>Repasse Gazit - Locação Anexo Abaru</t>
        </is>
      </c>
      <c r="D360" t="inlineStr">
        <is>
          <t>01/11/2026</t>
        </is>
      </c>
      <c r="E360" t="n">
        <v>0</v>
      </c>
      <c r="F360" t="inlineStr">
        <is>
          <t>Fabrica de Bares (2025)</t>
        </is>
      </c>
      <c r="G360" t="b">
        <v>1</v>
      </c>
      <c r="H360" t="inlineStr">
        <is>
          <t>11/2026</t>
        </is>
      </c>
    </row>
    <row r="361">
      <c r="A361" t="inlineStr">
        <is>
          <t>Nuv Gastrobar</t>
        </is>
      </c>
      <c r="B361" t="inlineStr">
        <is>
          <t>Custos de Eventos</t>
        </is>
      </c>
      <c r="C361" t="inlineStr">
        <is>
          <t>Repasse Gazit - Locação Anexo Abaru</t>
        </is>
      </c>
      <c r="D361" t="inlineStr">
        <is>
          <t>01/12/2026</t>
        </is>
      </c>
      <c r="E361" t="n">
        <v>0</v>
      </c>
      <c r="F361" t="inlineStr">
        <is>
          <t>Fabrica de Bares (2025)</t>
        </is>
      </c>
      <c r="G361" t="b">
        <v>1</v>
      </c>
      <c r="H361" t="inlineStr">
        <is>
          <t>12/2026</t>
        </is>
      </c>
    </row>
    <row r="362">
      <c r="A362" t="inlineStr">
        <is>
          <t>Nuv Gastrobar</t>
        </is>
      </c>
      <c r="B362" t="inlineStr">
        <is>
          <t>Custos de Eventos</t>
        </is>
      </c>
      <c r="C362" t="inlineStr">
        <is>
          <t>Repasse Gazit - Locação Aroo</t>
        </is>
      </c>
      <c r="D362" t="inlineStr">
        <is>
          <t>01/01/2026</t>
        </is>
      </c>
      <c r="E362" t="n">
        <v>0</v>
      </c>
      <c r="F362" t="inlineStr">
        <is>
          <t>Fabrica de Bares (2025)</t>
        </is>
      </c>
      <c r="G362" t="b">
        <v>1</v>
      </c>
      <c r="H362" t="inlineStr">
        <is>
          <t>1/2026</t>
        </is>
      </c>
    </row>
    <row r="363">
      <c r="A363" t="inlineStr">
        <is>
          <t>Nuv Gastrobar</t>
        </is>
      </c>
      <c r="B363" t="inlineStr">
        <is>
          <t>Custos de Eventos</t>
        </is>
      </c>
      <c r="C363" t="inlineStr">
        <is>
          <t>Repasse Gazit - Locação Aroo</t>
        </is>
      </c>
      <c r="D363" t="inlineStr">
        <is>
          <t>01/02/2026</t>
        </is>
      </c>
      <c r="E363" t="n">
        <v>0</v>
      </c>
      <c r="F363" t="inlineStr">
        <is>
          <t>Fabrica de Bares (2025)</t>
        </is>
      </c>
      <c r="G363" t="b">
        <v>1</v>
      </c>
      <c r="H363" t="inlineStr">
        <is>
          <t>2/2026</t>
        </is>
      </c>
    </row>
    <row r="364">
      <c r="A364" t="inlineStr">
        <is>
          <t>Nuv Gastrobar</t>
        </is>
      </c>
      <c r="B364" t="inlineStr">
        <is>
          <t>Custos de Eventos</t>
        </is>
      </c>
      <c r="C364" t="inlineStr">
        <is>
          <t>Repasse Gazit - Locação Aroo</t>
        </is>
      </c>
      <c r="D364" t="inlineStr">
        <is>
          <t>01/03/2026</t>
        </is>
      </c>
      <c r="E364" t="n">
        <v>0</v>
      </c>
      <c r="F364" t="inlineStr">
        <is>
          <t>Fabrica de Bares (2025)</t>
        </is>
      </c>
      <c r="G364" t="b">
        <v>1</v>
      </c>
      <c r="H364" t="inlineStr">
        <is>
          <t>3/2026</t>
        </is>
      </c>
    </row>
    <row r="365">
      <c r="A365" t="inlineStr">
        <is>
          <t>Nuv Gastrobar</t>
        </is>
      </c>
      <c r="B365" t="inlineStr">
        <is>
          <t>Custos de Eventos</t>
        </is>
      </c>
      <c r="C365" t="inlineStr">
        <is>
          <t>Repasse Gazit - Locação Aroo</t>
        </is>
      </c>
      <c r="D365" t="inlineStr">
        <is>
          <t>01/04/2026</t>
        </is>
      </c>
      <c r="E365" t="n">
        <v>0</v>
      </c>
      <c r="F365" t="inlineStr">
        <is>
          <t>Fabrica de Bares (2025)</t>
        </is>
      </c>
      <c r="G365" t="b">
        <v>1</v>
      </c>
      <c r="H365" t="inlineStr">
        <is>
          <t>4/2026</t>
        </is>
      </c>
    </row>
    <row r="366">
      <c r="A366" t="inlineStr">
        <is>
          <t>Nuv Gastrobar</t>
        </is>
      </c>
      <c r="B366" t="inlineStr">
        <is>
          <t>Custos de Eventos</t>
        </is>
      </c>
      <c r="C366" t="inlineStr">
        <is>
          <t>Repasse Gazit - Locação Aroo</t>
        </is>
      </c>
      <c r="D366" t="inlineStr">
        <is>
          <t>01/05/2026</t>
        </is>
      </c>
      <c r="E366" t="n">
        <v>0</v>
      </c>
      <c r="F366" t="inlineStr">
        <is>
          <t>Fabrica de Bares (2025)</t>
        </is>
      </c>
      <c r="G366" t="b">
        <v>1</v>
      </c>
      <c r="H366" t="inlineStr">
        <is>
          <t>5/2026</t>
        </is>
      </c>
    </row>
    <row r="367">
      <c r="A367" t="inlineStr">
        <is>
          <t>Nuv Gastrobar</t>
        </is>
      </c>
      <c r="B367" t="inlineStr">
        <is>
          <t>Custos de Eventos</t>
        </is>
      </c>
      <c r="C367" t="inlineStr">
        <is>
          <t>Repasse Gazit - Locação Aroo</t>
        </is>
      </c>
      <c r="D367" t="inlineStr">
        <is>
          <t>01/06/2026</t>
        </is>
      </c>
      <c r="E367" t="n">
        <v>0</v>
      </c>
      <c r="F367" t="inlineStr">
        <is>
          <t>Fabrica de Bares (2025)</t>
        </is>
      </c>
      <c r="G367" t="b">
        <v>1</v>
      </c>
      <c r="H367" t="inlineStr">
        <is>
          <t>6/2026</t>
        </is>
      </c>
    </row>
    <row r="368">
      <c r="A368" t="inlineStr">
        <is>
          <t>Nuv Gastrobar</t>
        </is>
      </c>
      <c r="B368" t="inlineStr">
        <is>
          <t>Custos de Eventos</t>
        </is>
      </c>
      <c r="C368" t="inlineStr">
        <is>
          <t>Repasse Gazit - Locação Aroo</t>
        </is>
      </c>
      <c r="D368" t="inlineStr">
        <is>
          <t>01/07/2026</t>
        </is>
      </c>
      <c r="E368" t="n">
        <v>0</v>
      </c>
      <c r="F368" t="inlineStr">
        <is>
          <t>Fabrica de Bares (2025)</t>
        </is>
      </c>
      <c r="G368" t="b">
        <v>1</v>
      </c>
      <c r="H368" t="inlineStr">
        <is>
          <t>7/2026</t>
        </is>
      </c>
    </row>
    <row r="369">
      <c r="A369" t="inlineStr">
        <is>
          <t>Nuv Gastrobar</t>
        </is>
      </c>
      <c r="B369" t="inlineStr">
        <is>
          <t>Custos de Eventos</t>
        </is>
      </c>
      <c r="C369" t="inlineStr">
        <is>
          <t>Repasse Gazit - Locação Aroo</t>
        </is>
      </c>
      <c r="D369" t="inlineStr">
        <is>
          <t>01/08/2026</t>
        </is>
      </c>
      <c r="E369" t="n">
        <v>0</v>
      </c>
      <c r="F369" t="inlineStr">
        <is>
          <t>Fabrica de Bares (2025)</t>
        </is>
      </c>
      <c r="G369" t="b">
        <v>1</v>
      </c>
      <c r="H369" t="inlineStr">
        <is>
          <t>8/2026</t>
        </is>
      </c>
    </row>
    <row r="370">
      <c r="A370" t="inlineStr">
        <is>
          <t>Nuv Gastrobar</t>
        </is>
      </c>
      <c r="B370" t="inlineStr">
        <is>
          <t>Custos de Eventos</t>
        </is>
      </c>
      <c r="C370" t="inlineStr">
        <is>
          <t>Repasse Gazit - Locação Aroo</t>
        </is>
      </c>
      <c r="D370" t="inlineStr">
        <is>
          <t>01/09/2026</t>
        </is>
      </c>
      <c r="E370" t="n">
        <v>0</v>
      </c>
      <c r="F370" t="inlineStr">
        <is>
          <t>Fabrica de Bares (2025)</t>
        </is>
      </c>
      <c r="G370" t="b">
        <v>1</v>
      </c>
      <c r="H370" t="inlineStr">
        <is>
          <t>9/2026</t>
        </is>
      </c>
    </row>
    <row r="371">
      <c r="A371" t="inlineStr">
        <is>
          <t>Nuv Gastrobar</t>
        </is>
      </c>
      <c r="B371" t="inlineStr">
        <is>
          <t>Custos de Eventos</t>
        </is>
      </c>
      <c r="C371" t="inlineStr">
        <is>
          <t>Repasse Gazit - Locação Aroo</t>
        </is>
      </c>
      <c r="D371" t="inlineStr">
        <is>
          <t>01/10/2026</t>
        </is>
      </c>
      <c r="E371" t="n">
        <v>0</v>
      </c>
      <c r="F371" t="inlineStr">
        <is>
          <t>Fabrica de Bares (2025)</t>
        </is>
      </c>
      <c r="G371" t="b">
        <v>1</v>
      </c>
      <c r="H371" t="inlineStr">
        <is>
          <t>10/2026</t>
        </is>
      </c>
    </row>
    <row r="372">
      <c r="A372" t="inlineStr">
        <is>
          <t>Nuv Gastrobar</t>
        </is>
      </c>
      <c r="B372" t="inlineStr">
        <is>
          <t>Custos de Eventos</t>
        </is>
      </c>
      <c r="C372" t="inlineStr">
        <is>
          <t>Repasse Gazit - Locação Aroo</t>
        </is>
      </c>
      <c r="D372" t="inlineStr">
        <is>
          <t>01/11/2026</t>
        </is>
      </c>
      <c r="E372" t="n">
        <v>0</v>
      </c>
      <c r="F372" t="inlineStr">
        <is>
          <t>Fabrica de Bares (2025)</t>
        </is>
      </c>
      <c r="G372" t="b">
        <v>1</v>
      </c>
      <c r="H372" t="inlineStr">
        <is>
          <t>11/2026</t>
        </is>
      </c>
    </row>
    <row r="373">
      <c r="A373" t="inlineStr">
        <is>
          <t>Nuv Gastrobar</t>
        </is>
      </c>
      <c r="B373" t="inlineStr">
        <is>
          <t>Custos de Eventos</t>
        </is>
      </c>
      <c r="C373" t="inlineStr">
        <is>
          <t>Repasse Gazit - Locação Aroo</t>
        </is>
      </c>
      <c r="D373" t="inlineStr">
        <is>
          <t>01/12/2026</t>
        </is>
      </c>
      <c r="E373" t="n">
        <v>0</v>
      </c>
      <c r="F373" t="inlineStr">
        <is>
          <t>Fabrica de Bares (2025)</t>
        </is>
      </c>
      <c r="G373" t="b">
        <v>1</v>
      </c>
      <c r="H373" t="inlineStr">
        <is>
          <t>12/2026</t>
        </is>
      </c>
    </row>
    <row r="374">
      <c r="A374" t="inlineStr">
        <is>
          <t>Nuv Gastrobar</t>
        </is>
      </c>
      <c r="B374" t="inlineStr">
        <is>
          <t>Custos de Eventos</t>
        </is>
      </c>
      <c r="C374" t="inlineStr">
        <is>
          <t>Serviço de Manutenção - Equipamentos - Eventos</t>
        </is>
      </c>
      <c r="D374" t="inlineStr">
        <is>
          <t>01/01/2026</t>
        </is>
      </c>
      <c r="E374" t="n">
        <v>0</v>
      </c>
      <c r="F374" t="inlineStr">
        <is>
          <t>Fabrica de Bares (2025)</t>
        </is>
      </c>
      <c r="G374" t="b">
        <v>1</v>
      </c>
      <c r="H374" t="inlineStr">
        <is>
          <t>1/2026</t>
        </is>
      </c>
    </row>
    <row r="375">
      <c r="A375" t="inlineStr">
        <is>
          <t>Nuv Gastrobar</t>
        </is>
      </c>
      <c r="B375" t="inlineStr">
        <is>
          <t>Custos de Eventos</t>
        </is>
      </c>
      <c r="C375" t="inlineStr">
        <is>
          <t>Serviço de Manutenção - Equipamentos - Eventos</t>
        </is>
      </c>
      <c r="D375" t="inlineStr">
        <is>
          <t>01/02/2026</t>
        </is>
      </c>
      <c r="E375" t="n">
        <v>0</v>
      </c>
      <c r="F375" t="inlineStr">
        <is>
          <t>Fabrica de Bares (2025)</t>
        </is>
      </c>
      <c r="G375" t="b">
        <v>1</v>
      </c>
      <c r="H375" t="inlineStr">
        <is>
          <t>2/2026</t>
        </is>
      </c>
    </row>
    <row r="376">
      <c r="A376" t="inlineStr">
        <is>
          <t>Nuv Gastrobar</t>
        </is>
      </c>
      <c r="B376" t="inlineStr">
        <is>
          <t>Custos de Eventos</t>
        </is>
      </c>
      <c r="C376" t="inlineStr">
        <is>
          <t>Serviço de Manutenção - Equipamentos - Eventos</t>
        </is>
      </c>
      <c r="D376" t="inlineStr">
        <is>
          <t>01/03/2026</t>
        </is>
      </c>
      <c r="E376" t="n">
        <v>0</v>
      </c>
      <c r="F376" t="inlineStr">
        <is>
          <t>Fabrica de Bares (2025)</t>
        </is>
      </c>
      <c r="G376" t="b">
        <v>1</v>
      </c>
      <c r="H376" t="inlineStr">
        <is>
          <t>3/2026</t>
        </is>
      </c>
    </row>
    <row r="377">
      <c r="A377" t="inlineStr">
        <is>
          <t>Nuv Gastrobar</t>
        </is>
      </c>
      <c r="B377" t="inlineStr">
        <is>
          <t>Custos de Eventos</t>
        </is>
      </c>
      <c r="C377" t="inlineStr">
        <is>
          <t>Serviço de Manutenção - Equipamentos - Eventos</t>
        </is>
      </c>
      <c r="D377" t="inlineStr">
        <is>
          <t>01/04/2026</t>
        </is>
      </c>
      <c r="E377" t="n">
        <v>0</v>
      </c>
      <c r="F377" t="inlineStr">
        <is>
          <t>Fabrica de Bares (2025)</t>
        </is>
      </c>
      <c r="G377" t="b">
        <v>1</v>
      </c>
      <c r="H377" t="inlineStr">
        <is>
          <t>4/2026</t>
        </is>
      </c>
    </row>
    <row r="378">
      <c r="A378" t="inlineStr">
        <is>
          <t>Nuv Gastrobar</t>
        </is>
      </c>
      <c r="B378" t="inlineStr">
        <is>
          <t>Custos de Eventos</t>
        </is>
      </c>
      <c r="C378" t="inlineStr">
        <is>
          <t>Serviço de Manutenção - Equipamentos - Eventos</t>
        </is>
      </c>
      <c r="D378" t="inlineStr">
        <is>
          <t>01/05/2026</t>
        </is>
      </c>
      <c r="E378" t="n">
        <v>0</v>
      </c>
      <c r="F378" t="inlineStr">
        <is>
          <t>Fabrica de Bares (2025)</t>
        </is>
      </c>
      <c r="G378" t="b">
        <v>1</v>
      </c>
      <c r="H378" t="inlineStr">
        <is>
          <t>5/2026</t>
        </is>
      </c>
    </row>
    <row r="379">
      <c r="A379" t="inlineStr">
        <is>
          <t>Nuv Gastrobar</t>
        </is>
      </c>
      <c r="B379" t="inlineStr">
        <is>
          <t>Custos de Eventos</t>
        </is>
      </c>
      <c r="C379" t="inlineStr">
        <is>
          <t>Serviço de Manutenção - Equipamentos - Eventos</t>
        </is>
      </c>
      <c r="D379" t="inlineStr">
        <is>
          <t>01/06/2026</t>
        </is>
      </c>
      <c r="E379" t="n">
        <v>0</v>
      </c>
      <c r="F379" t="inlineStr">
        <is>
          <t>Fabrica de Bares (2025)</t>
        </is>
      </c>
      <c r="G379" t="b">
        <v>1</v>
      </c>
      <c r="H379" t="inlineStr">
        <is>
          <t>6/2026</t>
        </is>
      </c>
    </row>
    <row r="380">
      <c r="A380" t="inlineStr">
        <is>
          <t>Nuv Gastrobar</t>
        </is>
      </c>
      <c r="B380" t="inlineStr">
        <is>
          <t>Custos de Eventos</t>
        </is>
      </c>
      <c r="C380" t="inlineStr">
        <is>
          <t>Serviço de Manutenção - Equipamentos - Eventos</t>
        </is>
      </c>
      <c r="D380" t="inlineStr">
        <is>
          <t>01/07/2026</t>
        </is>
      </c>
      <c r="E380" t="n">
        <v>0</v>
      </c>
      <c r="F380" t="inlineStr">
        <is>
          <t>Fabrica de Bares (2025)</t>
        </is>
      </c>
      <c r="G380" t="b">
        <v>1</v>
      </c>
      <c r="H380" t="inlineStr">
        <is>
          <t>7/2026</t>
        </is>
      </c>
    </row>
    <row r="381">
      <c r="A381" t="inlineStr">
        <is>
          <t>Nuv Gastrobar</t>
        </is>
      </c>
      <c r="B381" t="inlineStr">
        <is>
          <t>Custos de Eventos</t>
        </is>
      </c>
      <c r="C381" t="inlineStr">
        <is>
          <t>Serviço de Manutenção - Equipamentos - Eventos</t>
        </is>
      </c>
      <c r="D381" t="inlineStr">
        <is>
          <t>01/08/2026</t>
        </is>
      </c>
      <c r="E381" t="n">
        <v>0</v>
      </c>
      <c r="F381" t="inlineStr">
        <is>
          <t>Fabrica de Bares (2025)</t>
        </is>
      </c>
      <c r="G381" t="b">
        <v>1</v>
      </c>
      <c r="H381" t="inlineStr">
        <is>
          <t>8/2026</t>
        </is>
      </c>
    </row>
    <row r="382">
      <c r="A382" t="inlineStr">
        <is>
          <t>Nuv Gastrobar</t>
        </is>
      </c>
      <c r="B382" t="inlineStr">
        <is>
          <t>Custos de Eventos</t>
        </is>
      </c>
      <c r="C382" t="inlineStr">
        <is>
          <t>Serviço de Manutenção - Equipamentos - Eventos</t>
        </is>
      </c>
      <c r="D382" t="inlineStr">
        <is>
          <t>01/09/2026</t>
        </is>
      </c>
      <c r="E382" t="n">
        <v>0</v>
      </c>
      <c r="F382" t="inlineStr">
        <is>
          <t>Fabrica de Bares (2025)</t>
        </is>
      </c>
      <c r="G382" t="b">
        <v>1</v>
      </c>
      <c r="H382" t="inlineStr">
        <is>
          <t>9/2026</t>
        </is>
      </c>
    </row>
    <row r="383">
      <c r="A383" t="inlineStr">
        <is>
          <t>Nuv Gastrobar</t>
        </is>
      </c>
      <c r="B383" t="inlineStr">
        <is>
          <t>Custos de Eventos</t>
        </is>
      </c>
      <c r="C383" t="inlineStr">
        <is>
          <t>Serviço de Manutenção - Equipamentos - Eventos</t>
        </is>
      </c>
      <c r="D383" t="inlineStr">
        <is>
          <t>01/10/2026</t>
        </is>
      </c>
      <c r="E383" t="n">
        <v>0</v>
      </c>
      <c r="F383" t="inlineStr">
        <is>
          <t>Fabrica de Bares (2025)</t>
        </is>
      </c>
      <c r="G383" t="b">
        <v>1</v>
      </c>
      <c r="H383" t="inlineStr">
        <is>
          <t>10/2026</t>
        </is>
      </c>
    </row>
    <row r="384">
      <c r="A384" t="inlineStr">
        <is>
          <t>Nuv Gastrobar</t>
        </is>
      </c>
      <c r="B384" t="inlineStr">
        <is>
          <t>Custos de Eventos</t>
        </is>
      </c>
      <c r="C384" t="inlineStr">
        <is>
          <t>Serviço de Manutenção - Equipamentos - Eventos</t>
        </is>
      </c>
      <c r="D384" t="inlineStr">
        <is>
          <t>01/11/2026</t>
        </is>
      </c>
      <c r="E384" t="n">
        <v>0</v>
      </c>
      <c r="F384" t="inlineStr">
        <is>
          <t>Fabrica de Bares (2025)</t>
        </is>
      </c>
      <c r="G384" t="b">
        <v>1</v>
      </c>
      <c r="H384" t="inlineStr">
        <is>
          <t>11/2026</t>
        </is>
      </c>
    </row>
    <row r="385">
      <c r="A385" t="inlineStr">
        <is>
          <t>Nuv Gastrobar</t>
        </is>
      </c>
      <c r="B385" t="inlineStr">
        <is>
          <t>Custos de Eventos</t>
        </is>
      </c>
      <c r="C385" t="inlineStr">
        <is>
          <t>Serviço de Manutenção - Equipamentos - Eventos</t>
        </is>
      </c>
      <c r="D385" t="inlineStr">
        <is>
          <t>01/12/2026</t>
        </is>
      </c>
      <c r="E385" t="n">
        <v>0</v>
      </c>
      <c r="F385" t="inlineStr">
        <is>
          <t>Fabrica de Bares (2025)</t>
        </is>
      </c>
      <c r="G385" t="b">
        <v>1</v>
      </c>
      <c r="H385" t="inlineStr">
        <is>
          <t>12/2026</t>
        </is>
      </c>
    </row>
    <row r="386">
      <c r="A386" t="inlineStr">
        <is>
          <t>Nuv Gastrobar</t>
        </is>
      </c>
      <c r="B386" t="inlineStr">
        <is>
          <t>Custos de Eventos</t>
        </is>
      </c>
      <c r="C386" t="inlineStr">
        <is>
          <t>Serviço de Manutenção - Estrutura - Eventos</t>
        </is>
      </c>
      <c r="D386" t="inlineStr">
        <is>
          <t>01/01/2026</t>
        </is>
      </c>
      <c r="E386" t="n">
        <v>0</v>
      </c>
      <c r="F386" t="inlineStr">
        <is>
          <t>Fabrica de Bares (2025)</t>
        </is>
      </c>
      <c r="G386" t="b">
        <v>1</v>
      </c>
      <c r="H386" t="inlineStr">
        <is>
          <t>1/2026</t>
        </is>
      </c>
    </row>
    <row r="387">
      <c r="A387" t="inlineStr">
        <is>
          <t>Nuv Gastrobar</t>
        </is>
      </c>
      <c r="B387" t="inlineStr">
        <is>
          <t>Custos de Eventos</t>
        </is>
      </c>
      <c r="C387" t="inlineStr">
        <is>
          <t>Serviço de Manutenção - Estrutura - Eventos</t>
        </is>
      </c>
      <c r="D387" t="inlineStr">
        <is>
          <t>01/02/2026</t>
        </is>
      </c>
      <c r="E387" t="n">
        <v>0</v>
      </c>
      <c r="F387" t="inlineStr">
        <is>
          <t>Fabrica de Bares (2025)</t>
        </is>
      </c>
      <c r="G387" t="b">
        <v>1</v>
      </c>
      <c r="H387" t="inlineStr">
        <is>
          <t>2/2026</t>
        </is>
      </c>
    </row>
    <row r="388">
      <c r="A388" t="inlineStr">
        <is>
          <t>Nuv Gastrobar</t>
        </is>
      </c>
      <c r="B388" t="inlineStr">
        <is>
          <t>Custos de Eventos</t>
        </is>
      </c>
      <c r="C388" t="inlineStr">
        <is>
          <t>Serviço de Manutenção - Estrutura - Eventos</t>
        </is>
      </c>
      <c r="D388" t="inlineStr">
        <is>
          <t>01/03/2026</t>
        </is>
      </c>
      <c r="E388" t="n">
        <v>0</v>
      </c>
      <c r="F388" t="inlineStr">
        <is>
          <t>Fabrica de Bares (2025)</t>
        </is>
      </c>
      <c r="G388" t="b">
        <v>1</v>
      </c>
      <c r="H388" t="inlineStr">
        <is>
          <t>3/2026</t>
        </is>
      </c>
    </row>
    <row r="389">
      <c r="A389" t="inlineStr">
        <is>
          <t>Nuv Gastrobar</t>
        </is>
      </c>
      <c r="B389" t="inlineStr">
        <is>
          <t>Custos de Eventos</t>
        </is>
      </c>
      <c r="C389" t="inlineStr">
        <is>
          <t>Serviço de Manutenção - Estrutura - Eventos</t>
        </is>
      </c>
      <c r="D389" t="inlineStr">
        <is>
          <t>01/04/2026</t>
        </is>
      </c>
      <c r="E389" t="n">
        <v>0</v>
      </c>
      <c r="F389" t="inlineStr">
        <is>
          <t>Fabrica de Bares (2025)</t>
        </is>
      </c>
      <c r="G389" t="b">
        <v>1</v>
      </c>
      <c r="H389" t="inlineStr">
        <is>
          <t>4/2026</t>
        </is>
      </c>
    </row>
    <row r="390">
      <c r="A390" t="inlineStr">
        <is>
          <t>Nuv Gastrobar</t>
        </is>
      </c>
      <c r="B390" t="inlineStr">
        <is>
          <t>Custos de Eventos</t>
        </is>
      </c>
      <c r="C390" t="inlineStr">
        <is>
          <t>Serviço de Manutenção - Estrutura - Eventos</t>
        </is>
      </c>
      <c r="D390" t="inlineStr">
        <is>
          <t>01/05/2026</t>
        </is>
      </c>
      <c r="E390" t="n">
        <v>0</v>
      </c>
      <c r="F390" t="inlineStr">
        <is>
          <t>Fabrica de Bares (2025)</t>
        </is>
      </c>
      <c r="G390" t="b">
        <v>1</v>
      </c>
      <c r="H390" t="inlineStr">
        <is>
          <t>5/2026</t>
        </is>
      </c>
    </row>
    <row r="391">
      <c r="A391" t="inlineStr">
        <is>
          <t>Nuv Gastrobar</t>
        </is>
      </c>
      <c r="B391" t="inlineStr">
        <is>
          <t>Custos de Eventos</t>
        </is>
      </c>
      <c r="C391" t="inlineStr">
        <is>
          <t>Serviço de Manutenção - Estrutura - Eventos</t>
        </is>
      </c>
      <c r="D391" t="inlineStr">
        <is>
          <t>01/06/2026</t>
        </is>
      </c>
      <c r="E391" t="n">
        <v>0</v>
      </c>
      <c r="F391" t="inlineStr">
        <is>
          <t>Fabrica de Bares (2025)</t>
        </is>
      </c>
      <c r="G391" t="b">
        <v>1</v>
      </c>
      <c r="H391" t="inlineStr">
        <is>
          <t>6/2026</t>
        </is>
      </c>
    </row>
    <row r="392">
      <c r="A392" t="inlineStr">
        <is>
          <t>Nuv Gastrobar</t>
        </is>
      </c>
      <c r="B392" t="inlineStr">
        <is>
          <t>Custos de Eventos</t>
        </is>
      </c>
      <c r="C392" t="inlineStr">
        <is>
          <t>Serviço de Manutenção - Estrutura - Eventos</t>
        </is>
      </c>
      <c r="D392" t="inlineStr">
        <is>
          <t>01/07/2026</t>
        </is>
      </c>
      <c r="E392" t="n">
        <v>0</v>
      </c>
      <c r="F392" t="inlineStr">
        <is>
          <t>Fabrica de Bares (2025)</t>
        </is>
      </c>
      <c r="G392" t="b">
        <v>1</v>
      </c>
      <c r="H392" t="inlineStr">
        <is>
          <t>7/2026</t>
        </is>
      </c>
    </row>
    <row r="393">
      <c r="A393" t="inlineStr">
        <is>
          <t>Nuv Gastrobar</t>
        </is>
      </c>
      <c r="B393" t="inlineStr">
        <is>
          <t>Custos de Eventos</t>
        </is>
      </c>
      <c r="C393" t="inlineStr">
        <is>
          <t>Serviço de Manutenção - Estrutura - Eventos</t>
        </is>
      </c>
      <c r="D393" t="inlineStr">
        <is>
          <t>01/08/2026</t>
        </is>
      </c>
      <c r="E393" t="n">
        <v>0</v>
      </c>
      <c r="F393" t="inlineStr">
        <is>
          <t>Fabrica de Bares (2025)</t>
        </is>
      </c>
      <c r="G393" t="b">
        <v>1</v>
      </c>
      <c r="H393" t="inlineStr">
        <is>
          <t>8/2026</t>
        </is>
      </c>
    </row>
    <row r="394">
      <c r="A394" t="inlineStr">
        <is>
          <t>Nuv Gastrobar</t>
        </is>
      </c>
      <c r="B394" t="inlineStr">
        <is>
          <t>Custos de Eventos</t>
        </is>
      </c>
      <c r="C394" t="inlineStr">
        <is>
          <t>Serviço de Manutenção - Estrutura - Eventos</t>
        </is>
      </c>
      <c r="D394" t="inlineStr">
        <is>
          <t>01/09/2026</t>
        </is>
      </c>
      <c r="E394" t="n">
        <v>0</v>
      </c>
      <c r="F394" t="inlineStr">
        <is>
          <t>Fabrica de Bares (2025)</t>
        </is>
      </c>
      <c r="G394" t="b">
        <v>1</v>
      </c>
      <c r="H394" t="inlineStr">
        <is>
          <t>9/2026</t>
        </is>
      </c>
    </row>
    <row r="395">
      <c r="A395" t="inlineStr">
        <is>
          <t>Nuv Gastrobar</t>
        </is>
      </c>
      <c r="B395" t="inlineStr">
        <is>
          <t>Custos de Eventos</t>
        </is>
      </c>
      <c r="C395" t="inlineStr">
        <is>
          <t>Serviço de Manutenção - Estrutura - Eventos</t>
        </is>
      </c>
      <c r="D395" t="inlineStr">
        <is>
          <t>01/10/2026</t>
        </is>
      </c>
      <c r="E395" t="n">
        <v>0</v>
      </c>
      <c r="F395" t="inlineStr">
        <is>
          <t>Fabrica de Bares (2025)</t>
        </is>
      </c>
      <c r="G395" t="b">
        <v>1</v>
      </c>
      <c r="H395" t="inlineStr">
        <is>
          <t>10/2026</t>
        </is>
      </c>
    </row>
    <row r="396">
      <c r="A396" t="inlineStr">
        <is>
          <t>Nuv Gastrobar</t>
        </is>
      </c>
      <c r="B396" t="inlineStr">
        <is>
          <t>Custos de Eventos</t>
        </is>
      </c>
      <c r="C396" t="inlineStr">
        <is>
          <t>Serviço de Manutenção - Estrutura - Eventos</t>
        </is>
      </c>
      <c r="D396" t="inlineStr">
        <is>
          <t>01/11/2026</t>
        </is>
      </c>
      <c r="E396" t="n">
        <v>0</v>
      </c>
      <c r="F396" t="inlineStr">
        <is>
          <t>Fabrica de Bares (2025)</t>
        </is>
      </c>
      <c r="G396" t="b">
        <v>1</v>
      </c>
      <c r="H396" t="inlineStr">
        <is>
          <t>11/2026</t>
        </is>
      </c>
    </row>
    <row r="397">
      <c r="A397" t="inlineStr">
        <is>
          <t>Nuv Gastrobar</t>
        </is>
      </c>
      <c r="B397" t="inlineStr">
        <is>
          <t>Custos de Eventos</t>
        </is>
      </c>
      <c r="C397" t="inlineStr">
        <is>
          <t>Serviço de Manutenção - Estrutura - Eventos</t>
        </is>
      </c>
      <c r="D397" t="inlineStr">
        <is>
          <t>01/12/2026</t>
        </is>
      </c>
      <c r="E397" t="n">
        <v>0</v>
      </c>
      <c r="F397" t="inlineStr">
        <is>
          <t>Fabrica de Bares (2025)</t>
        </is>
      </c>
      <c r="G397" t="b">
        <v>1</v>
      </c>
      <c r="H397" t="inlineStr">
        <is>
          <t>12/2026</t>
        </is>
      </c>
    </row>
    <row r="398">
      <c r="A398" t="inlineStr">
        <is>
          <t>Nuv Gastrobar</t>
        </is>
      </c>
      <c r="B398" t="inlineStr">
        <is>
          <t>Custos de Eventos</t>
        </is>
      </c>
      <c r="C398" t="inlineStr">
        <is>
          <t>Serviço de Segurança - Eventos</t>
        </is>
      </c>
      <c r="D398" t="inlineStr">
        <is>
          <t>01/01/2026</t>
        </is>
      </c>
      <c r="E398" t="n">
        <v>0</v>
      </c>
      <c r="F398" t="inlineStr">
        <is>
          <t>Fabrica de Bares (2025)</t>
        </is>
      </c>
      <c r="G398" t="b">
        <v>1</v>
      </c>
      <c r="H398" t="inlineStr">
        <is>
          <t>1/2026</t>
        </is>
      </c>
    </row>
    <row r="399">
      <c r="A399" t="inlineStr">
        <is>
          <t>Nuv Gastrobar</t>
        </is>
      </c>
      <c r="B399" t="inlineStr">
        <is>
          <t>Custos de Eventos</t>
        </is>
      </c>
      <c r="C399" t="inlineStr">
        <is>
          <t>Serviço de Segurança - Eventos</t>
        </is>
      </c>
      <c r="D399" t="inlineStr">
        <is>
          <t>01/02/2026</t>
        </is>
      </c>
      <c r="E399" t="n">
        <v>0</v>
      </c>
      <c r="F399" t="inlineStr">
        <is>
          <t>Fabrica de Bares (2025)</t>
        </is>
      </c>
      <c r="G399" t="b">
        <v>1</v>
      </c>
      <c r="H399" t="inlineStr">
        <is>
          <t>2/2026</t>
        </is>
      </c>
    </row>
    <row r="400">
      <c r="A400" t="inlineStr">
        <is>
          <t>Nuv Gastrobar</t>
        </is>
      </c>
      <c r="B400" t="inlineStr">
        <is>
          <t>Custos de Eventos</t>
        </is>
      </c>
      <c r="C400" t="inlineStr">
        <is>
          <t>Serviço de Segurança - Eventos</t>
        </is>
      </c>
      <c r="D400" t="inlineStr">
        <is>
          <t>01/03/2026</t>
        </is>
      </c>
      <c r="E400" t="n">
        <v>0</v>
      </c>
      <c r="F400" t="inlineStr">
        <is>
          <t>Fabrica de Bares (2025)</t>
        </is>
      </c>
      <c r="G400" t="b">
        <v>1</v>
      </c>
      <c r="H400" t="inlineStr">
        <is>
          <t>3/2026</t>
        </is>
      </c>
    </row>
    <row r="401">
      <c r="A401" t="inlineStr">
        <is>
          <t>Nuv Gastrobar</t>
        </is>
      </c>
      <c r="B401" t="inlineStr">
        <is>
          <t>Custos de Eventos</t>
        </is>
      </c>
      <c r="C401" t="inlineStr">
        <is>
          <t>Serviço de Segurança - Eventos</t>
        </is>
      </c>
      <c r="D401" t="inlineStr">
        <is>
          <t>01/04/2026</t>
        </is>
      </c>
      <c r="E401" t="n">
        <v>0</v>
      </c>
      <c r="F401" t="inlineStr">
        <is>
          <t>Fabrica de Bares (2025)</t>
        </is>
      </c>
      <c r="G401" t="b">
        <v>1</v>
      </c>
      <c r="H401" t="inlineStr">
        <is>
          <t>4/2026</t>
        </is>
      </c>
    </row>
    <row r="402">
      <c r="A402" t="inlineStr">
        <is>
          <t>Nuv Gastrobar</t>
        </is>
      </c>
      <c r="B402" t="inlineStr">
        <is>
          <t>Custos de Eventos</t>
        </is>
      </c>
      <c r="C402" t="inlineStr">
        <is>
          <t>Serviço de Segurança - Eventos</t>
        </is>
      </c>
      <c r="D402" t="inlineStr">
        <is>
          <t>01/05/2026</t>
        </is>
      </c>
      <c r="E402" t="n">
        <v>0</v>
      </c>
      <c r="F402" t="inlineStr">
        <is>
          <t>Fabrica de Bares (2025)</t>
        </is>
      </c>
      <c r="G402" t="b">
        <v>1</v>
      </c>
      <c r="H402" t="inlineStr">
        <is>
          <t>5/2026</t>
        </is>
      </c>
    </row>
    <row r="403">
      <c r="A403" t="inlineStr">
        <is>
          <t>Nuv Gastrobar</t>
        </is>
      </c>
      <c r="B403" t="inlineStr">
        <is>
          <t>Custos de Eventos</t>
        </is>
      </c>
      <c r="C403" t="inlineStr">
        <is>
          <t>Serviço de Segurança - Eventos</t>
        </is>
      </c>
      <c r="D403" t="inlineStr">
        <is>
          <t>01/06/2026</t>
        </is>
      </c>
      <c r="E403" t="n">
        <v>0</v>
      </c>
      <c r="F403" t="inlineStr">
        <is>
          <t>Fabrica de Bares (2025)</t>
        </is>
      </c>
      <c r="G403" t="b">
        <v>1</v>
      </c>
      <c r="H403" t="inlineStr">
        <is>
          <t>6/2026</t>
        </is>
      </c>
    </row>
    <row r="404">
      <c r="A404" t="inlineStr">
        <is>
          <t>Nuv Gastrobar</t>
        </is>
      </c>
      <c r="B404" t="inlineStr">
        <is>
          <t>Custos de Eventos</t>
        </is>
      </c>
      <c r="C404" t="inlineStr">
        <is>
          <t>Serviço de Segurança - Eventos</t>
        </is>
      </c>
      <c r="D404" t="inlineStr">
        <is>
          <t>01/07/2026</t>
        </is>
      </c>
      <c r="E404" t="n">
        <v>0</v>
      </c>
      <c r="F404" t="inlineStr">
        <is>
          <t>Fabrica de Bares (2025)</t>
        </is>
      </c>
      <c r="G404" t="b">
        <v>1</v>
      </c>
      <c r="H404" t="inlineStr">
        <is>
          <t>7/2026</t>
        </is>
      </c>
    </row>
    <row r="405">
      <c r="A405" t="inlineStr">
        <is>
          <t>Nuv Gastrobar</t>
        </is>
      </c>
      <c r="B405" t="inlineStr">
        <is>
          <t>Custos de Eventos</t>
        </is>
      </c>
      <c r="C405" t="inlineStr">
        <is>
          <t>Serviço de Segurança - Eventos</t>
        </is>
      </c>
      <c r="D405" t="inlineStr">
        <is>
          <t>01/08/2026</t>
        </is>
      </c>
      <c r="E405" t="n">
        <v>0</v>
      </c>
      <c r="F405" t="inlineStr">
        <is>
          <t>Fabrica de Bares (2025)</t>
        </is>
      </c>
      <c r="G405" t="b">
        <v>1</v>
      </c>
      <c r="H405" t="inlineStr">
        <is>
          <t>8/2026</t>
        </is>
      </c>
    </row>
    <row r="406">
      <c r="A406" t="inlineStr">
        <is>
          <t>Nuv Gastrobar</t>
        </is>
      </c>
      <c r="B406" t="inlineStr">
        <is>
          <t>Custos de Eventos</t>
        </is>
      </c>
      <c r="C406" t="inlineStr">
        <is>
          <t>Serviço de Segurança - Eventos</t>
        </is>
      </c>
      <c r="D406" t="inlineStr">
        <is>
          <t>01/09/2026</t>
        </is>
      </c>
      <c r="E406" t="n">
        <v>0</v>
      </c>
      <c r="F406" t="inlineStr">
        <is>
          <t>Fabrica de Bares (2025)</t>
        </is>
      </c>
      <c r="G406" t="b">
        <v>1</v>
      </c>
      <c r="H406" t="inlineStr">
        <is>
          <t>9/2026</t>
        </is>
      </c>
    </row>
    <row r="407">
      <c r="A407" t="inlineStr">
        <is>
          <t>Nuv Gastrobar</t>
        </is>
      </c>
      <c r="B407" t="inlineStr">
        <is>
          <t>Custos de Eventos</t>
        </is>
      </c>
      <c r="C407" t="inlineStr">
        <is>
          <t>Serviço de Segurança - Eventos</t>
        </is>
      </c>
      <c r="D407" t="inlineStr">
        <is>
          <t>01/10/2026</t>
        </is>
      </c>
      <c r="E407" t="n">
        <v>0</v>
      </c>
      <c r="F407" t="inlineStr">
        <is>
          <t>Fabrica de Bares (2025)</t>
        </is>
      </c>
      <c r="G407" t="b">
        <v>1</v>
      </c>
      <c r="H407" t="inlineStr">
        <is>
          <t>10/2026</t>
        </is>
      </c>
    </row>
    <row r="408">
      <c r="A408" t="inlineStr">
        <is>
          <t>Nuv Gastrobar</t>
        </is>
      </c>
      <c r="B408" t="inlineStr">
        <is>
          <t>Custos de Eventos</t>
        </is>
      </c>
      <c r="C408" t="inlineStr">
        <is>
          <t>Serviço de Segurança - Eventos</t>
        </is>
      </c>
      <c r="D408" t="inlineStr">
        <is>
          <t>01/11/2026</t>
        </is>
      </c>
      <c r="E408" t="n">
        <v>0</v>
      </c>
      <c r="F408" t="inlineStr">
        <is>
          <t>Fabrica de Bares (2025)</t>
        </is>
      </c>
      <c r="G408" t="b">
        <v>1</v>
      </c>
      <c r="H408" t="inlineStr">
        <is>
          <t>11/2026</t>
        </is>
      </c>
    </row>
    <row r="409">
      <c r="A409" t="inlineStr">
        <is>
          <t>Nuv Gastrobar</t>
        </is>
      </c>
      <c r="B409" t="inlineStr">
        <is>
          <t>Custos de Eventos</t>
        </is>
      </c>
      <c r="C409" t="inlineStr">
        <is>
          <t>Serviço de Segurança - Eventos</t>
        </is>
      </c>
      <c r="D409" t="inlineStr">
        <is>
          <t>01/12/2026</t>
        </is>
      </c>
      <c r="E409" t="n">
        <v>0</v>
      </c>
      <c r="F409" t="inlineStr">
        <is>
          <t>Fabrica de Bares (2025)</t>
        </is>
      </c>
      <c r="G409" t="b">
        <v>1</v>
      </c>
      <c r="H409" t="inlineStr">
        <is>
          <t>12/2026</t>
        </is>
      </c>
    </row>
    <row r="410">
      <c r="A410" t="inlineStr">
        <is>
          <t>Nuv Gastrobar</t>
        </is>
      </c>
      <c r="B410" t="inlineStr">
        <is>
          <t>Custos de Eventos</t>
        </is>
      </c>
      <c r="C410" t="inlineStr">
        <is>
          <t>Serviços Terceirizados - Eventos</t>
        </is>
      </c>
      <c r="D410" t="inlineStr">
        <is>
          <t>01/01/2026</t>
        </is>
      </c>
      <c r="E410" t="n">
        <v>0</v>
      </c>
      <c r="F410" t="inlineStr">
        <is>
          <t>Fabrica de Bares (2025)</t>
        </is>
      </c>
      <c r="G410" t="b">
        <v>1</v>
      </c>
      <c r="H410" t="inlineStr">
        <is>
          <t>1/2026</t>
        </is>
      </c>
    </row>
    <row r="411">
      <c r="A411" t="inlineStr">
        <is>
          <t>Nuv Gastrobar</t>
        </is>
      </c>
      <c r="B411" t="inlineStr">
        <is>
          <t>Custos de Eventos</t>
        </is>
      </c>
      <c r="C411" t="inlineStr">
        <is>
          <t>Serviços Terceirizados - Eventos</t>
        </is>
      </c>
      <c r="D411" t="inlineStr">
        <is>
          <t>01/02/2026</t>
        </is>
      </c>
      <c r="E411" t="n">
        <v>0</v>
      </c>
      <c r="F411" t="inlineStr">
        <is>
          <t>Fabrica de Bares (2025)</t>
        </is>
      </c>
      <c r="G411" t="b">
        <v>1</v>
      </c>
      <c r="H411" t="inlineStr">
        <is>
          <t>2/2026</t>
        </is>
      </c>
    </row>
    <row r="412">
      <c r="A412" t="inlineStr">
        <is>
          <t>Nuv Gastrobar</t>
        </is>
      </c>
      <c r="B412" t="inlineStr">
        <is>
          <t>Custos de Eventos</t>
        </is>
      </c>
      <c r="C412" t="inlineStr">
        <is>
          <t>Serviços Terceirizados - Eventos</t>
        </is>
      </c>
      <c r="D412" t="inlineStr">
        <is>
          <t>01/03/2026</t>
        </is>
      </c>
      <c r="E412" t="n">
        <v>0</v>
      </c>
      <c r="F412" t="inlineStr">
        <is>
          <t>Fabrica de Bares (2025)</t>
        </is>
      </c>
      <c r="G412" t="b">
        <v>1</v>
      </c>
      <c r="H412" t="inlineStr">
        <is>
          <t>3/2026</t>
        </is>
      </c>
    </row>
    <row r="413">
      <c r="A413" t="inlineStr">
        <is>
          <t>Nuv Gastrobar</t>
        </is>
      </c>
      <c r="B413" t="inlineStr">
        <is>
          <t>Custos de Eventos</t>
        </is>
      </c>
      <c r="C413" t="inlineStr">
        <is>
          <t>Serviços Terceirizados - Eventos</t>
        </is>
      </c>
      <c r="D413" t="inlineStr">
        <is>
          <t>01/04/2026</t>
        </is>
      </c>
      <c r="E413" t="n">
        <v>0</v>
      </c>
      <c r="F413" t="inlineStr">
        <is>
          <t>Fabrica de Bares (2025)</t>
        </is>
      </c>
      <c r="G413" t="b">
        <v>1</v>
      </c>
      <c r="H413" t="inlineStr">
        <is>
          <t>4/2026</t>
        </is>
      </c>
    </row>
    <row r="414">
      <c r="A414" t="inlineStr">
        <is>
          <t>Nuv Gastrobar</t>
        </is>
      </c>
      <c r="B414" t="inlineStr">
        <is>
          <t>Custos de Eventos</t>
        </is>
      </c>
      <c r="C414" t="inlineStr">
        <is>
          <t>Serviços Terceirizados - Eventos</t>
        </is>
      </c>
      <c r="D414" t="inlineStr">
        <is>
          <t>01/05/2026</t>
        </is>
      </c>
      <c r="E414" t="n">
        <v>0</v>
      </c>
      <c r="F414" t="inlineStr">
        <is>
          <t>Fabrica de Bares (2025)</t>
        </is>
      </c>
      <c r="G414" t="b">
        <v>1</v>
      </c>
      <c r="H414" t="inlineStr">
        <is>
          <t>5/2026</t>
        </is>
      </c>
    </row>
    <row r="415">
      <c r="A415" t="inlineStr">
        <is>
          <t>Nuv Gastrobar</t>
        </is>
      </c>
      <c r="B415" t="inlineStr">
        <is>
          <t>Custos de Eventos</t>
        </is>
      </c>
      <c r="C415" t="inlineStr">
        <is>
          <t>Serviços Terceirizados - Eventos</t>
        </is>
      </c>
      <c r="D415" t="inlineStr">
        <is>
          <t>01/06/2026</t>
        </is>
      </c>
      <c r="E415" t="n">
        <v>0</v>
      </c>
      <c r="F415" t="inlineStr">
        <is>
          <t>Fabrica de Bares (2025)</t>
        </is>
      </c>
      <c r="G415" t="b">
        <v>1</v>
      </c>
      <c r="H415" t="inlineStr">
        <is>
          <t>6/2026</t>
        </is>
      </c>
    </row>
    <row r="416">
      <c r="A416" t="inlineStr">
        <is>
          <t>Nuv Gastrobar</t>
        </is>
      </c>
      <c r="B416" t="inlineStr">
        <is>
          <t>Custos de Eventos</t>
        </is>
      </c>
      <c r="C416" t="inlineStr">
        <is>
          <t>Serviços Terceirizados - Eventos</t>
        </is>
      </c>
      <c r="D416" t="inlineStr">
        <is>
          <t>01/07/2026</t>
        </is>
      </c>
      <c r="E416" t="n">
        <v>0</v>
      </c>
      <c r="F416" t="inlineStr">
        <is>
          <t>Fabrica de Bares (2025)</t>
        </is>
      </c>
      <c r="G416" t="b">
        <v>1</v>
      </c>
      <c r="H416" t="inlineStr">
        <is>
          <t>7/2026</t>
        </is>
      </c>
    </row>
    <row r="417">
      <c r="A417" t="inlineStr">
        <is>
          <t>Nuv Gastrobar</t>
        </is>
      </c>
      <c r="B417" t="inlineStr">
        <is>
          <t>Custos de Eventos</t>
        </is>
      </c>
      <c r="C417" t="inlineStr">
        <is>
          <t>Serviços Terceirizados - Eventos</t>
        </is>
      </c>
      <c r="D417" t="inlineStr">
        <is>
          <t>01/08/2026</t>
        </is>
      </c>
      <c r="E417" t="n">
        <v>1536</v>
      </c>
      <c r="F417" t="inlineStr">
        <is>
          <t>Fabrica de Bares (2025)</t>
        </is>
      </c>
      <c r="G417" t="b">
        <v>1</v>
      </c>
      <c r="H417" t="inlineStr">
        <is>
          <t>8/2026</t>
        </is>
      </c>
    </row>
    <row r="418">
      <c r="A418" t="inlineStr">
        <is>
          <t>Nuv Gastrobar</t>
        </is>
      </c>
      <c r="B418" t="inlineStr">
        <is>
          <t>Custos de Eventos</t>
        </is>
      </c>
      <c r="C418" t="inlineStr">
        <is>
          <t>Serviços Terceirizados - Eventos</t>
        </is>
      </c>
      <c r="D418" t="inlineStr">
        <is>
          <t>01/09/2026</t>
        </is>
      </c>
      <c r="E418" t="n">
        <v>2304</v>
      </c>
      <c r="F418" t="inlineStr">
        <is>
          <t>Fabrica de Bares (2025)</t>
        </is>
      </c>
      <c r="G418" t="b">
        <v>1</v>
      </c>
      <c r="H418" t="inlineStr">
        <is>
          <t>9/2026</t>
        </is>
      </c>
    </row>
    <row r="419">
      <c r="A419" t="inlineStr">
        <is>
          <t>Nuv Gastrobar</t>
        </is>
      </c>
      <c r="B419" t="inlineStr">
        <is>
          <t>Custos de Eventos</t>
        </is>
      </c>
      <c r="C419" t="inlineStr">
        <is>
          <t>Serviços Terceirizados - Eventos</t>
        </is>
      </c>
      <c r="D419" t="inlineStr">
        <is>
          <t>01/10/2026</t>
        </is>
      </c>
      <c r="E419" t="n">
        <v>3072</v>
      </c>
      <c r="F419" t="inlineStr">
        <is>
          <t>Fabrica de Bares (2025)</t>
        </is>
      </c>
      <c r="G419" t="b">
        <v>1</v>
      </c>
      <c r="H419" t="inlineStr">
        <is>
          <t>10/2026</t>
        </is>
      </c>
    </row>
    <row r="420">
      <c r="A420" t="inlineStr">
        <is>
          <t>Nuv Gastrobar</t>
        </is>
      </c>
      <c r="B420" t="inlineStr">
        <is>
          <t>Custos de Eventos</t>
        </is>
      </c>
      <c r="C420" t="inlineStr">
        <is>
          <t>Serviços Terceirizados - Eventos</t>
        </is>
      </c>
      <c r="D420" t="inlineStr">
        <is>
          <t>01/11/2026</t>
        </is>
      </c>
      <c r="E420" t="n">
        <v>7680</v>
      </c>
      <c r="F420" t="inlineStr">
        <is>
          <t>Fabrica de Bares (2025)</t>
        </is>
      </c>
      <c r="G420" t="b">
        <v>1</v>
      </c>
      <c r="H420" t="inlineStr">
        <is>
          <t>11/2026</t>
        </is>
      </c>
    </row>
    <row r="421">
      <c r="A421" t="inlineStr">
        <is>
          <t>Nuv Gastrobar</t>
        </is>
      </c>
      <c r="B421" t="inlineStr">
        <is>
          <t>Custos de Eventos</t>
        </is>
      </c>
      <c r="C421" t="inlineStr">
        <is>
          <t>Serviços Terceirizados - Eventos</t>
        </is>
      </c>
      <c r="D421" t="inlineStr">
        <is>
          <t>01/12/2026</t>
        </is>
      </c>
      <c r="E421" t="n">
        <v>7680</v>
      </c>
      <c r="F421" t="inlineStr">
        <is>
          <t>Fabrica de Bares (2025)</t>
        </is>
      </c>
      <c r="G421" t="b">
        <v>1</v>
      </c>
      <c r="H421" t="inlineStr">
        <is>
          <t>12/2026</t>
        </is>
      </c>
    </row>
    <row r="422">
      <c r="A422" t="inlineStr">
        <is>
          <t>Nuv Gastrobar</t>
        </is>
      </c>
      <c r="B422" t="inlineStr">
        <is>
          <t>Custos de Eventos</t>
        </is>
      </c>
      <c r="C422" t="inlineStr">
        <is>
          <t>Transporte Equipe - Eventos</t>
        </is>
      </c>
      <c r="D422" t="inlineStr">
        <is>
          <t>01/01/2026</t>
        </is>
      </c>
      <c r="E422" t="n">
        <v>0</v>
      </c>
      <c r="F422" t="inlineStr">
        <is>
          <t>Fabrica de Bares (2025)</t>
        </is>
      </c>
      <c r="G422" t="b">
        <v>1</v>
      </c>
      <c r="H422" t="inlineStr">
        <is>
          <t>1/2026</t>
        </is>
      </c>
    </row>
    <row r="423">
      <c r="A423" t="inlineStr">
        <is>
          <t>Nuv Gastrobar</t>
        </is>
      </c>
      <c r="B423" t="inlineStr">
        <is>
          <t>Custos de Eventos</t>
        </is>
      </c>
      <c r="C423" t="inlineStr">
        <is>
          <t>Transporte Equipe - Eventos</t>
        </is>
      </c>
      <c r="D423" t="inlineStr">
        <is>
          <t>01/02/2026</t>
        </is>
      </c>
      <c r="E423" t="n">
        <v>0</v>
      </c>
      <c r="F423" t="inlineStr">
        <is>
          <t>Fabrica de Bares (2025)</t>
        </is>
      </c>
      <c r="G423" t="b">
        <v>1</v>
      </c>
      <c r="H423" t="inlineStr">
        <is>
          <t>2/2026</t>
        </is>
      </c>
    </row>
    <row r="424">
      <c r="A424" t="inlineStr">
        <is>
          <t>Nuv Gastrobar</t>
        </is>
      </c>
      <c r="B424" t="inlineStr">
        <is>
          <t>Custos de Eventos</t>
        </is>
      </c>
      <c r="C424" t="inlineStr">
        <is>
          <t>Transporte Equipe - Eventos</t>
        </is>
      </c>
      <c r="D424" t="inlineStr">
        <is>
          <t>01/03/2026</t>
        </is>
      </c>
      <c r="E424" t="n">
        <v>0</v>
      </c>
      <c r="F424" t="inlineStr">
        <is>
          <t>Fabrica de Bares (2025)</t>
        </is>
      </c>
      <c r="G424" t="b">
        <v>1</v>
      </c>
      <c r="H424" t="inlineStr">
        <is>
          <t>3/2026</t>
        </is>
      </c>
    </row>
    <row r="425">
      <c r="A425" t="inlineStr">
        <is>
          <t>Nuv Gastrobar</t>
        </is>
      </c>
      <c r="B425" t="inlineStr">
        <is>
          <t>Custos de Eventos</t>
        </is>
      </c>
      <c r="C425" t="inlineStr">
        <is>
          <t>Transporte Equipe - Eventos</t>
        </is>
      </c>
      <c r="D425" t="inlineStr">
        <is>
          <t>01/04/2026</t>
        </is>
      </c>
      <c r="E425" t="n">
        <v>0</v>
      </c>
      <c r="F425" t="inlineStr">
        <is>
          <t>Fabrica de Bares (2025)</t>
        </is>
      </c>
      <c r="G425" t="b">
        <v>1</v>
      </c>
      <c r="H425" t="inlineStr">
        <is>
          <t>4/2026</t>
        </is>
      </c>
    </row>
    <row r="426">
      <c r="A426" t="inlineStr">
        <is>
          <t>Nuv Gastrobar</t>
        </is>
      </c>
      <c r="B426" t="inlineStr">
        <is>
          <t>Custos de Eventos</t>
        </is>
      </c>
      <c r="C426" t="inlineStr">
        <is>
          <t>Transporte Equipe - Eventos</t>
        </is>
      </c>
      <c r="D426" t="inlineStr">
        <is>
          <t>01/05/2026</t>
        </is>
      </c>
      <c r="E426" t="n">
        <v>0</v>
      </c>
      <c r="F426" t="inlineStr">
        <is>
          <t>Fabrica de Bares (2025)</t>
        </is>
      </c>
      <c r="G426" t="b">
        <v>1</v>
      </c>
      <c r="H426" t="inlineStr">
        <is>
          <t>5/2026</t>
        </is>
      </c>
    </row>
    <row r="427">
      <c r="A427" t="inlineStr">
        <is>
          <t>Nuv Gastrobar</t>
        </is>
      </c>
      <c r="B427" t="inlineStr">
        <is>
          <t>Custos de Eventos</t>
        </is>
      </c>
      <c r="C427" t="inlineStr">
        <is>
          <t>Transporte Equipe - Eventos</t>
        </is>
      </c>
      <c r="D427" t="inlineStr">
        <is>
          <t>01/06/2026</t>
        </is>
      </c>
      <c r="E427" t="n">
        <v>0</v>
      </c>
      <c r="F427" t="inlineStr">
        <is>
          <t>Fabrica de Bares (2025)</t>
        </is>
      </c>
      <c r="G427" t="b">
        <v>1</v>
      </c>
      <c r="H427" t="inlineStr">
        <is>
          <t>6/2026</t>
        </is>
      </c>
    </row>
    <row r="428">
      <c r="A428" t="inlineStr">
        <is>
          <t>Nuv Gastrobar</t>
        </is>
      </c>
      <c r="B428" t="inlineStr">
        <is>
          <t>Custos de Eventos</t>
        </is>
      </c>
      <c r="C428" t="inlineStr">
        <is>
          <t>Transporte Equipe - Eventos</t>
        </is>
      </c>
      <c r="D428" t="inlineStr">
        <is>
          <t>01/07/2026</t>
        </is>
      </c>
      <c r="E428" t="n">
        <v>0</v>
      </c>
      <c r="F428" t="inlineStr">
        <is>
          <t>Fabrica de Bares (2025)</t>
        </is>
      </c>
      <c r="G428" t="b">
        <v>1</v>
      </c>
      <c r="H428" t="inlineStr">
        <is>
          <t>7/2026</t>
        </is>
      </c>
    </row>
    <row r="429">
      <c r="A429" t="inlineStr">
        <is>
          <t>Nuv Gastrobar</t>
        </is>
      </c>
      <c r="B429" t="inlineStr">
        <is>
          <t>Custos de Eventos</t>
        </is>
      </c>
      <c r="C429" t="inlineStr">
        <is>
          <t>Transporte Equipe - Eventos</t>
        </is>
      </c>
      <c r="D429" t="inlineStr">
        <is>
          <t>01/08/2026</t>
        </is>
      </c>
      <c r="E429" t="n">
        <v>0</v>
      </c>
      <c r="F429" t="inlineStr">
        <is>
          <t>Fabrica de Bares (2025)</t>
        </is>
      </c>
      <c r="G429" t="b">
        <v>1</v>
      </c>
      <c r="H429" t="inlineStr">
        <is>
          <t>8/2026</t>
        </is>
      </c>
    </row>
    <row r="430">
      <c r="A430" t="inlineStr">
        <is>
          <t>Nuv Gastrobar</t>
        </is>
      </c>
      <c r="B430" t="inlineStr">
        <is>
          <t>Custos de Eventos</t>
        </is>
      </c>
      <c r="C430" t="inlineStr">
        <is>
          <t>Transporte Equipe - Eventos</t>
        </is>
      </c>
      <c r="D430" t="inlineStr">
        <is>
          <t>01/09/2026</t>
        </is>
      </c>
      <c r="E430" t="n">
        <v>0</v>
      </c>
      <c r="F430" t="inlineStr">
        <is>
          <t>Fabrica de Bares (2025)</t>
        </is>
      </c>
      <c r="G430" t="b">
        <v>1</v>
      </c>
      <c r="H430" t="inlineStr">
        <is>
          <t>9/2026</t>
        </is>
      </c>
    </row>
    <row r="431">
      <c r="A431" t="inlineStr">
        <is>
          <t>Nuv Gastrobar</t>
        </is>
      </c>
      <c r="B431" t="inlineStr">
        <is>
          <t>Custos de Eventos</t>
        </is>
      </c>
      <c r="C431" t="inlineStr">
        <is>
          <t>Transporte Equipe - Eventos</t>
        </is>
      </c>
      <c r="D431" t="inlineStr">
        <is>
          <t>01/10/2026</t>
        </is>
      </c>
      <c r="E431" t="n">
        <v>0</v>
      </c>
      <c r="F431" t="inlineStr">
        <is>
          <t>Fabrica de Bares (2025)</t>
        </is>
      </c>
      <c r="G431" t="b">
        <v>1</v>
      </c>
      <c r="H431" t="inlineStr">
        <is>
          <t>10/2026</t>
        </is>
      </c>
    </row>
    <row r="432">
      <c r="A432" t="inlineStr">
        <is>
          <t>Nuv Gastrobar</t>
        </is>
      </c>
      <c r="B432" t="inlineStr">
        <is>
          <t>Custos de Eventos</t>
        </is>
      </c>
      <c r="C432" t="inlineStr">
        <is>
          <t>Transporte Equipe - Eventos</t>
        </is>
      </c>
      <c r="D432" t="inlineStr">
        <is>
          <t>01/11/2026</t>
        </is>
      </c>
      <c r="E432" t="n">
        <v>0</v>
      </c>
      <c r="F432" t="inlineStr">
        <is>
          <t>Fabrica de Bares (2025)</t>
        </is>
      </c>
      <c r="G432" t="b">
        <v>1</v>
      </c>
      <c r="H432" t="inlineStr">
        <is>
          <t>11/2026</t>
        </is>
      </c>
    </row>
    <row r="433">
      <c r="A433" t="inlineStr">
        <is>
          <t>Nuv Gastrobar</t>
        </is>
      </c>
      <c r="B433" t="inlineStr">
        <is>
          <t>Custos de Eventos</t>
        </is>
      </c>
      <c r="C433" t="inlineStr">
        <is>
          <t>Transporte Equipe - Eventos</t>
        </is>
      </c>
      <c r="D433" t="inlineStr">
        <is>
          <t>01/12/2026</t>
        </is>
      </c>
      <c r="E433" t="n">
        <v>0</v>
      </c>
      <c r="F433" t="inlineStr">
        <is>
          <t>Fabrica de Bares (2025)</t>
        </is>
      </c>
      <c r="G433" t="b">
        <v>1</v>
      </c>
      <c r="H433" t="inlineStr">
        <is>
          <t>12/2026</t>
        </is>
      </c>
    </row>
    <row r="434">
      <c r="A434" t="inlineStr">
        <is>
          <t>Nuv Gastrobar</t>
        </is>
      </c>
      <c r="B434" t="inlineStr">
        <is>
          <t>Custos de Eventos</t>
        </is>
      </c>
      <c r="C434" t="inlineStr">
        <is>
          <t>Viagens e Estadias - Eventos</t>
        </is>
      </c>
      <c r="D434" t="inlineStr">
        <is>
          <t>01/01/2026</t>
        </is>
      </c>
      <c r="E434" t="n">
        <v>0</v>
      </c>
      <c r="F434" t="inlineStr">
        <is>
          <t>Fabrica de Bares (2025)</t>
        </is>
      </c>
      <c r="G434" t="b">
        <v>1</v>
      </c>
      <c r="H434" t="inlineStr">
        <is>
          <t>1/2026</t>
        </is>
      </c>
    </row>
    <row r="435">
      <c r="A435" t="inlineStr">
        <is>
          <t>Nuv Gastrobar</t>
        </is>
      </c>
      <c r="B435" t="inlineStr">
        <is>
          <t>Custos de Eventos</t>
        </is>
      </c>
      <c r="C435" t="inlineStr">
        <is>
          <t>Viagens e Estadias - Eventos</t>
        </is>
      </c>
      <c r="D435" t="inlineStr">
        <is>
          <t>01/02/2026</t>
        </is>
      </c>
      <c r="E435" t="n">
        <v>0</v>
      </c>
      <c r="F435" t="inlineStr">
        <is>
          <t>Fabrica de Bares (2025)</t>
        </is>
      </c>
      <c r="G435" t="b">
        <v>1</v>
      </c>
      <c r="H435" t="inlineStr">
        <is>
          <t>2/2026</t>
        </is>
      </c>
    </row>
    <row r="436">
      <c r="A436" t="inlineStr">
        <is>
          <t>Nuv Gastrobar</t>
        </is>
      </c>
      <c r="B436" t="inlineStr">
        <is>
          <t>Custos de Eventos</t>
        </is>
      </c>
      <c r="C436" t="inlineStr">
        <is>
          <t>Viagens e Estadias - Eventos</t>
        </is>
      </c>
      <c r="D436" t="inlineStr">
        <is>
          <t>01/03/2026</t>
        </is>
      </c>
      <c r="E436" t="n">
        <v>0</v>
      </c>
      <c r="F436" t="inlineStr">
        <is>
          <t>Fabrica de Bares (2025)</t>
        </is>
      </c>
      <c r="G436" t="b">
        <v>1</v>
      </c>
      <c r="H436" t="inlineStr">
        <is>
          <t>3/2026</t>
        </is>
      </c>
    </row>
    <row r="437">
      <c r="A437" t="inlineStr">
        <is>
          <t>Nuv Gastrobar</t>
        </is>
      </c>
      <c r="B437" t="inlineStr">
        <is>
          <t>Custos de Eventos</t>
        </is>
      </c>
      <c r="C437" t="inlineStr">
        <is>
          <t>Viagens e Estadias - Eventos</t>
        </is>
      </c>
      <c r="D437" t="inlineStr">
        <is>
          <t>01/04/2026</t>
        </is>
      </c>
      <c r="E437" t="n">
        <v>0</v>
      </c>
      <c r="F437" t="inlineStr">
        <is>
          <t>Fabrica de Bares (2025)</t>
        </is>
      </c>
      <c r="G437" t="b">
        <v>1</v>
      </c>
      <c r="H437" t="inlineStr">
        <is>
          <t>4/2026</t>
        </is>
      </c>
    </row>
    <row r="438">
      <c r="A438" t="inlineStr">
        <is>
          <t>Nuv Gastrobar</t>
        </is>
      </c>
      <c r="B438" t="inlineStr">
        <is>
          <t>Custos de Eventos</t>
        </is>
      </c>
      <c r="C438" t="inlineStr">
        <is>
          <t>Viagens e Estadias - Eventos</t>
        </is>
      </c>
      <c r="D438" t="inlineStr">
        <is>
          <t>01/05/2026</t>
        </is>
      </c>
      <c r="E438" t="n">
        <v>0</v>
      </c>
      <c r="F438" t="inlineStr">
        <is>
          <t>Fabrica de Bares (2025)</t>
        </is>
      </c>
      <c r="G438" t="b">
        <v>1</v>
      </c>
      <c r="H438" t="inlineStr">
        <is>
          <t>5/2026</t>
        </is>
      </c>
    </row>
    <row r="439">
      <c r="A439" t="inlineStr">
        <is>
          <t>Nuv Gastrobar</t>
        </is>
      </c>
      <c r="B439" t="inlineStr">
        <is>
          <t>Custos de Eventos</t>
        </is>
      </c>
      <c r="C439" t="inlineStr">
        <is>
          <t>Viagens e Estadias - Eventos</t>
        </is>
      </c>
      <c r="D439" t="inlineStr">
        <is>
          <t>01/06/2026</t>
        </is>
      </c>
      <c r="E439" t="n">
        <v>0</v>
      </c>
      <c r="F439" t="inlineStr">
        <is>
          <t>Fabrica de Bares (2025)</t>
        </is>
      </c>
      <c r="G439" t="b">
        <v>1</v>
      </c>
      <c r="H439" t="inlineStr">
        <is>
          <t>6/2026</t>
        </is>
      </c>
    </row>
    <row r="440">
      <c r="A440" t="inlineStr">
        <is>
          <t>Nuv Gastrobar</t>
        </is>
      </c>
      <c r="B440" t="inlineStr">
        <is>
          <t>Custos de Eventos</t>
        </is>
      </c>
      <c r="C440" t="inlineStr">
        <is>
          <t>Viagens e Estadias - Eventos</t>
        </is>
      </c>
      <c r="D440" t="inlineStr">
        <is>
          <t>01/07/2026</t>
        </is>
      </c>
      <c r="E440" t="n">
        <v>0</v>
      </c>
      <c r="F440" t="inlineStr">
        <is>
          <t>Fabrica de Bares (2025)</t>
        </is>
      </c>
      <c r="G440" t="b">
        <v>1</v>
      </c>
      <c r="H440" t="inlineStr">
        <is>
          <t>7/2026</t>
        </is>
      </c>
    </row>
    <row r="441">
      <c r="A441" t="inlineStr">
        <is>
          <t>Nuv Gastrobar</t>
        </is>
      </c>
      <c r="B441" t="inlineStr">
        <is>
          <t>Custos de Eventos</t>
        </is>
      </c>
      <c r="C441" t="inlineStr">
        <is>
          <t>Viagens e Estadias - Eventos</t>
        </is>
      </c>
      <c r="D441" t="inlineStr">
        <is>
          <t>01/08/2026</t>
        </is>
      </c>
      <c r="E441" t="n">
        <v>0</v>
      </c>
      <c r="F441" t="inlineStr">
        <is>
          <t>Fabrica de Bares (2025)</t>
        </is>
      </c>
      <c r="G441" t="b">
        <v>1</v>
      </c>
      <c r="H441" t="inlineStr">
        <is>
          <t>8/2026</t>
        </is>
      </c>
    </row>
    <row r="442">
      <c r="A442" t="inlineStr">
        <is>
          <t>Nuv Gastrobar</t>
        </is>
      </c>
      <c r="B442" t="inlineStr">
        <is>
          <t>Custos de Eventos</t>
        </is>
      </c>
      <c r="C442" t="inlineStr">
        <is>
          <t>Viagens e Estadias - Eventos</t>
        </is>
      </c>
      <c r="D442" t="inlineStr">
        <is>
          <t>01/09/2026</t>
        </is>
      </c>
      <c r="E442" t="n">
        <v>0</v>
      </c>
      <c r="F442" t="inlineStr">
        <is>
          <t>Fabrica de Bares (2025)</t>
        </is>
      </c>
      <c r="G442" t="b">
        <v>1</v>
      </c>
      <c r="H442" t="inlineStr">
        <is>
          <t>9/2026</t>
        </is>
      </c>
    </row>
    <row r="443">
      <c r="A443" t="inlineStr">
        <is>
          <t>Nuv Gastrobar</t>
        </is>
      </c>
      <c r="B443" t="inlineStr">
        <is>
          <t>Custos de Eventos</t>
        </is>
      </c>
      <c r="C443" t="inlineStr">
        <is>
          <t>Viagens e Estadias - Eventos</t>
        </is>
      </c>
      <c r="D443" t="inlineStr">
        <is>
          <t>01/10/2026</t>
        </is>
      </c>
      <c r="E443" t="n">
        <v>0</v>
      </c>
      <c r="F443" t="inlineStr">
        <is>
          <t>Fabrica de Bares (2025)</t>
        </is>
      </c>
      <c r="G443" t="b">
        <v>1</v>
      </c>
      <c r="H443" t="inlineStr">
        <is>
          <t>10/2026</t>
        </is>
      </c>
    </row>
    <row r="444">
      <c r="A444" t="inlineStr">
        <is>
          <t>Nuv Gastrobar</t>
        </is>
      </c>
      <c r="B444" t="inlineStr">
        <is>
          <t>Custos de Eventos</t>
        </is>
      </c>
      <c r="C444" t="inlineStr">
        <is>
          <t>Viagens e Estadias - Eventos</t>
        </is>
      </c>
      <c r="D444" t="inlineStr">
        <is>
          <t>01/11/2026</t>
        </is>
      </c>
      <c r="E444" t="n">
        <v>0</v>
      </c>
      <c r="F444" t="inlineStr">
        <is>
          <t>Fabrica de Bares (2025)</t>
        </is>
      </c>
      <c r="G444" t="b">
        <v>1</v>
      </c>
      <c r="H444" t="inlineStr">
        <is>
          <t>11/2026</t>
        </is>
      </c>
    </row>
    <row r="445">
      <c r="A445" t="inlineStr">
        <is>
          <t>Nuv Gastrobar</t>
        </is>
      </c>
      <c r="B445" t="inlineStr">
        <is>
          <t>Custos de Eventos</t>
        </is>
      </c>
      <c r="C445" t="inlineStr">
        <is>
          <t>Viagens e Estadias - Eventos</t>
        </is>
      </c>
      <c r="D445" t="inlineStr">
        <is>
          <t>01/12/2026</t>
        </is>
      </c>
      <c r="E445" t="n">
        <v>0</v>
      </c>
      <c r="F445" t="inlineStr">
        <is>
          <t>Fabrica de Bares (2025)</t>
        </is>
      </c>
      <c r="G445" t="b">
        <v>1</v>
      </c>
      <c r="H445" t="inlineStr">
        <is>
          <t>12/2026</t>
        </is>
      </c>
    </row>
    <row r="446">
      <c r="A446" t="inlineStr">
        <is>
          <t>Nuv Gastrobar</t>
        </is>
      </c>
      <c r="B446" t="inlineStr">
        <is>
          <t>Deduções sobre Venda</t>
        </is>
      </c>
      <c r="C446" t="inlineStr">
        <is>
          <t>Desconto - Alimentação Escritório</t>
        </is>
      </c>
      <c r="D446" t="inlineStr">
        <is>
          <t>01/01/2026</t>
        </is>
      </c>
      <c r="E446" t="n">
        <v>0</v>
      </c>
      <c r="F446" t="inlineStr">
        <is>
          <t>Fabrica de Bares (2025)</t>
        </is>
      </c>
      <c r="G446" t="b">
        <v>1</v>
      </c>
      <c r="H446" t="inlineStr">
        <is>
          <t>1/2026</t>
        </is>
      </c>
    </row>
    <row r="447">
      <c r="A447" t="inlineStr">
        <is>
          <t>Nuv Gastrobar</t>
        </is>
      </c>
      <c r="B447" t="inlineStr">
        <is>
          <t>Deduções sobre Venda</t>
        </is>
      </c>
      <c r="C447" t="inlineStr">
        <is>
          <t>Desconto - Alimentação Escritório</t>
        </is>
      </c>
      <c r="D447" t="inlineStr">
        <is>
          <t>01/02/2026</t>
        </is>
      </c>
      <c r="E447" t="n">
        <v>0</v>
      </c>
      <c r="F447" t="inlineStr">
        <is>
          <t>Fabrica de Bares (2025)</t>
        </is>
      </c>
      <c r="G447" t="b">
        <v>1</v>
      </c>
      <c r="H447" t="inlineStr">
        <is>
          <t>2/2026</t>
        </is>
      </c>
    </row>
    <row r="448">
      <c r="A448" t="inlineStr">
        <is>
          <t>Nuv Gastrobar</t>
        </is>
      </c>
      <c r="B448" t="inlineStr">
        <is>
          <t>Deduções sobre Venda</t>
        </is>
      </c>
      <c r="C448" t="inlineStr">
        <is>
          <t>Desconto - Alimentação Escritório</t>
        </is>
      </c>
      <c r="D448" t="inlineStr">
        <is>
          <t>01/03/2026</t>
        </is>
      </c>
      <c r="E448" t="n">
        <v>0</v>
      </c>
      <c r="F448" t="inlineStr">
        <is>
          <t>Fabrica de Bares (2025)</t>
        </is>
      </c>
      <c r="G448" t="b">
        <v>1</v>
      </c>
      <c r="H448" t="inlineStr">
        <is>
          <t>3/2026</t>
        </is>
      </c>
    </row>
    <row r="449">
      <c r="A449" t="inlineStr">
        <is>
          <t>Nuv Gastrobar</t>
        </is>
      </c>
      <c r="B449" t="inlineStr">
        <is>
          <t>Deduções sobre Venda</t>
        </is>
      </c>
      <c r="C449" t="inlineStr">
        <is>
          <t>Desconto - Alimentação Escritório</t>
        </is>
      </c>
      <c r="D449" t="inlineStr">
        <is>
          <t>01/04/2026</t>
        </is>
      </c>
      <c r="E449" t="n">
        <v>0</v>
      </c>
      <c r="F449" t="inlineStr">
        <is>
          <t>Fabrica de Bares (2025)</t>
        </is>
      </c>
      <c r="G449" t="b">
        <v>1</v>
      </c>
      <c r="H449" t="inlineStr">
        <is>
          <t>4/2026</t>
        </is>
      </c>
    </row>
    <row r="450">
      <c r="A450" t="inlineStr">
        <is>
          <t>Nuv Gastrobar</t>
        </is>
      </c>
      <c r="B450" t="inlineStr">
        <is>
          <t>Deduções sobre Venda</t>
        </is>
      </c>
      <c r="C450" t="inlineStr">
        <is>
          <t>Desconto - Alimentação Escritório</t>
        </is>
      </c>
      <c r="D450" t="inlineStr">
        <is>
          <t>01/05/2026</t>
        </is>
      </c>
      <c r="E450" t="n">
        <v>0</v>
      </c>
      <c r="F450" t="inlineStr">
        <is>
          <t>Fabrica de Bares (2025)</t>
        </is>
      </c>
      <c r="G450" t="b">
        <v>1</v>
      </c>
      <c r="H450" t="inlineStr">
        <is>
          <t>5/2026</t>
        </is>
      </c>
    </row>
    <row r="451">
      <c r="A451" t="inlineStr">
        <is>
          <t>Nuv Gastrobar</t>
        </is>
      </c>
      <c r="B451" t="inlineStr">
        <is>
          <t>Deduções sobre Venda</t>
        </is>
      </c>
      <c r="C451" t="inlineStr">
        <is>
          <t>Desconto - Alimentação Escritório</t>
        </is>
      </c>
      <c r="D451" t="inlineStr">
        <is>
          <t>01/06/2026</t>
        </is>
      </c>
      <c r="E451" t="n">
        <v>0</v>
      </c>
      <c r="F451" t="inlineStr">
        <is>
          <t>Fabrica de Bares (2025)</t>
        </is>
      </c>
      <c r="G451" t="b">
        <v>1</v>
      </c>
      <c r="H451" t="inlineStr">
        <is>
          <t>6/2026</t>
        </is>
      </c>
    </row>
    <row r="452">
      <c r="A452" t="inlineStr">
        <is>
          <t>Nuv Gastrobar</t>
        </is>
      </c>
      <c r="B452" t="inlineStr">
        <is>
          <t>Deduções sobre Venda</t>
        </is>
      </c>
      <c r="C452" t="inlineStr">
        <is>
          <t>Desconto - Alimentação Escritório</t>
        </is>
      </c>
      <c r="D452" t="inlineStr">
        <is>
          <t>01/07/2026</t>
        </is>
      </c>
      <c r="E452" t="n">
        <v>0</v>
      </c>
      <c r="F452" t="inlineStr">
        <is>
          <t>Fabrica de Bares (2025)</t>
        </is>
      </c>
      <c r="G452" t="b">
        <v>1</v>
      </c>
      <c r="H452" t="inlineStr">
        <is>
          <t>7/2026</t>
        </is>
      </c>
    </row>
    <row r="453">
      <c r="A453" t="inlineStr">
        <is>
          <t>Nuv Gastrobar</t>
        </is>
      </c>
      <c r="B453" t="inlineStr">
        <is>
          <t>Deduções sobre Venda</t>
        </is>
      </c>
      <c r="C453" t="inlineStr">
        <is>
          <t>Desconto - Alimentação Escritório</t>
        </is>
      </c>
      <c r="D453" t="inlineStr">
        <is>
          <t>01/08/2026</t>
        </is>
      </c>
      <c r="E453" t="n">
        <v>3684.6</v>
      </c>
      <c r="F453" t="inlineStr">
        <is>
          <t>Fabrica de Bares (2025)</t>
        </is>
      </c>
      <c r="G453" t="b">
        <v>1</v>
      </c>
      <c r="H453" t="inlineStr">
        <is>
          <t>8/2026</t>
        </is>
      </c>
    </row>
    <row r="454">
      <c r="A454" t="inlineStr">
        <is>
          <t>Nuv Gastrobar</t>
        </is>
      </c>
      <c r="B454" t="inlineStr">
        <is>
          <t>Deduções sobre Venda</t>
        </is>
      </c>
      <c r="C454" t="inlineStr">
        <is>
          <t>Desconto - Alimentação Escritório</t>
        </is>
      </c>
      <c r="D454" t="inlineStr">
        <is>
          <t>01/09/2026</t>
        </is>
      </c>
      <c r="E454" t="n">
        <v>5818.8</v>
      </c>
      <c r="F454" t="inlineStr">
        <is>
          <t>Fabrica de Bares (2025)</t>
        </is>
      </c>
      <c r="G454" t="b">
        <v>1</v>
      </c>
      <c r="H454" t="inlineStr">
        <is>
          <t>9/2026</t>
        </is>
      </c>
    </row>
    <row r="455">
      <c r="A455" t="inlineStr">
        <is>
          <t>Nuv Gastrobar</t>
        </is>
      </c>
      <c r="B455" t="inlineStr">
        <is>
          <t>Deduções sobre Venda</t>
        </is>
      </c>
      <c r="C455" t="inlineStr">
        <is>
          <t>Desconto - Alimentação Escritório</t>
        </is>
      </c>
      <c r="D455" t="inlineStr">
        <is>
          <t>01/10/2026</t>
        </is>
      </c>
      <c r="E455" t="n">
        <v>6403.8</v>
      </c>
      <c r="F455" t="inlineStr">
        <is>
          <t>Fabrica de Bares (2025)</t>
        </is>
      </c>
      <c r="G455" t="b">
        <v>1</v>
      </c>
      <c r="H455" t="inlineStr">
        <is>
          <t>10/2026</t>
        </is>
      </c>
    </row>
    <row r="456">
      <c r="A456" t="inlineStr">
        <is>
          <t>Nuv Gastrobar</t>
        </is>
      </c>
      <c r="B456" t="inlineStr">
        <is>
          <t>Deduções sobre Venda</t>
        </is>
      </c>
      <c r="C456" t="inlineStr">
        <is>
          <t>Desconto - Alimentação Escritório</t>
        </is>
      </c>
      <c r="D456" t="inlineStr">
        <is>
          <t>01/11/2026</t>
        </is>
      </c>
      <c r="E456" t="n">
        <v>6162</v>
      </c>
      <c r="F456" t="inlineStr">
        <is>
          <t>Fabrica de Bares (2025)</t>
        </is>
      </c>
      <c r="G456" t="b">
        <v>1</v>
      </c>
      <c r="H456" t="inlineStr">
        <is>
          <t>11/2026</t>
        </is>
      </c>
    </row>
    <row r="457">
      <c r="A457" t="inlineStr">
        <is>
          <t>Nuv Gastrobar</t>
        </is>
      </c>
      <c r="B457" t="inlineStr">
        <is>
          <t>Deduções sobre Venda</t>
        </is>
      </c>
      <c r="C457" t="inlineStr">
        <is>
          <t>Desconto - Alimentação Escritório</t>
        </is>
      </c>
      <c r="D457" t="inlineStr">
        <is>
          <t>01/12/2026</t>
        </is>
      </c>
      <c r="E457" t="n">
        <v>6016.8</v>
      </c>
      <c r="F457" t="inlineStr">
        <is>
          <t>Fabrica de Bares (2025)</t>
        </is>
      </c>
      <c r="G457" t="b">
        <v>1</v>
      </c>
      <c r="H457" t="inlineStr">
        <is>
          <t>12/2026</t>
        </is>
      </c>
    </row>
    <row r="458">
      <c r="A458" t="inlineStr">
        <is>
          <t>Nuv Gastrobar</t>
        </is>
      </c>
      <c r="B458" t="inlineStr">
        <is>
          <t>Deduções sobre Venda</t>
        </is>
      </c>
      <c r="C458" t="inlineStr">
        <is>
          <t>Descontos - Marketing</t>
        </is>
      </c>
      <c r="D458" t="inlineStr">
        <is>
          <t>01/01/2026</t>
        </is>
      </c>
      <c r="E458" t="n">
        <v>0</v>
      </c>
      <c r="F458" t="inlineStr">
        <is>
          <t>Fabrica de Bares (2025)</t>
        </is>
      </c>
      <c r="G458" t="b">
        <v>1</v>
      </c>
      <c r="H458" t="inlineStr">
        <is>
          <t>1/2026</t>
        </is>
      </c>
    </row>
    <row r="459">
      <c r="A459" t="inlineStr">
        <is>
          <t>Nuv Gastrobar</t>
        </is>
      </c>
      <c r="B459" t="inlineStr">
        <is>
          <t>Deduções sobre Venda</t>
        </is>
      </c>
      <c r="C459" t="inlineStr">
        <is>
          <t>Descontos - Marketing</t>
        </is>
      </c>
      <c r="D459" t="inlineStr">
        <is>
          <t>01/02/2026</t>
        </is>
      </c>
      <c r="E459" t="n">
        <v>0</v>
      </c>
      <c r="F459" t="inlineStr">
        <is>
          <t>Fabrica de Bares (2025)</t>
        </is>
      </c>
      <c r="G459" t="b">
        <v>1</v>
      </c>
      <c r="H459" t="inlineStr">
        <is>
          <t>2/2026</t>
        </is>
      </c>
    </row>
    <row r="460">
      <c r="A460" t="inlineStr">
        <is>
          <t>Nuv Gastrobar</t>
        </is>
      </c>
      <c r="B460" t="inlineStr">
        <is>
          <t>Deduções sobre Venda</t>
        </is>
      </c>
      <c r="C460" t="inlineStr">
        <is>
          <t>Descontos - Marketing</t>
        </is>
      </c>
      <c r="D460" t="inlineStr">
        <is>
          <t>01/03/2026</t>
        </is>
      </c>
      <c r="E460" t="n">
        <v>0</v>
      </c>
      <c r="F460" t="inlineStr">
        <is>
          <t>Fabrica de Bares (2025)</t>
        </is>
      </c>
      <c r="G460" t="b">
        <v>1</v>
      </c>
      <c r="H460" t="inlineStr">
        <is>
          <t>3/2026</t>
        </is>
      </c>
    </row>
    <row r="461">
      <c r="A461" t="inlineStr">
        <is>
          <t>Nuv Gastrobar</t>
        </is>
      </c>
      <c r="B461" t="inlineStr">
        <is>
          <t>Deduções sobre Venda</t>
        </is>
      </c>
      <c r="C461" t="inlineStr">
        <is>
          <t>Descontos - Marketing</t>
        </is>
      </c>
      <c r="D461" t="inlineStr">
        <is>
          <t>01/04/2026</t>
        </is>
      </c>
      <c r="E461" t="n">
        <v>0</v>
      </c>
      <c r="F461" t="inlineStr">
        <is>
          <t>Fabrica de Bares (2025)</t>
        </is>
      </c>
      <c r="G461" t="b">
        <v>1</v>
      </c>
      <c r="H461" t="inlineStr">
        <is>
          <t>4/2026</t>
        </is>
      </c>
    </row>
    <row r="462">
      <c r="A462" t="inlineStr">
        <is>
          <t>Nuv Gastrobar</t>
        </is>
      </c>
      <c r="B462" t="inlineStr">
        <is>
          <t>Deduções sobre Venda</t>
        </is>
      </c>
      <c r="C462" t="inlineStr">
        <is>
          <t>Descontos - Marketing</t>
        </is>
      </c>
      <c r="D462" t="inlineStr">
        <is>
          <t>01/05/2026</t>
        </is>
      </c>
      <c r="E462" t="n">
        <v>0</v>
      </c>
      <c r="F462" t="inlineStr">
        <is>
          <t>Fabrica de Bares (2025)</t>
        </is>
      </c>
      <c r="G462" t="b">
        <v>1</v>
      </c>
      <c r="H462" t="inlineStr">
        <is>
          <t>5/2026</t>
        </is>
      </c>
    </row>
    <row r="463">
      <c r="A463" t="inlineStr">
        <is>
          <t>Nuv Gastrobar</t>
        </is>
      </c>
      <c r="B463" t="inlineStr">
        <is>
          <t>Deduções sobre Venda</t>
        </is>
      </c>
      <c r="C463" t="inlineStr">
        <is>
          <t>Descontos - Marketing</t>
        </is>
      </c>
      <c r="D463" t="inlineStr">
        <is>
          <t>01/06/2026</t>
        </is>
      </c>
      <c r="E463" t="n">
        <v>0</v>
      </c>
      <c r="F463" t="inlineStr">
        <is>
          <t>Fabrica de Bares (2025)</t>
        </is>
      </c>
      <c r="G463" t="b">
        <v>1</v>
      </c>
      <c r="H463" t="inlineStr">
        <is>
          <t>6/2026</t>
        </is>
      </c>
    </row>
    <row r="464">
      <c r="A464" t="inlineStr">
        <is>
          <t>Nuv Gastrobar</t>
        </is>
      </c>
      <c r="B464" t="inlineStr">
        <is>
          <t>Deduções sobre Venda</t>
        </is>
      </c>
      <c r="C464" t="inlineStr">
        <is>
          <t>Descontos - Marketing</t>
        </is>
      </c>
      <c r="D464" t="inlineStr">
        <is>
          <t>01/07/2026</t>
        </is>
      </c>
      <c r="E464" t="n">
        <v>0</v>
      </c>
      <c r="F464" t="inlineStr">
        <is>
          <t>Fabrica de Bares (2025)</t>
        </is>
      </c>
      <c r="G464" t="b">
        <v>1</v>
      </c>
      <c r="H464" t="inlineStr">
        <is>
          <t>7/2026</t>
        </is>
      </c>
    </row>
    <row r="465">
      <c r="A465" t="inlineStr">
        <is>
          <t>Nuv Gastrobar</t>
        </is>
      </c>
      <c r="B465" t="inlineStr">
        <is>
          <t>Deduções sobre Venda</t>
        </is>
      </c>
      <c r="C465" t="inlineStr">
        <is>
          <t>Descontos - Marketing</t>
        </is>
      </c>
      <c r="D465" t="inlineStr">
        <is>
          <t>01/08/2026</t>
        </is>
      </c>
      <c r="E465" t="n">
        <v>614.1</v>
      </c>
      <c r="F465" t="inlineStr">
        <is>
          <t>Fabrica de Bares (2025)</t>
        </is>
      </c>
      <c r="G465" t="b">
        <v>1</v>
      </c>
      <c r="H465" t="inlineStr">
        <is>
          <t>8/2026</t>
        </is>
      </c>
    </row>
    <row r="466">
      <c r="A466" t="inlineStr">
        <is>
          <t>Nuv Gastrobar</t>
        </is>
      </c>
      <c r="B466" t="inlineStr">
        <is>
          <t>Deduções sobre Venda</t>
        </is>
      </c>
      <c r="C466" t="inlineStr">
        <is>
          <t>Descontos - Marketing</t>
        </is>
      </c>
      <c r="D466" t="inlineStr">
        <is>
          <t>01/09/2026</t>
        </is>
      </c>
      <c r="E466" t="n">
        <v>969.8</v>
      </c>
      <c r="F466" t="inlineStr">
        <is>
          <t>Fabrica de Bares (2025)</t>
        </is>
      </c>
      <c r="G466" t="b">
        <v>1</v>
      </c>
      <c r="H466" t="inlineStr">
        <is>
          <t>9/2026</t>
        </is>
      </c>
    </row>
    <row r="467">
      <c r="A467" t="inlineStr">
        <is>
          <t>Nuv Gastrobar</t>
        </is>
      </c>
      <c r="B467" t="inlineStr">
        <is>
          <t>Deduções sobre Venda</t>
        </is>
      </c>
      <c r="C467" t="inlineStr">
        <is>
          <t>Descontos - Marketing</t>
        </is>
      </c>
      <c r="D467" t="inlineStr">
        <is>
          <t>01/10/2026</t>
        </is>
      </c>
      <c r="E467" t="n">
        <v>1067.3</v>
      </c>
      <c r="F467" t="inlineStr">
        <is>
          <t>Fabrica de Bares (2025)</t>
        </is>
      </c>
      <c r="G467" t="b">
        <v>1</v>
      </c>
      <c r="H467" t="inlineStr">
        <is>
          <t>10/2026</t>
        </is>
      </c>
    </row>
    <row r="468">
      <c r="A468" t="inlineStr">
        <is>
          <t>Nuv Gastrobar</t>
        </is>
      </c>
      <c r="B468" t="inlineStr">
        <is>
          <t>Deduções sobre Venda</t>
        </is>
      </c>
      <c r="C468" t="inlineStr">
        <is>
          <t>Descontos - Marketing</t>
        </is>
      </c>
      <c r="D468" t="inlineStr">
        <is>
          <t>01/11/2026</t>
        </is>
      </c>
      <c r="E468" t="n">
        <v>1027</v>
      </c>
      <c r="F468" t="inlineStr">
        <is>
          <t>Fabrica de Bares (2025)</t>
        </is>
      </c>
      <c r="G468" t="b">
        <v>1</v>
      </c>
      <c r="H468" t="inlineStr">
        <is>
          <t>11/2026</t>
        </is>
      </c>
    </row>
    <row r="469">
      <c r="A469" t="inlineStr">
        <is>
          <t>Nuv Gastrobar</t>
        </is>
      </c>
      <c r="B469" t="inlineStr">
        <is>
          <t>Deduções sobre Venda</t>
        </is>
      </c>
      <c r="C469" t="inlineStr">
        <is>
          <t>Descontos - Marketing</t>
        </is>
      </c>
      <c r="D469" t="inlineStr">
        <is>
          <t>01/12/2026</t>
        </is>
      </c>
      <c r="E469" t="n">
        <v>1002.8</v>
      </c>
      <c r="F469" t="inlineStr">
        <is>
          <t>Fabrica de Bares (2025)</t>
        </is>
      </c>
      <c r="G469" t="b">
        <v>1</v>
      </c>
      <c r="H469" t="inlineStr">
        <is>
          <t>12/2026</t>
        </is>
      </c>
    </row>
    <row r="470">
      <c r="A470" t="inlineStr">
        <is>
          <t>Nuv Gastrobar</t>
        </is>
      </c>
      <c r="B470" t="inlineStr">
        <is>
          <t>Deduções sobre Venda</t>
        </is>
      </c>
      <c r="C470" t="inlineStr">
        <is>
          <t>Descontos - Operação</t>
        </is>
      </c>
      <c r="D470" t="inlineStr">
        <is>
          <t>01/01/2026</t>
        </is>
      </c>
      <c r="E470" t="n">
        <v>0</v>
      </c>
      <c r="F470" t="inlineStr">
        <is>
          <t>Fabrica de Bares (2025)</t>
        </is>
      </c>
      <c r="G470" t="b">
        <v>1</v>
      </c>
      <c r="H470" t="inlineStr">
        <is>
          <t>1/2026</t>
        </is>
      </c>
    </row>
    <row r="471">
      <c r="A471" t="inlineStr">
        <is>
          <t>Nuv Gastrobar</t>
        </is>
      </c>
      <c r="B471" t="inlineStr">
        <is>
          <t>Deduções sobre Venda</t>
        </is>
      </c>
      <c r="C471" t="inlineStr">
        <is>
          <t>Descontos - Operação</t>
        </is>
      </c>
      <c r="D471" t="inlineStr">
        <is>
          <t>01/02/2026</t>
        </is>
      </c>
      <c r="E471" t="n">
        <v>0</v>
      </c>
      <c r="F471" t="inlineStr">
        <is>
          <t>Fabrica de Bares (2025)</t>
        </is>
      </c>
      <c r="G471" t="b">
        <v>1</v>
      </c>
      <c r="H471" t="inlineStr">
        <is>
          <t>2/2026</t>
        </is>
      </c>
    </row>
    <row r="472">
      <c r="A472" t="inlineStr">
        <is>
          <t>Nuv Gastrobar</t>
        </is>
      </c>
      <c r="B472" t="inlineStr">
        <is>
          <t>Deduções sobre Venda</t>
        </is>
      </c>
      <c r="C472" t="inlineStr">
        <is>
          <t>Descontos - Operação</t>
        </is>
      </c>
      <c r="D472" t="inlineStr">
        <is>
          <t>01/03/2026</t>
        </is>
      </c>
      <c r="E472" t="n">
        <v>0</v>
      </c>
      <c r="F472" t="inlineStr">
        <is>
          <t>Fabrica de Bares (2025)</t>
        </is>
      </c>
      <c r="G472" t="b">
        <v>1</v>
      </c>
      <c r="H472" t="inlineStr">
        <is>
          <t>3/2026</t>
        </is>
      </c>
    </row>
    <row r="473">
      <c r="A473" t="inlineStr">
        <is>
          <t>Nuv Gastrobar</t>
        </is>
      </c>
      <c r="B473" t="inlineStr">
        <is>
          <t>Deduções sobre Venda</t>
        </is>
      </c>
      <c r="C473" t="inlineStr">
        <is>
          <t>Descontos - Operação</t>
        </is>
      </c>
      <c r="D473" t="inlineStr">
        <is>
          <t>01/04/2026</t>
        </is>
      </c>
      <c r="E473" t="n">
        <v>0</v>
      </c>
      <c r="F473" t="inlineStr">
        <is>
          <t>Fabrica de Bares (2025)</t>
        </is>
      </c>
      <c r="G473" t="b">
        <v>1</v>
      </c>
      <c r="H473" t="inlineStr">
        <is>
          <t>4/2026</t>
        </is>
      </c>
    </row>
    <row r="474">
      <c r="A474" t="inlineStr">
        <is>
          <t>Nuv Gastrobar</t>
        </is>
      </c>
      <c r="B474" t="inlineStr">
        <is>
          <t>Deduções sobre Venda</t>
        </is>
      </c>
      <c r="C474" t="inlineStr">
        <is>
          <t>Descontos - Operação</t>
        </is>
      </c>
      <c r="D474" t="inlineStr">
        <is>
          <t>01/05/2026</t>
        </is>
      </c>
      <c r="E474" t="n">
        <v>0</v>
      </c>
      <c r="F474" t="inlineStr">
        <is>
          <t>Fabrica de Bares (2025)</t>
        </is>
      </c>
      <c r="G474" t="b">
        <v>1</v>
      </c>
      <c r="H474" t="inlineStr">
        <is>
          <t>5/2026</t>
        </is>
      </c>
    </row>
    <row r="475">
      <c r="A475" t="inlineStr">
        <is>
          <t>Nuv Gastrobar</t>
        </is>
      </c>
      <c r="B475" t="inlineStr">
        <is>
          <t>Deduções sobre Venda</t>
        </is>
      </c>
      <c r="C475" t="inlineStr">
        <is>
          <t>Descontos - Operação</t>
        </is>
      </c>
      <c r="D475" t="inlineStr">
        <is>
          <t>01/06/2026</t>
        </is>
      </c>
      <c r="E475" t="n">
        <v>0</v>
      </c>
      <c r="F475" t="inlineStr">
        <is>
          <t>Fabrica de Bares (2025)</t>
        </is>
      </c>
      <c r="G475" t="b">
        <v>1</v>
      </c>
      <c r="H475" t="inlineStr">
        <is>
          <t>6/2026</t>
        </is>
      </c>
    </row>
    <row r="476">
      <c r="A476" t="inlineStr">
        <is>
          <t>Nuv Gastrobar</t>
        </is>
      </c>
      <c r="B476" t="inlineStr">
        <is>
          <t>Deduções sobre Venda</t>
        </is>
      </c>
      <c r="C476" t="inlineStr">
        <is>
          <t>Descontos - Operação</t>
        </is>
      </c>
      <c r="D476" t="inlineStr">
        <is>
          <t>01/07/2026</t>
        </is>
      </c>
      <c r="E476" t="n">
        <v>0</v>
      </c>
      <c r="F476" t="inlineStr">
        <is>
          <t>Fabrica de Bares (2025)</t>
        </is>
      </c>
      <c r="G476" t="b">
        <v>1</v>
      </c>
      <c r="H476" t="inlineStr">
        <is>
          <t>7/2026</t>
        </is>
      </c>
    </row>
    <row r="477">
      <c r="A477" t="inlineStr">
        <is>
          <t>Nuv Gastrobar</t>
        </is>
      </c>
      <c r="B477" t="inlineStr">
        <is>
          <t>Deduções sobre Venda</t>
        </is>
      </c>
      <c r="C477" t="inlineStr">
        <is>
          <t>Descontos - Operação</t>
        </is>
      </c>
      <c r="D477" t="inlineStr">
        <is>
          <t>01/08/2026</t>
        </is>
      </c>
      <c r="E477" t="n">
        <v>3684.6</v>
      </c>
      <c r="F477" t="inlineStr">
        <is>
          <t>Fabrica de Bares (2025)</t>
        </is>
      </c>
      <c r="G477" t="b">
        <v>1</v>
      </c>
      <c r="H477" t="inlineStr">
        <is>
          <t>8/2026</t>
        </is>
      </c>
    </row>
    <row r="478">
      <c r="A478" t="inlineStr">
        <is>
          <t>Nuv Gastrobar</t>
        </is>
      </c>
      <c r="B478" t="inlineStr">
        <is>
          <t>Deduções sobre Venda</t>
        </is>
      </c>
      <c r="C478" t="inlineStr">
        <is>
          <t>Descontos - Operação</t>
        </is>
      </c>
      <c r="D478" t="inlineStr">
        <is>
          <t>01/09/2026</t>
        </is>
      </c>
      <c r="E478" t="n">
        <v>5818.8</v>
      </c>
      <c r="F478" t="inlineStr">
        <is>
          <t>Fabrica de Bares (2025)</t>
        </is>
      </c>
      <c r="G478" t="b">
        <v>1</v>
      </c>
      <c r="H478" t="inlineStr">
        <is>
          <t>9/2026</t>
        </is>
      </c>
    </row>
    <row r="479">
      <c r="A479" t="inlineStr">
        <is>
          <t>Nuv Gastrobar</t>
        </is>
      </c>
      <c r="B479" t="inlineStr">
        <is>
          <t>Deduções sobre Venda</t>
        </is>
      </c>
      <c r="C479" t="inlineStr">
        <is>
          <t>Descontos - Operação</t>
        </is>
      </c>
      <c r="D479" t="inlineStr">
        <is>
          <t>01/10/2026</t>
        </is>
      </c>
      <c r="E479" t="n">
        <v>6403.8</v>
      </c>
      <c r="F479" t="inlineStr">
        <is>
          <t>Fabrica de Bares (2025)</t>
        </is>
      </c>
      <c r="G479" t="b">
        <v>1</v>
      </c>
      <c r="H479" t="inlineStr">
        <is>
          <t>10/2026</t>
        </is>
      </c>
    </row>
    <row r="480">
      <c r="A480" t="inlineStr">
        <is>
          <t>Nuv Gastrobar</t>
        </is>
      </c>
      <c r="B480" t="inlineStr">
        <is>
          <t>Deduções sobre Venda</t>
        </is>
      </c>
      <c r="C480" t="inlineStr">
        <is>
          <t>Descontos - Operação</t>
        </is>
      </c>
      <c r="D480" t="inlineStr">
        <is>
          <t>01/11/2026</t>
        </is>
      </c>
      <c r="E480" t="n">
        <v>6162</v>
      </c>
      <c r="F480" t="inlineStr">
        <is>
          <t>Fabrica de Bares (2025)</t>
        </is>
      </c>
      <c r="G480" t="b">
        <v>1</v>
      </c>
      <c r="H480" t="inlineStr">
        <is>
          <t>11/2026</t>
        </is>
      </c>
    </row>
    <row r="481">
      <c r="A481" t="inlineStr">
        <is>
          <t>Nuv Gastrobar</t>
        </is>
      </c>
      <c r="B481" t="inlineStr">
        <is>
          <t>Deduções sobre Venda</t>
        </is>
      </c>
      <c r="C481" t="inlineStr">
        <is>
          <t>Descontos - Operação</t>
        </is>
      </c>
      <c r="D481" t="inlineStr">
        <is>
          <t>01/12/2026</t>
        </is>
      </c>
      <c r="E481" t="n">
        <v>6016.8</v>
      </c>
      <c r="F481" t="inlineStr">
        <is>
          <t>Fabrica de Bares (2025)</t>
        </is>
      </c>
      <c r="G481" t="b">
        <v>1</v>
      </c>
      <c r="H481" t="inlineStr">
        <is>
          <t>12/2026</t>
        </is>
      </c>
    </row>
    <row r="482">
      <c r="A482" t="inlineStr">
        <is>
          <t>Nuv Gastrobar</t>
        </is>
      </c>
      <c r="B482" t="inlineStr">
        <is>
          <t>Deduções sobre Venda</t>
        </is>
      </c>
      <c r="C482" t="inlineStr">
        <is>
          <t>Inadimplência</t>
        </is>
      </c>
      <c r="D482" t="inlineStr">
        <is>
          <t>01/01/2026</t>
        </is>
      </c>
      <c r="E482" t="n">
        <v>0</v>
      </c>
      <c r="F482" t="inlineStr">
        <is>
          <t>Fabrica de Bares (2025)</t>
        </is>
      </c>
      <c r="G482" t="b">
        <v>1</v>
      </c>
      <c r="H482" t="inlineStr">
        <is>
          <t>1/2026</t>
        </is>
      </c>
    </row>
    <row r="483">
      <c r="A483" t="inlineStr">
        <is>
          <t>Nuv Gastrobar</t>
        </is>
      </c>
      <c r="B483" t="inlineStr">
        <is>
          <t>Deduções sobre Venda</t>
        </is>
      </c>
      <c r="C483" t="inlineStr">
        <is>
          <t>Inadimplência</t>
        </is>
      </c>
      <c r="D483" t="inlineStr">
        <is>
          <t>01/02/2026</t>
        </is>
      </c>
      <c r="E483" t="n">
        <v>0</v>
      </c>
      <c r="F483" t="inlineStr">
        <is>
          <t>Fabrica de Bares (2025)</t>
        </is>
      </c>
      <c r="G483" t="b">
        <v>1</v>
      </c>
      <c r="H483" t="inlineStr">
        <is>
          <t>2/2026</t>
        </is>
      </c>
    </row>
    <row r="484">
      <c r="A484" t="inlineStr">
        <is>
          <t>Nuv Gastrobar</t>
        </is>
      </c>
      <c r="B484" t="inlineStr">
        <is>
          <t>Deduções sobre Venda</t>
        </is>
      </c>
      <c r="C484" t="inlineStr">
        <is>
          <t>Inadimplência</t>
        </is>
      </c>
      <c r="D484" t="inlineStr">
        <is>
          <t>01/03/2026</t>
        </is>
      </c>
      <c r="E484" t="n">
        <v>0</v>
      </c>
      <c r="F484" t="inlineStr">
        <is>
          <t>Fabrica de Bares (2025)</t>
        </is>
      </c>
      <c r="G484" t="b">
        <v>1</v>
      </c>
      <c r="H484" t="inlineStr">
        <is>
          <t>3/2026</t>
        </is>
      </c>
    </row>
    <row r="485">
      <c r="A485" t="inlineStr">
        <is>
          <t>Nuv Gastrobar</t>
        </is>
      </c>
      <c r="B485" t="inlineStr">
        <is>
          <t>Deduções sobre Venda</t>
        </is>
      </c>
      <c r="C485" t="inlineStr">
        <is>
          <t>Inadimplência</t>
        </is>
      </c>
      <c r="D485" t="inlineStr">
        <is>
          <t>01/04/2026</t>
        </is>
      </c>
      <c r="E485" t="n">
        <v>0</v>
      </c>
      <c r="F485" t="inlineStr">
        <is>
          <t>Fabrica de Bares (2025)</t>
        </is>
      </c>
      <c r="G485" t="b">
        <v>1</v>
      </c>
      <c r="H485" t="inlineStr">
        <is>
          <t>4/2026</t>
        </is>
      </c>
    </row>
    <row r="486">
      <c r="A486" t="inlineStr">
        <is>
          <t>Nuv Gastrobar</t>
        </is>
      </c>
      <c r="B486" t="inlineStr">
        <is>
          <t>Deduções sobre Venda</t>
        </is>
      </c>
      <c r="C486" t="inlineStr">
        <is>
          <t>Inadimplência</t>
        </is>
      </c>
      <c r="D486" t="inlineStr">
        <is>
          <t>01/05/2026</t>
        </is>
      </c>
      <c r="E486" t="n">
        <v>0</v>
      </c>
      <c r="F486" t="inlineStr">
        <is>
          <t>Fabrica de Bares (2025)</t>
        </is>
      </c>
      <c r="G486" t="b">
        <v>1</v>
      </c>
      <c r="H486" t="inlineStr">
        <is>
          <t>5/2026</t>
        </is>
      </c>
    </row>
    <row r="487">
      <c r="A487" t="inlineStr">
        <is>
          <t>Nuv Gastrobar</t>
        </is>
      </c>
      <c r="B487" t="inlineStr">
        <is>
          <t>Deduções sobre Venda</t>
        </is>
      </c>
      <c r="C487" t="inlineStr">
        <is>
          <t>Inadimplência</t>
        </is>
      </c>
      <c r="D487" t="inlineStr">
        <is>
          <t>01/06/2026</t>
        </is>
      </c>
      <c r="E487" t="n">
        <v>0</v>
      </c>
      <c r="F487" t="inlineStr">
        <is>
          <t>Fabrica de Bares (2025)</t>
        </is>
      </c>
      <c r="G487" t="b">
        <v>1</v>
      </c>
      <c r="H487" t="inlineStr">
        <is>
          <t>6/2026</t>
        </is>
      </c>
    </row>
    <row r="488">
      <c r="A488" t="inlineStr">
        <is>
          <t>Nuv Gastrobar</t>
        </is>
      </c>
      <c r="B488" t="inlineStr">
        <is>
          <t>Deduções sobre Venda</t>
        </is>
      </c>
      <c r="C488" t="inlineStr">
        <is>
          <t>Inadimplência</t>
        </is>
      </c>
      <c r="D488" t="inlineStr">
        <is>
          <t>01/07/2026</t>
        </is>
      </c>
      <c r="E488" t="n">
        <v>0</v>
      </c>
      <c r="F488" t="inlineStr">
        <is>
          <t>Fabrica de Bares (2025)</t>
        </is>
      </c>
      <c r="G488" t="b">
        <v>1</v>
      </c>
      <c r="H488" t="inlineStr">
        <is>
          <t>7/2026</t>
        </is>
      </c>
    </row>
    <row r="489">
      <c r="A489" t="inlineStr">
        <is>
          <t>Nuv Gastrobar</t>
        </is>
      </c>
      <c r="B489" t="inlineStr">
        <is>
          <t>Deduções sobre Venda</t>
        </is>
      </c>
      <c r="C489" t="inlineStr">
        <is>
          <t>Inadimplência</t>
        </is>
      </c>
      <c r="D489" t="inlineStr">
        <is>
          <t>01/08/2026</t>
        </is>
      </c>
      <c r="E489" t="n">
        <v>0</v>
      </c>
      <c r="F489" t="inlineStr">
        <is>
          <t>Fabrica de Bares (2025)</t>
        </is>
      </c>
      <c r="G489" t="b">
        <v>1</v>
      </c>
      <c r="H489" t="inlineStr">
        <is>
          <t>8/2026</t>
        </is>
      </c>
    </row>
    <row r="490">
      <c r="A490" t="inlineStr">
        <is>
          <t>Nuv Gastrobar</t>
        </is>
      </c>
      <c r="B490" t="inlineStr">
        <is>
          <t>Deduções sobre Venda</t>
        </is>
      </c>
      <c r="C490" t="inlineStr">
        <is>
          <t>Inadimplência</t>
        </is>
      </c>
      <c r="D490" t="inlineStr">
        <is>
          <t>01/09/2026</t>
        </is>
      </c>
      <c r="E490" t="n">
        <v>0</v>
      </c>
      <c r="F490" t="inlineStr">
        <is>
          <t>Fabrica de Bares (2025)</t>
        </is>
      </c>
      <c r="G490" t="b">
        <v>1</v>
      </c>
      <c r="H490" t="inlineStr">
        <is>
          <t>9/2026</t>
        </is>
      </c>
    </row>
    <row r="491">
      <c r="A491" t="inlineStr">
        <is>
          <t>Nuv Gastrobar</t>
        </is>
      </c>
      <c r="B491" t="inlineStr">
        <is>
          <t>Deduções sobre Venda</t>
        </is>
      </c>
      <c r="C491" t="inlineStr">
        <is>
          <t>Inadimplência</t>
        </is>
      </c>
      <c r="D491" t="inlineStr">
        <is>
          <t>01/10/2026</t>
        </is>
      </c>
      <c r="E491" t="n">
        <v>0</v>
      </c>
      <c r="F491" t="inlineStr">
        <is>
          <t>Fabrica de Bares (2025)</t>
        </is>
      </c>
      <c r="G491" t="b">
        <v>1</v>
      </c>
      <c r="H491" t="inlineStr">
        <is>
          <t>10/2026</t>
        </is>
      </c>
    </row>
    <row r="492">
      <c r="A492" t="inlineStr">
        <is>
          <t>Nuv Gastrobar</t>
        </is>
      </c>
      <c r="B492" t="inlineStr">
        <is>
          <t>Deduções sobre Venda</t>
        </is>
      </c>
      <c r="C492" t="inlineStr">
        <is>
          <t>Inadimplência</t>
        </is>
      </c>
      <c r="D492" t="inlineStr">
        <is>
          <t>01/11/2026</t>
        </is>
      </c>
      <c r="E492" t="n">
        <v>0</v>
      </c>
      <c r="F492" t="inlineStr">
        <is>
          <t>Fabrica de Bares (2025)</t>
        </is>
      </c>
      <c r="G492" t="b">
        <v>1</v>
      </c>
      <c r="H492" t="inlineStr">
        <is>
          <t>11/2026</t>
        </is>
      </c>
    </row>
    <row r="493">
      <c r="A493" t="inlineStr">
        <is>
          <t>Nuv Gastrobar</t>
        </is>
      </c>
      <c r="B493" t="inlineStr">
        <is>
          <t>Deduções sobre Venda</t>
        </is>
      </c>
      <c r="C493" t="inlineStr">
        <is>
          <t>Inadimplência</t>
        </is>
      </c>
      <c r="D493" t="inlineStr">
        <is>
          <t>01/12/2026</t>
        </is>
      </c>
      <c r="E493" t="n">
        <v>0</v>
      </c>
      <c r="F493" t="inlineStr">
        <is>
          <t>Fabrica de Bares (2025)</t>
        </is>
      </c>
      <c r="G493" t="b">
        <v>1</v>
      </c>
      <c r="H493" t="inlineStr">
        <is>
          <t>12/2026</t>
        </is>
      </c>
    </row>
    <row r="494">
      <c r="A494" t="inlineStr">
        <is>
          <t>Nuv Gastrobar</t>
        </is>
      </c>
      <c r="B494" t="inlineStr">
        <is>
          <t>Deduções sobre Venda</t>
        </is>
      </c>
      <c r="C494" t="inlineStr">
        <is>
          <t>Meios de pagamento</t>
        </is>
      </c>
      <c r="D494" t="inlineStr">
        <is>
          <t>01/01/2026</t>
        </is>
      </c>
      <c r="E494" t="n">
        <v>0</v>
      </c>
      <c r="F494" t="inlineStr">
        <is>
          <t>Fabrica de Bares (2025)</t>
        </is>
      </c>
      <c r="G494" t="b">
        <v>1</v>
      </c>
      <c r="H494" t="inlineStr">
        <is>
          <t>1/2026</t>
        </is>
      </c>
    </row>
    <row r="495">
      <c r="A495" t="inlineStr">
        <is>
          <t>Nuv Gastrobar</t>
        </is>
      </c>
      <c r="B495" t="inlineStr">
        <is>
          <t>Deduções sobre Venda</t>
        </is>
      </c>
      <c r="C495" t="inlineStr">
        <is>
          <t>Meios de pagamento</t>
        </is>
      </c>
      <c r="D495" t="inlineStr">
        <is>
          <t>01/02/2026</t>
        </is>
      </c>
      <c r="E495" t="n">
        <v>0</v>
      </c>
      <c r="F495" t="inlineStr">
        <is>
          <t>Fabrica de Bares (2025)</t>
        </is>
      </c>
      <c r="G495" t="b">
        <v>1</v>
      </c>
      <c r="H495" t="inlineStr">
        <is>
          <t>2/2026</t>
        </is>
      </c>
    </row>
    <row r="496">
      <c r="A496" t="inlineStr">
        <is>
          <t>Nuv Gastrobar</t>
        </is>
      </c>
      <c r="B496" t="inlineStr">
        <is>
          <t>Deduções sobre Venda</t>
        </is>
      </c>
      <c r="C496" t="inlineStr">
        <is>
          <t>Meios de pagamento</t>
        </is>
      </c>
      <c r="D496" t="inlineStr">
        <is>
          <t>01/03/2026</t>
        </is>
      </c>
      <c r="E496" t="n">
        <v>0</v>
      </c>
      <c r="F496" t="inlineStr">
        <is>
          <t>Fabrica de Bares (2025)</t>
        </is>
      </c>
      <c r="G496" t="b">
        <v>1</v>
      </c>
      <c r="H496" t="inlineStr">
        <is>
          <t>3/2026</t>
        </is>
      </c>
    </row>
    <row r="497">
      <c r="A497" t="inlineStr">
        <is>
          <t>Nuv Gastrobar</t>
        </is>
      </c>
      <c r="B497" t="inlineStr">
        <is>
          <t>Deduções sobre Venda</t>
        </is>
      </c>
      <c r="C497" t="inlineStr">
        <is>
          <t>Meios de pagamento</t>
        </is>
      </c>
      <c r="D497" t="inlineStr">
        <is>
          <t>01/04/2026</t>
        </is>
      </c>
      <c r="E497" t="n">
        <v>0</v>
      </c>
      <c r="F497" t="inlineStr">
        <is>
          <t>Fabrica de Bares (2025)</t>
        </is>
      </c>
      <c r="G497" t="b">
        <v>1</v>
      </c>
      <c r="H497" t="inlineStr">
        <is>
          <t>4/2026</t>
        </is>
      </c>
    </row>
    <row r="498">
      <c r="A498" t="inlineStr">
        <is>
          <t>Nuv Gastrobar</t>
        </is>
      </c>
      <c r="B498" t="inlineStr">
        <is>
          <t>Deduções sobre Venda</t>
        </is>
      </c>
      <c r="C498" t="inlineStr">
        <is>
          <t>Meios de pagamento</t>
        </is>
      </c>
      <c r="D498" t="inlineStr">
        <is>
          <t>01/05/2026</t>
        </is>
      </c>
      <c r="E498" t="n">
        <v>0</v>
      </c>
      <c r="F498" t="inlineStr">
        <is>
          <t>Fabrica de Bares (2025)</t>
        </is>
      </c>
      <c r="G498" t="b">
        <v>1</v>
      </c>
      <c r="H498" t="inlineStr">
        <is>
          <t>5/2026</t>
        </is>
      </c>
    </row>
    <row r="499">
      <c r="A499" t="inlineStr">
        <is>
          <t>Nuv Gastrobar</t>
        </is>
      </c>
      <c r="B499" t="inlineStr">
        <is>
          <t>Deduções sobre Venda</t>
        </is>
      </c>
      <c r="C499" t="inlineStr">
        <is>
          <t>Meios de pagamento</t>
        </is>
      </c>
      <c r="D499" t="inlineStr">
        <is>
          <t>01/06/2026</t>
        </is>
      </c>
      <c r="E499" t="n">
        <v>0</v>
      </c>
      <c r="F499" t="inlineStr">
        <is>
          <t>Fabrica de Bares (2025)</t>
        </is>
      </c>
      <c r="G499" t="b">
        <v>1</v>
      </c>
      <c r="H499" t="inlineStr">
        <is>
          <t>6/2026</t>
        </is>
      </c>
    </row>
    <row r="500">
      <c r="A500" t="inlineStr">
        <is>
          <t>Nuv Gastrobar</t>
        </is>
      </c>
      <c r="B500" t="inlineStr">
        <is>
          <t>Deduções sobre Venda</t>
        </is>
      </c>
      <c r="C500" t="inlineStr">
        <is>
          <t>Meios de pagamento</t>
        </is>
      </c>
      <c r="D500" t="inlineStr">
        <is>
          <t>01/07/2026</t>
        </is>
      </c>
      <c r="E500" t="n">
        <v>0</v>
      </c>
      <c r="F500" t="inlineStr">
        <is>
          <t>Fabrica de Bares (2025)</t>
        </is>
      </c>
      <c r="G500" t="b">
        <v>1</v>
      </c>
      <c r="H500" t="inlineStr">
        <is>
          <t>7/2026</t>
        </is>
      </c>
    </row>
    <row r="501">
      <c r="A501" t="inlineStr">
        <is>
          <t>Nuv Gastrobar</t>
        </is>
      </c>
      <c r="B501" t="inlineStr">
        <is>
          <t>Deduções sobre Venda</t>
        </is>
      </c>
      <c r="C501" t="inlineStr">
        <is>
          <t>Meios de pagamento</t>
        </is>
      </c>
      <c r="D501" t="inlineStr">
        <is>
          <t>01/08/2026</t>
        </is>
      </c>
      <c r="E501" t="n">
        <v>6308.88</v>
      </c>
      <c r="F501" t="inlineStr">
        <is>
          <t>Fabrica de Bares (2025)</t>
        </is>
      </c>
      <c r="G501" t="b">
        <v>1</v>
      </c>
      <c r="H501" t="inlineStr">
        <is>
          <t>8/2026</t>
        </is>
      </c>
    </row>
    <row r="502">
      <c r="A502" t="inlineStr">
        <is>
          <t>Nuv Gastrobar</t>
        </is>
      </c>
      <c r="B502" t="inlineStr">
        <is>
          <t>Deduções sobre Venda</t>
        </is>
      </c>
      <c r="C502" t="inlineStr">
        <is>
          <t>Meios de pagamento</t>
        </is>
      </c>
      <c r="D502" t="inlineStr">
        <is>
          <t>01/09/2026</t>
        </is>
      </c>
      <c r="E502" t="n">
        <v>9819.940000000001</v>
      </c>
      <c r="F502" t="inlineStr">
        <is>
          <t>Fabrica de Bares (2025)</t>
        </is>
      </c>
      <c r="G502" t="b">
        <v>1</v>
      </c>
      <c r="H502" t="inlineStr">
        <is>
          <t>9/2026</t>
        </is>
      </c>
    </row>
    <row r="503">
      <c r="A503" t="inlineStr">
        <is>
          <t>Nuv Gastrobar</t>
        </is>
      </c>
      <c r="B503" t="inlineStr">
        <is>
          <t>Deduções sobre Venda</t>
        </is>
      </c>
      <c r="C503" t="inlineStr">
        <is>
          <t>Meios de pagamento</t>
        </is>
      </c>
      <c r="D503" t="inlineStr">
        <is>
          <t>01/10/2026</t>
        </is>
      </c>
      <c r="E503" t="n">
        <v>11438.29</v>
      </c>
      <c r="F503" t="inlineStr">
        <is>
          <t>Fabrica de Bares (2025)</t>
        </is>
      </c>
      <c r="G503" t="b">
        <v>1</v>
      </c>
      <c r="H503" t="inlineStr">
        <is>
          <t>10/2026</t>
        </is>
      </c>
    </row>
    <row r="504">
      <c r="A504" t="inlineStr">
        <is>
          <t>Nuv Gastrobar</t>
        </is>
      </c>
      <c r="B504" t="inlineStr">
        <is>
          <t>Deduções sobre Venda</t>
        </is>
      </c>
      <c r="C504" t="inlineStr">
        <is>
          <t>Meios de pagamento</t>
        </is>
      </c>
      <c r="D504" t="inlineStr">
        <is>
          <t>01/11/2026</t>
        </is>
      </c>
      <c r="E504" t="n">
        <v>16564.7</v>
      </c>
      <c r="F504" t="inlineStr">
        <is>
          <t>Fabrica de Bares (2025)</t>
        </is>
      </c>
      <c r="G504" t="b">
        <v>1</v>
      </c>
      <c r="H504" t="inlineStr">
        <is>
          <t>11/2026</t>
        </is>
      </c>
    </row>
    <row r="505">
      <c r="A505" t="inlineStr">
        <is>
          <t>Nuv Gastrobar</t>
        </is>
      </c>
      <c r="B505" t="inlineStr">
        <is>
          <t>Deduções sobre Venda</t>
        </is>
      </c>
      <c r="C505" t="inlineStr">
        <is>
          <t>Meios de pagamento</t>
        </is>
      </c>
      <c r="D505" t="inlineStr">
        <is>
          <t>01/12/2026</t>
        </is>
      </c>
      <c r="E505" t="n">
        <v>16387.31</v>
      </c>
      <c r="F505" t="inlineStr">
        <is>
          <t>Fabrica de Bares (2025)</t>
        </is>
      </c>
      <c r="G505" t="b">
        <v>1</v>
      </c>
      <c r="H505" t="inlineStr">
        <is>
          <t>12/2026</t>
        </is>
      </c>
    </row>
    <row r="506">
      <c r="A506" t="inlineStr">
        <is>
          <t>Nuv Gastrobar</t>
        </is>
      </c>
      <c r="B506" t="inlineStr">
        <is>
          <t>Deduções sobre Venda</t>
        </is>
      </c>
      <c r="C506" t="inlineStr">
        <is>
          <t>Meios de pagamento - Delivery</t>
        </is>
      </c>
      <c r="D506" t="inlineStr">
        <is>
          <t>01/01/2026</t>
        </is>
      </c>
      <c r="E506" t="n">
        <v>0</v>
      </c>
      <c r="F506" t="inlineStr">
        <is>
          <t>Fabrica de Bares (2025)</t>
        </is>
      </c>
      <c r="G506" t="b">
        <v>1</v>
      </c>
      <c r="H506" t="inlineStr">
        <is>
          <t>1/2026</t>
        </is>
      </c>
    </row>
    <row r="507">
      <c r="A507" t="inlineStr">
        <is>
          <t>Nuv Gastrobar</t>
        </is>
      </c>
      <c r="B507" t="inlineStr">
        <is>
          <t>Deduções sobre Venda</t>
        </is>
      </c>
      <c r="C507" t="inlineStr">
        <is>
          <t>Meios de pagamento - Delivery</t>
        </is>
      </c>
      <c r="D507" t="inlineStr">
        <is>
          <t>01/02/2026</t>
        </is>
      </c>
      <c r="E507" t="n">
        <v>0</v>
      </c>
      <c r="F507" t="inlineStr">
        <is>
          <t>Fabrica de Bares (2025)</t>
        </is>
      </c>
      <c r="G507" t="b">
        <v>1</v>
      </c>
      <c r="H507" t="inlineStr">
        <is>
          <t>2/2026</t>
        </is>
      </c>
    </row>
    <row r="508">
      <c r="A508" t="inlineStr">
        <is>
          <t>Nuv Gastrobar</t>
        </is>
      </c>
      <c r="B508" t="inlineStr">
        <is>
          <t>Deduções sobre Venda</t>
        </is>
      </c>
      <c r="C508" t="inlineStr">
        <is>
          <t>Meios de pagamento - Delivery</t>
        </is>
      </c>
      <c r="D508" t="inlineStr">
        <is>
          <t>01/03/2026</t>
        </is>
      </c>
      <c r="E508" t="n">
        <v>0</v>
      </c>
      <c r="F508" t="inlineStr">
        <is>
          <t>Fabrica de Bares (2025)</t>
        </is>
      </c>
      <c r="G508" t="b">
        <v>1</v>
      </c>
      <c r="H508" t="inlineStr">
        <is>
          <t>3/2026</t>
        </is>
      </c>
    </row>
    <row r="509">
      <c r="A509" t="inlineStr">
        <is>
          <t>Nuv Gastrobar</t>
        </is>
      </c>
      <c r="B509" t="inlineStr">
        <is>
          <t>Deduções sobre Venda</t>
        </is>
      </c>
      <c r="C509" t="inlineStr">
        <is>
          <t>Meios de pagamento - Delivery</t>
        </is>
      </c>
      <c r="D509" t="inlineStr">
        <is>
          <t>01/04/2026</t>
        </is>
      </c>
      <c r="E509" t="n">
        <v>0</v>
      </c>
      <c r="F509" t="inlineStr">
        <is>
          <t>Fabrica de Bares (2025)</t>
        </is>
      </c>
      <c r="G509" t="b">
        <v>1</v>
      </c>
      <c r="H509" t="inlineStr">
        <is>
          <t>4/2026</t>
        </is>
      </c>
    </row>
    <row r="510">
      <c r="A510" t="inlineStr">
        <is>
          <t>Nuv Gastrobar</t>
        </is>
      </c>
      <c r="B510" t="inlineStr">
        <is>
          <t>Deduções sobre Venda</t>
        </is>
      </c>
      <c r="C510" t="inlineStr">
        <is>
          <t>Meios de pagamento - Delivery</t>
        </is>
      </c>
      <c r="D510" t="inlineStr">
        <is>
          <t>01/05/2026</t>
        </is>
      </c>
      <c r="E510" t="n">
        <v>0</v>
      </c>
      <c r="F510" t="inlineStr">
        <is>
          <t>Fabrica de Bares (2025)</t>
        </is>
      </c>
      <c r="G510" t="b">
        <v>1</v>
      </c>
      <c r="H510" t="inlineStr">
        <is>
          <t>5/2026</t>
        </is>
      </c>
    </row>
    <row r="511">
      <c r="A511" t="inlineStr">
        <is>
          <t>Nuv Gastrobar</t>
        </is>
      </c>
      <c r="B511" t="inlineStr">
        <is>
          <t>Deduções sobre Venda</t>
        </is>
      </c>
      <c r="C511" t="inlineStr">
        <is>
          <t>Meios de pagamento - Delivery</t>
        </is>
      </c>
      <c r="D511" t="inlineStr">
        <is>
          <t>01/06/2026</t>
        </is>
      </c>
      <c r="E511" t="n">
        <v>0</v>
      </c>
      <c r="F511" t="inlineStr">
        <is>
          <t>Fabrica de Bares (2025)</t>
        </is>
      </c>
      <c r="G511" t="b">
        <v>1</v>
      </c>
      <c r="H511" t="inlineStr">
        <is>
          <t>6/2026</t>
        </is>
      </c>
    </row>
    <row r="512">
      <c r="A512" t="inlineStr">
        <is>
          <t>Nuv Gastrobar</t>
        </is>
      </c>
      <c r="B512" t="inlineStr">
        <is>
          <t>Deduções sobre Venda</t>
        </is>
      </c>
      <c r="C512" t="inlineStr">
        <is>
          <t>Meios de pagamento - Delivery</t>
        </is>
      </c>
      <c r="D512" t="inlineStr">
        <is>
          <t>01/07/2026</t>
        </is>
      </c>
      <c r="E512" t="n">
        <v>0</v>
      </c>
      <c r="F512" t="inlineStr">
        <is>
          <t>Fabrica de Bares (2025)</t>
        </is>
      </c>
      <c r="G512" t="b">
        <v>1</v>
      </c>
      <c r="H512" t="inlineStr">
        <is>
          <t>7/2026</t>
        </is>
      </c>
    </row>
    <row r="513">
      <c r="A513" t="inlineStr">
        <is>
          <t>Nuv Gastrobar</t>
        </is>
      </c>
      <c r="B513" t="inlineStr">
        <is>
          <t>Deduções sobre Venda</t>
        </is>
      </c>
      <c r="C513" t="inlineStr">
        <is>
          <t>Meios de pagamento - Delivery</t>
        </is>
      </c>
      <c r="D513" t="inlineStr">
        <is>
          <t>01/08/2026</t>
        </is>
      </c>
      <c r="E513" t="n">
        <v>0</v>
      </c>
      <c r="F513" t="inlineStr">
        <is>
          <t>Fabrica de Bares (2025)</t>
        </is>
      </c>
      <c r="G513" t="b">
        <v>1</v>
      </c>
      <c r="H513" t="inlineStr">
        <is>
          <t>8/2026</t>
        </is>
      </c>
    </row>
    <row r="514">
      <c r="A514" t="inlineStr">
        <is>
          <t>Nuv Gastrobar</t>
        </is>
      </c>
      <c r="B514" t="inlineStr">
        <is>
          <t>Deduções sobre Venda</t>
        </is>
      </c>
      <c r="C514" t="inlineStr">
        <is>
          <t>Meios de pagamento - Delivery</t>
        </is>
      </c>
      <c r="D514" t="inlineStr">
        <is>
          <t>01/09/2026</t>
        </is>
      </c>
      <c r="E514" t="n">
        <v>0</v>
      </c>
      <c r="F514" t="inlineStr">
        <is>
          <t>Fabrica de Bares (2025)</t>
        </is>
      </c>
      <c r="G514" t="b">
        <v>1</v>
      </c>
      <c r="H514" t="inlineStr">
        <is>
          <t>9/2026</t>
        </is>
      </c>
    </row>
    <row r="515">
      <c r="A515" t="inlineStr">
        <is>
          <t>Nuv Gastrobar</t>
        </is>
      </c>
      <c r="B515" t="inlineStr">
        <is>
          <t>Deduções sobre Venda</t>
        </is>
      </c>
      <c r="C515" t="inlineStr">
        <is>
          <t>Meios de pagamento - Delivery</t>
        </is>
      </c>
      <c r="D515" t="inlineStr">
        <is>
          <t>01/10/2026</t>
        </is>
      </c>
      <c r="E515" t="n">
        <v>0</v>
      </c>
      <c r="F515" t="inlineStr">
        <is>
          <t>Fabrica de Bares (2025)</t>
        </is>
      </c>
      <c r="G515" t="b">
        <v>1</v>
      </c>
      <c r="H515" t="inlineStr">
        <is>
          <t>10/2026</t>
        </is>
      </c>
    </row>
    <row r="516">
      <c r="A516" t="inlineStr">
        <is>
          <t>Nuv Gastrobar</t>
        </is>
      </c>
      <c r="B516" t="inlineStr">
        <is>
          <t>Deduções sobre Venda</t>
        </is>
      </c>
      <c r="C516" t="inlineStr">
        <is>
          <t>Meios de pagamento - Delivery</t>
        </is>
      </c>
      <c r="D516" t="inlineStr">
        <is>
          <t>01/11/2026</t>
        </is>
      </c>
      <c r="E516" t="n">
        <v>0</v>
      </c>
      <c r="F516" t="inlineStr">
        <is>
          <t>Fabrica de Bares (2025)</t>
        </is>
      </c>
      <c r="G516" t="b">
        <v>1</v>
      </c>
      <c r="H516" t="inlineStr">
        <is>
          <t>11/2026</t>
        </is>
      </c>
    </row>
    <row r="517">
      <c r="A517" t="inlineStr">
        <is>
          <t>Nuv Gastrobar</t>
        </is>
      </c>
      <c r="B517" t="inlineStr">
        <is>
          <t>Deduções sobre Venda</t>
        </is>
      </c>
      <c r="C517" t="inlineStr">
        <is>
          <t>Meios de pagamento - Delivery</t>
        </is>
      </c>
      <c r="D517" t="inlineStr">
        <is>
          <t>01/12/2026</t>
        </is>
      </c>
      <c r="E517" t="n">
        <v>0</v>
      </c>
      <c r="F517" t="inlineStr">
        <is>
          <t>Fabrica de Bares (2025)</t>
        </is>
      </c>
      <c r="G517" t="b">
        <v>1</v>
      </c>
      <c r="H517" t="inlineStr">
        <is>
          <t>12/2026</t>
        </is>
      </c>
    </row>
    <row r="518">
      <c r="A518" t="inlineStr">
        <is>
          <t>Nuv Gastrobar</t>
        </is>
      </c>
      <c r="B518" t="inlineStr">
        <is>
          <t>Deduções sobre Venda</t>
        </is>
      </c>
      <c r="C518" t="inlineStr">
        <is>
          <t>Outros D</t>
        </is>
      </c>
      <c r="D518" t="inlineStr">
        <is>
          <t>01/01/2026</t>
        </is>
      </c>
      <c r="E518" t="n">
        <v>0</v>
      </c>
      <c r="F518" t="inlineStr">
        <is>
          <t>Fabrica de Bares (2025)</t>
        </is>
      </c>
      <c r="G518" t="b">
        <v>1</v>
      </c>
      <c r="H518" t="inlineStr">
        <is>
          <t>1/2026</t>
        </is>
      </c>
    </row>
    <row r="519">
      <c r="A519" t="inlineStr">
        <is>
          <t>Nuv Gastrobar</t>
        </is>
      </c>
      <c r="B519" t="inlineStr">
        <is>
          <t>Deduções sobre Venda</t>
        </is>
      </c>
      <c r="C519" t="inlineStr">
        <is>
          <t>Outros D</t>
        </is>
      </c>
      <c r="D519" t="inlineStr">
        <is>
          <t>01/02/2026</t>
        </is>
      </c>
      <c r="E519" t="n">
        <v>0</v>
      </c>
      <c r="F519" t="inlineStr">
        <is>
          <t>Fabrica de Bares (2025)</t>
        </is>
      </c>
      <c r="G519" t="b">
        <v>1</v>
      </c>
      <c r="H519" t="inlineStr">
        <is>
          <t>2/2026</t>
        </is>
      </c>
    </row>
    <row r="520">
      <c r="A520" t="inlineStr">
        <is>
          <t>Nuv Gastrobar</t>
        </is>
      </c>
      <c r="B520" t="inlineStr">
        <is>
          <t>Deduções sobre Venda</t>
        </is>
      </c>
      <c r="C520" t="inlineStr">
        <is>
          <t>Outros D</t>
        </is>
      </c>
      <c r="D520" t="inlineStr">
        <is>
          <t>01/03/2026</t>
        </is>
      </c>
      <c r="E520" t="n">
        <v>0</v>
      </c>
      <c r="F520" t="inlineStr">
        <is>
          <t>Fabrica de Bares (2025)</t>
        </is>
      </c>
      <c r="G520" t="b">
        <v>1</v>
      </c>
      <c r="H520" t="inlineStr">
        <is>
          <t>3/2026</t>
        </is>
      </c>
    </row>
    <row r="521">
      <c r="A521" t="inlineStr">
        <is>
          <t>Nuv Gastrobar</t>
        </is>
      </c>
      <c r="B521" t="inlineStr">
        <is>
          <t>Deduções sobre Venda</t>
        </is>
      </c>
      <c r="C521" t="inlineStr">
        <is>
          <t>Outros D</t>
        </is>
      </c>
      <c r="D521" t="inlineStr">
        <is>
          <t>01/04/2026</t>
        </is>
      </c>
      <c r="E521" t="n">
        <v>0</v>
      </c>
      <c r="F521" t="inlineStr">
        <is>
          <t>Fabrica de Bares (2025)</t>
        </is>
      </c>
      <c r="G521" t="b">
        <v>1</v>
      </c>
      <c r="H521" t="inlineStr">
        <is>
          <t>4/2026</t>
        </is>
      </c>
    </row>
    <row r="522">
      <c r="A522" t="inlineStr">
        <is>
          <t>Nuv Gastrobar</t>
        </is>
      </c>
      <c r="B522" t="inlineStr">
        <is>
          <t>Deduções sobre Venda</t>
        </is>
      </c>
      <c r="C522" t="inlineStr">
        <is>
          <t>Outros D</t>
        </is>
      </c>
      <c r="D522" t="inlineStr">
        <is>
          <t>01/05/2026</t>
        </is>
      </c>
      <c r="E522" t="n">
        <v>0</v>
      </c>
      <c r="F522" t="inlineStr">
        <is>
          <t>Fabrica de Bares (2025)</t>
        </is>
      </c>
      <c r="G522" t="b">
        <v>1</v>
      </c>
      <c r="H522" t="inlineStr">
        <is>
          <t>5/2026</t>
        </is>
      </c>
    </row>
    <row r="523">
      <c r="A523" t="inlineStr">
        <is>
          <t>Nuv Gastrobar</t>
        </is>
      </c>
      <c r="B523" t="inlineStr">
        <is>
          <t>Deduções sobre Venda</t>
        </is>
      </c>
      <c r="C523" t="inlineStr">
        <is>
          <t>Outros D</t>
        </is>
      </c>
      <c r="D523" t="inlineStr">
        <is>
          <t>01/06/2026</t>
        </is>
      </c>
      <c r="E523" t="n">
        <v>0</v>
      </c>
      <c r="F523" t="inlineStr">
        <is>
          <t>Fabrica de Bares (2025)</t>
        </is>
      </c>
      <c r="G523" t="b">
        <v>1</v>
      </c>
      <c r="H523" t="inlineStr">
        <is>
          <t>6/2026</t>
        </is>
      </c>
    </row>
    <row r="524">
      <c r="A524" t="inlineStr">
        <is>
          <t>Nuv Gastrobar</t>
        </is>
      </c>
      <c r="B524" t="inlineStr">
        <is>
          <t>Deduções sobre Venda</t>
        </is>
      </c>
      <c r="C524" t="inlineStr">
        <is>
          <t>Outros D</t>
        </is>
      </c>
      <c r="D524" t="inlineStr">
        <is>
          <t>01/07/2026</t>
        </is>
      </c>
      <c r="E524" t="n">
        <v>0</v>
      </c>
      <c r="F524" t="inlineStr">
        <is>
          <t>Fabrica de Bares (2025)</t>
        </is>
      </c>
      <c r="G524" t="b">
        <v>1</v>
      </c>
      <c r="H524" t="inlineStr">
        <is>
          <t>7/2026</t>
        </is>
      </c>
    </row>
    <row r="525">
      <c r="A525" t="inlineStr">
        <is>
          <t>Nuv Gastrobar</t>
        </is>
      </c>
      <c r="B525" t="inlineStr">
        <is>
          <t>Deduções sobre Venda</t>
        </is>
      </c>
      <c r="C525" t="inlineStr">
        <is>
          <t>Outros D</t>
        </is>
      </c>
      <c r="D525" t="inlineStr">
        <is>
          <t>01/08/2026</t>
        </is>
      </c>
      <c r="E525" t="n">
        <v>0</v>
      </c>
      <c r="F525" t="inlineStr">
        <is>
          <t>Fabrica de Bares (2025)</t>
        </is>
      </c>
      <c r="G525" t="b">
        <v>1</v>
      </c>
      <c r="H525" t="inlineStr">
        <is>
          <t>8/2026</t>
        </is>
      </c>
    </row>
    <row r="526">
      <c r="A526" t="inlineStr">
        <is>
          <t>Nuv Gastrobar</t>
        </is>
      </c>
      <c r="B526" t="inlineStr">
        <is>
          <t>Deduções sobre Venda</t>
        </is>
      </c>
      <c r="C526" t="inlineStr">
        <is>
          <t>Outros D</t>
        </is>
      </c>
      <c r="D526" t="inlineStr">
        <is>
          <t>01/09/2026</t>
        </is>
      </c>
      <c r="E526" t="n">
        <v>0</v>
      </c>
      <c r="F526" t="inlineStr">
        <is>
          <t>Fabrica de Bares (2025)</t>
        </is>
      </c>
      <c r="G526" t="b">
        <v>1</v>
      </c>
      <c r="H526" t="inlineStr">
        <is>
          <t>9/2026</t>
        </is>
      </c>
    </row>
    <row r="527">
      <c r="A527" t="inlineStr">
        <is>
          <t>Nuv Gastrobar</t>
        </is>
      </c>
      <c r="B527" t="inlineStr">
        <is>
          <t>Deduções sobre Venda</t>
        </is>
      </c>
      <c r="C527" t="inlineStr">
        <is>
          <t>Outros D</t>
        </is>
      </c>
      <c r="D527" t="inlineStr">
        <is>
          <t>01/10/2026</t>
        </is>
      </c>
      <c r="E527" t="n">
        <v>0</v>
      </c>
      <c r="F527" t="inlineStr">
        <is>
          <t>Fabrica de Bares (2025)</t>
        </is>
      </c>
      <c r="G527" t="b">
        <v>1</v>
      </c>
      <c r="H527" t="inlineStr">
        <is>
          <t>10/2026</t>
        </is>
      </c>
    </row>
    <row r="528">
      <c r="A528" t="inlineStr">
        <is>
          <t>Nuv Gastrobar</t>
        </is>
      </c>
      <c r="B528" t="inlineStr">
        <is>
          <t>Deduções sobre Venda</t>
        </is>
      </c>
      <c r="C528" t="inlineStr">
        <is>
          <t>Outros D</t>
        </is>
      </c>
      <c r="D528" t="inlineStr">
        <is>
          <t>01/11/2026</t>
        </is>
      </c>
      <c r="E528" t="n">
        <v>0</v>
      </c>
      <c r="F528" t="inlineStr">
        <is>
          <t>Fabrica de Bares (2025)</t>
        </is>
      </c>
      <c r="G528" t="b">
        <v>1</v>
      </c>
      <c r="H528" t="inlineStr">
        <is>
          <t>11/2026</t>
        </is>
      </c>
    </row>
    <row r="529">
      <c r="A529" t="inlineStr">
        <is>
          <t>Nuv Gastrobar</t>
        </is>
      </c>
      <c r="B529" t="inlineStr">
        <is>
          <t>Deduções sobre Venda</t>
        </is>
      </c>
      <c r="C529" t="inlineStr">
        <is>
          <t>Outros D</t>
        </is>
      </c>
      <c r="D529" t="inlineStr">
        <is>
          <t>01/12/2026</t>
        </is>
      </c>
      <c r="E529" t="n">
        <v>0</v>
      </c>
      <c r="F529" t="inlineStr">
        <is>
          <t>Fabrica de Bares (2025)</t>
        </is>
      </c>
      <c r="G529" t="b">
        <v>1</v>
      </c>
      <c r="H529" t="inlineStr">
        <is>
          <t>12/2026</t>
        </is>
      </c>
    </row>
    <row r="530">
      <c r="A530" t="inlineStr">
        <is>
          <t>Nuv Gastrobar</t>
        </is>
      </c>
      <c r="B530" t="inlineStr">
        <is>
          <t>Despesas com Transporte / Hospedagem</t>
        </is>
      </c>
      <c r="C530" t="inlineStr">
        <is>
          <t>Conduções/Taxi/Uber</t>
        </is>
      </c>
      <c r="D530" t="inlineStr">
        <is>
          <t>01/01/2026</t>
        </is>
      </c>
      <c r="E530" t="n">
        <v>0</v>
      </c>
      <c r="F530" t="inlineStr">
        <is>
          <t>Fabrica de Bares (2025)</t>
        </is>
      </c>
      <c r="G530" t="b">
        <v>1</v>
      </c>
      <c r="H530" t="inlineStr">
        <is>
          <t>1/2026</t>
        </is>
      </c>
    </row>
    <row r="531">
      <c r="A531" t="inlineStr">
        <is>
          <t>Nuv Gastrobar</t>
        </is>
      </c>
      <c r="B531" t="inlineStr">
        <is>
          <t>Despesas com Transporte / Hospedagem</t>
        </is>
      </c>
      <c r="C531" t="inlineStr">
        <is>
          <t>Conduções/Taxi/Uber</t>
        </is>
      </c>
      <c r="D531" t="inlineStr">
        <is>
          <t>01/02/2026</t>
        </is>
      </c>
      <c r="E531" t="n">
        <v>0</v>
      </c>
      <c r="F531" t="inlineStr">
        <is>
          <t>Fabrica de Bares (2025)</t>
        </is>
      </c>
      <c r="G531" t="b">
        <v>1</v>
      </c>
      <c r="H531" t="inlineStr">
        <is>
          <t>2/2026</t>
        </is>
      </c>
    </row>
    <row r="532">
      <c r="A532" t="inlineStr">
        <is>
          <t>Nuv Gastrobar</t>
        </is>
      </c>
      <c r="B532" t="inlineStr">
        <is>
          <t>Despesas com Transporte / Hospedagem</t>
        </is>
      </c>
      <c r="C532" t="inlineStr">
        <is>
          <t>Conduções/Taxi/Uber</t>
        </is>
      </c>
      <c r="D532" t="inlineStr">
        <is>
          <t>01/03/2026</t>
        </is>
      </c>
      <c r="E532" t="n">
        <v>0</v>
      </c>
      <c r="F532" t="inlineStr">
        <is>
          <t>Fabrica de Bares (2025)</t>
        </is>
      </c>
      <c r="G532" t="b">
        <v>1</v>
      </c>
      <c r="H532" t="inlineStr">
        <is>
          <t>3/2026</t>
        </is>
      </c>
    </row>
    <row r="533">
      <c r="A533" t="inlineStr">
        <is>
          <t>Nuv Gastrobar</t>
        </is>
      </c>
      <c r="B533" t="inlineStr">
        <is>
          <t>Despesas com Transporte / Hospedagem</t>
        </is>
      </c>
      <c r="C533" t="inlineStr">
        <is>
          <t>Conduções/Taxi/Uber</t>
        </is>
      </c>
      <c r="D533" t="inlineStr">
        <is>
          <t>01/04/2026</t>
        </is>
      </c>
      <c r="E533" t="n">
        <v>0</v>
      </c>
      <c r="F533" t="inlineStr">
        <is>
          <t>Fabrica de Bares (2025)</t>
        </is>
      </c>
      <c r="G533" t="b">
        <v>1</v>
      </c>
      <c r="H533" t="inlineStr">
        <is>
          <t>4/2026</t>
        </is>
      </c>
    </row>
    <row r="534">
      <c r="A534" t="inlineStr">
        <is>
          <t>Nuv Gastrobar</t>
        </is>
      </c>
      <c r="B534" t="inlineStr">
        <is>
          <t>Despesas com Transporte / Hospedagem</t>
        </is>
      </c>
      <c r="C534" t="inlineStr">
        <is>
          <t>Conduções/Taxi/Uber</t>
        </is>
      </c>
      <c r="D534" t="inlineStr">
        <is>
          <t>01/05/2026</t>
        </is>
      </c>
      <c r="E534" t="n">
        <v>0</v>
      </c>
      <c r="F534" t="inlineStr">
        <is>
          <t>Fabrica de Bares (2025)</t>
        </is>
      </c>
      <c r="G534" t="b">
        <v>1</v>
      </c>
      <c r="H534" t="inlineStr">
        <is>
          <t>5/2026</t>
        </is>
      </c>
    </row>
    <row r="535">
      <c r="A535" t="inlineStr">
        <is>
          <t>Nuv Gastrobar</t>
        </is>
      </c>
      <c r="B535" t="inlineStr">
        <is>
          <t>Despesas com Transporte / Hospedagem</t>
        </is>
      </c>
      <c r="C535" t="inlineStr">
        <is>
          <t>Conduções/Taxi/Uber</t>
        </is>
      </c>
      <c r="D535" t="inlineStr">
        <is>
          <t>01/06/2026</t>
        </is>
      </c>
      <c r="E535" t="n">
        <v>0</v>
      </c>
      <c r="F535" t="inlineStr">
        <is>
          <t>Fabrica de Bares (2025)</t>
        </is>
      </c>
      <c r="G535" t="b">
        <v>1</v>
      </c>
      <c r="H535" t="inlineStr">
        <is>
          <t>6/2026</t>
        </is>
      </c>
    </row>
    <row r="536">
      <c r="A536" t="inlineStr">
        <is>
          <t>Nuv Gastrobar</t>
        </is>
      </c>
      <c r="B536" t="inlineStr">
        <is>
          <t>Despesas com Transporte / Hospedagem</t>
        </is>
      </c>
      <c r="C536" t="inlineStr">
        <is>
          <t>Conduções/Taxi/Uber</t>
        </is>
      </c>
      <c r="D536" t="inlineStr">
        <is>
          <t>01/07/2026</t>
        </is>
      </c>
      <c r="E536" t="n">
        <v>0</v>
      </c>
      <c r="F536" t="inlineStr">
        <is>
          <t>Fabrica de Bares (2025)</t>
        </is>
      </c>
      <c r="G536" t="b">
        <v>1</v>
      </c>
      <c r="H536" t="inlineStr">
        <is>
          <t>7/2026</t>
        </is>
      </c>
    </row>
    <row r="537">
      <c r="A537" t="inlineStr">
        <is>
          <t>Nuv Gastrobar</t>
        </is>
      </c>
      <c r="B537" t="inlineStr">
        <is>
          <t>Despesas com Transporte / Hospedagem</t>
        </is>
      </c>
      <c r="C537" t="inlineStr">
        <is>
          <t>Conduções/Taxi/Uber</t>
        </is>
      </c>
      <c r="D537" t="inlineStr">
        <is>
          <t>01/08/2026</t>
        </is>
      </c>
      <c r="E537" t="n">
        <v>0</v>
      </c>
      <c r="F537" t="inlineStr">
        <is>
          <t>Fabrica de Bares (2025)</t>
        </is>
      </c>
      <c r="G537" t="b">
        <v>1</v>
      </c>
      <c r="H537" t="inlineStr">
        <is>
          <t>8/2026</t>
        </is>
      </c>
    </row>
    <row r="538">
      <c r="A538" t="inlineStr">
        <is>
          <t>Nuv Gastrobar</t>
        </is>
      </c>
      <c r="B538" t="inlineStr">
        <is>
          <t>Despesas com Transporte / Hospedagem</t>
        </is>
      </c>
      <c r="C538" t="inlineStr">
        <is>
          <t>Conduções/Taxi/Uber</t>
        </is>
      </c>
      <c r="D538" t="inlineStr">
        <is>
          <t>01/09/2026</t>
        </is>
      </c>
      <c r="E538" t="n">
        <v>0</v>
      </c>
      <c r="F538" t="inlineStr">
        <is>
          <t>Fabrica de Bares (2025)</t>
        </is>
      </c>
      <c r="G538" t="b">
        <v>1</v>
      </c>
      <c r="H538" t="inlineStr">
        <is>
          <t>9/2026</t>
        </is>
      </c>
    </row>
    <row r="539">
      <c r="A539" t="inlineStr">
        <is>
          <t>Nuv Gastrobar</t>
        </is>
      </c>
      <c r="B539" t="inlineStr">
        <is>
          <t>Despesas com Transporte / Hospedagem</t>
        </is>
      </c>
      <c r="C539" t="inlineStr">
        <is>
          <t>Conduções/Taxi/Uber</t>
        </is>
      </c>
      <c r="D539" t="inlineStr">
        <is>
          <t>01/10/2026</t>
        </is>
      </c>
      <c r="E539" t="n">
        <v>0</v>
      </c>
      <c r="F539" t="inlineStr">
        <is>
          <t>Fabrica de Bares (2025)</t>
        </is>
      </c>
      <c r="G539" t="b">
        <v>1</v>
      </c>
      <c r="H539" t="inlineStr">
        <is>
          <t>10/2026</t>
        </is>
      </c>
    </row>
    <row r="540">
      <c r="A540" t="inlineStr">
        <is>
          <t>Nuv Gastrobar</t>
        </is>
      </c>
      <c r="B540" t="inlineStr">
        <is>
          <t>Despesas com Transporte / Hospedagem</t>
        </is>
      </c>
      <c r="C540" t="inlineStr">
        <is>
          <t>Conduções/Taxi/Uber</t>
        </is>
      </c>
      <c r="D540" t="inlineStr">
        <is>
          <t>01/11/2026</t>
        </is>
      </c>
      <c r="E540" t="n">
        <v>0</v>
      </c>
      <c r="F540" t="inlineStr">
        <is>
          <t>Fabrica de Bares (2025)</t>
        </is>
      </c>
      <c r="G540" t="b">
        <v>1</v>
      </c>
      <c r="H540" t="inlineStr">
        <is>
          <t>11/2026</t>
        </is>
      </c>
    </row>
    <row r="541">
      <c r="A541" t="inlineStr">
        <is>
          <t>Nuv Gastrobar</t>
        </is>
      </c>
      <c r="B541" t="inlineStr">
        <is>
          <t>Despesas com Transporte / Hospedagem</t>
        </is>
      </c>
      <c r="C541" t="inlineStr">
        <is>
          <t>Conduções/Taxi/Uber</t>
        </is>
      </c>
      <c r="D541" t="inlineStr">
        <is>
          <t>01/12/2026</t>
        </is>
      </c>
      <c r="E541" t="n">
        <v>0</v>
      </c>
      <c r="F541" t="inlineStr">
        <is>
          <t>Fabrica de Bares (2025)</t>
        </is>
      </c>
      <c r="G541" t="b">
        <v>1</v>
      </c>
      <c r="H541" t="inlineStr">
        <is>
          <t>12/2026</t>
        </is>
      </c>
    </row>
    <row r="542">
      <c r="A542" t="inlineStr">
        <is>
          <t>Nuv Gastrobar</t>
        </is>
      </c>
      <c r="B542" t="inlineStr">
        <is>
          <t>Despesas com Transporte / Hospedagem</t>
        </is>
      </c>
      <c r="C542" t="inlineStr">
        <is>
          <t>Fretes e Carretos</t>
        </is>
      </c>
      <c r="D542" t="inlineStr">
        <is>
          <t>01/01/2026</t>
        </is>
      </c>
      <c r="E542" t="n">
        <v>0</v>
      </c>
      <c r="F542" t="inlineStr">
        <is>
          <t>Fabrica de Bares (2025)</t>
        </is>
      </c>
      <c r="G542" t="b">
        <v>1</v>
      </c>
      <c r="H542" t="inlineStr">
        <is>
          <t>1/2026</t>
        </is>
      </c>
    </row>
    <row r="543">
      <c r="A543" t="inlineStr">
        <is>
          <t>Nuv Gastrobar</t>
        </is>
      </c>
      <c r="B543" t="inlineStr">
        <is>
          <t>Despesas com Transporte / Hospedagem</t>
        </is>
      </c>
      <c r="C543" t="inlineStr">
        <is>
          <t>Fretes e Carretos</t>
        </is>
      </c>
      <c r="D543" t="inlineStr">
        <is>
          <t>01/02/2026</t>
        </is>
      </c>
      <c r="E543" t="n">
        <v>0</v>
      </c>
      <c r="F543" t="inlineStr">
        <is>
          <t>Fabrica de Bares (2025)</t>
        </is>
      </c>
      <c r="G543" t="b">
        <v>1</v>
      </c>
      <c r="H543" t="inlineStr">
        <is>
          <t>2/2026</t>
        </is>
      </c>
    </row>
    <row r="544">
      <c r="A544" t="inlineStr">
        <is>
          <t>Nuv Gastrobar</t>
        </is>
      </c>
      <c r="B544" t="inlineStr">
        <is>
          <t>Despesas com Transporte / Hospedagem</t>
        </is>
      </c>
      <c r="C544" t="inlineStr">
        <is>
          <t>Fretes e Carretos</t>
        </is>
      </c>
      <c r="D544" t="inlineStr">
        <is>
          <t>01/03/2026</t>
        </is>
      </c>
      <c r="E544" t="n">
        <v>0</v>
      </c>
      <c r="F544" t="inlineStr">
        <is>
          <t>Fabrica de Bares (2025)</t>
        </is>
      </c>
      <c r="G544" t="b">
        <v>1</v>
      </c>
      <c r="H544" t="inlineStr">
        <is>
          <t>3/2026</t>
        </is>
      </c>
    </row>
    <row r="545">
      <c r="A545" t="inlineStr">
        <is>
          <t>Nuv Gastrobar</t>
        </is>
      </c>
      <c r="B545" t="inlineStr">
        <is>
          <t>Despesas com Transporte / Hospedagem</t>
        </is>
      </c>
      <c r="C545" t="inlineStr">
        <is>
          <t>Fretes e Carretos</t>
        </is>
      </c>
      <c r="D545" t="inlineStr">
        <is>
          <t>01/04/2026</t>
        </is>
      </c>
      <c r="E545" t="n">
        <v>0</v>
      </c>
      <c r="F545" t="inlineStr">
        <is>
          <t>Fabrica de Bares (2025)</t>
        </is>
      </c>
      <c r="G545" t="b">
        <v>1</v>
      </c>
      <c r="H545" t="inlineStr">
        <is>
          <t>4/2026</t>
        </is>
      </c>
    </row>
    <row r="546">
      <c r="A546" t="inlineStr">
        <is>
          <t>Nuv Gastrobar</t>
        </is>
      </c>
      <c r="B546" t="inlineStr">
        <is>
          <t>Despesas com Transporte / Hospedagem</t>
        </is>
      </c>
      <c r="C546" t="inlineStr">
        <is>
          <t>Fretes e Carretos</t>
        </is>
      </c>
      <c r="D546" t="inlineStr">
        <is>
          <t>01/05/2026</t>
        </is>
      </c>
      <c r="E546" t="n">
        <v>0</v>
      </c>
      <c r="F546" t="inlineStr">
        <is>
          <t>Fabrica de Bares (2025)</t>
        </is>
      </c>
      <c r="G546" t="b">
        <v>1</v>
      </c>
      <c r="H546" t="inlineStr">
        <is>
          <t>5/2026</t>
        </is>
      </c>
    </row>
    <row r="547">
      <c r="A547" t="inlineStr">
        <is>
          <t>Nuv Gastrobar</t>
        </is>
      </c>
      <c r="B547" t="inlineStr">
        <is>
          <t>Despesas com Transporte / Hospedagem</t>
        </is>
      </c>
      <c r="C547" t="inlineStr">
        <is>
          <t>Fretes e Carretos</t>
        </is>
      </c>
      <c r="D547" t="inlineStr">
        <is>
          <t>01/06/2026</t>
        </is>
      </c>
      <c r="E547" t="n">
        <v>0</v>
      </c>
      <c r="F547" t="inlineStr">
        <is>
          <t>Fabrica de Bares (2025)</t>
        </is>
      </c>
      <c r="G547" t="b">
        <v>1</v>
      </c>
      <c r="H547" t="inlineStr">
        <is>
          <t>6/2026</t>
        </is>
      </c>
    </row>
    <row r="548">
      <c r="A548" t="inlineStr">
        <is>
          <t>Nuv Gastrobar</t>
        </is>
      </c>
      <c r="B548" t="inlineStr">
        <is>
          <t>Despesas com Transporte / Hospedagem</t>
        </is>
      </c>
      <c r="C548" t="inlineStr">
        <is>
          <t>Fretes e Carretos</t>
        </is>
      </c>
      <c r="D548" t="inlineStr">
        <is>
          <t>01/07/2026</t>
        </is>
      </c>
      <c r="E548" t="n">
        <v>0</v>
      </c>
      <c r="F548" t="inlineStr">
        <is>
          <t>Fabrica de Bares (2025)</t>
        </is>
      </c>
      <c r="G548" t="b">
        <v>1</v>
      </c>
      <c r="H548" t="inlineStr">
        <is>
          <t>7/2026</t>
        </is>
      </c>
    </row>
    <row r="549">
      <c r="A549" t="inlineStr">
        <is>
          <t>Nuv Gastrobar</t>
        </is>
      </c>
      <c r="B549" t="inlineStr">
        <is>
          <t>Despesas com Transporte / Hospedagem</t>
        </is>
      </c>
      <c r="C549" t="inlineStr">
        <is>
          <t>Fretes e Carretos</t>
        </is>
      </c>
      <c r="D549" t="inlineStr">
        <is>
          <t>01/08/2026</t>
        </is>
      </c>
      <c r="E549" t="n">
        <v>1068.03</v>
      </c>
      <c r="F549" t="inlineStr">
        <is>
          <t>Fabrica de Bares (2025)</t>
        </is>
      </c>
      <c r="G549" t="b">
        <v>1</v>
      </c>
      <c r="H549" t="inlineStr">
        <is>
          <t>8/2026</t>
        </is>
      </c>
    </row>
    <row r="550">
      <c r="A550" t="inlineStr">
        <is>
          <t>Nuv Gastrobar</t>
        </is>
      </c>
      <c r="B550" t="inlineStr">
        <is>
          <t>Despesas com Transporte / Hospedagem</t>
        </is>
      </c>
      <c r="C550" t="inlineStr">
        <is>
          <t>Fretes e Carretos</t>
        </is>
      </c>
      <c r="D550" t="inlineStr">
        <is>
          <t>01/09/2026</t>
        </is>
      </c>
      <c r="E550" t="n">
        <v>1384.15</v>
      </c>
      <c r="F550" t="inlineStr">
        <is>
          <t>Fabrica de Bares (2025)</t>
        </is>
      </c>
      <c r="G550" t="b">
        <v>1</v>
      </c>
      <c r="H550" t="inlineStr">
        <is>
          <t>9/2026</t>
        </is>
      </c>
    </row>
    <row r="551">
      <c r="A551" t="inlineStr">
        <is>
          <t>Nuv Gastrobar</t>
        </is>
      </c>
      <c r="B551" t="inlineStr">
        <is>
          <t>Despesas com Transporte / Hospedagem</t>
        </is>
      </c>
      <c r="C551" t="inlineStr">
        <is>
          <t>Fretes e Carretos</t>
        </is>
      </c>
      <c r="D551" t="inlineStr">
        <is>
          <t>01/10/2026</t>
        </is>
      </c>
      <c r="E551" t="n">
        <v>1529.86</v>
      </c>
      <c r="F551" t="inlineStr">
        <is>
          <t>Fabrica de Bares (2025)</t>
        </is>
      </c>
      <c r="G551" t="b">
        <v>1</v>
      </c>
      <c r="H551" t="inlineStr">
        <is>
          <t>10/2026</t>
        </is>
      </c>
    </row>
    <row r="552">
      <c r="A552" t="inlineStr">
        <is>
          <t>Nuv Gastrobar</t>
        </is>
      </c>
      <c r="B552" t="inlineStr">
        <is>
          <t>Despesas com Transporte / Hospedagem</t>
        </is>
      </c>
      <c r="C552" t="inlineStr">
        <is>
          <t>Fretes e Carretos</t>
        </is>
      </c>
      <c r="D552" t="inlineStr">
        <is>
          <t>01/11/2026</t>
        </is>
      </c>
      <c r="E552" t="n">
        <v>1991.42</v>
      </c>
      <c r="F552" t="inlineStr">
        <is>
          <t>Fabrica de Bares (2025)</t>
        </is>
      </c>
      <c r="G552" t="b">
        <v>1</v>
      </c>
      <c r="H552" t="inlineStr">
        <is>
          <t>11/2026</t>
        </is>
      </c>
    </row>
    <row r="553">
      <c r="A553" t="inlineStr">
        <is>
          <t>Nuv Gastrobar</t>
        </is>
      </c>
      <c r="B553" t="inlineStr">
        <is>
          <t>Despesas com Transporte / Hospedagem</t>
        </is>
      </c>
      <c r="C553" t="inlineStr">
        <is>
          <t>Fretes e Carretos</t>
        </is>
      </c>
      <c r="D553" t="inlineStr">
        <is>
          <t>01/12/2026</t>
        </is>
      </c>
      <c r="E553" t="n">
        <v>1975.45</v>
      </c>
      <c r="F553" t="inlineStr">
        <is>
          <t>Fabrica de Bares (2025)</t>
        </is>
      </c>
      <c r="G553" t="b">
        <v>1</v>
      </c>
      <c r="H553" t="inlineStr">
        <is>
          <t>12/2026</t>
        </is>
      </c>
    </row>
    <row r="554">
      <c r="A554" t="inlineStr">
        <is>
          <t>Nuv Gastrobar</t>
        </is>
      </c>
      <c r="B554" t="inlineStr">
        <is>
          <t>Despesas com Transporte / Hospedagem</t>
        </is>
      </c>
      <c r="C554" t="inlineStr">
        <is>
          <t>Viagens e Estadias - Operação</t>
        </is>
      </c>
      <c r="D554" t="inlineStr">
        <is>
          <t>01/01/2026</t>
        </is>
      </c>
      <c r="E554" t="n">
        <v>0</v>
      </c>
      <c r="F554" t="inlineStr">
        <is>
          <t>Fabrica de Bares (2025)</t>
        </is>
      </c>
      <c r="G554" t="b">
        <v>1</v>
      </c>
      <c r="H554" t="inlineStr">
        <is>
          <t>1/2026</t>
        </is>
      </c>
    </row>
    <row r="555">
      <c r="A555" t="inlineStr">
        <is>
          <t>Nuv Gastrobar</t>
        </is>
      </c>
      <c r="B555" t="inlineStr">
        <is>
          <t>Despesas com Transporte / Hospedagem</t>
        </is>
      </c>
      <c r="C555" t="inlineStr">
        <is>
          <t>Viagens e Estadias - Operação</t>
        </is>
      </c>
      <c r="D555" t="inlineStr">
        <is>
          <t>01/02/2026</t>
        </is>
      </c>
      <c r="E555" t="n">
        <v>0</v>
      </c>
      <c r="F555" t="inlineStr">
        <is>
          <t>Fabrica de Bares (2025)</t>
        </is>
      </c>
      <c r="G555" t="b">
        <v>1</v>
      </c>
      <c r="H555" t="inlineStr">
        <is>
          <t>2/2026</t>
        </is>
      </c>
    </row>
    <row r="556">
      <c r="A556" t="inlineStr">
        <is>
          <t>Nuv Gastrobar</t>
        </is>
      </c>
      <c r="B556" t="inlineStr">
        <is>
          <t>Despesas com Transporte / Hospedagem</t>
        </is>
      </c>
      <c r="C556" t="inlineStr">
        <is>
          <t>Viagens e Estadias - Operação</t>
        </is>
      </c>
      <c r="D556" t="inlineStr">
        <is>
          <t>01/03/2026</t>
        </is>
      </c>
      <c r="E556" t="n">
        <v>0</v>
      </c>
      <c r="F556" t="inlineStr">
        <is>
          <t>Fabrica de Bares (2025)</t>
        </is>
      </c>
      <c r="G556" t="b">
        <v>1</v>
      </c>
      <c r="H556" t="inlineStr">
        <is>
          <t>3/2026</t>
        </is>
      </c>
    </row>
    <row r="557">
      <c r="A557" t="inlineStr">
        <is>
          <t>Nuv Gastrobar</t>
        </is>
      </c>
      <c r="B557" t="inlineStr">
        <is>
          <t>Despesas com Transporte / Hospedagem</t>
        </is>
      </c>
      <c r="C557" t="inlineStr">
        <is>
          <t>Viagens e Estadias - Operação</t>
        </is>
      </c>
      <c r="D557" t="inlineStr">
        <is>
          <t>01/04/2026</t>
        </is>
      </c>
      <c r="E557" t="n">
        <v>0</v>
      </c>
      <c r="F557" t="inlineStr">
        <is>
          <t>Fabrica de Bares (2025)</t>
        </is>
      </c>
      <c r="G557" t="b">
        <v>1</v>
      </c>
      <c r="H557" t="inlineStr">
        <is>
          <t>4/2026</t>
        </is>
      </c>
    </row>
    <row r="558">
      <c r="A558" t="inlineStr">
        <is>
          <t>Nuv Gastrobar</t>
        </is>
      </c>
      <c r="B558" t="inlineStr">
        <is>
          <t>Despesas com Transporte / Hospedagem</t>
        </is>
      </c>
      <c r="C558" t="inlineStr">
        <is>
          <t>Viagens e Estadias - Operação</t>
        </is>
      </c>
      <c r="D558" t="inlineStr">
        <is>
          <t>01/05/2026</t>
        </is>
      </c>
      <c r="E558" t="n">
        <v>0</v>
      </c>
      <c r="F558" t="inlineStr">
        <is>
          <t>Fabrica de Bares (2025)</t>
        </is>
      </c>
      <c r="G558" t="b">
        <v>1</v>
      </c>
      <c r="H558" t="inlineStr">
        <is>
          <t>5/2026</t>
        </is>
      </c>
    </row>
    <row r="559">
      <c r="A559" t="inlineStr">
        <is>
          <t>Nuv Gastrobar</t>
        </is>
      </c>
      <c r="B559" t="inlineStr">
        <is>
          <t>Despesas com Transporte / Hospedagem</t>
        </is>
      </c>
      <c r="C559" t="inlineStr">
        <is>
          <t>Viagens e Estadias - Operação</t>
        </is>
      </c>
      <c r="D559" t="inlineStr">
        <is>
          <t>01/06/2026</t>
        </is>
      </c>
      <c r="E559" t="n">
        <v>0</v>
      </c>
      <c r="F559" t="inlineStr">
        <is>
          <t>Fabrica de Bares (2025)</t>
        </is>
      </c>
      <c r="G559" t="b">
        <v>1</v>
      </c>
      <c r="H559" t="inlineStr">
        <is>
          <t>6/2026</t>
        </is>
      </c>
    </row>
    <row r="560">
      <c r="A560" t="inlineStr">
        <is>
          <t>Nuv Gastrobar</t>
        </is>
      </c>
      <c r="B560" t="inlineStr">
        <is>
          <t>Despesas com Transporte / Hospedagem</t>
        </is>
      </c>
      <c r="C560" t="inlineStr">
        <is>
          <t>Viagens e Estadias - Operação</t>
        </is>
      </c>
      <c r="D560" t="inlineStr">
        <is>
          <t>01/07/2026</t>
        </is>
      </c>
      <c r="E560" t="n">
        <v>0</v>
      </c>
      <c r="F560" t="inlineStr">
        <is>
          <t>Fabrica de Bares (2025)</t>
        </is>
      </c>
      <c r="G560" t="b">
        <v>1</v>
      </c>
      <c r="H560" t="inlineStr">
        <is>
          <t>7/2026</t>
        </is>
      </c>
    </row>
    <row r="561">
      <c r="A561" t="inlineStr">
        <is>
          <t>Nuv Gastrobar</t>
        </is>
      </c>
      <c r="B561" t="inlineStr">
        <is>
          <t>Despesas com Transporte / Hospedagem</t>
        </is>
      </c>
      <c r="C561" t="inlineStr">
        <is>
          <t>Viagens e Estadias - Operação</t>
        </is>
      </c>
      <c r="D561" t="inlineStr">
        <is>
          <t>01/08/2026</t>
        </is>
      </c>
      <c r="E561" t="n">
        <v>0</v>
      </c>
      <c r="F561" t="inlineStr">
        <is>
          <t>Fabrica de Bares (2025)</t>
        </is>
      </c>
      <c r="G561" t="b">
        <v>1</v>
      </c>
      <c r="H561" t="inlineStr">
        <is>
          <t>8/2026</t>
        </is>
      </c>
    </row>
    <row r="562">
      <c r="A562" t="inlineStr">
        <is>
          <t>Nuv Gastrobar</t>
        </is>
      </c>
      <c r="B562" t="inlineStr">
        <is>
          <t>Despesas com Transporte / Hospedagem</t>
        </is>
      </c>
      <c r="C562" t="inlineStr">
        <is>
          <t>Viagens e Estadias - Operação</t>
        </is>
      </c>
      <c r="D562" t="inlineStr">
        <is>
          <t>01/09/2026</t>
        </is>
      </c>
      <c r="E562" t="n">
        <v>0</v>
      </c>
      <c r="F562" t="inlineStr">
        <is>
          <t>Fabrica de Bares (2025)</t>
        </is>
      </c>
      <c r="G562" t="b">
        <v>1</v>
      </c>
      <c r="H562" t="inlineStr">
        <is>
          <t>9/2026</t>
        </is>
      </c>
    </row>
    <row r="563">
      <c r="A563" t="inlineStr">
        <is>
          <t>Nuv Gastrobar</t>
        </is>
      </c>
      <c r="B563" t="inlineStr">
        <is>
          <t>Despesas com Transporte / Hospedagem</t>
        </is>
      </c>
      <c r="C563" t="inlineStr">
        <is>
          <t>Viagens e Estadias - Operação</t>
        </is>
      </c>
      <c r="D563" t="inlineStr">
        <is>
          <t>01/10/2026</t>
        </is>
      </c>
      <c r="E563" t="n">
        <v>0</v>
      </c>
      <c r="F563" t="inlineStr">
        <is>
          <t>Fabrica de Bares (2025)</t>
        </is>
      </c>
      <c r="G563" t="b">
        <v>1</v>
      </c>
      <c r="H563" t="inlineStr">
        <is>
          <t>10/2026</t>
        </is>
      </c>
    </row>
    <row r="564">
      <c r="A564" t="inlineStr">
        <is>
          <t>Nuv Gastrobar</t>
        </is>
      </c>
      <c r="B564" t="inlineStr">
        <is>
          <t>Despesas com Transporte / Hospedagem</t>
        </is>
      </c>
      <c r="C564" t="inlineStr">
        <is>
          <t>Viagens e Estadias - Operação</t>
        </is>
      </c>
      <c r="D564" t="inlineStr">
        <is>
          <t>01/11/2026</t>
        </is>
      </c>
      <c r="E564" t="n">
        <v>0</v>
      </c>
      <c r="F564" t="inlineStr">
        <is>
          <t>Fabrica de Bares (2025)</t>
        </is>
      </c>
      <c r="G564" t="b">
        <v>1</v>
      </c>
      <c r="H564" t="inlineStr">
        <is>
          <t>11/2026</t>
        </is>
      </c>
    </row>
    <row r="565">
      <c r="A565" t="inlineStr">
        <is>
          <t>Nuv Gastrobar</t>
        </is>
      </c>
      <c r="B565" t="inlineStr">
        <is>
          <t>Despesas com Transporte / Hospedagem</t>
        </is>
      </c>
      <c r="C565" t="inlineStr">
        <is>
          <t>Viagens e Estadias - Operação</t>
        </is>
      </c>
      <c r="D565" t="inlineStr">
        <is>
          <t>01/12/2026</t>
        </is>
      </c>
      <c r="E565" t="n">
        <v>0</v>
      </c>
      <c r="F565" t="inlineStr">
        <is>
          <t>Fabrica de Bares (2025)</t>
        </is>
      </c>
      <c r="G565" t="b">
        <v>1</v>
      </c>
      <c r="H565" t="inlineStr">
        <is>
          <t>12/2026</t>
        </is>
      </c>
    </row>
    <row r="566">
      <c r="A566" t="inlineStr">
        <is>
          <t>Nuv Gastrobar</t>
        </is>
      </c>
      <c r="B566" t="inlineStr">
        <is>
          <t>Faturamento Bruto</t>
        </is>
      </c>
      <c r="C566" t="inlineStr">
        <is>
          <t>Alimentação</t>
        </is>
      </c>
      <c r="D566" t="inlineStr">
        <is>
          <t>01/01/2026</t>
        </is>
      </c>
      <c r="E566" t="n">
        <v>0</v>
      </c>
      <c r="F566" t="inlineStr">
        <is>
          <t>Fabrica de Bares (2025)</t>
        </is>
      </c>
      <c r="G566" t="b">
        <v>1</v>
      </c>
      <c r="H566" t="inlineStr">
        <is>
          <t>1/2026</t>
        </is>
      </c>
    </row>
    <row r="567">
      <c r="A567" t="inlineStr">
        <is>
          <t>Nuv Gastrobar</t>
        </is>
      </c>
      <c r="B567" t="inlineStr">
        <is>
          <t>Faturamento Bruto</t>
        </is>
      </c>
      <c r="C567" t="inlineStr">
        <is>
          <t>Alimentação</t>
        </is>
      </c>
      <c r="D567" t="inlineStr">
        <is>
          <t>01/02/2026</t>
        </is>
      </c>
      <c r="E567" t="n">
        <v>0</v>
      </c>
      <c r="F567" t="inlineStr">
        <is>
          <t>Fabrica de Bares (2025)</t>
        </is>
      </c>
      <c r="G567" t="b">
        <v>1</v>
      </c>
      <c r="H567" t="inlineStr">
        <is>
          <t>2/2026</t>
        </is>
      </c>
    </row>
    <row r="568">
      <c r="A568" t="inlineStr">
        <is>
          <t>Nuv Gastrobar</t>
        </is>
      </c>
      <c r="B568" t="inlineStr">
        <is>
          <t>Faturamento Bruto</t>
        </is>
      </c>
      <c r="C568" t="inlineStr">
        <is>
          <t>Alimentação</t>
        </is>
      </c>
      <c r="D568" t="inlineStr">
        <is>
          <t>01/03/2026</t>
        </is>
      </c>
      <c r="E568" t="n">
        <v>0</v>
      </c>
      <c r="F568" t="inlineStr">
        <is>
          <t>Fabrica de Bares (2025)</t>
        </is>
      </c>
      <c r="G568" t="b">
        <v>1</v>
      </c>
      <c r="H568" t="inlineStr">
        <is>
          <t>3/2026</t>
        </is>
      </c>
    </row>
    <row r="569">
      <c r="A569" t="inlineStr">
        <is>
          <t>Nuv Gastrobar</t>
        </is>
      </c>
      <c r="B569" t="inlineStr">
        <is>
          <t>Faturamento Bruto</t>
        </is>
      </c>
      <c r="C569" t="inlineStr">
        <is>
          <t>Alimentação</t>
        </is>
      </c>
      <c r="D569" t="inlineStr">
        <is>
          <t>01/04/2026</t>
        </is>
      </c>
      <c r="E569" t="n">
        <v>0</v>
      </c>
      <c r="F569" t="inlineStr">
        <is>
          <t>Fabrica de Bares (2025)</t>
        </is>
      </c>
      <c r="G569" t="b">
        <v>1</v>
      </c>
      <c r="H569" t="inlineStr">
        <is>
          <t>4/2026</t>
        </is>
      </c>
    </row>
    <row r="570">
      <c r="A570" t="inlineStr">
        <is>
          <t>Nuv Gastrobar</t>
        </is>
      </c>
      <c r="B570" t="inlineStr">
        <is>
          <t>Faturamento Bruto</t>
        </is>
      </c>
      <c r="C570" t="inlineStr">
        <is>
          <t>Alimentação</t>
        </is>
      </c>
      <c r="D570" t="inlineStr">
        <is>
          <t>01/05/2026</t>
        </is>
      </c>
      <c r="E570" t="n">
        <v>0</v>
      </c>
      <c r="F570" t="inlineStr">
        <is>
          <t>Fabrica de Bares (2025)</t>
        </is>
      </c>
      <c r="G570" t="b">
        <v>1</v>
      </c>
      <c r="H570" t="inlineStr">
        <is>
          <t>5/2026</t>
        </is>
      </c>
    </row>
    <row r="571">
      <c r="A571" t="inlineStr">
        <is>
          <t>Nuv Gastrobar</t>
        </is>
      </c>
      <c r="B571" t="inlineStr">
        <is>
          <t>Faturamento Bruto</t>
        </is>
      </c>
      <c r="C571" t="inlineStr">
        <is>
          <t>Alimentação</t>
        </is>
      </c>
      <c r="D571" t="inlineStr">
        <is>
          <t>01/06/2026</t>
        </is>
      </c>
      <c r="E571" t="n">
        <v>0</v>
      </c>
      <c r="F571" t="inlineStr">
        <is>
          <t>Fabrica de Bares (2025)</t>
        </is>
      </c>
      <c r="G571" t="b">
        <v>1</v>
      </c>
      <c r="H571" t="inlineStr">
        <is>
          <t>6/2026</t>
        </is>
      </c>
    </row>
    <row r="572">
      <c r="A572" t="inlineStr">
        <is>
          <t>Nuv Gastrobar</t>
        </is>
      </c>
      <c r="B572" t="inlineStr">
        <is>
          <t>Faturamento Bruto</t>
        </is>
      </c>
      <c r="C572" t="inlineStr">
        <is>
          <t>Alimentação</t>
        </is>
      </c>
      <c r="D572" t="inlineStr">
        <is>
          <t>01/07/2026</t>
        </is>
      </c>
      <c r="E572" t="n">
        <v>0</v>
      </c>
      <c r="F572" t="inlineStr">
        <is>
          <t>Fabrica de Bares (2025)</t>
        </is>
      </c>
      <c r="G572" t="b">
        <v>1</v>
      </c>
      <c r="H572" t="inlineStr">
        <is>
          <t>7/2026</t>
        </is>
      </c>
    </row>
    <row r="573">
      <c r="A573" t="inlineStr">
        <is>
          <t>Nuv Gastrobar</t>
        </is>
      </c>
      <c r="B573" t="inlineStr">
        <is>
          <t>Faturamento Bruto</t>
        </is>
      </c>
      <c r="C573" t="inlineStr">
        <is>
          <t>Alimentação</t>
        </is>
      </c>
      <c r="D573" t="inlineStr">
        <is>
          <t>01/08/2026</t>
        </is>
      </c>
      <c r="E573" t="n">
        <v>147384</v>
      </c>
      <c r="F573" t="inlineStr">
        <is>
          <t>Fabrica de Bares (2025)</t>
        </is>
      </c>
      <c r="G573" t="b">
        <v>1</v>
      </c>
      <c r="H573" t="inlineStr">
        <is>
          <t>8/2026</t>
        </is>
      </c>
    </row>
    <row r="574">
      <c r="A574" t="inlineStr">
        <is>
          <t>Nuv Gastrobar</t>
        </is>
      </c>
      <c r="B574" t="inlineStr">
        <is>
          <t>Faturamento Bruto</t>
        </is>
      </c>
      <c r="C574" t="inlineStr">
        <is>
          <t>Alimentação</t>
        </is>
      </c>
      <c r="D574" t="inlineStr">
        <is>
          <t>01/09/2026</t>
        </is>
      </c>
      <c r="E574" t="n">
        <v>232752</v>
      </c>
      <c r="F574" t="inlineStr">
        <is>
          <t>Fabrica de Bares (2025)</t>
        </is>
      </c>
      <c r="G574" t="b">
        <v>1</v>
      </c>
      <c r="H574" t="inlineStr">
        <is>
          <t>9/2026</t>
        </is>
      </c>
    </row>
    <row r="575">
      <c r="A575" t="inlineStr">
        <is>
          <t>Nuv Gastrobar</t>
        </is>
      </c>
      <c r="B575" t="inlineStr">
        <is>
          <t>Faturamento Bruto</t>
        </is>
      </c>
      <c r="C575" t="inlineStr">
        <is>
          <t>Alimentação</t>
        </is>
      </c>
      <c r="D575" t="inlineStr">
        <is>
          <t>01/10/2026</t>
        </is>
      </c>
      <c r="E575" t="n">
        <v>256152</v>
      </c>
      <c r="F575" t="inlineStr">
        <is>
          <t>Fabrica de Bares (2025)</t>
        </is>
      </c>
      <c r="G575" t="b">
        <v>1</v>
      </c>
      <c r="H575" t="inlineStr">
        <is>
          <t>10/2026</t>
        </is>
      </c>
    </row>
    <row r="576">
      <c r="A576" t="inlineStr">
        <is>
          <t>Nuv Gastrobar</t>
        </is>
      </c>
      <c r="B576" t="inlineStr">
        <is>
          <t>Faturamento Bruto</t>
        </is>
      </c>
      <c r="C576" t="inlineStr">
        <is>
          <t>Alimentação</t>
        </is>
      </c>
      <c r="D576" t="inlineStr">
        <is>
          <t>01/11/2026</t>
        </is>
      </c>
      <c r="E576" t="n">
        <v>246480</v>
      </c>
      <c r="F576" t="inlineStr">
        <is>
          <t>Fabrica de Bares (2025)</t>
        </is>
      </c>
      <c r="G576" t="b">
        <v>1</v>
      </c>
      <c r="H576" t="inlineStr">
        <is>
          <t>11/2026</t>
        </is>
      </c>
    </row>
    <row r="577">
      <c r="A577" t="inlineStr">
        <is>
          <t>Nuv Gastrobar</t>
        </is>
      </c>
      <c r="B577" t="inlineStr">
        <is>
          <t>Faturamento Bruto</t>
        </is>
      </c>
      <c r="C577" t="inlineStr">
        <is>
          <t>Alimentação</t>
        </is>
      </c>
      <c r="D577" t="inlineStr">
        <is>
          <t>01/12/2026</t>
        </is>
      </c>
      <c r="E577" t="n">
        <v>240672</v>
      </c>
      <c r="F577" t="inlineStr">
        <is>
          <t>Fabrica de Bares (2025)</t>
        </is>
      </c>
      <c r="G577" t="b">
        <v>1</v>
      </c>
      <c r="H577" t="inlineStr">
        <is>
          <t>12/2026</t>
        </is>
      </c>
    </row>
    <row r="578">
      <c r="A578" t="inlineStr">
        <is>
          <t>Nuv Gastrobar</t>
        </is>
      </c>
      <c r="B578" t="inlineStr">
        <is>
          <t>Faturamento Bruto</t>
        </is>
      </c>
      <c r="C578" t="inlineStr">
        <is>
          <t>Artístico (couvert/shows)</t>
        </is>
      </c>
      <c r="D578" t="inlineStr">
        <is>
          <t>01/01/2026</t>
        </is>
      </c>
      <c r="E578" t="n">
        <v>0</v>
      </c>
      <c r="F578" t="inlineStr">
        <is>
          <t>Fabrica de Bares (2025)</t>
        </is>
      </c>
      <c r="G578" t="b">
        <v>1</v>
      </c>
      <c r="H578" t="inlineStr">
        <is>
          <t>1/2026</t>
        </is>
      </c>
    </row>
    <row r="579">
      <c r="A579" t="inlineStr">
        <is>
          <t>Nuv Gastrobar</t>
        </is>
      </c>
      <c r="B579" t="inlineStr">
        <is>
          <t>Faturamento Bruto</t>
        </is>
      </c>
      <c r="C579" t="inlineStr">
        <is>
          <t>Artístico (couvert/shows)</t>
        </is>
      </c>
      <c r="D579" t="inlineStr">
        <is>
          <t>01/02/2026</t>
        </is>
      </c>
      <c r="E579" t="n">
        <v>0</v>
      </c>
      <c r="F579" t="inlineStr">
        <is>
          <t>Fabrica de Bares (2025)</t>
        </is>
      </c>
      <c r="G579" t="b">
        <v>1</v>
      </c>
      <c r="H579" t="inlineStr">
        <is>
          <t>2/2026</t>
        </is>
      </c>
    </row>
    <row r="580">
      <c r="A580" t="inlineStr">
        <is>
          <t>Nuv Gastrobar</t>
        </is>
      </c>
      <c r="B580" t="inlineStr">
        <is>
          <t>Faturamento Bruto</t>
        </is>
      </c>
      <c r="C580" t="inlineStr">
        <is>
          <t>Artístico (couvert/shows)</t>
        </is>
      </c>
      <c r="D580" t="inlineStr">
        <is>
          <t>01/03/2026</t>
        </is>
      </c>
      <c r="E580" t="n">
        <v>0</v>
      </c>
      <c r="F580" t="inlineStr">
        <is>
          <t>Fabrica de Bares (2025)</t>
        </is>
      </c>
      <c r="G580" t="b">
        <v>1</v>
      </c>
      <c r="H580" t="inlineStr">
        <is>
          <t>3/2026</t>
        </is>
      </c>
    </row>
    <row r="581">
      <c r="A581" t="inlineStr">
        <is>
          <t>Nuv Gastrobar</t>
        </is>
      </c>
      <c r="B581" t="inlineStr">
        <is>
          <t>Faturamento Bruto</t>
        </is>
      </c>
      <c r="C581" t="inlineStr">
        <is>
          <t>Artístico (couvert/shows)</t>
        </is>
      </c>
      <c r="D581" t="inlineStr">
        <is>
          <t>01/04/2026</t>
        </is>
      </c>
      <c r="E581" t="n">
        <v>0</v>
      </c>
      <c r="F581" t="inlineStr">
        <is>
          <t>Fabrica de Bares (2025)</t>
        </is>
      </c>
      <c r="G581" t="b">
        <v>1</v>
      </c>
      <c r="H581" t="inlineStr">
        <is>
          <t>4/2026</t>
        </is>
      </c>
    </row>
    <row r="582">
      <c r="A582" t="inlineStr">
        <is>
          <t>Nuv Gastrobar</t>
        </is>
      </c>
      <c r="B582" t="inlineStr">
        <is>
          <t>Faturamento Bruto</t>
        </is>
      </c>
      <c r="C582" t="inlineStr">
        <is>
          <t>Artístico (couvert/shows)</t>
        </is>
      </c>
      <c r="D582" t="inlineStr">
        <is>
          <t>01/05/2026</t>
        </is>
      </c>
      <c r="E582" t="n">
        <v>0</v>
      </c>
      <c r="F582" t="inlineStr">
        <is>
          <t>Fabrica de Bares (2025)</t>
        </is>
      </c>
      <c r="G582" t="b">
        <v>1</v>
      </c>
      <c r="H582" t="inlineStr">
        <is>
          <t>5/2026</t>
        </is>
      </c>
    </row>
    <row r="583">
      <c r="A583" t="inlineStr">
        <is>
          <t>Nuv Gastrobar</t>
        </is>
      </c>
      <c r="B583" t="inlineStr">
        <is>
          <t>Faturamento Bruto</t>
        </is>
      </c>
      <c r="C583" t="inlineStr">
        <is>
          <t>Artístico (couvert/shows)</t>
        </is>
      </c>
      <c r="D583" t="inlineStr">
        <is>
          <t>01/06/2026</t>
        </is>
      </c>
      <c r="E583" t="n">
        <v>0</v>
      </c>
      <c r="F583" t="inlineStr">
        <is>
          <t>Fabrica de Bares (2025)</t>
        </is>
      </c>
      <c r="G583" t="b">
        <v>1</v>
      </c>
      <c r="H583" t="inlineStr">
        <is>
          <t>6/2026</t>
        </is>
      </c>
    </row>
    <row r="584">
      <c r="A584" t="inlineStr">
        <is>
          <t>Nuv Gastrobar</t>
        </is>
      </c>
      <c r="B584" t="inlineStr">
        <is>
          <t>Faturamento Bruto</t>
        </is>
      </c>
      <c r="C584" t="inlineStr">
        <is>
          <t>Artístico (couvert/shows)</t>
        </is>
      </c>
      <c r="D584" t="inlineStr">
        <is>
          <t>01/07/2026</t>
        </is>
      </c>
      <c r="E584" t="n">
        <v>0</v>
      </c>
      <c r="F584" t="inlineStr">
        <is>
          <t>Fabrica de Bares (2025)</t>
        </is>
      </c>
      <c r="G584" t="b">
        <v>1</v>
      </c>
      <c r="H584" t="inlineStr">
        <is>
          <t>7/2026</t>
        </is>
      </c>
    </row>
    <row r="585">
      <c r="A585" t="inlineStr">
        <is>
          <t>Nuv Gastrobar</t>
        </is>
      </c>
      <c r="B585" t="inlineStr">
        <is>
          <t>Faturamento Bruto</t>
        </is>
      </c>
      <c r="C585" t="inlineStr">
        <is>
          <t>Artístico (couvert/shows)</t>
        </is>
      </c>
      <c r="D585" t="inlineStr">
        <is>
          <t>01/08/2026</t>
        </is>
      </c>
      <c r="E585" t="n">
        <v>0</v>
      </c>
      <c r="F585" t="inlineStr">
        <is>
          <t>Fabrica de Bares (2025)</t>
        </is>
      </c>
      <c r="G585" t="b">
        <v>1</v>
      </c>
      <c r="H585" t="inlineStr">
        <is>
          <t>8/2026</t>
        </is>
      </c>
    </row>
    <row r="586">
      <c r="A586" t="inlineStr">
        <is>
          <t>Nuv Gastrobar</t>
        </is>
      </c>
      <c r="B586" t="inlineStr">
        <is>
          <t>Faturamento Bruto</t>
        </is>
      </c>
      <c r="C586" t="inlineStr">
        <is>
          <t>Artístico (couvert/shows)</t>
        </is>
      </c>
      <c r="D586" t="inlineStr">
        <is>
          <t>01/09/2026</t>
        </is>
      </c>
      <c r="E586" t="n">
        <v>0</v>
      </c>
      <c r="F586" t="inlineStr">
        <is>
          <t>Fabrica de Bares (2025)</t>
        </is>
      </c>
      <c r="G586" t="b">
        <v>1</v>
      </c>
      <c r="H586" t="inlineStr">
        <is>
          <t>9/2026</t>
        </is>
      </c>
    </row>
    <row r="587">
      <c r="A587" t="inlineStr">
        <is>
          <t>Nuv Gastrobar</t>
        </is>
      </c>
      <c r="B587" t="inlineStr">
        <is>
          <t>Faturamento Bruto</t>
        </is>
      </c>
      <c r="C587" t="inlineStr">
        <is>
          <t>Artístico (couvert/shows)</t>
        </is>
      </c>
      <c r="D587" t="inlineStr">
        <is>
          <t>01/10/2026</t>
        </is>
      </c>
      <c r="E587" t="n">
        <v>0</v>
      </c>
      <c r="F587" t="inlineStr">
        <is>
          <t>Fabrica de Bares (2025)</t>
        </is>
      </c>
      <c r="G587" t="b">
        <v>1</v>
      </c>
      <c r="H587" t="inlineStr">
        <is>
          <t>10/2026</t>
        </is>
      </c>
    </row>
    <row r="588">
      <c r="A588" t="inlineStr">
        <is>
          <t>Nuv Gastrobar</t>
        </is>
      </c>
      <c r="B588" t="inlineStr">
        <is>
          <t>Faturamento Bruto</t>
        </is>
      </c>
      <c r="C588" t="inlineStr">
        <is>
          <t>Artístico (couvert/shows)</t>
        </is>
      </c>
      <c r="D588" t="inlineStr">
        <is>
          <t>01/11/2026</t>
        </is>
      </c>
      <c r="E588" t="n">
        <v>0</v>
      </c>
      <c r="F588" t="inlineStr">
        <is>
          <t>Fabrica de Bares (2025)</t>
        </is>
      </c>
      <c r="G588" t="b">
        <v>1</v>
      </c>
      <c r="H588" t="inlineStr">
        <is>
          <t>11/2026</t>
        </is>
      </c>
    </row>
    <row r="589">
      <c r="A589" t="inlineStr">
        <is>
          <t>Nuv Gastrobar</t>
        </is>
      </c>
      <c r="B589" t="inlineStr">
        <is>
          <t>Faturamento Bruto</t>
        </is>
      </c>
      <c r="C589" t="inlineStr">
        <is>
          <t>Artístico (couvert/shows)</t>
        </is>
      </c>
      <c r="D589" t="inlineStr">
        <is>
          <t>01/12/2026</t>
        </is>
      </c>
      <c r="E589" t="n">
        <v>0</v>
      </c>
      <c r="F589" t="inlineStr">
        <is>
          <t>Fabrica de Bares (2025)</t>
        </is>
      </c>
      <c r="G589" t="b">
        <v>1</v>
      </c>
      <c r="H589" t="inlineStr">
        <is>
          <t>12/2026</t>
        </is>
      </c>
    </row>
    <row r="590">
      <c r="A590" t="inlineStr">
        <is>
          <t>Nuv Gastrobar</t>
        </is>
      </c>
      <c r="B590" t="inlineStr">
        <is>
          <t>Faturamento Bruto</t>
        </is>
      </c>
      <c r="C590" t="inlineStr">
        <is>
          <t>Bebida</t>
        </is>
      </c>
      <c r="D590" t="inlineStr">
        <is>
          <t>01/01/2026</t>
        </is>
      </c>
      <c r="E590" t="n">
        <v>0</v>
      </c>
      <c r="F590" t="inlineStr">
        <is>
          <t>Fabrica de Bares (2025)</t>
        </is>
      </c>
      <c r="G590" t="b">
        <v>1</v>
      </c>
      <c r="H590" t="inlineStr">
        <is>
          <t>1/2026</t>
        </is>
      </c>
    </row>
    <row r="591">
      <c r="A591" t="inlineStr">
        <is>
          <t>Nuv Gastrobar</t>
        </is>
      </c>
      <c r="B591" t="inlineStr">
        <is>
          <t>Faturamento Bruto</t>
        </is>
      </c>
      <c r="C591" t="inlineStr">
        <is>
          <t>Bebida</t>
        </is>
      </c>
      <c r="D591" t="inlineStr">
        <is>
          <t>01/02/2026</t>
        </is>
      </c>
      <c r="E591" t="n">
        <v>0</v>
      </c>
      <c r="F591" t="inlineStr">
        <is>
          <t>Fabrica de Bares (2025)</t>
        </is>
      </c>
      <c r="G591" t="b">
        <v>1</v>
      </c>
      <c r="H591" t="inlineStr">
        <is>
          <t>2/2026</t>
        </is>
      </c>
    </row>
    <row r="592">
      <c r="A592" t="inlineStr">
        <is>
          <t>Nuv Gastrobar</t>
        </is>
      </c>
      <c r="B592" t="inlineStr">
        <is>
          <t>Faturamento Bruto</t>
        </is>
      </c>
      <c r="C592" t="inlineStr">
        <is>
          <t>Bebida</t>
        </is>
      </c>
      <c r="D592" t="inlineStr">
        <is>
          <t>01/03/2026</t>
        </is>
      </c>
      <c r="E592" t="n">
        <v>0</v>
      </c>
      <c r="F592" t="inlineStr">
        <is>
          <t>Fabrica de Bares (2025)</t>
        </is>
      </c>
      <c r="G592" t="b">
        <v>1</v>
      </c>
      <c r="H592" t="inlineStr">
        <is>
          <t>3/2026</t>
        </is>
      </c>
    </row>
    <row r="593">
      <c r="A593" t="inlineStr">
        <is>
          <t>Nuv Gastrobar</t>
        </is>
      </c>
      <c r="B593" t="inlineStr">
        <is>
          <t>Faturamento Bruto</t>
        </is>
      </c>
      <c r="C593" t="inlineStr">
        <is>
          <t>Bebida</t>
        </is>
      </c>
      <c r="D593" t="inlineStr">
        <is>
          <t>01/04/2026</t>
        </is>
      </c>
      <c r="E593" t="n">
        <v>0</v>
      </c>
      <c r="F593" t="inlineStr">
        <is>
          <t>Fabrica de Bares (2025)</t>
        </is>
      </c>
      <c r="G593" t="b">
        <v>1</v>
      </c>
      <c r="H593" t="inlineStr">
        <is>
          <t>4/2026</t>
        </is>
      </c>
    </row>
    <row r="594">
      <c r="A594" t="inlineStr">
        <is>
          <t>Nuv Gastrobar</t>
        </is>
      </c>
      <c r="B594" t="inlineStr">
        <is>
          <t>Faturamento Bruto</t>
        </is>
      </c>
      <c r="C594" t="inlineStr">
        <is>
          <t>Bebida</t>
        </is>
      </c>
      <c r="D594" t="inlineStr">
        <is>
          <t>01/05/2026</t>
        </is>
      </c>
      <c r="E594" t="n">
        <v>0</v>
      </c>
      <c r="F594" t="inlineStr">
        <is>
          <t>Fabrica de Bares (2025)</t>
        </is>
      </c>
      <c r="G594" t="b">
        <v>1</v>
      </c>
      <c r="H594" t="inlineStr">
        <is>
          <t>5/2026</t>
        </is>
      </c>
    </row>
    <row r="595">
      <c r="A595" t="inlineStr">
        <is>
          <t>Nuv Gastrobar</t>
        </is>
      </c>
      <c r="B595" t="inlineStr">
        <is>
          <t>Faturamento Bruto</t>
        </is>
      </c>
      <c r="C595" t="inlineStr">
        <is>
          <t>Bebida</t>
        </is>
      </c>
      <c r="D595" t="inlineStr">
        <is>
          <t>01/06/2026</t>
        </is>
      </c>
      <c r="E595" t="n">
        <v>0</v>
      </c>
      <c r="F595" t="inlineStr">
        <is>
          <t>Fabrica de Bares (2025)</t>
        </is>
      </c>
      <c r="G595" t="b">
        <v>1</v>
      </c>
      <c r="H595" t="inlineStr">
        <is>
          <t>6/2026</t>
        </is>
      </c>
    </row>
    <row r="596">
      <c r="A596" t="inlineStr">
        <is>
          <t>Nuv Gastrobar</t>
        </is>
      </c>
      <c r="B596" t="inlineStr">
        <is>
          <t>Faturamento Bruto</t>
        </is>
      </c>
      <c r="C596" t="inlineStr">
        <is>
          <t>Bebida</t>
        </is>
      </c>
      <c r="D596" t="inlineStr">
        <is>
          <t>01/07/2026</t>
        </is>
      </c>
      <c r="E596" t="n">
        <v>0</v>
      </c>
      <c r="F596" t="inlineStr">
        <is>
          <t>Fabrica de Bares (2025)</t>
        </is>
      </c>
      <c r="G596" t="b">
        <v>1</v>
      </c>
      <c r="H596" t="inlineStr">
        <is>
          <t>7/2026</t>
        </is>
      </c>
    </row>
    <row r="597">
      <c r="A597" t="inlineStr">
        <is>
          <t>Nuv Gastrobar</t>
        </is>
      </c>
      <c r="B597" t="inlineStr">
        <is>
          <t>Faturamento Bruto</t>
        </is>
      </c>
      <c r="C597" t="inlineStr">
        <is>
          <t>Bebida</t>
        </is>
      </c>
      <c r="D597" t="inlineStr">
        <is>
          <t>01/08/2026</t>
        </is>
      </c>
      <c r="E597" t="n">
        <v>98256</v>
      </c>
      <c r="F597" t="inlineStr">
        <is>
          <t>Fabrica de Bares (2025)</t>
        </is>
      </c>
      <c r="G597" t="b">
        <v>1</v>
      </c>
      <c r="H597" t="inlineStr">
        <is>
          <t>8/2026</t>
        </is>
      </c>
    </row>
    <row r="598">
      <c r="A598" t="inlineStr">
        <is>
          <t>Nuv Gastrobar</t>
        </is>
      </c>
      <c r="B598" t="inlineStr">
        <is>
          <t>Faturamento Bruto</t>
        </is>
      </c>
      <c r="C598" t="inlineStr">
        <is>
          <t>Bebida</t>
        </is>
      </c>
      <c r="D598" t="inlineStr">
        <is>
          <t>01/09/2026</t>
        </is>
      </c>
      <c r="E598" t="n">
        <v>155168</v>
      </c>
      <c r="F598" t="inlineStr">
        <is>
          <t>Fabrica de Bares (2025)</t>
        </is>
      </c>
      <c r="G598" t="b">
        <v>1</v>
      </c>
      <c r="H598" t="inlineStr">
        <is>
          <t>9/2026</t>
        </is>
      </c>
    </row>
    <row r="599">
      <c r="A599" t="inlineStr">
        <is>
          <t>Nuv Gastrobar</t>
        </is>
      </c>
      <c r="B599" t="inlineStr">
        <is>
          <t>Faturamento Bruto</t>
        </is>
      </c>
      <c r="C599" t="inlineStr">
        <is>
          <t>Bebida</t>
        </is>
      </c>
      <c r="D599" t="inlineStr">
        <is>
          <t>01/10/2026</t>
        </is>
      </c>
      <c r="E599" t="n">
        <v>170768</v>
      </c>
      <c r="F599" t="inlineStr">
        <is>
          <t>Fabrica de Bares (2025)</t>
        </is>
      </c>
      <c r="G599" t="b">
        <v>1</v>
      </c>
      <c r="H599" t="inlineStr">
        <is>
          <t>10/2026</t>
        </is>
      </c>
    </row>
    <row r="600">
      <c r="A600" t="inlineStr">
        <is>
          <t>Nuv Gastrobar</t>
        </is>
      </c>
      <c r="B600" t="inlineStr">
        <is>
          <t>Faturamento Bruto</t>
        </is>
      </c>
      <c r="C600" t="inlineStr">
        <is>
          <t>Bebida</t>
        </is>
      </c>
      <c r="D600" t="inlineStr">
        <is>
          <t>01/11/2026</t>
        </is>
      </c>
      <c r="E600" t="n">
        <v>164320</v>
      </c>
      <c r="F600" t="inlineStr">
        <is>
          <t>Fabrica de Bares (2025)</t>
        </is>
      </c>
      <c r="G600" t="b">
        <v>1</v>
      </c>
      <c r="H600" t="inlineStr">
        <is>
          <t>11/2026</t>
        </is>
      </c>
    </row>
    <row r="601">
      <c r="A601" t="inlineStr">
        <is>
          <t>Nuv Gastrobar</t>
        </is>
      </c>
      <c r="B601" t="inlineStr">
        <is>
          <t>Faturamento Bruto</t>
        </is>
      </c>
      <c r="C601" t="inlineStr">
        <is>
          <t>Bebida</t>
        </is>
      </c>
      <c r="D601" t="inlineStr">
        <is>
          <t>01/12/2026</t>
        </is>
      </c>
      <c r="E601" t="n">
        <v>160448</v>
      </c>
      <c r="F601" t="inlineStr">
        <is>
          <t>Fabrica de Bares (2025)</t>
        </is>
      </c>
      <c r="G601" t="b">
        <v>1</v>
      </c>
      <c r="H601" t="inlineStr">
        <is>
          <t>12/2026</t>
        </is>
      </c>
    </row>
    <row r="602">
      <c r="A602" t="inlineStr">
        <is>
          <t>Nuv Gastrobar</t>
        </is>
      </c>
      <c r="B602" t="inlineStr">
        <is>
          <t>Faturamento Bruto</t>
        </is>
      </c>
      <c r="C602" t="inlineStr">
        <is>
          <t>Delivery</t>
        </is>
      </c>
      <c r="D602" t="inlineStr">
        <is>
          <t>01/01/2026</t>
        </is>
      </c>
      <c r="E602" t="n">
        <v>0</v>
      </c>
      <c r="F602" t="inlineStr">
        <is>
          <t>Fabrica de Bares (2025)</t>
        </is>
      </c>
      <c r="G602" t="b">
        <v>1</v>
      </c>
      <c r="H602" t="inlineStr">
        <is>
          <t>1/2026</t>
        </is>
      </c>
    </row>
    <row r="603">
      <c r="A603" t="inlineStr">
        <is>
          <t>Nuv Gastrobar</t>
        </is>
      </c>
      <c r="B603" t="inlineStr">
        <is>
          <t>Faturamento Bruto</t>
        </is>
      </c>
      <c r="C603" t="inlineStr">
        <is>
          <t>Delivery</t>
        </is>
      </c>
      <c r="D603" t="inlineStr">
        <is>
          <t>01/02/2026</t>
        </is>
      </c>
      <c r="E603" t="n">
        <v>0</v>
      </c>
      <c r="F603" t="inlineStr">
        <is>
          <t>Fabrica de Bares (2025)</t>
        </is>
      </c>
      <c r="G603" t="b">
        <v>1</v>
      </c>
      <c r="H603" t="inlineStr">
        <is>
          <t>2/2026</t>
        </is>
      </c>
    </row>
    <row r="604">
      <c r="A604" t="inlineStr">
        <is>
          <t>Nuv Gastrobar</t>
        </is>
      </c>
      <c r="B604" t="inlineStr">
        <is>
          <t>Faturamento Bruto</t>
        </is>
      </c>
      <c r="C604" t="inlineStr">
        <is>
          <t>Delivery</t>
        </is>
      </c>
      <c r="D604" t="inlineStr">
        <is>
          <t>01/03/2026</t>
        </is>
      </c>
      <c r="E604" t="n">
        <v>0</v>
      </c>
      <c r="F604" t="inlineStr">
        <is>
          <t>Fabrica de Bares (2025)</t>
        </is>
      </c>
      <c r="G604" t="b">
        <v>1</v>
      </c>
      <c r="H604" t="inlineStr">
        <is>
          <t>3/2026</t>
        </is>
      </c>
    </row>
    <row r="605">
      <c r="A605" t="inlineStr">
        <is>
          <t>Nuv Gastrobar</t>
        </is>
      </c>
      <c r="B605" t="inlineStr">
        <is>
          <t>Faturamento Bruto</t>
        </is>
      </c>
      <c r="C605" t="inlineStr">
        <is>
          <t>Delivery</t>
        </is>
      </c>
      <c r="D605" t="inlineStr">
        <is>
          <t>01/04/2026</t>
        </is>
      </c>
      <c r="E605" t="n">
        <v>0</v>
      </c>
      <c r="F605" t="inlineStr">
        <is>
          <t>Fabrica de Bares (2025)</t>
        </is>
      </c>
      <c r="G605" t="b">
        <v>1</v>
      </c>
      <c r="H605" t="inlineStr">
        <is>
          <t>4/2026</t>
        </is>
      </c>
    </row>
    <row r="606">
      <c r="A606" t="inlineStr">
        <is>
          <t>Nuv Gastrobar</t>
        </is>
      </c>
      <c r="B606" t="inlineStr">
        <is>
          <t>Faturamento Bruto</t>
        </is>
      </c>
      <c r="C606" t="inlineStr">
        <is>
          <t>Delivery</t>
        </is>
      </c>
      <c r="D606" t="inlineStr">
        <is>
          <t>01/05/2026</t>
        </is>
      </c>
      <c r="E606" t="n">
        <v>0</v>
      </c>
      <c r="F606" t="inlineStr">
        <is>
          <t>Fabrica de Bares (2025)</t>
        </is>
      </c>
      <c r="G606" t="b">
        <v>1</v>
      </c>
      <c r="H606" t="inlineStr">
        <is>
          <t>5/2026</t>
        </is>
      </c>
    </row>
    <row r="607">
      <c r="A607" t="inlineStr">
        <is>
          <t>Nuv Gastrobar</t>
        </is>
      </c>
      <c r="B607" t="inlineStr">
        <is>
          <t>Faturamento Bruto</t>
        </is>
      </c>
      <c r="C607" t="inlineStr">
        <is>
          <t>Delivery</t>
        </is>
      </c>
      <c r="D607" t="inlineStr">
        <is>
          <t>01/06/2026</t>
        </is>
      </c>
      <c r="E607" t="n">
        <v>0</v>
      </c>
      <c r="F607" t="inlineStr">
        <is>
          <t>Fabrica de Bares (2025)</t>
        </is>
      </c>
      <c r="G607" t="b">
        <v>1</v>
      </c>
      <c r="H607" t="inlineStr">
        <is>
          <t>6/2026</t>
        </is>
      </c>
    </row>
    <row r="608">
      <c r="A608" t="inlineStr">
        <is>
          <t>Nuv Gastrobar</t>
        </is>
      </c>
      <c r="B608" t="inlineStr">
        <is>
          <t>Faturamento Bruto</t>
        </is>
      </c>
      <c r="C608" t="inlineStr">
        <is>
          <t>Delivery</t>
        </is>
      </c>
      <c r="D608" t="inlineStr">
        <is>
          <t>01/07/2026</t>
        </is>
      </c>
      <c r="E608" t="n">
        <v>0</v>
      </c>
      <c r="F608" t="inlineStr">
        <is>
          <t>Fabrica de Bares (2025)</t>
        </is>
      </c>
      <c r="G608" t="b">
        <v>1</v>
      </c>
      <c r="H608" t="inlineStr">
        <is>
          <t>7/2026</t>
        </is>
      </c>
    </row>
    <row r="609">
      <c r="A609" t="inlineStr">
        <is>
          <t>Nuv Gastrobar</t>
        </is>
      </c>
      <c r="B609" t="inlineStr">
        <is>
          <t>Faturamento Bruto</t>
        </is>
      </c>
      <c r="C609" t="inlineStr">
        <is>
          <t>Delivery</t>
        </is>
      </c>
      <c r="D609" t="inlineStr">
        <is>
          <t>01/08/2026</t>
        </is>
      </c>
      <c r="E609" t="n">
        <v>0</v>
      </c>
      <c r="F609" t="inlineStr">
        <is>
          <t>Fabrica de Bares (2025)</t>
        </is>
      </c>
      <c r="G609" t="b">
        <v>1</v>
      </c>
      <c r="H609" t="inlineStr">
        <is>
          <t>8/2026</t>
        </is>
      </c>
    </row>
    <row r="610">
      <c r="A610" t="inlineStr">
        <is>
          <t>Nuv Gastrobar</t>
        </is>
      </c>
      <c r="B610" t="inlineStr">
        <is>
          <t>Faturamento Bruto</t>
        </is>
      </c>
      <c r="C610" t="inlineStr">
        <is>
          <t>Delivery</t>
        </is>
      </c>
      <c r="D610" t="inlineStr">
        <is>
          <t>01/09/2026</t>
        </is>
      </c>
      <c r="E610" t="n">
        <v>0</v>
      </c>
      <c r="F610" t="inlineStr">
        <is>
          <t>Fabrica de Bares (2025)</t>
        </is>
      </c>
      <c r="G610" t="b">
        <v>1</v>
      </c>
      <c r="H610" t="inlineStr">
        <is>
          <t>9/2026</t>
        </is>
      </c>
    </row>
    <row r="611">
      <c r="A611" t="inlineStr">
        <is>
          <t>Nuv Gastrobar</t>
        </is>
      </c>
      <c r="B611" t="inlineStr">
        <is>
          <t>Faturamento Bruto</t>
        </is>
      </c>
      <c r="C611" t="inlineStr">
        <is>
          <t>Delivery</t>
        </is>
      </c>
      <c r="D611" t="inlineStr">
        <is>
          <t>01/10/2026</t>
        </is>
      </c>
      <c r="E611" t="n">
        <v>0</v>
      </c>
      <c r="F611" t="inlineStr">
        <is>
          <t>Fabrica de Bares (2025)</t>
        </is>
      </c>
      <c r="G611" t="b">
        <v>1</v>
      </c>
      <c r="H611" t="inlineStr">
        <is>
          <t>10/2026</t>
        </is>
      </c>
    </row>
    <row r="612">
      <c r="A612" t="inlineStr">
        <is>
          <t>Nuv Gastrobar</t>
        </is>
      </c>
      <c r="B612" t="inlineStr">
        <is>
          <t>Faturamento Bruto</t>
        </is>
      </c>
      <c r="C612" t="inlineStr">
        <is>
          <t>Delivery</t>
        </is>
      </c>
      <c r="D612" t="inlineStr">
        <is>
          <t>01/11/2026</t>
        </is>
      </c>
      <c r="E612" t="n">
        <v>0</v>
      </c>
      <c r="F612" t="inlineStr">
        <is>
          <t>Fabrica de Bares (2025)</t>
        </is>
      </c>
      <c r="G612" t="b">
        <v>1</v>
      </c>
      <c r="H612" t="inlineStr">
        <is>
          <t>11/2026</t>
        </is>
      </c>
    </row>
    <row r="613">
      <c r="A613" t="inlineStr">
        <is>
          <t>Nuv Gastrobar</t>
        </is>
      </c>
      <c r="B613" t="inlineStr">
        <is>
          <t>Faturamento Bruto</t>
        </is>
      </c>
      <c r="C613" t="inlineStr">
        <is>
          <t>Delivery</t>
        </is>
      </c>
      <c r="D613" t="inlineStr">
        <is>
          <t>01/12/2026</t>
        </is>
      </c>
      <c r="E613" t="n">
        <v>0</v>
      </c>
      <c r="F613" t="inlineStr">
        <is>
          <t>Fabrica de Bares (2025)</t>
        </is>
      </c>
      <c r="G613" t="b">
        <v>1</v>
      </c>
      <c r="H613" t="inlineStr">
        <is>
          <t>12/2026</t>
        </is>
      </c>
    </row>
    <row r="614">
      <c r="A614" t="inlineStr">
        <is>
          <t>Nuv Gastrobar</t>
        </is>
      </c>
      <c r="B614" t="inlineStr">
        <is>
          <t>Faturamento Bruto</t>
        </is>
      </c>
      <c r="C614" t="inlineStr">
        <is>
          <t>Eventos A&amp;B</t>
        </is>
      </c>
      <c r="D614" t="inlineStr">
        <is>
          <t>01/01/2026</t>
        </is>
      </c>
      <c r="E614" t="n">
        <v>0</v>
      </c>
      <c r="F614" t="inlineStr">
        <is>
          <t>Fabrica de Bares (2025)</t>
        </is>
      </c>
      <c r="G614" t="b">
        <v>1</v>
      </c>
      <c r="H614" t="inlineStr">
        <is>
          <t>1/2026</t>
        </is>
      </c>
    </row>
    <row r="615">
      <c r="A615" t="inlineStr">
        <is>
          <t>Nuv Gastrobar</t>
        </is>
      </c>
      <c r="B615" t="inlineStr">
        <is>
          <t>Faturamento Bruto</t>
        </is>
      </c>
      <c r="C615" t="inlineStr">
        <is>
          <t>Eventos A&amp;B</t>
        </is>
      </c>
      <c r="D615" t="inlineStr">
        <is>
          <t>01/02/2026</t>
        </is>
      </c>
      <c r="E615" t="n">
        <v>0</v>
      </c>
      <c r="F615" t="inlineStr">
        <is>
          <t>Fabrica de Bares (2025)</t>
        </is>
      </c>
      <c r="G615" t="b">
        <v>1</v>
      </c>
      <c r="H615" t="inlineStr">
        <is>
          <t>2/2026</t>
        </is>
      </c>
    </row>
    <row r="616">
      <c r="A616" t="inlineStr">
        <is>
          <t>Nuv Gastrobar</t>
        </is>
      </c>
      <c r="B616" t="inlineStr">
        <is>
          <t>Faturamento Bruto</t>
        </is>
      </c>
      <c r="C616" t="inlineStr">
        <is>
          <t>Eventos A&amp;B</t>
        </is>
      </c>
      <c r="D616" t="inlineStr">
        <is>
          <t>01/03/2026</t>
        </is>
      </c>
      <c r="E616" t="n">
        <v>0</v>
      </c>
      <c r="F616" t="inlineStr">
        <is>
          <t>Fabrica de Bares (2025)</t>
        </is>
      </c>
      <c r="G616" t="b">
        <v>1</v>
      </c>
      <c r="H616" t="inlineStr">
        <is>
          <t>3/2026</t>
        </is>
      </c>
    </row>
    <row r="617">
      <c r="A617" t="inlineStr">
        <is>
          <t>Nuv Gastrobar</t>
        </is>
      </c>
      <c r="B617" t="inlineStr">
        <is>
          <t>Faturamento Bruto</t>
        </is>
      </c>
      <c r="C617" t="inlineStr">
        <is>
          <t>Eventos A&amp;B</t>
        </is>
      </c>
      <c r="D617" t="inlineStr">
        <is>
          <t>01/04/2026</t>
        </is>
      </c>
      <c r="E617" t="n">
        <v>0</v>
      </c>
      <c r="F617" t="inlineStr">
        <is>
          <t>Fabrica de Bares (2025)</t>
        </is>
      </c>
      <c r="G617" t="b">
        <v>1</v>
      </c>
      <c r="H617" t="inlineStr">
        <is>
          <t>4/2026</t>
        </is>
      </c>
    </row>
    <row r="618">
      <c r="A618" t="inlineStr">
        <is>
          <t>Nuv Gastrobar</t>
        </is>
      </c>
      <c r="B618" t="inlineStr">
        <is>
          <t>Faturamento Bruto</t>
        </is>
      </c>
      <c r="C618" t="inlineStr">
        <is>
          <t>Eventos A&amp;B</t>
        </is>
      </c>
      <c r="D618" t="inlineStr">
        <is>
          <t>01/05/2026</t>
        </is>
      </c>
      <c r="E618" t="n">
        <v>0</v>
      </c>
      <c r="F618" t="inlineStr">
        <is>
          <t>Fabrica de Bares (2025)</t>
        </is>
      </c>
      <c r="G618" t="b">
        <v>1</v>
      </c>
      <c r="H618" t="inlineStr">
        <is>
          <t>5/2026</t>
        </is>
      </c>
    </row>
    <row r="619">
      <c r="A619" t="inlineStr">
        <is>
          <t>Nuv Gastrobar</t>
        </is>
      </c>
      <c r="B619" t="inlineStr">
        <is>
          <t>Faturamento Bruto</t>
        </is>
      </c>
      <c r="C619" t="inlineStr">
        <is>
          <t>Eventos A&amp;B</t>
        </is>
      </c>
      <c r="D619" t="inlineStr">
        <is>
          <t>01/06/2026</t>
        </is>
      </c>
      <c r="E619" t="n">
        <v>0</v>
      </c>
      <c r="F619" t="inlineStr">
        <is>
          <t>Fabrica de Bares (2025)</t>
        </is>
      </c>
      <c r="G619" t="b">
        <v>1</v>
      </c>
      <c r="H619" t="inlineStr">
        <is>
          <t>6/2026</t>
        </is>
      </c>
    </row>
    <row r="620">
      <c r="A620" t="inlineStr">
        <is>
          <t>Nuv Gastrobar</t>
        </is>
      </c>
      <c r="B620" t="inlineStr">
        <is>
          <t>Faturamento Bruto</t>
        </is>
      </c>
      <c r="C620" t="inlineStr">
        <is>
          <t>Eventos A&amp;B</t>
        </is>
      </c>
      <c r="D620" t="inlineStr">
        <is>
          <t>01/07/2026</t>
        </is>
      </c>
      <c r="E620" t="n">
        <v>0</v>
      </c>
      <c r="F620" t="inlineStr">
        <is>
          <t>Fabrica de Bares (2025)</t>
        </is>
      </c>
      <c r="G620" t="b">
        <v>1</v>
      </c>
      <c r="H620" t="inlineStr">
        <is>
          <t>7/2026</t>
        </is>
      </c>
    </row>
    <row r="621">
      <c r="A621" t="inlineStr">
        <is>
          <t>Nuv Gastrobar</t>
        </is>
      </c>
      <c r="B621" t="inlineStr">
        <is>
          <t>Faturamento Bruto</t>
        </is>
      </c>
      <c r="C621" t="inlineStr">
        <is>
          <t>Eventos A&amp;B</t>
        </is>
      </c>
      <c r="D621" t="inlineStr">
        <is>
          <t>01/08/2026</t>
        </is>
      </c>
      <c r="E621" t="n">
        <v>96000</v>
      </c>
      <c r="F621" t="inlineStr">
        <is>
          <t>Fabrica de Bares (2025)</t>
        </is>
      </c>
      <c r="G621" t="b">
        <v>1</v>
      </c>
      <c r="H621" t="inlineStr">
        <is>
          <t>8/2026</t>
        </is>
      </c>
    </row>
    <row r="622">
      <c r="A622" t="inlineStr">
        <is>
          <t>Nuv Gastrobar</t>
        </is>
      </c>
      <c r="B622" t="inlineStr">
        <is>
          <t>Faturamento Bruto</t>
        </is>
      </c>
      <c r="C622" t="inlineStr">
        <is>
          <t>Eventos A&amp;B</t>
        </is>
      </c>
      <c r="D622" t="inlineStr">
        <is>
          <t>01/09/2026</t>
        </is>
      </c>
      <c r="E622" t="n">
        <v>144000</v>
      </c>
      <c r="F622" t="inlineStr">
        <is>
          <t>Fabrica de Bares (2025)</t>
        </is>
      </c>
      <c r="G622" t="b">
        <v>1</v>
      </c>
      <c r="H622" t="inlineStr">
        <is>
          <t>9/2026</t>
        </is>
      </c>
    </row>
    <row r="623">
      <c r="A623" t="inlineStr">
        <is>
          <t>Nuv Gastrobar</t>
        </is>
      </c>
      <c r="B623" t="inlineStr">
        <is>
          <t>Faturamento Bruto</t>
        </is>
      </c>
      <c r="C623" t="inlineStr">
        <is>
          <t>Eventos A&amp;B</t>
        </is>
      </c>
      <c r="D623" t="inlineStr">
        <is>
          <t>01/10/2026</t>
        </is>
      </c>
      <c r="E623" t="n">
        <v>192000</v>
      </c>
      <c r="F623" t="inlineStr">
        <is>
          <t>Fabrica de Bares (2025)</t>
        </is>
      </c>
      <c r="G623" t="b">
        <v>1</v>
      </c>
      <c r="H623" t="inlineStr">
        <is>
          <t>10/2026</t>
        </is>
      </c>
    </row>
    <row r="624">
      <c r="A624" t="inlineStr">
        <is>
          <t>Nuv Gastrobar</t>
        </is>
      </c>
      <c r="B624" t="inlineStr">
        <is>
          <t>Faturamento Bruto</t>
        </is>
      </c>
      <c r="C624" t="inlineStr">
        <is>
          <t>Eventos A&amp;B</t>
        </is>
      </c>
      <c r="D624" t="inlineStr">
        <is>
          <t>01/11/2026</t>
        </is>
      </c>
      <c r="E624" t="n">
        <v>480000</v>
      </c>
      <c r="F624" t="inlineStr">
        <is>
          <t>Fabrica de Bares (2025)</t>
        </is>
      </c>
      <c r="G624" t="b">
        <v>1</v>
      </c>
      <c r="H624" t="inlineStr">
        <is>
          <t>11/2026</t>
        </is>
      </c>
    </row>
    <row r="625">
      <c r="A625" t="inlineStr">
        <is>
          <t>Nuv Gastrobar</t>
        </is>
      </c>
      <c r="B625" t="inlineStr">
        <is>
          <t>Faturamento Bruto</t>
        </is>
      </c>
      <c r="C625" t="inlineStr">
        <is>
          <t>Eventos A&amp;B</t>
        </is>
      </c>
      <c r="D625" t="inlineStr">
        <is>
          <t>01/12/2026</t>
        </is>
      </c>
      <c r="E625" t="n">
        <v>480000</v>
      </c>
      <c r="F625" t="inlineStr">
        <is>
          <t>Fabrica de Bares (2025)</t>
        </is>
      </c>
      <c r="G625" t="b">
        <v>1</v>
      </c>
      <c r="H625" t="inlineStr">
        <is>
          <t>12/2026</t>
        </is>
      </c>
    </row>
    <row r="626">
      <c r="A626" t="inlineStr">
        <is>
          <t>Nuv Gastrobar</t>
        </is>
      </c>
      <c r="B626" t="inlineStr">
        <is>
          <t>Faturamento Bruto</t>
        </is>
      </c>
      <c r="C626" t="inlineStr">
        <is>
          <t>Eventos Couvert</t>
        </is>
      </c>
      <c r="D626" t="inlineStr">
        <is>
          <t>01/01/2026</t>
        </is>
      </c>
      <c r="E626" t="n">
        <v>0</v>
      </c>
      <c r="F626" t="inlineStr">
        <is>
          <t>Fabrica de Bares (2025)</t>
        </is>
      </c>
      <c r="G626" t="b">
        <v>1</v>
      </c>
      <c r="H626" t="inlineStr">
        <is>
          <t>1/2026</t>
        </is>
      </c>
    </row>
    <row r="627">
      <c r="A627" t="inlineStr">
        <is>
          <t>Nuv Gastrobar</t>
        </is>
      </c>
      <c r="B627" t="inlineStr">
        <is>
          <t>Faturamento Bruto</t>
        </is>
      </c>
      <c r="C627" t="inlineStr">
        <is>
          <t>Eventos Couvert</t>
        </is>
      </c>
      <c r="D627" t="inlineStr">
        <is>
          <t>01/02/2026</t>
        </is>
      </c>
      <c r="E627" t="n">
        <v>0</v>
      </c>
      <c r="F627" t="inlineStr">
        <is>
          <t>Fabrica de Bares (2025)</t>
        </is>
      </c>
      <c r="G627" t="b">
        <v>1</v>
      </c>
      <c r="H627" t="inlineStr">
        <is>
          <t>2/2026</t>
        </is>
      </c>
    </row>
    <row r="628">
      <c r="A628" t="inlineStr">
        <is>
          <t>Nuv Gastrobar</t>
        </is>
      </c>
      <c r="B628" t="inlineStr">
        <is>
          <t>Faturamento Bruto</t>
        </is>
      </c>
      <c r="C628" t="inlineStr">
        <is>
          <t>Eventos Couvert</t>
        </is>
      </c>
      <c r="D628" t="inlineStr">
        <is>
          <t>01/03/2026</t>
        </is>
      </c>
      <c r="E628" t="n">
        <v>0</v>
      </c>
      <c r="F628" t="inlineStr">
        <is>
          <t>Fabrica de Bares (2025)</t>
        </is>
      </c>
      <c r="G628" t="b">
        <v>1</v>
      </c>
      <c r="H628" t="inlineStr">
        <is>
          <t>3/2026</t>
        </is>
      </c>
    </row>
    <row r="629">
      <c r="A629" t="inlineStr">
        <is>
          <t>Nuv Gastrobar</t>
        </is>
      </c>
      <c r="B629" t="inlineStr">
        <is>
          <t>Faturamento Bruto</t>
        </is>
      </c>
      <c r="C629" t="inlineStr">
        <is>
          <t>Eventos Couvert</t>
        </is>
      </c>
      <c r="D629" t="inlineStr">
        <is>
          <t>01/04/2026</t>
        </is>
      </c>
      <c r="E629" t="n">
        <v>0</v>
      </c>
      <c r="F629" t="inlineStr">
        <is>
          <t>Fabrica de Bares (2025)</t>
        </is>
      </c>
      <c r="G629" t="b">
        <v>1</v>
      </c>
      <c r="H629" t="inlineStr">
        <is>
          <t>4/2026</t>
        </is>
      </c>
    </row>
    <row r="630">
      <c r="A630" t="inlineStr">
        <is>
          <t>Nuv Gastrobar</t>
        </is>
      </c>
      <c r="B630" t="inlineStr">
        <is>
          <t>Faturamento Bruto</t>
        </is>
      </c>
      <c r="C630" t="inlineStr">
        <is>
          <t>Eventos Couvert</t>
        </is>
      </c>
      <c r="D630" t="inlineStr">
        <is>
          <t>01/05/2026</t>
        </is>
      </c>
      <c r="E630" t="n">
        <v>0</v>
      </c>
      <c r="F630" t="inlineStr">
        <is>
          <t>Fabrica de Bares (2025)</t>
        </is>
      </c>
      <c r="G630" t="b">
        <v>1</v>
      </c>
      <c r="H630" t="inlineStr">
        <is>
          <t>5/2026</t>
        </is>
      </c>
    </row>
    <row r="631">
      <c r="A631" t="inlineStr">
        <is>
          <t>Nuv Gastrobar</t>
        </is>
      </c>
      <c r="B631" t="inlineStr">
        <is>
          <t>Faturamento Bruto</t>
        </is>
      </c>
      <c r="C631" t="inlineStr">
        <is>
          <t>Eventos Couvert</t>
        </is>
      </c>
      <c r="D631" t="inlineStr">
        <is>
          <t>01/06/2026</t>
        </is>
      </c>
      <c r="E631" t="n">
        <v>0</v>
      </c>
      <c r="F631" t="inlineStr">
        <is>
          <t>Fabrica de Bares (2025)</t>
        </is>
      </c>
      <c r="G631" t="b">
        <v>1</v>
      </c>
      <c r="H631" t="inlineStr">
        <is>
          <t>6/2026</t>
        </is>
      </c>
    </row>
    <row r="632">
      <c r="A632" t="inlineStr">
        <is>
          <t>Nuv Gastrobar</t>
        </is>
      </c>
      <c r="B632" t="inlineStr">
        <is>
          <t>Faturamento Bruto</t>
        </is>
      </c>
      <c r="C632" t="inlineStr">
        <is>
          <t>Eventos Couvert</t>
        </is>
      </c>
      <c r="D632" t="inlineStr">
        <is>
          <t>01/07/2026</t>
        </is>
      </c>
      <c r="E632" t="n">
        <v>0</v>
      </c>
      <c r="F632" t="inlineStr">
        <is>
          <t>Fabrica de Bares (2025)</t>
        </is>
      </c>
      <c r="G632" t="b">
        <v>1</v>
      </c>
      <c r="H632" t="inlineStr">
        <is>
          <t>7/2026</t>
        </is>
      </c>
    </row>
    <row r="633">
      <c r="A633" t="inlineStr">
        <is>
          <t>Nuv Gastrobar</t>
        </is>
      </c>
      <c r="B633" t="inlineStr">
        <is>
          <t>Faturamento Bruto</t>
        </is>
      </c>
      <c r="C633" t="inlineStr">
        <is>
          <t>Eventos Couvert</t>
        </is>
      </c>
      <c r="D633" t="inlineStr">
        <is>
          <t>01/08/2026</t>
        </is>
      </c>
      <c r="E633" t="n">
        <v>0</v>
      </c>
      <c r="F633" t="inlineStr">
        <is>
          <t>Fabrica de Bares (2025)</t>
        </is>
      </c>
      <c r="G633" t="b">
        <v>1</v>
      </c>
      <c r="H633" t="inlineStr">
        <is>
          <t>8/2026</t>
        </is>
      </c>
    </row>
    <row r="634">
      <c r="A634" t="inlineStr">
        <is>
          <t>Nuv Gastrobar</t>
        </is>
      </c>
      <c r="B634" t="inlineStr">
        <is>
          <t>Faturamento Bruto</t>
        </is>
      </c>
      <c r="C634" t="inlineStr">
        <is>
          <t>Eventos Couvert</t>
        </is>
      </c>
      <c r="D634" t="inlineStr">
        <is>
          <t>01/09/2026</t>
        </is>
      </c>
      <c r="E634" t="n">
        <v>0</v>
      </c>
      <c r="F634" t="inlineStr">
        <is>
          <t>Fabrica de Bares (2025)</t>
        </is>
      </c>
      <c r="G634" t="b">
        <v>1</v>
      </c>
      <c r="H634" t="inlineStr">
        <is>
          <t>9/2026</t>
        </is>
      </c>
    </row>
    <row r="635">
      <c r="A635" t="inlineStr">
        <is>
          <t>Nuv Gastrobar</t>
        </is>
      </c>
      <c r="B635" t="inlineStr">
        <is>
          <t>Faturamento Bruto</t>
        </is>
      </c>
      <c r="C635" t="inlineStr">
        <is>
          <t>Eventos Couvert</t>
        </is>
      </c>
      <c r="D635" t="inlineStr">
        <is>
          <t>01/10/2026</t>
        </is>
      </c>
      <c r="E635" t="n">
        <v>0</v>
      </c>
      <c r="F635" t="inlineStr">
        <is>
          <t>Fabrica de Bares (2025)</t>
        </is>
      </c>
      <c r="G635" t="b">
        <v>1</v>
      </c>
      <c r="H635" t="inlineStr">
        <is>
          <t>10/2026</t>
        </is>
      </c>
    </row>
    <row r="636">
      <c r="A636" t="inlineStr">
        <is>
          <t>Nuv Gastrobar</t>
        </is>
      </c>
      <c r="B636" t="inlineStr">
        <is>
          <t>Faturamento Bruto</t>
        </is>
      </c>
      <c r="C636" t="inlineStr">
        <is>
          <t>Eventos Couvert</t>
        </is>
      </c>
      <c r="D636" t="inlineStr">
        <is>
          <t>01/11/2026</t>
        </is>
      </c>
      <c r="E636" t="n">
        <v>0</v>
      </c>
      <c r="F636" t="inlineStr">
        <is>
          <t>Fabrica de Bares (2025)</t>
        </is>
      </c>
      <c r="G636" t="b">
        <v>1</v>
      </c>
      <c r="H636" t="inlineStr">
        <is>
          <t>11/2026</t>
        </is>
      </c>
    </row>
    <row r="637">
      <c r="A637" t="inlineStr">
        <is>
          <t>Nuv Gastrobar</t>
        </is>
      </c>
      <c r="B637" t="inlineStr">
        <is>
          <t>Faturamento Bruto</t>
        </is>
      </c>
      <c r="C637" t="inlineStr">
        <is>
          <t>Eventos Couvert</t>
        </is>
      </c>
      <c r="D637" t="inlineStr">
        <is>
          <t>01/12/2026</t>
        </is>
      </c>
      <c r="E637" t="n">
        <v>0</v>
      </c>
      <c r="F637" t="inlineStr">
        <is>
          <t>Fabrica de Bares (2025)</t>
        </is>
      </c>
      <c r="G637" t="b">
        <v>1</v>
      </c>
      <c r="H637" t="inlineStr">
        <is>
          <t>12/2026</t>
        </is>
      </c>
    </row>
    <row r="638">
      <c r="A638" t="inlineStr">
        <is>
          <t>Nuv Gastrobar</t>
        </is>
      </c>
      <c r="B638" t="inlineStr">
        <is>
          <t>Faturamento Bruto</t>
        </is>
      </c>
      <c r="C638" t="inlineStr">
        <is>
          <t>Eventos Locações</t>
        </is>
      </c>
      <c r="D638" t="inlineStr">
        <is>
          <t>01/01/2026</t>
        </is>
      </c>
      <c r="E638" t="n">
        <v>0</v>
      </c>
      <c r="F638" t="inlineStr">
        <is>
          <t>Fabrica de Bares (2025)</t>
        </is>
      </c>
      <c r="G638" t="b">
        <v>1</v>
      </c>
      <c r="H638" t="inlineStr">
        <is>
          <t>1/2026</t>
        </is>
      </c>
    </row>
    <row r="639">
      <c r="A639" t="inlineStr">
        <is>
          <t>Nuv Gastrobar</t>
        </is>
      </c>
      <c r="B639" t="inlineStr">
        <is>
          <t>Faturamento Bruto</t>
        </is>
      </c>
      <c r="C639" t="inlineStr">
        <is>
          <t>Eventos Locações</t>
        </is>
      </c>
      <c r="D639" t="inlineStr">
        <is>
          <t>01/02/2026</t>
        </is>
      </c>
      <c r="E639" t="n">
        <v>0</v>
      </c>
      <c r="F639" t="inlineStr">
        <is>
          <t>Fabrica de Bares (2025)</t>
        </is>
      </c>
      <c r="G639" t="b">
        <v>1</v>
      </c>
      <c r="H639" t="inlineStr">
        <is>
          <t>2/2026</t>
        </is>
      </c>
    </row>
    <row r="640">
      <c r="A640" t="inlineStr">
        <is>
          <t>Nuv Gastrobar</t>
        </is>
      </c>
      <c r="B640" t="inlineStr">
        <is>
          <t>Faturamento Bruto</t>
        </is>
      </c>
      <c r="C640" t="inlineStr">
        <is>
          <t>Eventos Locações</t>
        </is>
      </c>
      <c r="D640" t="inlineStr">
        <is>
          <t>01/03/2026</t>
        </is>
      </c>
      <c r="E640" t="n">
        <v>0</v>
      </c>
      <c r="F640" t="inlineStr">
        <is>
          <t>Fabrica de Bares (2025)</t>
        </is>
      </c>
      <c r="G640" t="b">
        <v>1</v>
      </c>
      <c r="H640" t="inlineStr">
        <is>
          <t>3/2026</t>
        </is>
      </c>
    </row>
    <row r="641">
      <c r="A641" t="inlineStr">
        <is>
          <t>Nuv Gastrobar</t>
        </is>
      </c>
      <c r="B641" t="inlineStr">
        <is>
          <t>Faturamento Bruto</t>
        </is>
      </c>
      <c r="C641" t="inlineStr">
        <is>
          <t>Eventos Locações</t>
        </is>
      </c>
      <c r="D641" t="inlineStr">
        <is>
          <t>01/04/2026</t>
        </is>
      </c>
      <c r="E641" t="n">
        <v>0</v>
      </c>
      <c r="F641" t="inlineStr">
        <is>
          <t>Fabrica de Bares (2025)</t>
        </is>
      </c>
      <c r="G641" t="b">
        <v>1</v>
      </c>
      <c r="H641" t="inlineStr">
        <is>
          <t>4/2026</t>
        </is>
      </c>
    </row>
    <row r="642">
      <c r="A642" t="inlineStr">
        <is>
          <t>Nuv Gastrobar</t>
        </is>
      </c>
      <c r="B642" t="inlineStr">
        <is>
          <t>Faturamento Bruto</t>
        </is>
      </c>
      <c r="C642" t="inlineStr">
        <is>
          <t>Eventos Locações</t>
        </is>
      </c>
      <c r="D642" t="inlineStr">
        <is>
          <t>01/05/2026</t>
        </is>
      </c>
      <c r="E642" t="n">
        <v>0</v>
      </c>
      <c r="F642" t="inlineStr">
        <is>
          <t>Fabrica de Bares (2025)</t>
        </is>
      </c>
      <c r="G642" t="b">
        <v>1</v>
      </c>
      <c r="H642" t="inlineStr">
        <is>
          <t>5/2026</t>
        </is>
      </c>
    </row>
    <row r="643">
      <c r="A643" t="inlineStr">
        <is>
          <t>Nuv Gastrobar</t>
        </is>
      </c>
      <c r="B643" t="inlineStr">
        <is>
          <t>Faturamento Bruto</t>
        </is>
      </c>
      <c r="C643" t="inlineStr">
        <is>
          <t>Eventos Locações</t>
        </is>
      </c>
      <c r="D643" t="inlineStr">
        <is>
          <t>01/06/2026</t>
        </is>
      </c>
      <c r="E643" t="n">
        <v>0</v>
      </c>
      <c r="F643" t="inlineStr">
        <is>
          <t>Fabrica de Bares (2025)</t>
        </is>
      </c>
      <c r="G643" t="b">
        <v>1</v>
      </c>
      <c r="H643" t="inlineStr">
        <is>
          <t>6/2026</t>
        </is>
      </c>
    </row>
    <row r="644">
      <c r="A644" t="inlineStr">
        <is>
          <t>Nuv Gastrobar</t>
        </is>
      </c>
      <c r="B644" t="inlineStr">
        <is>
          <t>Faturamento Bruto</t>
        </is>
      </c>
      <c r="C644" t="inlineStr">
        <is>
          <t>Eventos Locações</t>
        </is>
      </c>
      <c r="D644" t="inlineStr">
        <is>
          <t>01/07/2026</t>
        </is>
      </c>
      <c r="E644" t="n">
        <v>0</v>
      </c>
      <c r="F644" t="inlineStr">
        <is>
          <t>Fabrica de Bares (2025)</t>
        </is>
      </c>
      <c r="G644" t="b">
        <v>1</v>
      </c>
      <c r="H644" t="inlineStr">
        <is>
          <t>7/2026</t>
        </is>
      </c>
    </row>
    <row r="645">
      <c r="A645" t="inlineStr">
        <is>
          <t>Nuv Gastrobar</t>
        </is>
      </c>
      <c r="B645" t="inlineStr">
        <is>
          <t>Faturamento Bruto</t>
        </is>
      </c>
      <c r="C645" t="inlineStr">
        <is>
          <t>Eventos Locações</t>
        </is>
      </c>
      <c r="D645" t="inlineStr">
        <is>
          <t>01/08/2026</t>
        </is>
      </c>
      <c r="E645" t="n">
        <v>0</v>
      </c>
      <c r="F645" t="inlineStr">
        <is>
          <t>Fabrica de Bares (2025)</t>
        </is>
      </c>
      <c r="G645" t="b">
        <v>1</v>
      </c>
      <c r="H645" t="inlineStr">
        <is>
          <t>8/2026</t>
        </is>
      </c>
    </row>
    <row r="646">
      <c r="A646" t="inlineStr">
        <is>
          <t>Nuv Gastrobar</t>
        </is>
      </c>
      <c r="B646" t="inlineStr">
        <is>
          <t>Faturamento Bruto</t>
        </is>
      </c>
      <c r="C646" t="inlineStr">
        <is>
          <t>Eventos Locações</t>
        </is>
      </c>
      <c r="D646" t="inlineStr">
        <is>
          <t>01/09/2026</t>
        </is>
      </c>
      <c r="E646" t="n">
        <v>0</v>
      </c>
      <c r="F646" t="inlineStr">
        <is>
          <t>Fabrica de Bares (2025)</t>
        </is>
      </c>
      <c r="G646" t="b">
        <v>1</v>
      </c>
      <c r="H646" t="inlineStr">
        <is>
          <t>9/2026</t>
        </is>
      </c>
    </row>
    <row r="647">
      <c r="A647" t="inlineStr">
        <is>
          <t>Nuv Gastrobar</t>
        </is>
      </c>
      <c r="B647" t="inlineStr">
        <is>
          <t>Faturamento Bruto</t>
        </is>
      </c>
      <c r="C647" t="inlineStr">
        <is>
          <t>Eventos Locações</t>
        </is>
      </c>
      <c r="D647" t="inlineStr">
        <is>
          <t>01/10/2026</t>
        </is>
      </c>
      <c r="E647" t="n">
        <v>0</v>
      </c>
      <c r="F647" t="inlineStr">
        <is>
          <t>Fabrica de Bares (2025)</t>
        </is>
      </c>
      <c r="G647" t="b">
        <v>1</v>
      </c>
      <c r="H647" t="inlineStr">
        <is>
          <t>10/2026</t>
        </is>
      </c>
    </row>
    <row r="648">
      <c r="A648" t="inlineStr">
        <is>
          <t>Nuv Gastrobar</t>
        </is>
      </c>
      <c r="B648" t="inlineStr">
        <is>
          <t>Faturamento Bruto</t>
        </is>
      </c>
      <c r="C648" t="inlineStr">
        <is>
          <t>Eventos Locações</t>
        </is>
      </c>
      <c r="D648" t="inlineStr">
        <is>
          <t>01/11/2026</t>
        </is>
      </c>
      <c r="E648" t="n">
        <v>0</v>
      </c>
      <c r="F648" t="inlineStr">
        <is>
          <t>Fabrica de Bares (2025)</t>
        </is>
      </c>
      <c r="G648" t="b">
        <v>1</v>
      </c>
      <c r="H648" t="inlineStr">
        <is>
          <t>11/2026</t>
        </is>
      </c>
    </row>
    <row r="649">
      <c r="A649" t="inlineStr">
        <is>
          <t>Nuv Gastrobar</t>
        </is>
      </c>
      <c r="B649" t="inlineStr">
        <is>
          <t>Faturamento Bruto</t>
        </is>
      </c>
      <c r="C649" t="inlineStr">
        <is>
          <t>Eventos Locações</t>
        </is>
      </c>
      <c r="D649" t="inlineStr">
        <is>
          <t>01/12/2026</t>
        </is>
      </c>
      <c r="E649" t="n">
        <v>0</v>
      </c>
      <c r="F649" t="inlineStr">
        <is>
          <t>Fabrica de Bares (2025)</t>
        </is>
      </c>
      <c r="G649" t="b">
        <v>1</v>
      </c>
      <c r="H649" t="inlineStr">
        <is>
          <t>12/2026</t>
        </is>
      </c>
    </row>
    <row r="650">
      <c r="A650" t="inlineStr">
        <is>
          <t>Nuv Gastrobar</t>
        </is>
      </c>
      <c r="B650" t="inlineStr">
        <is>
          <t>Faturamento Bruto</t>
        </is>
      </c>
      <c r="C650" t="inlineStr">
        <is>
          <t>Eventos Rebate Fornecedores</t>
        </is>
      </c>
      <c r="D650" t="inlineStr">
        <is>
          <t>01/01/2026</t>
        </is>
      </c>
      <c r="E650" t="n">
        <v>0</v>
      </c>
      <c r="F650" t="inlineStr">
        <is>
          <t>Fabrica de Bares (2025)</t>
        </is>
      </c>
      <c r="G650" t="b">
        <v>1</v>
      </c>
      <c r="H650" t="inlineStr">
        <is>
          <t>1/2026</t>
        </is>
      </c>
    </row>
    <row r="651">
      <c r="A651" t="inlineStr">
        <is>
          <t>Nuv Gastrobar</t>
        </is>
      </c>
      <c r="B651" t="inlineStr">
        <is>
          <t>Faturamento Bruto</t>
        </is>
      </c>
      <c r="C651" t="inlineStr">
        <is>
          <t>Eventos Rebate Fornecedores</t>
        </is>
      </c>
      <c r="D651" t="inlineStr">
        <is>
          <t>01/02/2026</t>
        </is>
      </c>
      <c r="E651" t="n">
        <v>0</v>
      </c>
      <c r="F651" t="inlineStr">
        <is>
          <t>Fabrica de Bares (2025)</t>
        </is>
      </c>
      <c r="G651" t="b">
        <v>1</v>
      </c>
      <c r="H651" t="inlineStr">
        <is>
          <t>2/2026</t>
        </is>
      </c>
    </row>
    <row r="652">
      <c r="A652" t="inlineStr">
        <is>
          <t>Nuv Gastrobar</t>
        </is>
      </c>
      <c r="B652" t="inlineStr">
        <is>
          <t>Faturamento Bruto</t>
        </is>
      </c>
      <c r="C652" t="inlineStr">
        <is>
          <t>Eventos Rebate Fornecedores</t>
        </is>
      </c>
      <c r="D652" t="inlineStr">
        <is>
          <t>01/03/2026</t>
        </is>
      </c>
      <c r="E652" t="n">
        <v>0</v>
      </c>
      <c r="F652" t="inlineStr">
        <is>
          <t>Fabrica de Bares (2025)</t>
        </is>
      </c>
      <c r="G652" t="b">
        <v>1</v>
      </c>
      <c r="H652" t="inlineStr">
        <is>
          <t>3/2026</t>
        </is>
      </c>
    </row>
    <row r="653">
      <c r="A653" t="inlineStr">
        <is>
          <t>Nuv Gastrobar</t>
        </is>
      </c>
      <c r="B653" t="inlineStr">
        <is>
          <t>Faturamento Bruto</t>
        </is>
      </c>
      <c r="C653" t="inlineStr">
        <is>
          <t>Eventos Rebate Fornecedores</t>
        </is>
      </c>
      <c r="D653" t="inlineStr">
        <is>
          <t>01/04/2026</t>
        </is>
      </c>
      <c r="E653" t="n">
        <v>0</v>
      </c>
      <c r="F653" t="inlineStr">
        <is>
          <t>Fabrica de Bares (2025)</t>
        </is>
      </c>
      <c r="G653" t="b">
        <v>1</v>
      </c>
      <c r="H653" t="inlineStr">
        <is>
          <t>4/2026</t>
        </is>
      </c>
    </row>
    <row r="654">
      <c r="A654" t="inlineStr">
        <is>
          <t>Nuv Gastrobar</t>
        </is>
      </c>
      <c r="B654" t="inlineStr">
        <is>
          <t>Faturamento Bruto</t>
        </is>
      </c>
      <c r="C654" t="inlineStr">
        <is>
          <t>Eventos Rebate Fornecedores</t>
        </is>
      </c>
      <c r="D654" t="inlineStr">
        <is>
          <t>01/05/2026</t>
        </is>
      </c>
      <c r="E654" t="n">
        <v>0</v>
      </c>
      <c r="F654" t="inlineStr">
        <is>
          <t>Fabrica de Bares (2025)</t>
        </is>
      </c>
      <c r="G654" t="b">
        <v>1</v>
      </c>
      <c r="H654" t="inlineStr">
        <is>
          <t>5/2026</t>
        </is>
      </c>
    </row>
    <row r="655">
      <c r="A655" t="inlineStr">
        <is>
          <t>Nuv Gastrobar</t>
        </is>
      </c>
      <c r="B655" t="inlineStr">
        <is>
          <t>Faturamento Bruto</t>
        </is>
      </c>
      <c r="C655" t="inlineStr">
        <is>
          <t>Eventos Rebate Fornecedores</t>
        </is>
      </c>
      <c r="D655" t="inlineStr">
        <is>
          <t>01/06/2026</t>
        </is>
      </c>
      <c r="E655" t="n">
        <v>0</v>
      </c>
      <c r="F655" t="inlineStr">
        <is>
          <t>Fabrica de Bares (2025)</t>
        </is>
      </c>
      <c r="G655" t="b">
        <v>1</v>
      </c>
      <c r="H655" t="inlineStr">
        <is>
          <t>6/2026</t>
        </is>
      </c>
    </row>
    <row r="656">
      <c r="A656" t="inlineStr">
        <is>
          <t>Nuv Gastrobar</t>
        </is>
      </c>
      <c r="B656" t="inlineStr">
        <is>
          <t>Faturamento Bruto</t>
        </is>
      </c>
      <c r="C656" t="inlineStr">
        <is>
          <t>Eventos Rebate Fornecedores</t>
        </is>
      </c>
      <c r="D656" t="inlineStr">
        <is>
          <t>01/07/2026</t>
        </is>
      </c>
      <c r="E656" t="n">
        <v>0</v>
      </c>
      <c r="F656" t="inlineStr">
        <is>
          <t>Fabrica de Bares (2025)</t>
        </is>
      </c>
      <c r="G656" t="b">
        <v>1</v>
      </c>
      <c r="H656" t="inlineStr">
        <is>
          <t>7/2026</t>
        </is>
      </c>
    </row>
    <row r="657">
      <c r="A657" t="inlineStr">
        <is>
          <t>Nuv Gastrobar</t>
        </is>
      </c>
      <c r="B657" t="inlineStr">
        <is>
          <t>Faturamento Bruto</t>
        </is>
      </c>
      <c r="C657" t="inlineStr">
        <is>
          <t>Eventos Rebate Fornecedores</t>
        </is>
      </c>
      <c r="D657" t="inlineStr">
        <is>
          <t>01/08/2026</t>
        </is>
      </c>
      <c r="E657" t="n">
        <v>0</v>
      </c>
      <c r="F657" t="inlineStr">
        <is>
          <t>Fabrica de Bares (2025)</t>
        </is>
      </c>
      <c r="G657" t="b">
        <v>1</v>
      </c>
      <c r="H657" t="inlineStr">
        <is>
          <t>8/2026</t>
        </is>
      </c>
    </row>
    <row r="658">
      <c r="A658" t="inlineStr">
        <is>
          <t>Nuv Gastrobar</t>
        </is>
      </c>
      <c r="B658" t="inlineStr">
        <is>
          <t>Faturamento Bruto</t>
        </is>
      </c>
      <c r="C658" t="inlineStr">
        <is>
          <t>Eventos Rebate Fornecedores</t>
        </is>
      </c>
      <c r="D658" t="inlineStr">
        <is>
          <t>01/09/2026</t>
        </is>
      </c>
      <c r="E658" t="n">
        <v>0</v>
      </c>
      <c r="F658" t="inlineStr">
        <is>
          <t>Fabrica de Bares (2025)</t>
        </is>
      </c>
      <c r="G658" t="b">
        <v>1</v>
      </c>
      <c r="H658" t="inlineStr">
        <is>
          <t>9/2026</t>
        </is>
      </c>
    </row>
    <row r="659">
      <c r="A659" t="inlineStr">
        <is>
          <t>Nuv Gastrobar</t>
        </is>
      </c>
      <c r="B659" t="inlineStr">
        <is>
          <t>Faturamento Bruto</t>
        </is>
      </c>
      <c r="C659" t="inlineStr">
        <is>
          <t>Eventos Rebate Fornecedores</t>
        </is>
      </c>
      <c r="D659" t="inlineStr">
        <is>
          <t>01/10/2026</t>
        </is>
      </c>
      <c r="E659" t="n">
        <v>0</v>
      </c>
      <c r="F659" t="inlineStr">
        <is>
          <t>Fabrica de Bares (2025)</t>
        </is>
      </c>
      <c r="G659" t="b">
        <v>1</v>
      </c>
      <c r="H659" t="inlineStr">
        <is>
          <t>10/2026</t>
        </is>
      </c>
    </row>
    <row r="660">
      <c r="A660" t="inlineStr">
        <is>
          <t>Nuv Gastrobar</t>
        </is>
      </c>
      <c r="B660" t="inlineStr">
        <is>
          <t>Faturamento Bruto</t>
        </is>
      </c>
      <c r="C660" t="inlineStr">
        <is>
          <t>Eventos Rebate Fornecedores</t>
        </is>
      </c>
      <c r="D660" t="inlineStr">
        <is>
          <t>01/11/2026</t>
        </is>
      </c>
      <c r="E660" t="n">
        <v>0</v>
      </c>
      <c r="F660" t="inlineStr">
        <is>
          <t>Fabrica de Bares (2025)</t>
        </is>
      </c>
      <c r="G660" t="b">
        <v>1</v>
      </c>
      <c r="H660" t="inlineStr">
        <is>
          <t>11/2026</t>
        </is>
      </c>
    </row>
    <row r="661">
      <c r="A661" t="inlineStr">
        <is>
          <t>Nuv Gastrobar</t>
        </is>
      </c>
      <c r="B661" t="inlineStr">
        <is>
          <t>Faturamento Bruto</t>
        </is>
      </c>
      <c r="C661" t="inlineStr">
        <is>
          <t>Eventos Rebate Fornecedores</t>
        </is>
      </c>
      <c r="D661" t="inlineStr">
        <is>
          <t>01/12/2026</t>
        </is>
      </c>
      <c r="E661" t="n">
        <v>0</v>
      </c>
      <c r="F661" t="inlineStr">
        <is>
          <t>Fabrica de Bares (2025)</t>
        </is>
      </c>
      <c r="G661" t="b">
        <v>1</v>
      </c>
      <c r="H661" t="inlineStr">
        <is>
          <t>12/2026</t>
        </is>
      </c>
    </row>
    <row r="662">
      <c r="A662" t="inlineStr">
        <is>
          <t>Nuv Gastrobar</t>
        </is>
      </c>
      <c r="B662" t="inlineStr">
        <is>
          <t>Faturamento Bruto</t>
        </is>
      </c>
      <c r="C662" t="inlineStr">
        <is>
          <t>Gifts</t>
        </is>
      </c>
      <c r="D662" t="inlineStr">
        <is>
          <t>01/01/2026</t>
        </is>
      </c>
      <c r="E662" t="n">
        <v>0</v>
      </c>
      <c r="F662" t="inlineStr">
        <is>
          <t>Fabrica de Bares (2025)</t>
        </is>
      </c>
      <c r="G662" t="b">
        <v>1</v>
      </c>
      <c r="H662" t="inlineStr">
        <is>
          <t>1/2026</t>
        </is>
      </c>
    </row>
    <row r="663">
      <c r="A663" t="inlineStr">
        <is>
          <t>Nuv Gastrobar</t>
        </is>
      </c>
      <c r="B663" t="inlineStr">
        <is>
          <t>Faturamento Bruto</t>
        </is>
      </c>
      <c r="C663" t="inlineStr">
        <is>
          <t>Gifts</t>
        </is>
      </c>
      <c r="D663" t="inlineStr">
        <is>
          <t>01/02/2026</t>
        </is>
      </c>
      <c r="E663" t="n">
        <v>0</v>
      </c>
      <c r="F663" t="inlineStr">
        <is>
          <t>Fabrica de Bares (2025)</t>
        </is>
      </c>
      <c r="G663" t="b">
        <v>1</v>
      </c>
      <c r="H663" t="inlineStr">
        <is>
          <t>2/2026</t>
        </is>
      </c>
    </row>
    <row r="664">
      <c r="A664" t="inlineStr">
        <is>
          <t>Nuv Gastrobar</t>
        </is>
      </c>
      <c r="B664" t="inlineStr">
        <is>
          <t>Faturamento Bruto</t>
        </is>
      </c>
      <c r="C664" t="inlineStr">
        <is>
          <t>Gifts</t>
        </is>
      </c>
      <c r="D664" t="inlineStr">
        <is>
          <t>01/03/2026</t>
        </is>
      </c>
      <c r="E664" t="n">
        <v>0</v>
      </c>
      <c r="F664" t="inlineStr">
        <is>
          <t>Fabrica de Bares (2025)</t>
        </is>
      </c>
      <c r="G664" t="b">
        <v>1</v>
      </c>
      <c r="H664" t="inlineStr">
        <is>
          <t>3/2026</t>
        </is>
      </c>
    </row>
    <row r="665">
      <c r="A665" t="inlineStr">
        <is>
          <t>Nuv Gastrobar</t>
        </is>
      </c>
      <c r="B665" t="inlineStr">
        <is>
          <t>Faturamento Bruto</t>
        </is>
      </c>
      <c r="C665" t="inlineStr">
        <is>
          <t>Gifts</t>
        </is>
      </c>
      <c r="D665" t="inlineStr">
        <is>
          <t>01/04/2026</t>
        </is>
      </c>
      <c r="E665" t="n">
        <v>0</v>
      </c>
      <c r="F665" t="inlineStr">
        <is>
          <t>Fabrica de Bares (2025)</t>
        </is>
      </c>
      <c r="G665" t="b">
        <v>1</v>
      </c>
      <c r="H665" t="inlineStr">
        <is>
          <t>4/2026</t>
        </is>
      </c>
    </row>
    <row r="666">
      <c r="A666" t="inlineStr">
        <is>
          <t>Nuv Gastrobar</t>
        </is>
      </c>
      <c r="B666" t="inlineStr">
        <is>
          <t>Faturamento Bruto</t>
        </is>
      </c>
      <c r="C666" t="inlineStr">
        <is>
          <t>Gifts</t>
        </is>
      </c>
      <c r="D666" t="inlineStr">
        <is>
          <t>01/05/2026</t>
        </is>
      </c>
      <c r="E666" t="n">
        <v>0</v>
      </c>
      <c r="F666" t="inlineStr">
        <is>
          <t>Fabrica de Bares (2025)</t>
        </is>
      </c>
      <c r="G666" t="b">
        <v>1</v>
      </c>
      <c r="H666" t="inlineStr">
        <is>
          <t>5/2026</t>
        </is>
      </c>
    </row>
    <row r="667">
      <c r="A667" t="inlineStr">
        <is>
          <t>Nuv Gastrobar</t>
        </is>
      </c>
      <c r="B667" t="inlineStr">
        <is>
          <t>Faturamento Bruto</t>
        </is>
      </c>
      <c r="C667" t="inlineStr">
        <is>
          <t>Gifts</t>
        </is>
      </c>
      <c r="D667" t="inlineStr">
        <is>
          <t>01/06/2026</t>
        </is>
      </c>
      <c r="E667" t="n">
        <v>0</v>
      </c>
      <c r="F667" t="inlineStr">
        <is>
          <t>Fabrica de Bares (2025)</t>
        </is>
      </c>
      <c r="G667" t="b">
        <v>1</v>
      </c>
      <c r="H667" t="inlineStr">
        <is>
          <t>6/2026</t>
        </is>
      </c>
    </row>
    <row r="668">
      <c r="A668" t="inlineStr">
        <is>
          <t>Nuv Gastrobar</t>
        </is>
      </c>
      <c r="B668" t="inlineStr">
        <is>
          <t>Faturamento Bruto</t>
        </is>
      </c>
      <c r="C668" t="inlineStr">
        <is>
          <t>Gifts</t>
        </is>
      </c>
      <c r="D668" t="inlineStr">
        <is>
          <t>01/07/2026</t>
        </is>
      </c>
      <c r="E668" t="n">
        <v>0</v>
      </c>
      <c r="F668" t="inlineStr">
        <is>
          <t>Fabrica de Bares (2025)</t>
        </is>
      </c>
      <c r="G668" t="b">
        <v>1</v>
      </c>
      <c r="H668" t="inlineStr">
        <is>
          <t>7/2026</t>
        </is>
      </c>
    </row>
    <row r="669">
      <c r="A669" t="inlineStr">
        <is>
          <t>Nuv Gastrobar</t>
        </is>
      </c>
      <c r="B669" t="inlineStr">
        <is>
          <t>Faturamento Bruto</t>
        </is>
      </c>
      <c r="C669" t="inlineStr">
        <is>
          <t>Gifts</t>
        </is>
      </c>
      <c r="D669" t="inlineStr">
        <is>
          <t>01/08/2026</t>
        </is>
      </c>
      <c r="E669" t="n">
        <v>0</v>
      </c>
      <c r="F669" t="inlineStr">
        <is>
          <t>Fabrica de Bares (2025)</t>
        </is>
      </c>
      <c r="G669" t="b">
        <v>1</v>
      </c>
      <c r="H669" t="inlineStr">
        <is>
          <t>8/2026</t>
        </is>
      </c>
    </row>
    <row r="670">
      <c r="A670" t="inlineStr">
        <is>
          <t>Nuv Gastrobar</t>
        </is>
      </c>
      <c r="B670" t="inlineStr">
        <is>
          <t>Faturamento Bruto</t>
        </is>
      </c>
      <c r="C670" t="inlineStr">
        <is>
          <t>Gifts</t>
        </is>
      </c>
      <c r="D670" t="inlineStr">
        <is>
          <t>01/09/2026</t>
        </is>
      </c>
      <c r="E670" t="n">
        <v>0</v>
      </c>
      <c r="F670" t="inlineStr">
        <is>
          <t>Fabrica de Bares (2025)</t>
        </is>
      </c>
      <c r="G670" t="b">
        <v>1</v>
      </c>
      <c r="H670" t="inlineStr">
        <is>
          <t>9/2026</t>
        </is>
      </c>
    </row>
    <row r="671">
      <c r="A671" t="inlineStr">
        <is>
          <t>Nuv Gastrobar</t>
        </is>
      </c>
      <c r="B671" t="inlineStr">
        <is>
          <t>Faturamento Bruto</t>
        </is>
      </c>
      <c r="C671" t="inlineStr">
        <is>
          <t>Gifts</t>
        </is>
      </c>
      <c r="D671" t="inlineStr">
        <is>
          <t>01/10/2026</t>
        </is>
      </c>
      <c r="E671" t="n">
        <v>0</v>
      </c>
      <c r="F671" t="inlineStr">
        <is>
          <t>Fabrica de Bares (2025)</t>
        </is>
      </c>
      <c r="G671" t="b">
        <v>1</v>
      </c>
      <c r="H671" t="inlineStr">
        <is>
          <t>10/2026</t>
        </is>
      </c>
    </row>
    <row r="672">
      <c r="A672" t="inlineStr">
        <is>
          <t>Nuv Gastrobar</t>
        </is>
      </c>
      <c r="B672" t="inlineStr">
        <is>
          <t>Faturamento Bruto</t>
        </is>
      </c>
      <c r="C672" t="inlineStr">
        <is>
          <t>Gifts</t>
        </is>
      </c>
      <c r="D672" t="inlineStr">
        <is>
          <t>01/11/2026</t>
        </is>
      </c>
      <c r="E672" t="n">
        <v>0</v>
      </c>
      <c r="F672" t="inlineStr">
        <is>
          <t>Fabrica de Bares (2025)</t>
        </is>
      </c>
      <c r="G672" t="b">
        <v>1</v>
      </c>
      <c r="H672" t="inlineStr">
        <is>
          <t>11/2026</t>
        </is>
      </c>
    </row>
    <row r="673">
      <c r="A673" t="inlineStr">
        <is>
          <t>Nuv Gastrobar</t>
        </is>
      </c>
      <c r="B673" t="inlineStr">
        <is>
          <t>Faturamento Bruto</t>
        </is>
      </c>
      <c r="C673" t="inlineStr">
        <is>
          <t>Gifts</t>
        </is>
      </c>
      <c r="D673" t="inlineStr">
        <is>
          <t>01/12/2026</t>
        </is>
      </c>
      <c r="E673" t="n">
        <v>0</v>
      </c>
      <c r="F673" t="inlineStr">
        <is>
          <t>Fabrica de Bares (2025)</t>
        </is>
      </c>
      <c r="G673" t="b">
        <v>1</v>
      </c>
      <c r="H673" t="inlineStr">
        <is>
          <t>12/2026</t>
        </is>
      </c>
    </row>
    <row r="674">
      <c r="A674" t="inlineStr">
        <is>
          <t>Nuv Gastrobar</t>
        </is>
      </c>
      <c r="B674" t="inlineStr">
        <is>
          <t>Faturamento Bruto</t>
        </is>
      </c>
      <c r="C674" t="inlineStr">
        <is>
          <t>Outras Receitas</t>
        </is>
      </c>
      <c r="D674" t="inlineStr">
        <is>
          <t>01/01/2026</t>
        </is>
      </c>
      <c r="E674" t="n">
        <v>0</v>
      </c>
      <c r="F674" t="inlineStr">
        <is>
          <t>Fabrica de Bares (2025)</t>
        </is>
      </c>
      <c r="G674" t="b">
        <v>1</v>
      </c>
      <c r="H674" t="inlineStr">
        <is>
          <t>1/2026</t>
        </is>
      </c>
    </row>
    <row r="675">
      <c r="A675" t="inlineStr">
        <is>
          <t>Nuv Gastrobar</t>
        </is>
      </c>
      <c r="B675" t="inlineStr">
        <is>
          <t>Faturamento Bruto</t>
        </is>
      </c>
      <c r="C675" t="inlineStr">
        <is>
          <t>Outras Receitas</t>
        </is>
      </c>
      <c r="D675" t="inlineStr">
        <is>
          <t>01/02/2026</t>
        </is>
      </c>
      <c r="E675" t="n">
        <v>0</v>
      </c>
      <c r="F675" t="inlineStr">
        <is>
          <t>Fabrica de Bares (2025)</t>
        </is>
      </c>
      <c r="G675" t="b">
        <v>1</v>
      </c>
      <c r="H675" t="inlineStr">
        <is>
          <t>2/2026</t>
        </is>
      </c>
    </row>
    <row r="676">
      <c r="A676" t="inlineStr">
        <is>
          <t>Nuv Gastrobar</t>
        </is>
      </c>
      <c r="B676" t="inlineStr">
        <is>
          <t>Faturamento Bruto</t>
        </is>
      </c>
      <c r="C676" t="inlineStr">
        <is>
          <t>Outras Receitas</t>
        </is>
      </c>
      <c r="D676" t="inlineStr">
        <is>
          <t>01/03/2026</t>
        </is>
      </c>
      <c r="E676" t="n">
        <v>0</v>
      </c>
      <c r="F676" t="inlineStr">
        <is>
          <t>Fabrica de Bares (2025)</t>
        </is>
      </c>
      <c r="G676" t="b">
        <v>1</v>
      </c>
      <c r="H676" t="inlineStr">
        <is>
          <t>3/2026</t>
        </is>
      </c>
    </row>
    <row r="677">
      <c r="A677" t="inlineStr">
        <is>
          <t>Nuv Gastrobar</t>
        </is>
      </c>
      <c r="B677" t="inlineStr">
        <is>
          <t>Faturamento Bruto</t>
        </is>
      </c>
      <c r="C677" t="inlineStr">
        <is>
          <t>Outras Receitas</t>
        </is>
      </c>
      <c r="D677" t="inlineStr">
        <is>
          <t>01/04/2026</t>
        </is>
      </c>
      <c r="E677" t="n">
        <v>0</v>
      </c>
      <c r="F677" t="inlineStr">
        <is>
          <t>Fabrica de Bares (2025)</t>
        </is>
      </c>
      <c r="G677" t="b">
        <v>1</v>
      </c>
      <c r="H677" t="inlineStr">
        <is>
          <t>4/2026</t>
        </is>
      </c>
    </row>
    <row r="678">
      <c r="A678" t="inlineStr">
        <is>
          <t>Nuv Gastrobar</t>
        </is>
      </c>
      <c r="B678" t="inlineStr">
        <is>
          <t>Faturamento Bruto</t>
        </is>
      </c>
      <c r="C678" t="inlineStr">
        <is>
          <t>Outras Receitas</t>
        </is>
      </c>
      <c r="D678" t="inlineStr">
        <is>
          <t>01/05/2026</t>
        </is>
      </c>
      <c r="E678" t="n">
        <v>0</v>
      </c>
      <c r="F678" t="inlineStr">
        <is>
          <t>Fabrica de Bares (2025)</t>
        </is>
      </c>
      <c r="G678" t="b">
        <v>1</v>
      </c>
      <c r="H678" t="inlineStr">
        <is>
          <t>5/2026</t>
        </is>
      </c>
    </row>
    <row r="679">
      <c r="A679" t="inlineStr">
        <is>
          <t>Nuv Gastrobar</t>
        </is>
      </c>
      <c r="B679" t="inlineStr">
        <is>
          <t>Faturamento Bruto</t>
        </is>
      </c>
      <c r="C679" t="inlineStr">
        <is>
          <t>Outras Receitas</t>
        </is>
      </c>
      <c r="D679" t="inlineStr">
        <is>
          <t>01/06/2026</t>
        </is>
      </c>
      <c r="E679" t="n">
        <v>0</v>
      </c>
      <c r="F679" t="inlineStr">
        <is>
          <t>Fabrica de Bares (2025)</t>
        </is>
      </c>
      <c r="G679" t="b">
        <v>1</v>
      </c>
      <c r="H679" t="inlineStr">
        <is>
          <t>6/2026</t>
        </is>
      </c>
    </row>
    <row r="680">
      <c r="A680" t="inlineStr">
        <is>
          <t>Nuv Gastrobar</t>
        </is>
      </c>
      <c r="B680" t="inlineStr">
        <is>
          <t>Faturamento Bruto</t>
        </is>
      </c>
      <c r="C680" t="inlineStr">
        <is>
          <t>Outras Receitas</t>
        </is>
      </c>
      <c r="D680" t="inlineStr">
        <is>
          <t>01/07/2026</t>
        </is>
      </c>
      <c r="E680" t="n">
        <v>0</v>
      </c>
      <c r="F680" t="inlineStr">
        <is>
          <t>Fabrica de Bares (2025)</t>
        </is>
      </c>
      <c r="G680" t="b">
        <v>1</v>
      </c>
      <c r="H680" t="inlineStr">
        <is>
          <t>7/2026</t>
        </is>
      </c>
    </row>
    <row r="681">
      <c r="A681" t="inlineStr">
        <is>
          <t>Nuv Gastrobar</t>
        </is>
      </c>
      <c r="B681" t="inlineStr">
        <is>
          <t>Faturamento Bruto</t>
        </is>
      </c>
      <c r="C681" t="inlineStr">
        <is>
          <t>Outras Receitas</t>
        </is>
      </c>
      <c r="D681" t="inlineStr">
        <is>
          <t>01/08/2026</t>
        </is>
      </c>
      <c r="E681" t="n">
        <v>0</v>
      </c>
      <c r="F681" t="inlineStr">
        <is>
          <t>Fabrica de Bares (2025)</t>
        </is>
      </c>
      <c r="G681" t="b">
        <v>1</v>
      </c>
      <c r="H681" t="inlineStr">
        <is>
          <t>8/2026</t>
        </is>
      </c>
    </row>
    <row r="682">
      <c r="A682" t="inlineStr">
        <is>
          <t>Nuv Gastrobar</t>
        </is>
      </c>
      <c r="B682" t="inlineStr">
        <is>
          <t>Faturamento Bruto</t>
        </is>
      </c>
      <c r="C682" t="inlineStr">
        <is>
          <t>Outras Receitas</t>
        </is>
      </c>
      <c r="D682" t="inlineStr">
        <is>
          <t>01/09/2026</t>
        </is>
      </c>
      <c r="E682" t="n">
        <v>0</v>
      </c>
      <c r="F682" t="inlineStr">
        <is>
          <t>Fabrica de Bares (2025)</t>
        </is>
      </c>
      <c r="G682" t="b">
        <v>1</v>
      </c>
      <c r="H682" t="inlineStr">
        <is>
          <t>9/2026</t>
        </is>
      </c>
    </row>
    <row r="683">
      <c r="A683" t="inlineStr">
        <is>
          <t>Nuv Gastrobar</t>
        </is>
      </c>
      <c r="B683" t="inlineStr">
        <is>
          <t>Faturamento Bruto</t>
        </is>
      </c>
      <c r="C683" t="inlineStr">
        <is>
          <t>Outras Receitas</t>
        </is>
      </c>
      <c r="D683" t="inlineStr">
        <is>
          <t>01/10/2026</t>
        </is>
      </c>
      <c r="E683" t="n">
        <v>0</v>
      </c>
      <c r="F683" t="inlineStr">
        <is>
          <t>Fabrica de Bares (2025)</t>
        </is>
      </c>
      <c r="G683" t="b">
        <v>1</v>
      </c>
      <c r="H683" t="inlineStr">
        <is>
          <t>10/2026</t>
        </is>
      </c>
    </row>
    <row r="684">
      <c r="A684" t="inlineStr">
        <is>
          <t>Nuv Gastrobar</t>
        </is>
      </c>
      <c r="B684" t="inlineStr">
        <is>
          <t>Faturamento Bruto</t>
        </is>
      </c>
      <c r="C684" t="inlineStr">
        <is>
          <t>Outras Receitas</t>
        </is>
      </c>
      <c r="D684" t="inlineStr">
        <is>
          <t>01/11/2026</t>
        </is>
      </c>
      <c r="E684" t="n">
        <v>0</v>
      </c>
      <c r="F684" t="inlineStr">
        <is>
          <t>Fabrica de Bares (2025)</t>
        </is>
      </c>
      <c r="G684" t="b">
        <v>1</v>
      </c>
      <c r="H684" t="inlineStr">
        <is>
          <t>11/2026</t>
        </is>
      </c>
    </row>
    <row r="685">
      <c r="A685" t="inlineStr">
        <is>
          <t>Nuv Gastrobar</t>
        </is>
      </c>
      <c r="B685" t="inlineStr">
        <is>
          <t>Faturamento Bruto</t>
        </is>
      </c>
      <c r="C685" t="inlineStr">
        <is>
          <t>Outras Receitas</t>
        </is>
      </c>
      <c r="D685" t="inlineStr">
        <is>
          <t>01/12/2026</t>
        </is>
      </c>
      <c r="E685" t="n">
        <v>0</v>
      </c>
      <c r="F685" t="inlineStr">
        <is>
          <t>Fabrica de Bares (2025)</t>
        </is>
      </c>
      <c r="G685" t="b">
        <v>1</v>
      </c>
      <c r="H685" t="inlineStr">
        <is>
          <t>12/2026</t>
        </is>
      </c>
    </row>
    <row r="686">
      <c r="A686" t="inlineStr">
        <is>
          <t>Nuv Gastrobar</t>
        </is>
      </c>
      <c r="B686" t="inlineStr">
        <is>
          <t>Faturamento Bruto</t>
        </is>
      </c>
      <c r="C686" t="inlineStr">
        <is>
          <t>Serviço</t>
        </is>
      </c>
      <c r="D686" t="inlineStr">
        <is>
          <t>01/01/2026</t>
        </is>
      </c>
      <c r="E686" t="n">
        <v>0</v>
      </c>
      <c r="F686" t="inlineStr">
        <is>
          <t>Fabrica de Bares (2025)</t>
        </is>
      </c>
      <c r="G686" t="b">
        <v>1</v>
      </c>
      <c r="H686" t="inlineStr">
        <is>
          <t>1/2026</t>
        </is>
      </c>
    </row>
    <row r="687">
      <c r="A687" t="inlineStr">
        <is>
          <t>Nuv Gastrobar</t>
        </is>
      </c>
      <c r="B687" t="inlineStr">
        <is>
          <t>Faturamento Bruto</t>
        </is>
      </c>
      <c r="C687" t="inlineStr">
        <is>
          <t>Serviço</t>
        </is>
      </c>
      <c r="D687" t="inlineStr">
        <is>
          <t>01/02/2026</t>
        </is>
      </c>
      <c r="E687" t="n">
        <v>0</v>
      </c>
      <c r="F687" t="inlineStr">
        <is>
          <t>Fabrica de Bares (2025)</t>
        </is>
      </c>
      <c r="G687" t="b">
        <v>1</v>
      </c>
      <c r="H687" t="inlineStr">
        <is>
          <t>2/2026</t>
        </is>
      </c>
    </row>
    <row r="688">
      <c r="A688" t="inlineStr">
        <is>
          <t>Nuv Gastrobar</t>
        </is>
      </c>
      <c r="B688" t="inlineStr">
        <is>
          <t>Faturamento Bruto</t>
        </is>
      </c>
      <c r="C688" t="inlineStr">
        <is>
          <t>Serviço</t>
        </is>
      </c>
      <c r="D688" t="inlineStr">
        <is>
          <t>01/03/2026</t>
        </is>
      </c>
      <c r="E688" t="n">
        <v>0</v>
      </c>
      <c r="F688" t="inlineStr">
        <is>
          <t>Fabrica de Bares (2025)</t>
        </is>
      </c>
      <c r="G688" t="b">
        <v>1</v>
      </c>
      <c r="H688" t="inlineStr">
        <is>
          <t>3/2026</t>
        </is>
      </c>
    </row>
    <row r="689">
      <c r="A689" t="inlineStr">
        <is>
          <t>Nuv Gastrobar</t>
        </is>
      </c>
      <c r="B689" t="inlineStr">
        <is>
          <t>Faturamento Bruto</t>
        </is>
      </c>
      <c r="C689" t="inlineStr">
        <is>
          <t>Serviço</t>
        </is>
      </c>
      <c r="D689" t="inlineStr">
        <is>
          <t>01/04/2026</t>
        </is>
      </c>
      <c r="E689" t="n">
        <v>0</v>
      </c>
      <c r="F689" t="inlineStr">
        <is>
          <t>Fabrica de Bares (2025)</t>
        </is>
      </c>
      <c r="G689" t="b">
        <v>1</v>
      </c>
      <c r="H689" t="inlineStr">
        <is>
          <t>4/2026</t>
        </is>
      </c>
    </row>
    <row r="690">
      <c r="A690" t="inlineStr">
        <is>
          <t>Nuv Gastrobar</t>
        </is>
      </c>
      <c r="B690" t="inlineStr">
        <is>
          <t>Faturamento Bruto</t>
        </is>
      </c>
      <c r="C690" t="inlineStr">
        <is>
          <t>Serviço</t>
        </is>
      </c>
      <c r="D690" t="inlineStr">
        <is>
          <t>01/05/2026</t>
        </is>
      </c>
      <c r="E690" t="n">
        <v>0</v>
      </c>
      <c r="F690" t="inlineStr">
        <is>
          <t>Fabrica de Bares (2025)</t>
        </is>
      </c>
      <c r="G690" t="b">
        <v>1</v>
      </c>
      <c r="H690" t="inlineStr">
        <is>
          <t>5/2026</t>
        </is>
      </c>
    </row>
    <row r="691">
      <c r="A691" t="inlineStr">
        <is>
          <t>Nuv Gastrobar</t>
        </is>
      </c>
      <c r="B691" t="inlineStr">
        <is>
          <t>Faturamento Bruto</t>
        </is>
      </c>
      <c r="C691" t="inlineStr">
        <is>
          <t>Serviço</t>
        </is>
      </c>
      <c r="D691" t="inlineStr">
        <is>
          <t>01/06/2026</t>
        </is>
      </c>
      <c r="E691" t="n">
        <v>0</v>
      </c>
      <c r="F691" t="inlineStr">
        <is>
          <t>Fabrica de Bares (2025)</t>
        </is>
      </c>
      <c r="G691" t="b">
        <v>1</v>
      </c>
      <c r="H691" t="inlineStr">
        <is>
          <t>6/2026</t>
        </is>
      </c>
    </row>
    <row r="692">
      <c r="A692" t="inlineStr">
        <is>
          <t>Nuv Gastrobar</t>
        </is>
      </c>
      <c r="B692" t="inlineStr">
        <is>
          <t>Faturamento Bruto</t>
        </is>
      </c>
      <c r="C692" t="inlineStr">
        <is>
          <t>Serviço</t>
        </is>
      </c>
      <c r="D692" t="inlineStr">
        <is>
          <t>01/07/2026</t>
        </is>
      </c>
      <c r="E692" t="n">
        <v>0</v>
      </c>
      <c r="F692" t="inlineStr">
        <is>
          <t>Fabrica de Bares (2025)</t>
        </is>
      </c>
      <c r="G692" t="b">
        <v>1</v>
      </c>
      <c r="H692" t="inlineStr">
        <is>
          <t>7/2026</t>
        </is>
      </c>
    </row>
    <row r="693">
      <c r="A693" t="inlineStr">
        <is>
          <t>Nuv Gastrobar</t>
        </is>
      </c>
      <c r="B693" t="inlineStr">
        <is>
          <t>Faturamento Bruto</t>
        </is>
      </c>
      <c r="C693" t="inlineStr">
        <is>
          <t>Serviço</t>
        </is>
      </c>
      <c r="D693" t="inlineStr">
        <is>
          <t>01/08/2026</t>
        </is>
      </c>
      <c r="E693" t="n">
        <v>37044</v>
      </c>
      <c r="F693" t="inlineStr">
        <is>
          <t>Fabrica de Bares (2025)</t>
        </is>
      </c>
      <c r="G693" t="b">
        <v>1</v>
      </c>
      <c r="H693" t="inlineStr">
        <is>
          <t>8/2026</t>
        </is>
      </c>
    </row>
    <row r="694">
      <c r="A694" t="inlineStr">
        <is>
          <t>Nuv Gastrobar</t>
        </is>
      </c>
      <c r="B694" t="inlineStr">
        <is>
          <t>Faturamento Bruto</t>
        </is>
      </c>
      <c r="C694" t="inlineStr">
        <is>
          <t>Serviço</t>
        </is>
      </c>
      <c r="D694" t="inlineStr">
        <is>
          <t>01/09/2026</t>
        </is>
      </c>
      <c r="E694" t="n">
        <v>57512</v>
      </c>
      <c r="F694" t="inlineStr">
        <is>
          <t>Fabrica de Bares (2025)</t>
        </is>
      </c>
      <c r="G694" t="b">
        <v>1</v>
      </c>
      <c r="H694" t="inlineStr">
        <is>
          <t>9/2026</t>
        </is>
      </c>
    </row>
    <row r="695">
      <c r="A695" t="inlineStr">
        <is>
          <t>Nuv Gastrobar</t>
        </is>
      </c>
      <c r="B695" t="inlineStr">
        <is>
          <t>Faturamento Bruto</t>
        </is>
      </c>
      <c r="C695" t="inlineStr">
        <is>
          <t>Serviço</t>
        </is>
      </c>
      <c r="D695" t="inlineStr">
        <is>
          <t>01/10/2026</t>
        </is>
      </c>
      <c r="E695" t="n">
        <v>67652</v>
      </c>
      <c r="F695" t="inlineStr">
        <is>
          <t>Fabrica de Bares (2025)</t>
        </is>
      </c>
      <c r="G695" t="b">
        <v>1</v>
      </c>
      <c r="H695" t="inlineStr">
        <is>
          <t>10/2026</t>
        </is>
      </c>
    </row>
    <row r="696">
      <c r="A696" t="inlineStr">
        <is>
          <t>Nuv Gastrobar</t>
        </is>
      </c>
      <c r="B696" t="inlineStr">
        <is>
          <t>Faturamento Bruto</t>
        </is>
      </c>
      <c r="C696" t="inlineStr">
        <is>
          <t>Serviço</t>
        </is>
      </c>
      <c r="D696" t="inlineStr">
        <is>
          <t>01/11/2026</t>
        </is>
      </c>
      <c r="E696" t="n">
        <v>103480</v>
      </c>
      <c r="F696" t="inlineStr">
        <is>
          <t>Fabrica de Bares (2025)</t>
        </is>
      </c>
      <c r="G696" t="b">
        <v>1</v>
      </c>
      <c r="H696" t="inlineStr">
        <is>
          <t>11/2026</t>
        </is>
      </c>
    </row>
    <row r="697">
      <c r="A697" t="inlineStr">
        <is>
          <t>Nuv Gastrobar</t>
        </is>
      </c>
      <c r="B697" t="inlineStr">
        <is>
          <t>Faturamento Bruto</t>
        </is>
      </c>
      <c r="C697" t="inlineStr">
        <is>
          <t>Serviço</t>
        </is>
      </c>
      <c r="D697" t="inlineStr">
        <is>
          <t>01/12/2026</t>
        </is>
      </c>
      <c r="E697" t="n">
        <v>102512</v>
      </c>
      <c r="F697" t="inlineStr">
        <is>
          <t>Fabrica de Bares (2025)</t>
        </is>
      </c>
      <c r="G697" t="b">
        <v>1</v>
      </c>
      <c r="H697" t="inlineStr">
        <is>
          <t>12/2026</t>
        </is>
      </c>
    </row>
    <row r="698">
      <c r="A698" t="inlineStr">
        <is>
          <t>Nuv Gastrobar</t>
        </is>
      </c>
      <c r="B698" t="inlineStr">
        <is>
          <t>Gorjeta</t>
        </is>
      </c>
      <c r="C698" t="inlineStr">
        <is>
          <t xml:space="preserve">  -  Comissões e Gorjeta</t>
        </is>
      </c>
      <c r="D698" t="inlineStr">
        <is>
          <t>01/01/2026</t>
        </is>
      </c>
      <c r="E698" t="n">
        <v>0</v>
      </c>
      <c r="F698" t="inlineStr">
        <is>
          <t>Fabrica de Bares (2025)</t>
        </is>
      </c>
      <c r="G698" t="b">
        <v>1</v>
      </c>
      <c r="H698" t="inlineStr">
        <is>
          <t>1/2026</t>
        </is>
      </c>
    </row>
    <row r="699">
      <c r="A699" t="inlineStr">
        <is>
          <t>Nuv Gastrobar</t>
        </is>
      </c>
      <c r="B699" t="inlineStr">
        <is>
          <t>Gorjeta</t>
        </is>
      </c>
      <c r="C699" t="inlineStr">
        <is>
          <t xml:space="preserve">  -  Comissões e Gorjeta</t>
        </is>
      </c>
      <c r="D699" t="inlineStr">
        <is>
          <t>01/02/2026</t>
        </is>
      </c>
      <c r="E699" t="n">
        <v>0</v>
      </c>
      <c r="F699" t="inlineStr">
        <is>
          <t>Fabrica de Bares (2025)</t>
        </is>
      </c>
      <c r="G699" t="b">
        <v>1</v>
      </c>
      <c r="H699" t="inlineStr">
        <is>
          <t>2/2026</t>
        </is>
      </c>
    </row>
    <row r="700">
      <c r="A700" t="inlineStr">
        <is>
          <t>Nuv Gastrobar</t>
        </is>
      </c>
      <c r="B700" t="inlineStr">
        <is>
          <t>Gorjeta</t>
        </is>
      </c>
      <c r="C700" t="inlineStr">
        <is>
          <t xml:space="preserve">  -  Comissões e Gorjeta</t>
        </is>
      </c>
      <c r="D700" t="inlineStr">
        <is>
          <t>01/03/2026</t>
        </is>
      </c>
      <c r="E700" t="n">
        <v>0</v>
      </c>
      <c r="F700" t="inlineStr">
        <is>
          <t>Fabrica de Bares (2025)</t>
        </is>
      </c>
      <c r="G700" t="b">
        <v>1</v>
      </c>
      <c r="H700" t="inlineStr">
        <is>
          <t>3/2026</t>
        </is>
      </c>
    </row>
    <row r="701">
      <c r="A701" t="inlineStr">
        <is>
          <t>Nuv Gastrobar</t>
        </is>
      </c>
      <c r="B701" t="inlineStr">
        <is>
          <t>Gorjeta</t>
        </is>
      </c>
      <c r="C701" t="inlineStr">
        <is>
          <t xml:space="preserve">  -  Comissões e Gorjeta</t>
        </is>
      </c>
      <c r="D701" t="inlineStr">
        <is>
          <t>01/04/2026</t>
        </is>
      </c>
      <c r="E701" t="n">
        <v>0</v>
      </c>
      <c r="F701" t="inlineStr">
        <is>
          <t>Fabrica de Bares (2025)</t>
        </is>
      </c>
      <c r="G701" t="b">
        <v>1</v>
      </c>
      <c r="H701" t="inlineStr">
        <is>
          <t>4/2026</t>
        </is>
      </c>
    </row>
    <row r="702">
      <c r="A702" t="inlineStr">
        <is>
          <t>Nuv Gastrobar</t>
        </is>
      </c>
      <c r="B702" t="inlineStr">
        <is>
          <t>Gorjeta</t>
        </is>
      </c>
      <c r="C702" t="inlineStr">
        <is>
          <t xml:space="preserve">  -  Comissões e Gorjeta</t>
        </is>
      </c>
      <c r="D702" t="inlineStr">
        <is>
          <t>01/05/2026</t>
        </is>
      </c>
      <c r="E702" t="n">
        <v>0</v>
      </c>
      <c r="F702" t="inlineStr">
        <is>
          <t>Fabrica de Bares (2025)</t>
        </is>
      </c>
      <c r="G702" t="b">
        <v>1</v>
      </c>
      <c r="H702" t="inlineStr">
        <is>
          <t>5/2026</t>
        </is>
      </c>
    </row>
    <row r="703">
      <c r="A703" t="inlineStr">
        <is>
          <t>Nuv Gastrobar</t>
        </is>
      </c>
      <c r="B703" t="inlineStr">
        <is>
          <t>Gorjeta</t>
        </is>
      </c>
      <c r="C703" t="inlineStr">
        <is>
          <t xml:space="preserve">  -  Comissões e Gorjeta</t>
        </is>
      </c>
      <c r="D703" t="inlineStr">
        <is>
          <t>01/06/2026</t>
        </is>
      </c>
      <c r="E703" t="n">
        <v>0</v>
      </c>
      <c r="F703" t="inlineStr">
        <is>
          <t>Fabrica de Bares (2025)</t>
        </is>
      </c>
      <c r="G703" t="b">
        <v>1</v>
      </c>
      <c r="H703" t="inlineStr">
        <is>
          <t>6/2026</t>
        </is>
      </c>
    </row>
    <row r="704">
      <c r="A704" t="inlineStr">
        <is>
          <t>Nuv Gastrobar</t>
        </is>
      </c>
      <c r="B704" t="inlineStr">
        <is>
          <t>Gorjeta</t>
        </is>
      </c>
      <c r="C704" t="inlineStr">
        <is>
          <t xml:space="preserve">  -  Comissões e Gorjeta</t>
        </is>
      </c>
      <c r="D704" t="inlineStr">
        <is>
          <t>01/07/2026</t>
        </is>
      </c>
      <c r="E704" t="n">
        <v>0</v>
      </c>
      <c r="F704" t="inlineStr">
        <is>
          <t>Fabrica de Bares (2025)</t>
        </is>
      </c>
      <c r="G704" t="b">
        <v>1</v>
      </c>
      <c r="H704" t="inlineStr">
        <is>
          <t>7/2026</t>
        </is>
      </c>
    </row>
    <row r="705">
      <c r="A705" t="inlineStr">
        <is>
          <t>Nuv Gastrobar</t>
        </is>
      </c>
      <c r="B705" t="inlineStr">
        <is>
          <t>Gorjeta</t>
        </is>
      </c>
      <c r="C705" t="inlineStr">
        <is>
          <t xml:space="preserve">  -  Comissões e Gorjeta</t>
        </is>
      </c>
      <c r="D705" t="inlineStr">
        <is>
          <t>01/08/2026</t>
        </is>
      </c>
      <c r="E705" t="n">
        <v>26928.46</v>
      </c>
      <c r="F705" t="inlineStr">
        <is>
          <t>Fabrica de Bares (2025)</t>
        </is>
      </c>
      <c r="G705" t="b">
        <v>1</v>
      </c>
      <c r="H705" t="inlineStr">
        <is>
          <t>8/2026</t>
        </is>
      </c>
    </row>
    <row r="706">
      <c r="A706" t="inlineStr">
        <is>
          <t>Nuv Gastrobar</t>
        </is>
      </c>
      <c r="B706" t="inlineStr">
        <is>
          <t>Gorjeta</t>
        </is>
      </c>
      <c r="C706" t="inlineStr">
        <is>
          <t xml:space="preserve">  -  Comissões e Gorjeta</t>
        </is>
      </c>
      <c r="D706" t="inlineStr">
        <is>
          <t>01/09/2026</t>
        </is>
      </c>
      <c r="E706" t="n">
        <v>41800.04</v>
      </c>
      <c r="F706" t="inlineStr">
        <is>
          <t>Fabrica de Bares (2025)</t>
        </is>
      </c>
      <c r="G706" t="b">
        <v>1</v>
      </c>
      <c r="H706" t="inlineStr">
        <is>
          <t>9/2026</t>
        </is>
      </c>
    </row>
    <row r="707">
      <c r="A707" t="inlineStr">
        <is>
          <t>Nuv Gastrobar</t>
        </is>
      </c>
      <c r="B707" t="inlineStr">
        <is>
          <t>Gorjeta</t>
        </is>
      </c>
      <c r="C707" t="inlineStr">
        <is>
          <t xml:space="preserve">  -  Comissões e Gorjeta</t>
        </is>
      </c>
      <c r="D707" t="inlineStr">
        <is>
          <t>01/10/2026</t>
        </is>
      </c>
      <c r="E707" t="n">
        <v>49202.41</v>
      </c>
      <c r="F707" t="inlineStr">
        <is>
          <t>Fabrica de Bares (2025)</t>
        </is>
      </c>
      <c r="G707" t="b">
        <v>1</v>
      </c>
      <c r="H707" t="inlineStr">
        <is>
          <t>10/2026</t>
        </is>
      </c>
    </row>
    <row r="708">
      <c r="A708" t="inlineStr">
        <is>
          <t>Nuv Gastrobar</t>
        </is>
      </c>
      <c r="B708" t="inlineStr">
        <is>
          <t>Gorjeta</t>
        </is>
      </c>
      <c r="C708" t="inlineStr">
        <is>
          <t xml:space="preserve">  -  Comissões e Gorjeta</t>
        </is>
      </c>
      <c r="D708" t="inlineStr">
        <is>
          <t>01/11/2026</t>
        </is>
      </c>
      <c r="E708" t="n">
        <v>75527.94</v>
      </c>
      <c r="F708" t="inlineStr">
        <is>
          <t>Fabrica de Bares (2025)</t>
        </is>
      </c>
      <c r="G708" t="b">
        <v>1</v>
      </c>
      <c r="H708" t="inlineStr">
        <is>
          <t>11/2026</t>
        </is>
      </c>
    </row>
    <row r="709">
      <c r="A709" t="inlineStr">
        <is>
          <t>Nuv Gastrobar</t>
        </is>
      </c>
      <c r="B709" t="inlineStr">
        <is>
          <t>Gorjeta</t>
        </is>
      </c>
      <c r="C709" t="inlineStr">
        <is>
          <t xml:space="preserve">  -  Comissões e Gorjeta</t>
        </is>
      </c>
      <c r="D709" t="inlineStr">
        <is>
          <t>01/12/2026</t>
        </is>
      </c>
      <c r="E709" t="n">
        <v>74827.88</v>
      </c>
      <c r="F709" t="inlineStr">
        <is>
          <t>Fabrica de Bares (2025)</t>
        </is>
      </c>
      <c r="G709" t="b">
        <v>1</v>
      </c>
      <c r="H709" t="inlineStr">
        <is>
          <t>12/2026</t>
        </is>
      </c>
    </row>
    <row r="710">
      <c r="A710" t="inlineStr">
        <is>
          <t>Nuv Gastrobar</t>
        </is>
      </c>
      <c r="B710" t="inlineStr">
        <is>
          <t>Imposto de Renda</t>
        </is>
      </c>
      <c r="C710" t="inlineStr">
        <is>
          <t>CSLL</t>
        </is>
      </c>
      <c r="D710" t="inlineStr">
        <is>
          <t>01/01/2026</t>
        </is>
      </c>
      <c r="E710" t="n">
        <v>0</v>
      </c>
      <c r="F710" t="inlineStr">
        <is>
          <t>Fabrica de Bares (2025)</t>
        </is>
      </c>
      <c r="G710" t="b">
        <v>1</v>
      </c>
      <c r="H710" t="inlineStr">
        <is>
          <t>1/2026</t>
        </is>
      </c>
    </row>
    <row r="711">
      <c r="A711" t="inlineStr">
        <is>
          <t>Nuv Gastrobar</t>
        </is>
      </c>
      <c r="B711" t="inlineStr">
        <is>
          <t>Imposto de Renda</t>
        </is>
      </c>
      <c r="C711" t="inlineStr">
        <is>
          <t>CSLL</t>
        </is>
      </c>
      <c r="D711" t="inlineStr">
        <is>
          <t>01/02/2026</t>
        </is>
      </c>
      <c r="E711" t="n">
        <v>0</v>
      </c>
      <c r="F711" t="inlineStr">
        <is>
          <t>Fabrica de Bares (2025)</t>
        </is>
      </c>
      <c r="G711" t="b">
        <v>1</v>
      </c>
      <c r="H711" t="inlineStr">
        <is>
          <t>2/2026</t>
        </is>
      </c>
    </row>
    <row r="712">
      <c r="A712" t="inlineStr">
        <is>
          <t>Nuv Gastrobar</t>
        </is>
      </c>
      <c r="B712" t="inlineStr">
        <is>
          <t>Imposto de Renda</t>
        </is>
      </c>
      <c r="C712" t="inlineStr">
        <is>
          <t>CSLL</t>
        </is>
      </c>
      <c r="D712" t="inlineStr">
        <is>
          <t>01/03/2026</t>
        </is>
      </c>
      <c r="E712" t="n">
        <v>0</v>
      </c>
      <c r="F712" t="inlineStr">
        <is>
          <t>Fabrica de Bares (2025)</t>
        </is>
      </c>
      <c r="G712" t="b">
        <v>1</v>
      </c>
      <c r="H712" t="inlineStr">
        <is>
          <t>3/2026</t>
        </is>
      </c>
    </row>
    <row r="713">
      <c r="A713" t="inlineStr">
        <is>
          <t>Nuv Gastrobar</t>
        </is>
      </c>
      <c r="B713" t="inlineStr">
        <is>
          <t>Imposto de Renda</t>
        </is>
      </c>
      <c r="C713" t="inlineStr">
        <is>
          <t>CSLL</t>
        </is>
      </c>
      <c r="D713" t="inlineStr">
        <is>
          <t>01/04/2026</t>
        </is>
      </c>
      <c r="E713" t="n">
        <v>0</v>
      </c>
      <c r="F713" t="inlineStr">
        <is>
          <t>Fabrica de Bares (2025)</t>
        </is>
      </c>
      <c r="G713" t="b">
        <v>1</v>
      </c>
      <c r="H713" t="inlineStr">
        <is>
          <t>4/2026</t>
        </is>
      </c>
    </row>
    <row r="714">
      <c r="A714" t="inlineStr">
        <is>
          <t>Nuv Gastrobar</t>
        </is>
      </c>
      <c r="B714" t="inlineStr">
        <is>
          <t>Imposto de Renda</t>
        </is>
      </c>
      <c r="C714" t="inlineStr">
        <is>
          <t>CSLL</t>
        </is>
      </c>
      <c r="D714" t="inlineStr">
        <is>
          <t>01/05/2026</t>
        </is>
      </c>
      <c r="E714" t="n">
        <v>0</v>
      </c>
      <c r="F714" t="inlineStr">
        <is>
          <t>Fabrica de Bares (2025)</t>
        </is>
      </c>
      <c r="G714" t="b">
        <v>1</v>
      </c>
      <c r="H714" t="inlineStr">
        <is>
          <t>5/2026</t>
        </is>
      </c>
    </row>
    <row r="715">
      <c r="A715" t="inlineStr">
        <is>
          <t>Nuv Gastrobar</t>
        </is>
      </c>
      <c r="B715" t="inlineStr">
        <is>
          <t>Imposto de Renda</t>
        </is>
      </c>
      <c r="C715" t="inlineStr">
        <is>
          <t>CSLL</t>
        </is>
      </c>
      <c r="D715" t="inlineStr">
        <is>
          <t>01/06/2026</t>
        </is>
      </c>
      <c r="E715" t="n">
        <v>0</v>
      </c>
      <c r="F715" t="inlineStr">
        <is>
          <t>Fabrica de Bares (2025)</t>
        </is>
      </c>
      <c r="G715" t="b">
        <v>1</v>
      </c>
      <c r="H715" t="inlineStr">
        <is>
          <t>6/2026</t>
        </is>
      </c>
    </row>
    <row r="716">
      <c r="A716" t="inlineStr">
        <is>
          <t>Nuv Gastrobar</t>
        </is>
      </c>
      <c r="B716" t="inlineStr">
        <is>
          <t>Imposto de Renda</t>
        </is>
      </c>
      <c r="C716" t="inlineStr">
        <is>
          <t>CSLL</t>
        </is>
      </c>
      <c r="D716" t="inlineStr">
        <is>
          <t>01/07/2026</t>
        </is>
      </c>
      <c r="E716" t="n">
        <v>0</v>
      </c>
      <c r="F716" t="inlineStr">
        <is>
          <t>Fabrica de Bares (2025)</t>
        </is>
      </c>
      <c r="G716" t="b">
        <v>1</v>
      </c>
      <c r="H716" t="inlineStr">
        <is>
          <t>7/2026</t>
        </is>
      </c>
    </row>
    <row r="717">
      <c r="A717" t="inlineStr">
        <is>
          <t>Nuv Gastrobar</t>
        </is>
      </c>
      <c r="B717" t="inlineStr">
        <is>
          <t>Imposto de Renda</t>
        </is>
      </c>
      <c r="C717" t="inlineStr">
        <is>
          <t>CSLL</t>
        </is>
      </c>
      <c r="D717" t="inlineStr">
        <is>
          <t>01/08/2026</t>
        </is>
      </c>
      <c r="E717" t="n">
        <v>3689.71</v>
      </c>
      <c r="F717" t="inlineStr">
        <is>
          <t>Fabrica de Bares (2025)</t>
        </is>
      </c>
      <c r="G717" t="b">
        <v>1</v>
      </c>
      <c r="H717" t="inlineStr">
        <is>
          <t>8/2026</t>
        </is>
      </c>
    </row>
    <row r="718">
      <c r="A718" t="inlineStr">
        <is>
          <t>Nuv Gastrobar</t>
        </is>
      </c>
      <c r="B718" t="inlineStr">
        <is>
          <t>Imposto de Renda</t>
        </is>
      </c>
      <c r="C718" t="inlineStr">
        <is>
          <t>CSLL</t>
        </is>
      </c>
      <c r="D718" t="inlineStr">
        <is>
          <t>01/09/2026</t>
        </is>
      </c>
      <c r="E718" t="n">
        <v>5744.74</v>
      </c>
      <c r="F718" t="inlineStr">
        <is>
          <t>Fabrica de Bares (2025)</t>
        </is>
      </c>
      <c r="G718" t="b">
        <v>1</v>
      </c>
      <c r="H718" t="inlineStr">
        <is>
          <t>9/2026</t>
        </is>
      </c>
    </row>
    <row r="719">
      <c r="A719" t="inlineStr">
        <is>
          <t>Nuv Gastrobar</t>
        </is>
      </c>
      <c r="B719" t="inlineStr">
        <is>
          <t>Imposto de Renda</t>
        </is>
      </c>
      <c r="C719" t="inlineStr">
        <is>
          <t>CSLL</t>
        </is>
      </c>
      <c r="D719" t="inlineStr">
        <is>
          <t>01/10/2026</t>
        </is>
      </c>
      <c r="E719" t="n">
        <v>6684.34</v>
      </c>
      <c r="F719" t="inlineStr">
        <is>
          <t>Fabrica de Bares (2025)</t>
        </is>
      </c>
      <c r="G719" t="b">
        <v>1</v>
      </c>
      <c r="H719" t="inlineStr">
        <is>
          <t>10/2026</t>
        </is>
      </c>
    </row>
    <row r="720">
      <c r="A720" t="inlineStr">
        <is>
          <t>Nuv Gastrobar</t>
        </is>
      </c>
      <c r="B720" t="inlineStr">
        <is>
          <t>Imposto de Renda</t>
        </is>
      </c>
      <c r="C720" t="inlineStr">
        <is>
          <t>CSLL</t>
        </is>
      </c>
      <c r="D720" t="inlineStr">
        <is>
          <t>01/11/2026</t>
        </is>
      </c>
      <c r="E720" t="n">
        <v>9620.639999999999</v>
      </c>
      <c r="F720" t="inlineStr">
        <is>
          <t>Fabrica de Bares (2025)</t>
        </is>
      </c>
      <c r="G720" t="b">
        <v>1</v>
      </c>
      <c r="H720" t="inlineStr">
        <is>
          <t>11/2026</t>
        </is>
      </c>
    </row>
    <row r="721">
      <c r="A721" t="inlineStr">
        <is>
          <t>Nuv Gastrobar</t>
        </is>
      </c>
      <c r="B721" t="inlineStr">
        <is>
          <t>Imposto de Renda</t>
        </is>
      </c>
      <c r="C721" t="inlineStr">
        <is>
          <t>CSLL</t>
        </is>
      </c>
      <c r="D721" t="inlineStr">
        <is>
          <t>01/12/2026</t>
        </is>
      </c>
      <c r="E721" t="n">
        <v>9516.1</v>
      </c>
      <c r="F721" t="inlineStr">
        <is>
          <t>Fabrica de Bares (2025)</t>
        </is>
      </c>
      <c r="G721" t="b">
        <v>1</v>
      </c>
      <c r="H721" t="inlineStr">
        <is>
          <t>12/2026</t>
        </is>
      </c>
    </row>
    <row r="722">
      <c r="A722" t="inlineStr">
        <is>
          <t>Nuv Gastrobar</t>
        </is>
      </c>
      <c r="B722" t="inlineStr">
        <is>
          <t>Imposto de Renda</t>
        </is>
      </c>
      <c r="C722" t="inlineStr">
        <is>
          <t>IRPJ</t>
        </is>
      </c>
      <c r="D722" t="inlineStr">
        <is>
          <t>01/01/2026</t>
        </is>
      </c>
      <c r="E722" t="n">
        <v>0</v>
      </c>
      <c r="F722" t="inlineStr">
        <is>
          <t>Fabrica de Bares (2025)</t>
        </is>
      </c>
      <c r="G722" t="b">
        <v>1</v>
      </c>
      <c r="H722" t="inlineStr">
        <is>
          <t>1/2026</t>
        </is>
      </c>
    </row>
    <row r="723">
      <c r="A723" t="inlineStr">
        <is>
          <t>Nuv Gastrobar</t>
        </is>
      </c>
      <c r="B723" t="inlineStr">
        <is>
          <t>Imposto de Renda</t>
        </is>
      </c>
      <c r="C723" t="inlineStr">
        <is>
          <t>IRPJ</t>
        </is>
      </c>
      <c r="D723" t="inlineStr">
        <is>
          <t>01/02/2026</t>
        </is>
      </c>
      <c r="E723" t="n">
        <v>0</v>
      </c>
      <c r="F723" t="inlineStr">
        <is>
          <t>Fabrica de Bares (2025)</t>
        </is>
      </c>
      <c r="G723" t="b">
        <v>1</v>
      </c>
      <c r="H723" t="inlineStr">
        <is>
          <t>2/2026</t>
        </is>
      </c>
    </row>
    <row r="724">
      <c r="A724" t="inlineStr">
        <is>
          <t>Nuv Gastrobar</t>
        </is>
      </c>
      <c r="B724" t="inlineStr">
        <is>
          <t>Imposto de Renda</t>
        </is>
      </c>
      <c r="C724" t="inlineStr">
        <is>
          <t>IRPJ</t>
        </is>
      </c>
      <c r="D724" t="inlineStr">
        <is>
          <t>01/03/2026</t>
        </is>
      </c>
      <c r="E724" t="n">
        <v>0</v>
      </c>
      <c r="F724" t="inlineStr">
        <is>
          <t>Fabrica de Bares (2025)</t>
        </is>
      </c>
      <c r="G724" t="b">
        <v>1</v>
      </c>
      <c r="H724" t="inlineStr">
        <is>
          <t>3/2026</t>
        </is>
      </c>
    </row>
    <row r="725">
      <c r="A725" t="inlineStr">
        <is>
          <t>Nuv Gastrobar</t>
        </is>
      </c>
      <c r="B725" t="inlineStr">
        <is>
          <t>Imposto de Renda</t>
        </is>
      </c>
      <c r="C725" t="inlineStr">
        <is>
          <t>IRPJ</t>
        </is>
      </c>
      <c r="D725" t="inlineStr">
        <is>
          <t>01/04/2026</t>
        </is>
      </c>
      <c r="E725" t="n">
        <v>0</v>
      </c>
      <c r="F725" t="inlineStr">
        <is>
          <t>Fabrica de Bares (2025)</t>
        </is>
      </c>
      <c r="G725" t="b">
        <v>1</v>
      </c>
      <c r="H725" t="inlineStr">
        <is>
          <t>4/2026</t>
        </is>
      </c>
    </row>
    <row r="726">
      <c r="A726" t="inlineStr">
        <is>
          <t>Nuv Gastrobar</t>
        </is>
      </c>
      <c r="B726" t="inlineStr">
        <is>
          <t>Imposto de Renda</t>
        </is>
      </c>
      <c r="C726" t="inlineStr">
        <is>
          <t>IRPJ</t>
        </is>
      </c>
      <c r="D726" t="inlineStr">
        <is>
          <t>01/05/2026</t>
        </is>
      </c>
      <c r="E726" t="n">
        <v>0</v>
      </c>
      <c r="F726" t="inlineStr">
        <is>
          <t>Fabrica de Bares (2025)</t>
        </is>
      </c>
      <c r="G726" t="b">
        <v>1</v>
      </c>
      <c r="H726" t="inlineStr">
        <is>
          <t>5/2026</t>
        </is>
      </c>
    </row>
    <row r="727">
      <c r="A727" t="inlineStr">
        <is>
          <t>Nuv Gastrobar</t>
        </is>
      </c>
      <c r="B727" t="inlineStr">
        <is>
          <t>Imposto de Renda</t>
        </is>
      </c>
      <c r="C727" t="inlineStr">
        <is>
          <t>IRPJ</t>
        </is>
      </c>
      <c r="D727" t="inlineStr">
        <is>
          <t>01/06/2026</t>
        </is>
      </c>
      <c r="E727" t="n">
        <v>0</v>
      </c>
      <c r="F727" t="inlineStr">
        <is>
          <t>Fabrica de Bares (2025)</t>
        </is>
      </c>
      <c r="G727" t="b">
        <v>1</v>
      </c>
      <c r="H727" t="inlineStr">
        <is>
          <t>6/2026</t>
        </is>
      </c>
    </row>
    <row r="728">
      <c r="A728" t="inlineStr">
        <is>
          <t>Nuv Gastrobar</t>
        </is>
      </c>
      <c r="B728" t="inlineStr">
        <is>
          <t>Imposto de Renda</t>
        </is>
      </c>
      <c r="C728" t="inlineStr">
        <is>
          <t>IRPJ</t>
        </is>
      </c>
      <c r="D728" t="inlineStr">
        <is>
          <t>01/07/2026</t>
        </is>
      </c>
      <c r="E728" t="n">
        <v>0</v>
      </c>
      <c r="F728" t="inlineStr">
        <is>
          <t>Fabrica de Bares (2025)</t>
        </is>
      </c>
      <c r="G728" t="b">
        <v>1</v>
      </c>
      <c r="H728" t="inlineStr">
        <is>
          <t>7/2026</t>
        </is>
      </c>
    </row>
    <row r="729">
      <c r="A729" t="inlineStr">
        <is>
          <t>Nuv Gastrobar</t>
        </is>
      </c>
      <c r="B729" t="inlineStr">
        <is>
          <t>Imposto de Renda</t>
        </is>
      </c>
      <c r="C729" t="inlineStr">
        <is>
          <t>IRPJ</t>
        </is>
      </c>
      <c r="D729" t="inlineStr">
        <is>
          <t>01/08/2026</t>
        </is>
      </c>
      <c r="E729" t="n">
        <v>4099.68</v>
      </c>
      <c r="F729" t="inlineStr">
        <is>
          <t>Fabrica de Bares (2025)</t>
        </is>
      </c>
      <c r="G729" t="b">
        <v>1</v>
      </c>
      <c r="H729" t="inlineStr">
        <is>
          <t>8/2026</t>
        </is>
      </c>
    </row>
    <row r="730">
      <c r="A730" t="inlineStr">
        <is>
          <t>Nuv Gastrobar</t>
        </is>
      </c>
      <c r="B730" t="inlineStr">
        <is>
          <t>Imposto de Renda</t>
        </is>
      </c>
      <c r="C730" t="inlineStr">
        <is>
          <t>IRPJ</t>
        </is>
      </c>
      <c r="D730" t="inlineStr">
        <is>
          <t>01/09/2026</t>
        </is>
      </c>
      <c r="E730" t="n">
        <v>6383.04</v>
      </c>
      <c r="F730" t="inlineStr">
        <is>
          <t>Fabrica de Bares (2025)</t>
        </is>
      </c>
      <c r="G730" t="b">
        <v>1</v>
      </c>
      <c r="H730" t="inlineStr">
        <is>
          <t>9/2026</t>
        </is>
      </c>
    </row>
    <row r="731">
      <c r="A731" t="inlineStr">
        <is>
          <t>Nuv Gastrobar</t>
        </is>
      </c>
      <c r="B731" t="inlineStr">
        <is>
          <t>Imposto de Renda</t>
        </is>
      </c>
      <c r="C731" t="inlineStr">
        <is>
          <t>IRPJ</t>
        </is>
      </c>
      <c r="D731" t="inlineStr">
        <is>
          <t>01/10/2026</t>
        </is>
      </c>
      <c r="E731" t="n">
        <v>7427.04</v>
      </c>
      <c r="F731" t="inlineStr">
        <is>
          <t>Fabrica de Bares (2025)</t>
        </is>
      </c>
      <c r="G731" t="b">
        <v>1</v>
      </c>
      <c r="H731" t="inlineStr">
        <is>
          <t>10/2026</t>
        </is>
      </c>
    </row>
    <row r="732">
      <c r="A732" t="inlineStr">
        <is>
          <t>Nuv Gastrobar</t>
        </is>
      </c>
      <c r="B732" t="inlineStr">
        <is>
          <t>Imposto de Renda</t>
        </is>
      </c>
      <c r="C732" t="inlineStr">
        <is>
          <t>IRPJ</t>
        </is>
      </c>
      <c r="D732" t="inlineStr">
        <is>
          <t>01/11/2026</t>
        </is>
      </c>
      <c r="E732" t="n">
        <v>10689.6</v>
      </c>
      <c r="F732" t="inlineStr">
        <is>
          <t>Fabrica de Bares (2025)</t>
        </is>
      </c>
      <c r="G732" t="b">
        <v>1</v>
      </c>
      <c r="H732" t="inlineStr">
        <is>
          <t>11/2026</t>
        </is>
      </c>
    </row>
    <row r="733">
      <c r="A733" t="inlineStr">
        <is>
          <t>Nuv Gastrobar</t>
        </is>
      </c>
      <c r="B733" t="inlineStr">
        <is>
          <t>Imposto de Renda</t>
        </is>
      </c>
      <c r="C733" t="inlineStr">
        <is>
          <t>IRPJ</t>
        </is>
      </c>
      <c r="D733" t="inlineStr">
        <is>
          <t>01/12/2026</t>
        </is>
      </c>
      <c r="E733" t="n">
        <v>10573.44</v>
      </c>
      <c r="F733" t="inlineStr">
        <is>
          <t>Fabrica de Bares (2025)</t>
        </is>
      </c>
      <c r="G733" t="b">
        <v>1</v>
      </c>
      <c r="H733" t="inlineStr">
        <is>
          <t>12/2026</t>
        </is>
      </c>
    </row>
    <row r="734">
      <c r="A734" t="inlineStr">
        <is>
          <t>Nuv Gastrobar</t>
        </is>
      </c>
      <c r="B734" t="inlineStr">
        <is>
          <t>Imposto de Renda</t>
        </is>
      </c>
      <c r="C734" t="inlineStr">
        <is>
          <t>IRPJ 10%</t>
        </is>
      </c>
      <c r="D734" t="inlineStr">
        <is>
          <t>01/01/2026</t>
        </is>
      </c>
      <c r="E734" t="n">
        <v>0</v>
      </c>
      <c r="F734" t="inlineStr">
        <is>
          <t>Fabrica de Bares (2025)</t>
        </is>
      </c>
      <c r="G734" t="b">
        <v>1</v>
      </c>
      <c r="H734" t="inlineStr">
        <is>
          <t>1/2026</t>
        </is>
      </c>
    </row>
    <row r="735">
      <c r="A735" t="inlineStr">
        <is>
          <t>Nuv Gastrobar</t>
        </is>
      </c>
      <c r="B735" t="inlineStr">
        <is>
          <t>Imposto de Renda</t>
        </is>
      </c>
      <c r="C735" t="inlineStr">
        <is>
          <t>IRPJ 10%</t>
        </is>
      </c>
      <c r="D735" t="inlineStr">
        <is>
          <t>01/02/2026</t>
        </is>
      </c>
      <c r="E735" t="n">
        <v>0</v>
      </c>
      <c r="F735" t="inlineStr">
        <is>
          <t>Fabrica de Bares (2025)</t>
        </is>
      </c>
      <c r="G735" t="b">
        <v>1</v>
      </c>
      <c r="H735" t="inlineStr">
        <is>
          <t>2/2026</t>
        </is>
      </c>
    </row>
    <row r="736">
      <c r="A736" t="inlineStr">
        <is>
          <t>Nuv Gastrobar</t>
        </is>
      </c>
      <c r="B736" t="inlineStr">
        <is>
          <t>Imposto de Renda</t>
        </is>
      </c>
      <c r="C736" t="inlineStr">
        <is>
          <t>IRPJ 10%</t>
        </is>
      </c>
      <c r="D736" t="inlineStr">
        <is>
          <t>01/03/2026</t>
        </is>
      </c>
      <c r="E736" t="n">
        <v>0</v>
      </c>
      <c r="F736" t="inlineStr">
        <is>
          <t>Fabrica de Bares (2025)</t>
        </is>
      </c>
      <c r="G736" t="b">
        <v>1</v>
      </c>
      <c r="H736" t="inlineStr">
        <is>
          <t>3/2026</t>
        </is>
      </c>
    </row>
    <row r="737">
      <c r="A737" t="inlineStr">
        <is>
          <t>Nuv Gastrobar</t>
        </is>
      </c>
      <c r="B737" t="inlineStr">
        <is>
          <t>Imposto de Renda</t>
        </is>
      </c>
      <c r="C737" t="inlineStr">
        <is>
          <t>IRPJ 10%</t>
        </is>
      </c>
      <c r="D737" t="inlineStr">
        <is>
          <t>01/04/2026</t>
        </is>
      </c>
      <c r="E737" t="n">
        <v>0</v>
      </c>
      <c r="F737" t="inlineStr">
        <is>
          <t>Fabrica de Bares (2025)</t>
        </is>
      </c>
      <c r="G737" t="b">
        <v>1</v>
      </c>
      <c r="H737" t="inlineStr">
        <is>
          <t>4/2026</t>
        </is>
      </c>
    </row>
    <row r="738">
      <c r="A738" t="inlineStr">
        <is>
          <t>Nuv Gastrobar</t>
        </is>
      </c>
      <c r="B738" t="inlineStr">
        <is>
          <t>Imposto de Renda</t>
        </is>
      </c>
      <c r="C738" t="inlineStr">
        <is>
          <t>IRPJ 10%</t>
        </is>
      </c>
      <c r="D738" t="inlineStr">
        <is>
          <t>01/05/2026</t>
        </is>
      </c>
      <c r="E738" t="n">
        <v>0</v>
      </c>
      <c r="F738" t="inlineStr">
        <is>
          <t>Fabrica de Bares (2025)</t>
        </is>
      </c>
      <c r="G738" t="b">
        <v>1</v>
      </c>
      <c r="H738" t="inlineStr">
        <is>
          <t>5/2026</t>
        </is>
      </c>
    </row>
    <row r="739">
      <c r="A739" t="inlineStr">
        <is>
          <t>Nuv Gastrobar</t>
        </is>
      </c>
      <c r="B739" t="inlineStr">
        <is>
          <t>Imposto de Renda</t>
        </is>
      </c>
      <c r="C739" t="inlineStr">
        <is>
          <t>IRPJ 10%</t>
        </is>
      </c>
      <c r="D739" t="inlineStr">
        <is>
          <t>01/06/2026</t>
        </is>
      </c>
      <c r="E739" t="n">
        <v>0</v>
      </c>
      <c r="F739" t="inlineStr">
        <is>
          <t>Fabrica de Bares (2025)</t>
        </is>
      </c>
      <c r="G739" t="b">
        <v>1</v>
      </c>
      <c r="H739" t="inlineStr">
        <is>
          <t>6/2026</t>
        </is>
      </c>
    </row>
    <row r="740">
      <c r="A740" t="inlineStr">
        <is>
          <t>Nuv Gastrobar</t>
        </is>
      </c>
      <c r="B740" t="inlineStr">
        <is>
          <t>Imposto de Renda</t>
        </is>
      </c>
      <c r="C740" t="inlineStr">
        <is>
          <t>IRPJ 10%</t>
        </is>
      </c>
      <c r="D740" t="inlineStr">
        <is>
          <t>01/07/2026</t>
        </is>
      </c>
      <c r="E740" t="n">
        <v>0</v>
      </c>
      <c r="F740" t="inlineStr">
        <is>
          <t>Fabrica de Bares (2025)</t>
        </is>
      </c>
      <c r="G740" t="b">
        <v>1</v>
      </c>
      <c r="H740" t="inlineStr">
        <is>
          <t>7/2026</t>
        </is>
      </c>
    </row>
    <row r="741">
      <c r="A741" t="inlineStr">
        <is>
          <t>Nuv Gastrobar</t>
        </is>
      </c>
      <c r="B741" t="inlineStr">
        <is>
          <t>Imposto de Renda</t>
        </is>
      </c>
      <c r="C741" t="inlineStr">
        <is>
          <t>IRPJ 10%</t>
        </is>
      </c>
      <c r="D741" t="inlineStr">
        <is>
          <t>01/08/2026</t>
        </is>
      </c>
      <c r="E741" t="n">
        <v>0</v>
      </c>
      <c r="F741" t="inlineStr">
        <is>
          <t>Fabrica de Bares (2025)</t>
        </is>
      </c>
      <c r="G741" t="b">
        <v>1</v>
      </c>
      <c r="H741" t="inlineStr">
        <is>
          <t>8/2026</t>
        </is>
      </c>
    </row>
    <row r="742">
      <c r="A742" t="inlineStr">
        <is>
          <t>Nuv Gastrobar</t>
        </is>
      </c>
      <c r="B742" t="inlineStr">
        <is>
          <t>Imposto de Renda</t>
        </is>
      </c>
      <c r="C742" t="inlineStr">
        <is>
          <t>IRPJ 10%</t>
        </is>
      </c>
      <c r="D742" t="inlineStr">
        <is>
          <t>01/09/2026</t>
        </is>
      </c>
      <c r="E742" t="n">
        <v>0</v>
      </c>
      <c r="F742" t="inlineStr">
        <is>
          <t>Fabrica de Bares (2025)</t>
        </is>
      </c>
      <c r="G742" t="b">
        <v>1</v>
      </c>
      <c r="H742" t="inlineStr">
        <is>
          <t>9/2026</t>
        </is>
      </c>
    </row>
    <row r="743">
      <c r="A743" t="inlineStr">
        <is>
          <t>Nuv Gastrobar</t>
        </is>
      </c>
      <c r="B743" t="inlineStr">
        <is>
          <t>Imposto de Renda</t>
        </is>
      </c>
      <c r="C743" t="inlineStr">
        <is>
          <t>IRPJ 10%</t>
        </is>
      </c>
      <c r="D743" t="inlineStr">
        <is>
          <t>01/10/2026</t>
        </is>
      </c>
      <c r="E743" t="n">
        <v>0</v>
      </c>
      <c r="F743" t="inlineStr">
        <is>
          <t>Fabrica de Bares (2025)</t>
        </is>
      </c>
      <c r="G743" t="b">
        <v>1</v>
      </c>
      <c r="H743" t="inlineStr">
        <is>
          <t>10/2026</t>
        </is>
      </c>
    </row>
    <row r="744">
      <c r="A744" t="inlineStr">
        <is>
          <t>Nuv Gastrobar</t>
        </is>
      </c>
      <c r="B744" t="inlineStr">
        <is>
          <t>Imposto de Renda</t>
        </is>
      </c>
      <c r="C744" t="inlineStr">
        <is>
          <t>IRPJ 10%</t>
        </is>
      </c>
      <c r="D744" t="inlineStr">
        <is>
          <t>01/11/2026</t>
        </is>
      </c>
      <c r="E744" t="n">
        <v>0</v>
      </c>
      <c r="F744" t="inlineStr">
        <is>
          <t>Fabrica de Bares (2025)</t>
        </is>
      </c>
      <c r="G744" t="b">
        <v>1</v>
      </c>
      <c r="H744" t="inlineStr">
        <is>
          <t>11/2026</t>
        </is>
      </c>
    </row>
    <row r="745">
      <c r="A745" t="inlineStr">
        <is>
          <t>Nuv Gastrobar</t>
        </is>
      </c>
      <c r="B745" t="inlineStr">
        <is>
          <t>Imposto de Renda</t>
        </is>
      </c>
      <c r="C745" t="inlineStr">
        <is>
          <t>IRPJ 10%</t>
        </is>
      </c>
      <c r="D745" t="inlineStr">
        <is>
          <t>01/12/2026</t>
        </is>
      </c>
      <c r="E745" t="n">
        <v>13126.72</v>
      </c>
      <c r="F745" t="inlineStr">
        <is>
          <t>Fabrica de Bares (2025)</t>
        </is>
      </c>
      <c r="G745" t="b">
        <v>1</v>
      </c>
      <c r="H745" t="inlineStr">
        <is>
          <t>12/2026</t>
        </is>
      </c>
    </row>
    <row r="746">
      <c r="A746" t="inlineStr">
        <is>
          <t>Nuv Gastrobar</t>
        </is>
      </c>
      <c r="B746" t="inlineStr">
        <is>
          <t>Imposto de Renda</t>
        </is>
      </c>
      <c r="C746" t="inlineStr">
        <is>
          <t>SIMPLES</t>
        </is>
      </c>
      <c r="D746" t="inlineStr">
        <is>
          <t>01/01/2026</t>
        </is>
      </c>
      <c r="E746" t="n">
        <v>0</v>
      </c>
      <c r="F746" t="inlineStr">
        <is>
          <t>Fabrica de Bares (2025)</t>
        </is>
      </c>
      <c r="G746" t="b">
        <v>1</v>
      </c>
      <c r="H746" t="inlineStr">
        <is>
          <t>1/2026</t>
        </is>
      </c>
    </row>
    <row r="747">
      <c r="A747" t="inlineStr">
        <is>
          <t>Nuv Gastrobar</t>
        </is>
      </c>
      <c r="B747" t="inlineStr">
        <is>
          <t>Imposto de Renda</t>
        </is>
      </c>
      <c r="C747" t="inlineStr">
        <is>
          <t>SIMPLES</t>
        </is>
      </c>
      <c r="D747" t="inlineStr">
        <is>
          <t>01/02/2026</t>
        </is>
      </c>
      <c r="E747" t="n">
        <v>0</v>
      </c>
      <c r="F747" t="inlineStr">
        <is>
          <t>Fabrica de Bares (2025)</t>
        </is>
      </c>
      <c r="G747" t="b">
        <v>1</v>
      </c>
      <c r="H747" t="inlineStr">
        <is>
          <t>2/2026</t>
        </is>
      </c>
    </row>
    <row r="748">
      <c r="A748" t="inlineStr">
        <is>
          <t>Nuv Gastrobar</t>
        </is>
      </c>
      <c r="B748" t="inlineStr">
        <is>
          <t>Imposto de Renda</t>
        </is>
      </c>
      <c r="C748" t="inlineStr">
        <is>
          <t>SIMPLES</t>
        </is>
      </c>
      <c r="D748" t="inlineStr">
        <is>
          <t>01/03/2026</t>
        </is>
      </c>
      <c r="E748" t="n">
        <v>0</v>
      </c>
      <c r="F748" t="inlineStr">
        <is>
          <t>Fabrica de Bares (2025)</t>
        </is>
      </c>
      <c r="G748" t="b">
        <v>1</v>
      </c>
      <c r="H748" t="inlineStr">
        <is>
          <t>3/2026</t>
        </is>
      </c>
    </row>
    <row r="749">
      <c r="A749" t="inlineStr">
        <is>
          <t>Nuv Gastrobar</t>
        </is>
      </c>
      <c r="B749" t="inlineStr">
        <is>
          <t>Imposto de Renda</t>
        </is>
      </c>
      <c r="C749" t="inlineStr">
        <is>
          <t>SIMPLES</t>
        </is>
      </c>
      <c r="D749" t="inlineStr">
        <is>
          <t>01/04/2026</t>
        </is>
      </c>
      <c r="E749" t="n">
        <v>0</v>
      </c>
      <c r="F749" t="inlineStr">
        <is>
          <t>Fabrica de Bares (2025)</t>
        </is>
      </c>
      <c r="G749" t="b">
        <v>1</v>
      </c>
      <c r="H749" t="inlineStr">
        <is>
          <t>4/2026</t>
        </is>
      </c>
    </row>
    <row r="750">
      <c r="A750" t="inlineStr">
        <is>
          <t>Nuv Gastrobar</t>
        </is>
      </c>
      <c r="B750" t="inlineStr">
        <is>
          <t>Imposto de Renda</t>
        </is>
      </c>
      <c r="C750" t="inlineStr">
        <is>
          <t>SIMPLES</t>
        </is>
      </c>
      <c r="D750" t="inlineStr">
        <is>
          <t>01/05/2026</t>
        </is>
      </c>
      <c r="E750" t="n">
        <v>0</v>
      </c>
      <c r="F750" t="inlineStr">
        <is>
          <t>Fabrica de Bares (2025)</t>
        </is>
      </c>
      <c r="G750" t="b">
        <v>1</v>
      </c>
      <c r="H750" t="inlineStr">
        <is>
          <t>5/2026</t>
        </is>
      </c>
    </row>
    <row r="751">
      <c r="A751" t="inlineStr">
        <is>
          <t>Nuv Gastrobar</t>
        </is>
      </c>
      <c r="B751" t="inlineStr">
        <is>
          <t>Imposto de Renda</t>
        </is>
      </c>
      <c r="C751" t="inlineStr">
        <is>
          <t>SIMPLES</t>
        </is>
      </c>
      <c r="D751" t="inlineStr">
        <is>
          <t>01/06/2026</t>
        </is>
      </c>
      <c r="E751" t="n">
        <v>0</v>
      </c>
      <c r="F751" t="inlineStr">
        <is>
          <t>Fabrica de Bares (2025)</t>
        </is>
      </c>
      <c r="G751" t="b">
        <v>1</v>
      </c>
      <c r="H751" t="inlineStr">
        <is>
          <t>6/2026</t>
        </is>
      </c>
    </row>
    <row r="752">
      <c r="A752" t="inlineStr">
        <is>
          <t>Nuv Gastrobar</t>
        </is>
      </c>
      <c r="B752" t="inlineStr">
        <is>
          <t>Imposto de Renda</t>
        </is>
      </c>
      <c r="C752" t="inlineStr">
        <is>
          <t>SIMPLES</t>
        </is>
      </c>
      <c r="D752" t="inlineStr">
        <is>
          <t>01/07/2026</t>
        </is>
      </c>
      <c r="E752" t="n">
        <v>0</v>
      </c>
      <c r="F752" t="inlineStr">
        <is>
          <t>Fabrica de Bares (2025)</t>
        </is>
      </c>
      <c r="G752" t="b">
        <v>1</v>
      </c>
      <c r="H752" t="inlineStr">
        <is>
          <t>7/2026</t>
        </is>
      </c>
    </row>
    <row r="753">
      <c r="A753" t="inlineStr">
        <is>
          <t>Nuv Gastrobar</t>
        </is>
      </c>
      <c r="B753" t="inlineStr">
        <is>
          <t>Imposto de Renda</t>
        </is>
      </c>
      <c r="C753" t="inlineStr">
        <is>
          <t>SIMPLES</t>
        </is>
      </c>
      <c r="D753" t="inlineStr">
        <is>
          <t>01/08/2026</t>
        </is>
      </c>
      <c r="E753" t="n">
        <v>0</v>
      </c>
      <c r="F753" t="inlineStr">
        <is>
          <t>Fabrica de Bares (2025)</t>
        </is>
      </c>
      <c r="G753" t="b">
        <v>1</v>
      </c>
      <c r="H753" t="inlineStr">
        <is>
          <t>8/2026</t>
        </is>
      </c>
    </row>
    <row r="754">
      <c r="A754" t="inlineStr">
        <is>
          <t>Nuv Gastrobar</t>
        </is>
      </c>
      <c r="B754" t="inlineStr">
        <is>
          <t>Imposto de Renda</t>
        </is>
      </c>
      <c r="C754" t="inlineStr">
        <is>
          <t>SIMPLES</t>
        </is>
      </c>
      <c r="D754" t="inlineStr">
        <is>
          <t>01/09/2026</t>
        </is>
      </c>
      <c r="E754" t="n">
        <v>0</v>
      </c>
      <c r="F754" t="inlineStr">
        <is>
          <t>Fabrica de Bares (2025)</t>
        </is>
      </c>
      <c r="G754" t="b">
        <v>1</v>
      </c>
      <c r="H754" t="inlineStr">
        <is>
          <t>9/2026</t>
        </is>
      </c>
    </row>
    <row r="755">
      <c r="A755" t="inlineStr">
        <is>
          <t>Nuv Gastrobar</t>
        </is>
      </c>
      <c r="B755" t="inlineStr">
        <is>
          <t>Imposto de Renda</t>
        </is>
      </c>
      <c r="C755" t="inlineStr">
        <is>
          <t>SIMPLES</t>
        </is>
      </c>
      <c r="D755" t="inlineStr">
        <is>
          <t>01/10/2026</t>
        </is>
      </c>
      <c r="E755" t="n">
        <v>0</v>
      </c>
      <c r="F755" t="inlineStr">
        <is>
          <t>Fabrica de Bares (2025)</t>
        </is>
      </c>
      <c r="G755" t="b">
        <v>1</v>
      </c>
      <c r="H755" t="inlineStr">
        <is>
          <t>10/2026</t>
        </is>
      </c>
    </row>
    <row r="756">
      <c r="A756" t="inlineStr">
        <is>
          <t>Nuv Gastrobar</t>
        </is>
      </c>
      <c r="B756" t="inlineStr">
        <is>
          <t>Imposto de Renda</t>
        </is>
      </c>
      <c r="C756" t="inlineStr">
        <is>
          <t>SIMPLES</t>
        </is>
      </c>
      <c r="D756" t="inlineStr">
        <is>
          <t>01/11/2026</t>
        </is>
      </c>
      <c r="E756" t="n">
        <v>0</v>
      </c>
      <c r="F756" t="inlineStr">
        <is>
          <t>Fabrica de Bares (2025)</t>
        </is>
      </c>
      <c r="G756" t="b">
        <v>1</v>
      </c>
      <c r="H756" t="inlineStr">
        <is>
          <t>11/2026</t>
        </is>
      </c>
    </row>
    <row r="757">
      <c r="A757" t="inlineStr">
        <is>
          <t>Nuv Gastrobar</t>
        </is>
      </c>
      <c r="B757" t="inlineStr">
        <is>
          <t>Imposto de Renda</t>
        </is>
      </c>
      <c r="C757" t="inlineStr">
        <is>
          <t>SIMPLES</t>
        </is>
      </c>
      <c r="D757" t="inlineStr">
        <is>
          <t>01/12/2026</t>
        </is>
      </c>
      <c r="E757" t="n">
        <v>0</v>
      </c>
      <c r="F757" t="inlineStr">
        <is>
          <t>Fabrica de Bares (2025)</t>
        </is>
      </c>
      <c r="G757" t="b">
        <v>1</v>
      </c>
      <c r="H757" t="inlineStr">
        <is>
          <t>12/2026</t>
        </is>
      </c>
    </row>
    <row r="758">
      <c r="A758" t="inlineStr">
        <is>
          <t>Nuv Gastrobar</t>
        </is>
      </c>
      <c r="B758" t="inlineStr">
        <is>
          <t>Impostos sobre Venda</t>
        </is>
      </c>
      <c r="C758" t="inlineStr">
        <is>
          <t>ICMS</t>
        </is>
      </c>
      <c r="D758" t="inlineStr">
        <is>
          <t>01/01/2026</t>
        </is>
      </c>
      <c r="E758" t="n">
        <v>0</v>
      </c>
      <c r="F758" t="inlineStr">
        <is>
          <t>Fabrica de Bares (2025)</t>
        </is>
      </c>
      <c r="G758" t="b">
        <v>1</v>
      </c>
      <c r="H758" t="inlineStr">
        <is>
          <t>1/2026</t>
        </is>
      </c>
    </row>
    <row r="759">
      <c r="A759" t="inlineStr">
        <is>
          <t>Nuv Gastrobar</t>
        </is>
      </c>
      <c r="B759" t="inlineStr">
        <is>
          <t>Impostos sobre Venda</t>
        </is>
      </c>
      <c r="C759" t="inlineStr">
        <is>
          <t>ICMS</t>
        </is>
      </c>
      <c r="D759" t="inlineStr">
        <is>
          <t>01/02/2026</t>
        </is>
      </c>
      <c r="E759" t="n">
        <v>0</v>
      </c>
      <c r="F759" t="inlineStr">
        <is>
          <t>Fabrica de Bares (2025)</t>
        </is>
      </c>
      <c r="G759" t="b">
        <v>1</v>
      </c>
      <c r="H759" t="inlineStr">
        <is>
          <t>2/2026</t>
        </is>
      </c>
    </row>
    <row r="760">
      <c r="A760" t="inlineStr">
        <is>
          <t>Nuv Gastrobar</t>
        </is>
      </c>
      <c r="B760" t="inlineStr">
        <is>
          <t>Impostos sobre Venda</t>
        </is>
      </c>
      <c r="C760" t="inlineStr">
        <is>
          <t>ICMS</t>
        </is>
      </c>
      <c r="D760" t="inlineStr">
        <is>
          <t>01/03/2026</t>
        </is>
      </c>
      <c r="E760" t="n">
        <v>0</v>
      </c>
      <c r="F760" t="inlineStr">
        <is>
          <t>Fabrica de Bares (2025)</t>
        </is>
      </c>
      <c r="G760" t="b">
        <v>1</v>
      </c>
      <c r="H760" t="inlineStr">
        <is>
          <t>3/2026</t>
        </is>
      </c>
    </row>
    <row r="761">
      <c r="A761" t="inlineStr">
        <is>
          <t>Nuv Gastrobar</t>
        </is>
      </c>
      <c r="B761" t="inlineStr">
        <is>
          <t>Impostos sobre Venda</t>
        </is>
      </c>
      <c r="C761" t="inlineStr">
        <is>
          <t>ICMS</t>
        </is>
      </c>
      <c r="D761" t="inlineStr">
        <is>
          <t>01/04/2026</t>
        </is>
      </c>
      <c r="E761" t="n">
        <v>0</v>
      </c>
      <c r="F761" t="inlineStr">
        <is>
          <t>Fabrica de Bares (2025)</t>
        </is>
      </c>
      <c r="G761" t="b">
        <v>1</v>
      </c>
      <c r="H761" t="inlineStr">
        <is>
          <t>4/2026</t>
        </is>
      </c>
    </row>
    <row r="762">
      <c r="A762" t="inlineStr">
        <is>
          <t>Nuv Gastrobar</t>
        </is>
      </c>
      <c r="B762" t="inlineStr">
        <is>
          <t>Impostos sobre Venda</t>
        </is>
      </c>
      <c r="C762" t="inlineStr">
        <is>
          <t>ICMS</t>
        </is>
      </c>
      <c r="D762" t="inlineStr">
        <is>
          <t>01/05/2026</t>
        </is>
      </c>
      <c r="E762" t="n">
        <v>0</v>
      </c>
      <c r="F762" t="inlineStr">
        <is>
          <t>Fabrica de Bares (2025)</t>
        </is>
      </c>
      <c r="G762" t="b">
        <v>1</v>
      </c>
      <c r="H762" t="inlineStr">
        <is>
          <t>5/2026</t>
        </is>
      </c>
    </row>
    <row r="763">
      <c r="A763" t="inlineStr">
        <is>
          <t>Nuv Gastrobar</t>
        </is>
      </c>
      <c r="B763" t="inlineStr">
        <is>
          <t>Impostos sobre Venda</t>
        </is>
      </c>
      <c r="C763" t="inlineStr">
        <is>
          <t>ICMS</t>
        </is>
      </c>
      <c r="D763" t="inlineStr">
        <is>
          <t>01/06/2026</t>
        </is>
      </c>
      <c r="E763" t="n">
        <v>0</v>
      </c>
      <c r="F763" t="inlineStr">
        <is>
          <t>Fabrica de Bares (2025)</t>
        </is>
      </c>
      <c r="G763" t="b">
        <v>1</v>
      </c>
      <c r="H763" t="inlineStr">
        <is>
          <t>6/2026</t>
        </is>
      </c>
    </row>
    <row r="764">
      <c r="A764" t="inlineStr">
        <is>
          <t>Nuv Gastrobar</t>
        </is>
      </c>
      <c r="B764" t="inlineStr">
        <is>
          <t>Impostos sobre Venda</t>
        </is>
      </c>
      <c r="C764" t="inlineStr">
        <is>
          <t>ICMS</t>
        </is>
      </c>
      <c r="D764" t="inlineStr">
        <is>
          <t>01/07/2026</t>
        </is>
      </c>
      <c r="E764" t="n">
        <v>0</v>
      </c>
      <c r="F764" t="inlineStr">
        <is>
          <t>Fabrica de Bares (2025)</t>
        </is>
      </c>
      <c r="G764" t="b">
        <v>1</v>
      </c>
      <c r="H764" t="inlineStr">
        <is>
          <t>7/2026</t>
        </is>
      </c>
    </row>
    <row r="765">
      <c r="A765" t="inlineStr">
        <is>
          <t>Nuv Gastrobar</t>
        </is>
      </c>
      <c r="B765" t="inlineStr">
        <is>
          <t>Impostos sobre Venda</t>
        </is>
      </c>
      <c r="C765" t="inlineStr">
        <is>
          <t>ICMS</t>
        </is>
      </c>
      <c r="D765" t="inlineStr">
        <is>
          <t>01/08/2026</t>
        </is>
      </c>
      <c r="E765" t="n">
        <v>13665.6</v>
      </c>
      <c r="F765" t="inlineStr">
        <is>
          <t>Fabrica de Bares (2025)</t>
        </is>
      </c>
      <c r="G765" t="b">
        <v>1</v>
      </c>
      <c r="H765" t="inlineStr">
        <is>
          <t>8/2026</t>
        </is>
      </c>
    </row>
    <row r="766">
      <c r="A766" t="inlineStr">
        <is>
          <t>Nuv Gastrobar</t>
        </is>
      </c>
      <c r="B766" t="inlineStr">
        <is>
          <t>Impostos sobre Venda</t>
        </is>
      </c>
      <c r="C766" t="inlineStr">
        <is>
          <t>ICMS</t>
        </is>
      </c>
      <c r="D766" t="inlineStr">
        <is>
          <t>01/09/2026</t>
        </is>
      </c>
      <c r="E766" t="n">
        <v>21276.8</v>
      </c>
      <c r="F766" t="inlineStr">
        <is>
          <t>Fabrica de Bares (2025)</t>
        </is>
      </c>
      <c r="G766" t="b">
        <v>1</v>
      </c>
      <c r="H766" t="inlineStr">
        <is>
          <t>9/2026</t>
        </is>
      </c>
    </row>
    <row r="767">
      <c r="A767" t="inlineStr">
        <is>
          <t>Nuv Gastrobar</t>
        </is>
      </c>
      <c r="B767" t="inlineStr">
        <is>
          <t>Impostos sobre Venda</t>
        </is>
      </c>
      <c r="C767" t="inlineStr">
        <is>
          <t>ICMS</t>
        </is>
      </c>
      <c r="D767" t="inlineStr">
        <is>
          <t>01/10/2026</t>
        </is>
      </c>
      <c r="E767" t="n">
        <v>24756.8</v>
      </c>
      <c r="F767" t="inlineStr">
        <is>
          <t>Fabrica de Bares (2025)</t>
        </is>
      </c>
      <c r="G767" t="b">
        <v>1</v>
      </c>
      <c r="H767" t="inlineStr">
        <is>
          <t>10/2026</t>
        </is>
      </c>
    </row>
    <row r="768">
      <c r="A768" t="inlineStr">
        <is>
          <t>Nuv Gastrobar</t>
        </is>
      </c>
      <c r="B768" t="inlineStr">
        <is>
          <t>Impostos sobre Venda</t>
        </is>
      </c>
      <c r="C768" t="inlineStr">
        <is>
          <t>ICMS</t>
        </is>
      </c>
      <c r="D768" t="inlineStr">
        <is>
          <t>01/11/2026</t>
        </is>
      </c>
      <c r="E768" t="n">
        <v>35632</v>
      </c>
      <c r="F768" t="inlineStr">
        <is>
          <t>Fabrica de Bares (2025)</t>
        </is>
      </c>
      <c r="G768" t="b">
        <v>1</v>
      </c>
      <c r="H768" t="inlineStr">
        <is>
          <t>11/2026</t>
        </is>
      </c>
    </row>
    <row r="769">
      <c r="A769" t="inlineStr">
        <is>
          <t>Nuv Gastrobar</t>
        </is>
      </c>
      <c r="B769" t="inlineStr">
        <is>
          <t>Impostos sobre Venda</t>
        </is>
      </c>
      <c r="C769" t="inlineStr">
        <is>
          <t>ICMS</t>
        </is>
      </c>
      <c r="D769" t="inlineStr">
        <is>
          <t>01/12/2026</t>
        </is>
      </c>
      <c r="E769" t="n">
        <v>35244.8</v>
      </c>
      <c r="F769" t="inlineStr">
        <is>
          <t>Fabrica de Bares (2025)</t>
        </is>
      </c>
      <c r="G769" t="b">
        <v>1</v>
      </c>
      <c r="H769" t="inlineStr">
        <is>
          <t>12/2026</t>
        </is>
      </c>
    </row>
    <row r="770">
      <c r="A770" t="inlineStr">
        <is>
          <t>Nuv Gastrobar</t>
        </is>
      </c>
      <c r="B770" t="inlineStr">
        <is>
          <t>Impostos sobre Venda</t>
        </is>
      </c>
      <c r="C770" t="inlineStr">
        <is>
          <t>ISS</t>
        </is>
      </c>
      <c r="D770" t="inlineStr">
        <is>
          <t>01/01/2026</t>
        </is>
      </c>
      <c r="E770" t="n">
        <v>0</v>
      </c>
      <c r="F770" t="inlineStr">
        <is>
          <t>Fabrica de Bares (2025)</t>
        </is>
      </c>
      <c r="G770" t="b">
        <v>1</v>
      </c>
      <c r="H770" t="inlineStr">
        <is>
          <t>1/2026</t>
        </is>
      </c>
    </row>
    <row r="771">
      <c r="A771" t="inlineStr">
        <is>
          <t>Nuv Gastrobar</t>
        </is>
      </c>
      <c r="B771" t="inlineStr">
        <is>
          <t>Impostos sobre Venda</t>
        </is>
      </c>
      <c r="C771" t="inlineStr">
        <is>
          <t>ISS</t>
        </is>
      </c>
      <c r="D771" t="inlineStr">
        <is>
          <t>01/02/2026</t>
        </is>
      </c>
      <c r="E771" t="n">
        <v>0</v>
      </c>
      <c r="F771" t="inlineStr">
        <is>
          <t>Fabrica de Bares (2025)</t>
        </is>
      </c>
      <c r="G771" t="b">
        <v>1</v>
      </c>
      <c r="H771" t="inlineStr">
        <is>
          <t>2/2026</t>
        </is>
      </c>
    </row>
    <row r="772">
      <c r="A772" t="inlineStr">
        <is>
          <t>Nuv Gastrobar</t>
        </is>
      </c>
      <c r="B772" t="inlineStr">
        <is>
          <t>Impostos sobre Venda</t>
        </is>
      </c>
      <c r="C772" t="inlineStr">
        <is>
          <t>ISS</t>
        </is>
      </c>
      <c r="D772" t="inlineStr">
        <is>
          <t>01/03/2026</t>
        </is>
      </c>
      <c r="E772" t="n">
        <v>0</v>
      </c>
      <c r="F772" t="inlineStr">
        <is>
          <t>Fabrica de Bares (2025)</t>
        </is>
      </c>
      <c r="G772" t="b">
        <v>1</v>
      </c>
      <c r="H772" t="inlineStr">
        <is>
          <t>3/2026</t>
        </is>
      </c>
    </row>
    <row r="773">
      <c r="A773" t="inlineStr">
        <is>
          <t>Nuv Gastrobar</t>
        </is>
      </c>
      <c r="B773" t="inlineStr">
        <is>
          <t>Impostos sobre Venda</t>
        </is>
      </c>
      <c r="C773" t="inlineStr">
        <is>
          <t>ISS</t>
        </is>
      </c>
      <c r="D773" t="inlineStr">
        <is>
          <t>01/04/2026</t>
        </is>
      </c>
      <c r="E773" t="n">
        <v>0</v>
      </c>
      <c r="F773" t="inlineStr">
        <is>
          <t>Fabrica de Bares (2025)</t>
        </is>
      </c>
      <c r="G773" t="b">
        <v>1</v>
      </c>
      <c r="H773" t="inlineStr">
        <is>
          <t>4/2026</t>
        </is>
      </c>
    </row>
    <row r="774">
      <c r="A774" t="inlineStr">
        <is>
          <t>Nuv Gastrobar</t>
        </is>
      </c>
      <c r="B774" t="inlineStr">
        <is>
          <t>Impostos sobre Venda</t>
        </is>
      </c>
      <c r="C774" t="inlineStr">
        <is>
          <t>ISS</t>
        </is>
      </c>
      <c r="D774" t="inlineStr">
        <is>
          <t>01/05/2026</t>
        </is>
      </c>
      <c r="E774" t="n">
        <v>0</v>
      </c>
      <c r="F774" t="inlineStr">
        <is>
          <t>Fabrica de Bares (2025)</t>
        </is>
      </c>
      <c r="G774" t="b">
        <v>1</v>
      </c>
      <c r="H774" t="inlineStr">
        <is>
          <t>5/2026</t>
        </is>
      </c>
    </row>
    <row r="775">
      <c r="A775" t="inlineStr">
        <is>
          <t>Nuv Gastrobar</t>
        </is>
      </c>
      <c r="B775" t="inlineStr">
        <is>
          <t>Impostos sobre Venda</t>
        </is>
      </c>
      <c r="C775" t="inlineStr">
        <is>
          <t>ISS</t>
        </is>
      </c>
      <c r="D775" t="inlineStr">
        <is>
          <t>01/06/2026</t>
        </is>
      </c>
      <c r="E775" t="n">
        <v>0</v>
      </c>
      <c r="F775" t="inlineStr">
        <is>
          <t>Fabrica de Bares (2025)</t>
        </is>
      </c>
      <c r="G775" t="b">
        <v>1</v>
      </c>
      <c r="H775" t="inlineStr">
        <is>
          <t>6/2026</t>
        </is>
      </c>
    </row>
    <row r="776">
      <c r="A776" t="inlineStr">
        <is>
          <t>Nuv Gastrobar</t>
        </is>
      </c>
      <c r="B776" t="inlineStr">
        <is>
          <t>Impostos sobre Venda</t>
        </is>
      </c>
      <c r="C776" t="inlineStr">
        <is>
          <t>ISS</t>
        </is>
      </c>
      <c r="D776" t="inlineStr">
        <is>
          <t>01/07/2026</t>
        </is>
      </c>
      <c r="E776" t="n">
        <v>0</v>
      </c>
      <c r="F776" t="inlineStr">
        <is>
          <t>Fabrica de Bares (2025)</t>
        </is>
      </c>
      <c r="G776" t="b">
        <v>1</v>
      </c>
      <c r="H776" t="inlineStr">
        <is>
          <t>7/2026</t>
        </is>
      </c>
    </row>
    <row r="777">
      <c r="A777" t="inlineStr">
        <is>
          <t>Nuv Gastrobar</t>
        </is>
      </c>
      <c r="B777" t="inlineStr">
        <is>
          <t>Impostos sobre Venda</t>
        </is>
      </c>
      <c r="C777" t="inlineStr">
        <is>
          <t>ISS</t>
        </is>
      </c>
      <c r="D777" t="inlineStr">
        <is>
          <t>01/08/2026</t>
        </is>
      </c>
      <c r="E777" t="n">
        <v>0</v>
      </c>
      <c r="F777" t="inlineStr">
        <is>
          <t>Fabrica de Bares (2025)</t>
        </is>
      </c>
      <c r="G777" t="b">
        <v>1</v>
      </c>
      <c r="H777" t="inlineStr">
        <is>
          <t>8/2026</t>
        </is>
      </c>
    </row>
    <row r="778">
      <c r="A778" t="inlineStr">
        <is>
          <t>Nuv Gastrobar</t>
        </is>
      </c>
      <c r="B778" t="inlineStr">
        <is>
          <t>Impostos sobre Venda</t>
        </is>
      </c>
      <c r="C778" t="inlineStr">
        <is>
          <t>ISS</t>
        </is>
      </c>
      <c r="D778" t="inlineStr">
        <is>
          <t>01/09/2026</t>
        </is>
      </c>
      <c r="E778" t="n">
        <v>0</v>
      </c>
      <c r="F778" t="inlineStr">
        <is>
          <t>Fabrica de Bares (2025)</t>
        </is>
      </c>
      <c r="G778" t="b">
        <v>1</v>
      </c>
      <c r="H778" t="inlineStr">
        <is>
          <t>9/2026</t>
        </is>
      </c>
    </row>
    <row r="779">
      <c r="A779" t="inlineStr">
        <is>
          <t>Nuv Gastrobar</t>
        </is>
      </c>
      <c r="B779" t="inlineStr">
        <is>
          <t>Impostos sobre Venda</t>
        </is>
      </c>
      <c r="C779" t="inlineStr">
        <is>
          <t>ISS</t>
        </is>
      </c>
      <c r="D779" t="inlineStr">
        <is>
          <t>01/10/2026</t>
        </is>
      </c>
      <c r="E779" t="n">
        <v>0</v>
      </c>
      <c r="F779" t="inlineStr">
        <is>
          <t>Fabrica de Bares (2025)</t>
        </is>
      </c>
      <c r="G779" t="b">
        <v>1</v>
      </c>
      <c r="H779" t="inlineStr">
        <is>
          <t>10/2026</t>
        </is>
      </c>
    </row>
    <row r="780">
      <c r="A780" t="inlineStr">
        <is>
          <t>Nuv Gastrobar</t>
        </is>
      </c>
      <c r="B780" t="inlineStr">
        <is>
          <t>Impostos sobre Venda</t>
        </is>
      </c>
      <c r="C780" t="inlineStr">
        <is>
          <t>ISS</t>
        </is>
      </c>
      <c r="D780" t="inlineStr">
        <is>
          <t>01/11/2026</t>
        </is>
      </c>
      <c r="E780" t="n">
        <v>0</v>
      </c>
      <c r="F780" t="inlineStr">
        <is>
          <t>Fabrica de Bares (2025)</t>
        </is>
      </c>
      <c r="G780" t="b">
        <v>1</v>
      </c>
      <c r="H780" t="inlineStr">
        <is>
          <t>11/2026</t>
        </is>
      </c>
    </row>
    <row r="781">
      <c r="A781" t="inlineStr">
        <is>
          <t>Nuv Gastrobar</t>
        </is>
      </c>
      <c r="B781" t="inlineStr">
        <is>
          <t>Impostos sobre Venda</t>
        </is>
      </c>
      <c r="C781" t="inlineStr">
        <is>
          <t>ISS</t>
        </is>
      </c>
      <c r="D781" t="inlineStr">
        <is>
          <t>01/12/2026</t>
        </is>
      </c>
      <c r="E781" t="n">
        <v>0</v>
      </c>
      <c r="F781" t="inlineStr">
        <is>
          <t>Fabrica de Bares (2025)</t>
        </is>
      </c>
      <c r="G781" t="b">
        <v>1</v>
      </c>
      <c r="H781" t="inlineStr">
        <is>
          <t>12/2026</t>
        </is>
      </c>
    </row>
    <row r="782">
      <c r="A782" t="inlineStr">
        <is>
          <t>Nuv Gastrobar</t>
        </is>
      </c>
      <c r="B782" t="inlineStr">
        <is>
          <t>Impostos sobre Venda</t>
        </is>
      </c>
      <c r="C782" t="inlineStr">
        <is>
          <t>PIS / COFINS</t>
        </is>
      </c>
      <c r="D782" t="inlineStr">
        <is>
          <t>01/01/2026</t>
        </is>
      </c>
      <c r="E782" t="n">
        <v>0</v>
      </c>
      <c r="F782" t="inlineStr">
        <is>
          <t>Fabrica de Bares (2025)</t>
        </is>
      </c>
      <c r="G782" t="b">
        <v>1</v>
      </c>
      <c r="H782" t="inlineStr">
        <is>
          <t>1/2026</t>
        </is>
      </c>
    </row>
    <row r="783">
      <c r="A783" t="inlineStr">
        <is>
          <t>Nuv Gastrobar</t>
        </is>
      </c>
      <c r="B783" t="inlineStr">
        <is>
          <t>Impostos sobre Venda</t>
        </is>
      </c>
      <c r="C783" t="inlineStr">
        <is>
          <t>PIS / COFINS</t>
        </is>
      </c>
      <c r="D783" t="inlineStr">
        <is>
          <t>01/02/2026</t>
        </is>
      </c>
      <c r="E783" t="n">
        <v>0</v>
      </c>
      <c r="F783" t="inlineStr">
        <is>
          <t>Fabrica de Bares (2025)</t>
        </is>
      </c>
      <c r="G783" t="b">
        <v>1</v>
      </c>
      <c r="H783" t="inlineStr">
        <is>
          <t>2/2026</t>
        </is>
      </c>
    </row>
    <row r="784">
      <c r="A784" t="inlineStr">
        <is>
          <t>Nuv Gastrobar</t>
        </is>
      </c>
      <c r="B784" t="inlineStr">
        <is>
          <t>Impostos sobre Venda</t>
        </is>
      </c>
      <c r="C784" t="inlineStr">
        <is>
          <t>PIS / COFINS</t>
        </is>
      </c>
      <c r="D784" t="inlineStr">
        <is>
          <t>01/03/2026</t>
        </is>
      </c>
      <c r="E784" t="n">
        <v>0</v>
      </c>
      <c r="F784" t="inlineStr">
        <is>
          <t>Fabrica de Bares (2025)</t>
        </is>
      </c>
      <c r="G784" t="b">
        <v>1</v>
      </c>
      <c r="H784" t="inlineStr">
        <is>
          <t>3/2026</t>
        </is>
      </c>
    </row>
    <row r="785">
      <c r="A785" t="inlineStr">
        <is>
          <t>Nuv Gastrobar</t>
        </is>
      </c>
      <c r="B785" t="inlineStr">
        <is>
          <t>Impostos sobre Venda</t>
        </is>
      </c>
      <c r="C785" t="inlineStr">
        <is>
          <t>PIS / COFINS</t>
        </is>
      </c>
      <c r="D785" t="inlineStr">
        <is>
          <t>01/04/2026</t>
        </is>
      </c>
      <c r="E785" t="n">
        <v>0</v>
      </c>
      <c r="F785" t="inlineStr">
        <is>
          <t>Fabrica de Bares (2025)</t>
        </is>
      </c>
      <c r="G785" t="b">
        <v>1</v>
      </c>
      <c r="H785" t="inlineStr">
        <is>
          <t>4/2026</t>
        </is>
      </c>
    </row>
    <row r="786">
      <c r="A786" t="inlineStr">
        <is>
          <t>Nuv Gastrobar</t>
        </is>
      </c>
      <c r="B786" t="inlineStr">
        <is>
          <t>Impostos sobre Venda</t>
        </is>
      </c>
      <c r="C786" t="inlineStr">
        <is>
          <t>PIS / COFINS</t>
        </is>
      </c>
      <c r="D786" t="inlineStr">
        <is>
          <t>01/05/2026</t>
        </is>
      </c>
      <c r="E786" t="n">
        <v>0</v>
      </c>
      <c r="F786" t="inlineStr">
        <is>
          <t>Fabrica de Bares (2025)</t>
        </is>
      </c>
      <c r="G786" t="b">
        <v>1</v>
      </c>
      <c r="H786" t="inlineStr">
        <is>
          <t>5/2026</t>
        </is>
      </c>
    </row>
    <row r="787">
      <c r="A787" t="inlineStr">
        <is>
          <t>Nuv Gastrobar</t>
        </is>
      </c>
      <c r="B787" t="inlineStr">
        <is>
          <t>Impostos sobre Venda</t>
        </is>
      </c>
      <c r="C787" t="inlineStr">
        <is>
          <t>PIS / COFINS</t>
        </is>
      </c>
      <c r="D787" t="inlineStr">
        <is>
          <t>01/06/2026</t>
        </is>
      </c>
      <c r="E787" t="n">
        <v>0</v>
      </c>
      <c r="F787" t="inlineStr">
        <is>
          <t>Fabrica de Bares (2025)</t>
        </is>
      </c>
      <c r="G787" t="b">
        <v>1</v>
      </c>
      <c r="H787" t="inlineStr">
        <is>
          <t>6/2026</t>
        </is>
      </c>
    </row>
    <row r="788">
      <c r="A788" t="inlineStr">
        <is>
          <t>Nuv Gastrobar</t>
        </is>
      </c>
      <c r="B788" t="inlineStr">
        <is>
          <t>Impostos sobre Venda</t>
        </is>
      </c>
      <c r="C788" t="inlineStr">
        <is>
          <t>PIS / COFINS</t>
        </is>
      </c>
      <c r="D788" t="inlineStr">
        <is>
          <t>01/07/2026</t>
        </is>
      </c>
      <c r="E788" t="n">
        <v>0</v>
      </c>
      <c r="F788" t="inlineStr">
        <is>
          <t>Fabrica de Bares (2025)</t>
        </is>
      </c>
      <c r="G788" t="b">
        <v>1</v>
      </c>
      <c r="H788" t="inlineStr">
        <is>
          <t>7/2026</t>
        </is>
      </c>
    </row>
    <row r="789">
      <c r="A789" t="inlineStr">
        <is>
          <t>Nuv Gastrobar</t>
        </is>
      </c>
      <c r="B789" t="inlineStr">
        <is>
          <t>Impostos sobre Venda</t>
        </is>
      </c>
      <c r="C789" t="inlineStr">
        <is>
          <t>PIS / COFINS</t>
        </is>
      </c>
      <c r="D789" t="inlineStr">
        <is>
          <t>01/08/2026</t>
        </is>
      </c>
      <c r="E789" t="n">
        <v>11971.07</v>
      </c>
      <c r="F789" t="inlineStr">
        <is>
          <t>Fabrica de Bares (2025)</t>
        </is>
      </c>
      <c r="G789" t="b">
        <v>1</v>
      </c>
      <c r="H789" t="inlineStr">
        <is>
          <t>8/2026</t>
        </is>
      </c>
    </row>
    <row r="790">
      <c r="A790" t="inlineStr">
        <is>
          <t>Nuv Gastrobar</t>
        </is>
      </c>
      <c r="B790" t="inlineStr">
        <is>
          <t>Impostos sobre Venda</t>
        </is>
      </c>
      <c r="C790" t="inlineStr">
        <is>
          <t>PIS / COFINS</t>
        </is>
      </c>
      <c r="D790" t="inlineStr">
        <is>
          <t>01/09/2026</t>
        </is>
      </c>
      <c r="E790" t="n">
        <v>18638.48</v>
      </c>
      <c r="F790" t="inlineStr">
        <is>
          <t>Fabrica de Bares (2025)</t>
        </is>
      </c>
      <c r="G790" t="b">
        <v>1</v>
      </c>
      <c r="H790" t="inlineStr">
        <is>
          <t>9/2026</t>
        </is>
      </c>
    </row>
    <row r="791">
      <c r="A791" t="inlineStr">
        <is>
          <t>Nuv Gastrobar</t>
        </is>
      </c>
      <c r="B791" t="inlineStr">
        <is>
          <t>Impostos sobre Venda</t>
        </is>
      </c>
      <c r="C791" t="inlineStr">
        <is>
          <t>PIS / COFINS</t>
        </is>
      </c>
      <c r="D791" t="inlineStr">
        <is>
          <t>01/10/2026</t>
        </is>
      </c>
      <c r="E791" t="n">
        <v>21686.96</v>
      </c>
      <c r="F791" t="inlineStr">
        <is>
          <t>Fabrica de Bares (2025)</t>
        </is>
      </c>
      <c r="G791" t="b">
        <v>1</v>
      </c>
      <c r="H791" t="inlineStr">
        <is>
          <t>10/2026</t>
        </is>
      </c>
    </row>
    <row r="792">
      <c r="A792" t="inlineStr">
        <is>
          <t>Nuv Gastrobar</t>
        </is>
      </c>
      <c r="B792" t="inlineStr">
        <is>
          <t>Impostos sobre Venda</t>
        </is>
      </c>
      <c r="C792" t="inlineStr">
        <is>
          <t>PIS / COFINS</t>
        </is>
      </c>
      <c r="D792" t="inlineStr">
        <is>
          <t>01/11/2026</t>
        </is>
      </c>
      <c r="E792" t="n">
        <v>31213.63</v>
      </c>
      <c r="F792" t="inlineStr">
        <is>
          <t>Fabrica de Bares (2025)</t>
        </is>
      </c>
      <c r="G792" t="b">
        <v>1</v>
      </c>
      <c r="H792" t="inlineStr">
        <is>
          <t>11/2026</t>
        </is>
      </c>
    </row>
    <row r="793">
      <c r="A793" t="inlineStr">
        <is>
          <t>Nuv Gastrobar</t>
        </is>
      </c>
      <c r="B793" t="inlineStr">
        <is>
          <t>Impostos sobre Venda</t>
        </is>
      </c>
      <c r="C793" t="inlineStr">
        <is>
          <t>PIS / COFINS</t>
        </is>
      </c>
      <c r="D793" t="inlineStr">
        <is>
          <t>01/12/2026</t>
        </is>
      </c>
      <c r="E793" t="n">
        <v>30874.44</v>
      </c>
      <c r="F793" t="inlineStr">
        <is>
          <t>Fabrica de Bares (2025)</t>
        </is>
      </c>
      <c r="G793" t="b">
        <v>1</v>
      </c>
      <c r="H793" t="inlineStr">
        <is>
          <t>12/2026</t>
        </is>
      </c>
    </row>
    <row r="794">
      <c r="A794" t="inlineStr">
        <is>
          <t>Nuv Gastrobar</t>
        </is>
      </c>
      <c r="B794" t="inlineStr">
        <is>
          <t>Informática e TI</t>
        </is>
      </c>
      <c r="C794" t="inlineStr">
        <is>
          <t>Internet</t>
        </is>
      </c>
      <c r="D794" t="inlineStr">
        <is>
          <t>01/01/2026</t>
        </is>
      </c>
      <c r="E794" t="n">
        <v>0</v>
      </c>
      <c r="F794" t="inlineStr">
        <is>
          <t>Fabrica de Bares (2025)</t>
        </is>
      </c>
      <c r="G794" t="b">
        <v>1</v>
      </c>
      <c r="H794" t="inlineStr">
        <is>
          <t>1/2026</t>
        </is>
      </c>
    </row>
    <row r="795">
      <c r="A795" t="inlineStr">
        <is>
          <t>Nuv Gastrobar</t>
        </is>
      </c>
      <c r="B795" t="inlineStr">
        <is>
          <t>Informática e TI</t>
        </is>
      </c>
      <c r="C795" t="inlineStr">
        <is>
          <t>Internet</t>
        </is>
      </c>
      <c r="D795" t="inlineStr">
        <is>
          <t>01/02/2026</t>
        </is>
      </c>
      <c r="E795" t="n">
        <v>0</v>
      </c>
      <c r="F795" t="inlineStr">
        <is>
          <t>Fabrica de Bares (2025)</t>
        </is>
      </c>
      <c r="G795" t="b">
        <v>1</v>
      </c>
      <c r="H795" t="inlineStr">
        <is>
          <t>2/2026</t>
        </is>
      </c>
    </row>
    <row r="796">
      <c r="A796" t="inlineStr">
        <is>
          <t>Nuv Gastrobar</t>
        </is>
      </c>
      <c r="B796" t="inlineStr">
        <is>
          <t>Informática e TI</t>
        </is>
      </c>
      <c r="C796" t="inlineStr">
        <is>
          <t>Internet</t>
        </is>
      </c>
      <c r="D796" t="inlineStr">
        <is>
          <t>01/03/2026</t>
        </is>
      </c>
      <c r="E796" t="n">
        <v>0</v>
      </c>
      <c r="F796" t="inlineStr">
        <is>
          <t>Fabrica de Bares (2025)</t>
        </is>
      </c>
      <c r="G796" t="b">
        <v>1</v>
      </c>
      <c r="H796" t="inlineStr">
        <is>
          <t>3/2026</t>
        </is>
      </c>
    </row>
    <row r="797">
      <c r="A797" t="inlineStr">
        <is>
          <t>Nuv Gastrobar</t>
        </is>
      </c>
      <c r="B797" t="inlineStr">
        <is>
          <t>Informática e TI</t>
        </is>
      </c>
      <c r="C797" t="inlineStr">
        <is>
          <t>Internet</t>
        </is>
      </c>
      <c r="D797" t="inlineStr">
        <is>
          <t>01/04/2026</t>
        </is>
      </c>
      <c r="E797" t="n">
        <v>0</v>
      </c>
      <c r="F797" t="inlineStr">
        <is>
          <t>Fabrica de Bares (2025)</t>
        </is>
      </c>
      <c r="G797" t="b">
        <v>1</v>
      </c>
      <c r="H797" t="inlineStr">
        <is>
          <t>4/2026</t>
        </is>
      </c>
    </row>
    <row r="798">
      <c r="A798" t="inlineStr">
        <is>
          <t>Nuv Gastrobar</t>
        </is>
      </c>
      <c r="B798" t="inlineStr">
        <is>
          <t>Informática e TI</t>
        </is>
      </c>
      <c r="C798" t="inlineStr">
        <is>
          <t>Internet</t>
        </is>
      </c>
      <c r="D798" t="inlineStr">
        <is>
          <t>01/05/2026</t>
        </is>
      </c>
      <c r="E798" t="n">
        <v>0</v>
      </c>
      <c r="F798" t="inlineStr">
        <is>
          <t>Fabrica de Bares (2025)</t>
        </is>
      </c>
      <c r="G798" t="b">
        <v>1</v>
      </c>
      <c r="H798" t="inlineStr">
        <is>
          <t>5/2026</t>
        </is>
      </c>
    </row>
    <row r="799">
      <c r="A799" t="inlineStr">
        <is>
          <t>Nuv Gastrobar</t>
        </is>
      </c>
      <c r="B799" t="inlineStr">
        <is>
          <t>Informática e TI</t>
        </is>
      </c>
      <c r="C799" t="inlineStr">
        <is>
          <t>Internet</t>
        </is>
      </c>
      <c r="D799" t="inlineStr">
        <is>
          <t>01/06/2026</t>
        </is>
      </c>
      <c r="E799" t="n">
        <v>0</v>
      </c>
      <c r="F799" t="inlineStr">
        <is>
          <t>Fabrica de Bares (2025)</t>
        </is>
      </c>
      <c r="G799" t="b">
        <v>1</v>
      </c>
      <c r="H799" t="inlineStr">
        <is>
          <t>6/2026</t>
        </is>
      </c>
    </row>
    <row r="800">
      <c r="A800" t="inlineStr">
        <is>
          <t>Nuv Gastrobar</t>
        </is>
      </c>
      <c r="B800" t="inlineStr">
        <is>
          <t>Informática e TI</t>
        </is>
      </c>
      <c r="C800" t="inlineStr">
        <is>
          <t>Internet</t>
        </is>
      </c>
      <c r="D800" t="inlineStr">
        <is>
          <t>01/07/2026</t>
        </is>
      </c>
      <c r="E800" t="n">
        <v>0</v>
      </c>
      <c r="F800" t="inlineStr">
        <is>
          <t>Fabrica de Bares (2025)</t>
        </is>
      </c>
      <c r="G800" t="b">
        <v>1</v>
      </c>
      <c r="H800" t="inlineStr">
        <is>
          <t>7/2026</t>
        </is>
      </c>
    </row>
    <row r="801">
      <c r="A801" t="inlineStr">
        <is>
          <t>Nuv Gastrobar</t>
        </is>
      </c>
      <c r="B801" t="inlineStr">
        <is>
          <t>Informática e TI</t>
        </is>
      </c>
      <c r="C801" t="inlineStr">
        <is>
          <t>Internet</t>
        </is>
      </c>
      <c r="D801" t="inlineStr">
        <is>
          <t>01/08/2026</t>
        </is>
      </c>
      <c r="E801" t="n">
        <v>378.68</v>
      </c>
      <c r="F801" t="inlineStr">
        <is>
          <t>Fabrica de Bares (2025)</t>
        </is>
      </c>
      <c r="G801" t="b">
        <v>1</v>
      </c>
      <c r="H801" t="inlineStr">
        <is>
          <t>8/2026</t>
        </is>
      </c>
    </row>
    <row r="802">
      <c r="A802" t="inlineStr">
        <is>
          <t>Nuv Gastrobar</t>
        </is>
      </c>
      <c r="B802" t="inlineStr">
        <is>
          <t>Informática e TI</t>
        </is>
      </c>
      <c r="C802" t="inlineStr">
        <is>
          <t>Internet</t>
        </is>
      </c>
      <c r="D802" t="inlineStr">
        <is>
          <t>01/09/2026</t>
        </is>
      </c>
      <c r="E802" t="n">
        <v>589.4299999999999</v>
      </c>
      <c r="F802" t="inlineStr">
        <is>
          <t>Fabrica de Bares (2025)</t>
        </is>
      </c>
      <c r="G802" t="b">
        <v>1</v>
      </c>
      <c r="H802" t="inlineStr">
        <is>
          <t>9/2026</t>
        </is>
      </c>
    </row>
    <row r="803">
      <c r="A803" t="inlineStr">
        <is>
          <t>Nuv Gastrobar</t>
        </is>
      </c>
      <c r="B803" t="inlineStr">
        <is>
          <t>Informática e TI</t>
        </is>
      </c>
      <c r="C803" t="inlineStr">
        <is>
          <t>Internet</t>
        </is>
      </c>
      <c r="D803" t="inlineStr">
        <is>
          <t>01/10/2026</t>
        </is>
      </c>
      <c r="E803" t="n">
        <v>686.5700000000001</v>
      </c>
      <c r="F803" t="inlineStr">
        <is>
          <t>Fabrica de Bares (2025)</t>
        </is>
      </c>
      <c r="G803" t="b">
        <v>1</v>
      </c>
      <c r="H803" t="inlineStr">
        <is>
          <t>10/2026</t>
        </is>
      </c>
    </row>
    <row r="804">
      <c r="A804" t="inlineStr">
        <is>
          <t>Nuv Gastrobar</t>
        </is>
      </c>
      <c r="B804" t="inlineStr">
        <is>
          <t>Informática e TI</t>
        </is>
      </c>
      <c r="C804" t="inlineStr">
        <is>
          <t>Internet</t>
        </is>
      </c>
      <c r="D804" t="inlineStr">
        <is>
          <t>01/11/2026</t>
        </is>
      </c>
      <c r="E804" t="n">
        <v>994.28</v>
      </c>
      <c r="F804" t="inlineStr">
        <is>
          <t>Fabrica de Bares (2025)</t>
        </is>
      </c>
      <c r="G804" t="b">
        <v>1</v>
      </c>
      <c r="H804" t="inlineStr">
        <is>
          <t>11/2026</t>
        </is>
      </c>
    </row>
    <row r="805">
      <c r="A805" t="inlineStr">
        <is>
          <t>Nuv Gastrobar</t>
        </is>
      </c>
      <c r="B805" t="inlineStr">
        <is>
          <t>Informática e TI</t>
        </is>
      </c>
      <c r="C805" t="inlineStr">
        <is>
          <t>Internet</t>
        </is>
      </c>
      <c r="D805" t="inlineStr">
        <is>
          <t>01/12/2026</t>
        </is>
      </c>
      <c r="E805" t="n">
        <v>983.63</v>
      </c>
      <c r="F805" t="inlineStr">
        <is>
          <t>Fabrica de Bares (2025)</t>
        </is>
      </c>
      <c r="G805" t="b">
        <v>1</v>
      </c>
      <c r="H805" t="inlineStr">
        <is>
          <t>12/2026</t>
        </is>
      </c>
    </row>
    <row r="806">
      <c r="A806" t="inlineStr">
        <is>
          <t>Nuv Gastrobar</t>
        </is>
      </c>
      <c r="B806" t="inlineStr">
        <is>
          <t>Informática e TI</t>
        </is>
      </c>
      <c r="C806" t="inlineStr">
        <is>
          <t>Sistemas de Segurança e Alarme</t>
        </is>
      </c>
      <c r="D806" t="inlineStr">
        <is>
          <t>01/01/2026</t>
        </is>
      </c>
      <c r="E806" t="n">
        <v>0</v>
      </c>
      <c r="F806" t="inlineStr">
        <is>
          <t>Fabrica de Bares (2025)</t>
        </is>
      </c>
      <c r="G806" t="b">
        <v>1</v>
      </c>
      <c r="H806" t="inlineStr">
        <is>
          <t>1/2026</t>
        </is>
      </c>
    </row>
    <row r="807">
      <c r="A807" t="inlineStr">
        <is>
          <t>Nuv Gastrobar</t>
        </is>
      </c>
      <c r="B807" t="inlineStr">
        <is>
          <t>Informática e TI</t>
        </is>
      </c>
      <c r="C807" t="inlineStr">
        <is>
          <t>Sistemas de Segurança e Alarme</t>
        </is>
      </c>
      <c r="D807" t="inlineStr">
        <is>
          <t>01/02/2026</t>
        </is>
      </c>
      <c r="E807" t="n">
        <v>0</v>
      </c>
      <c r="F807" t="inlineStr">
        <is>
          <t>Fabrica de Bares (2025)</t>
        </is>
      </c>
      <c r="G807" t="b">
        <v>1</v>
      </c>
      <c r="H807" t="inlineStr">
        <is>
          <t>2/2026</t>
        </is>
      </c>
    </row>
    <row r="808">
      <c r="A808" t="inlineStr">
        <is>
          <t>Nuv Gastrobar</t>
        </is>
      </c>
      <c r="B808" t="inlineStr">
        <is>
          <t>Informática e TI</t>
        </is>
      </c>
      <c r="C808" t="inlineStr">
        <is>
          <t>Sistemas de Segurança e Alarme</t>
        </is>
      </c>
      <c r="D808" t="inlineStr">
        <is>
          <t>01/03/2026</t>
        </is>
      </c>
      <c r="E808" t="n">
        <v>0</v>
      </c>
      <c r="F808" t="inlineStr">
        <is>
          <t>Fabrica de Bares (2025)</t>
        </is>
      </c>
      <c r="G808" t="b">
        <v>1</v>
      </c>
      <c r="H808" t="inlineStr">
        <is>
          <t>3/2026</t>
        </is>
      </c>
    </row>
    <row r="809">
      <c r="A809" t="inlineStr">
        <is>
          <t>Nuv Gastrobar</t>
        </is>
      </c>
      <c r="B809" t="inlineStr">
        <is>
          <t>Informática e TI</t>
        </is>
      </c>
      <c r="C809" t="inlineStr">
        <is>
          <t>Sistemas de Segurança e Alarme</t>
        </is>
      </c>
      <c r="D809" t="inlineStr">
        <is>
          <t>01/04/2026</t>
        </is>
      </c>
      <c r="E809" t="n">
        <v>0</v>
      </c>
      <c r="F809" t="inlineStr">
        <is>
          <t>Fabrica de Bares (2025)</t>
        </is>
      </c>
      <c r="G809" t="b">
        <v>1</v>
      </c>
      <c r="H809" t="inlineStr">
        <is>
          <t>4/2026</t>
        </is>
      </c>
    </row>
    <row r="810">
      <c r="A810" t="inlineStr">
        <is>
          <t>Nuv Gastrobar</t>
        </is>
      </c>
      <c r="B810" t="inlineStr">
        <is>
          <t>Informática e TI</t>
        </is>
      </c>
      <c r="C810" t="inlineStr">
        <is>
          <t>Sistemas de Segurança e Alarme</t>
        </is>
      </c>
      <c r="D810" t="inlineStr">
        <is>
          <t>01/05/2026</t>
        </is>
      </c>
      <c r="E810" t="n">
        <v>0</v>
      </c>
      <c r="F810" t="inlineStr">
        <is>
          <t>Fabrica de Bares (2025)</t>
        </is>
      </c>
      <c r="G810" t="b">
        <v>1</v>
      </c>
      <c r="H810" t="inlineStr">
        <is>
          <t>5/2026</t>
        </is>
      </c>
    </row>
    <row r="811">
      <c r="A811" t="inlineStr">
        <is>
          <t>Nuv Gastrobar</t>
        </is>
      </c>
      <c r="B811" t="inlineStr">
        <is>
          <t>Informática e TI</t>
        </is>
      </c>
      <c r="C811" t="inlineStr">
        <is>
          <t>Sistemas de Segurança e Alarme</t>
        </is>
      </c>
      <c r="D811" t="inlineStr">
        <is>
          <t>01/06/2026</t>
        </is>
      </c>
      <c r="E811" t="n">
        <v>0</v>
      </c>
      <c r="F811" t="inlineStr">
        <is>
          <t>Fabrica de Bares (2025)</t>
        </is>
      </c>
      <c r="G811" t="b">
        <v>1</v>
      </c>
      <c r="H811" t="inlineStr">
        <is>
          <t>6/2026</t>
        </is>
      </c>
    </row>
    <row r="812">
      <c r="A812" t="inlineStr">
        <is>
          <t>Nuv Gastrobar</t>
        </is>
      </c>
      <c r="B812" t="inlineStr">
        <is>
          <t>Informática e TI</t>
        </is>
      </c>
      <c r="C812" t="inlineStr">
        <is>
          <t>Sistemas de Segurança e Alarme</t>
        </is>
      </c>
      <c r="D812" t="inlineStr">
        <is>
          <t>01/07/2026</t>
        </is>
      </c>
      <c r="E812" t="n">
        <v>0</v>
      </c>
      <c r="F812" t="inlineStr">
        <is>
          <t>Fabrica de Bares (2025)</t>
        </is>
      </c>
      <c r="G812" t="b">
        <v>1</v>
      </c>
      <c r="H812" t="inlineStr">
        <is>
          <t>7/2026</t>
        </is>
      </c>
    </row>
    <row r="813">
      <c r="A813" t="inlineStr">
        <is>
          <t>Nuv Gastrobar</t>
        </is>
      </c>
      <c r="B813" t="inlineStr">
        <is>
          <t>Informática e TI</t>
        </is>
      </c>
      <c r="C813" t="inlineStr">
        <is>
          <t>Sistemas de Segurança e Alarme</t>
        </is>
      </c>
      <c r="D813" t="inlineStr">
        <is>
          <t>01/08/2026</t>
        </is>
      </c>
      <c r="E813" t="n">
        <v>0</v>
      </c>
      <c r="F813" t="inlineStr">
        <is>
          <t>Fabrica de Bares (2025)</t>
        </is>
      </c>
      <c r="G813" t="b">
        <v>1</v>
      </c>
      <c r="H813" t="inlineStr">
        <is>
          <t>8/2026</t>
        </is>
      </c>
    </row>
    <row r="814">
      <c r="A814" t="inlineStr">
        <is>
          <t>Nuv Gastrobar</t>
        </is>
      </c>
      <c r="B814" t="inlineStr">
        <is>
          <t>Informática e TI</t>
        </is>
      </c>
      <c r="C814" t="inlineStr">
        <is>
          <t>Sistemas de Segurança e Alarme</t>
        </is>
      </c>
      <c r="D814" t="inlineStr">
        <is>
          <t>01/09/2026</t>
        </is>
      </c>
      <c r="E814" t="n">
        <v>0</v>
      </c>
      <c r="F814" t="inlineStr">
        <is>
          <t>Fabrica de Bares (2025)</t>
        </is>
      </c>
      <c r="G814" t="b">
        <v>1</v>
      </c>
      <c r="H814" t="inlineStr">
        <is>
          <t>9/2026</t>
        </is>
      </c>
    </row>
    <row r="815">
      <c r="A815" t="inlineStr">
        <is>
          <t>Nuv Gastrobar</t>
        </is>
      </c>
      <c r="B815" t="inlineStr">
        <is>
          <t>Informática e TI</t>
        </is>
      </c>
      <c r="C815" t="inlineStr">
        <is>
          <t>Sistemas de Segurança e Alarme</t>
        </is>
      </c>
      <c r="D815" t="inlineStr">
        <is>
          <t>01/10/2026</t>
        </is>
      </c>
      <c r="E815" t="n">
        <v>0</v>
      </c>
      <c r="F815" t="inlineStr">
        <is>
          <t>Fabrica de Bares (2025)</t>
        </is>
      </c>
      <c r="G815" t="b">
        <v>1</v>
      </c>
      <c r="H815" t="inlineStr">
        <is>
          <t>10/2026</t>
        </is>
      </c>
    </row>
    <row r="816">
      <c r="A816" t="inlineStr">
        <is>
          <t>Nuv Gastrobar</t>
        </is>
      </c>
      <c r="B816" t="inlineStr">
        <is>
          <t>Informática e TI</t>
        </is>
      </c>
      <c r="C816" t="inlineStr">
        <is>
          <t>Sistemas de Segurança e Alarme</t>
        </is>
      </c>
      <c r="D816" t="inlineStr">
        <is>
          <t>01/11/2026</t>
        </is>
      </c>
      <c r="E816" t="n">
        <v>0</v>
      </c>
      <c r="F816" t="inlineStr">
        <is>
          <t>Fabrica de Bares (2025)</t>
        </is>
      </c>
      <c r="G816" t="b">
        <v>1</v>
      </c>
      <c r="H816" t="inlineStr">
        <is>
          <t>11/2026</t>
        </is>
      </c>
    </row>
    <row r="817">
      <c r="A817" t="inlineStr">
        <is>
          <t>Nuv Gastrobar</t>
        </is>
      </c>
      <c r="B817" t="inlineStr">
        <is>
          <t>Informática e TI</t>
        </is>
      </c>
      <c r="C817" t="inlineStr">
        <is>
          <t>Sistemas de Segurança e Alarme</t>
        </is>
      </c>
      <c r="D817" t="inlineStr">
        <is>
          <t>01/12/2026</t>
        </is>
      </c>
      <c r="E817" t="n">
        <v>0</v>
      </c>
      <c r="F817" t="inlineStr">
        <is>
          <t>Fabrica de Bares (2025)</t>
        </is>
      </c>
      <c r="G817" t="b">
        <v>1</v>
      </c>
      <c r="H817" t="inlineStr">
        <is>
          <t>12/2026</t>
        </is>
      </c>
    </row>
    <row r="818">
      <c r="A818" t="inlineStr">
        <is>
          <t>Nuv Gastrobar</t>
        </is>
      </c>
      <c r="B818" t="inlineStr">
        <is>
          <t>Informática e TI</t>
        </is>
      </c>
      <c r="C818" t="inlineStr">
        <is>
          <t>Sistemas Gerais - Comunicação e Marketing</t>
        </is>
      </c>
      <c r="D818" t="inlineStr">
        <is>
          <t>01/01/2026</t>
        </is>
      </c>
      <c r="E818" t="n">
        <v>0</v>
      </c>
      <c r="F818" t="inlineStr">
        <is>
          <t>Fabrica de Bares (2025)</t>
        </is>
      </c>
      <c r="G818" t="b">
        <v>1</v>
      </c>
      <c r="H818" t="inlineStr">
        <is>
          <t>1/2026</t>
        </is>
      </c>
    </row>
    <row r="819">
      <c r="A819" t="inlineStr">
        <is>
          <t>Nuv Gastrobar</t>
        </is>
      </c>
      <c r="B819" t="inlineStr">
        <is>
          <t>Informática e TI</t>
        </is>
      </c>
      <c r="C819" t="inlineStr">
        <is>
          <t>Sistemas Gerais - Comunicação e Marketing</t>
        </is>
      </c>
      <c r="D819" t="inlineStr">
        <is>
          <t>01/02/2026</t>
        </is>
      </c>
      <c r="E819" t="n">
        <v>0</v>
      </c>
      <c r="F819" t="inlineStr">
        <is>
          <t>Fabrica de Bares (2025)</t>
        </is>
      </c>
      <c r="G819" t="b">
        <v>1</v>
      </c>
      <c r="H819" t="inlineStr">
        <is>
          <t>2/2026</t>
        </is>
      </c>
    </row>
    <row r="820">
      <c r="A820" t="inlineStr">
        <is>
          <t>Nuv Gastrobar</t>
        </is>
      </c>
      <c r="B820" t="inlineStr">
        <is>
          <t>Informática e TI</t>
        </is>
      </c>
      <c r="C820" t="inlineStr">
        <is>
          <t>Sistemas Gerais - Comunicação e Marketing</t>
        </is>
      </c>
      <c r="D820" t="inlineStr">
        <is>
          <t>01/03/2026</t>
        </is>
      </c>
      <c r="E820" t="n">
        <v>0</v>
      </c>
      <c r="F820" t="inlineStr">
        <is>
          <t>Fabrica de Bares (2025)</t>
        </is>
      </c>
      <c r="G820" t="b">
        <v>1</v>
      </c>
      <c r="H820" t="inlineStr">
        <is>
          <t>3/2026</t>
        </is>
      </c>
    </row>
    <row r="821">
      <c r="A821" t="inlineStr">
        <is>
          <t>Nuv Gastrobar</t>
        </is>
      </c>
      <c r="B821" t="inlineStr">
        <is>
          <t>Informática e TI</t>
        </is>
      </c>
      <c r="C821" t="inlineStr">
        <is>
          <t>Sistemas Gerais - Comunicação e Marketing</t>
        </is>
      </c>
      <c r="D821" t="inlineStr">
        <is>
          <t>01/04/2026</t>
        </is>
      </c>
      <c r="E821" t="n">
        <v>0</v>
      </c>
      <c r="F821" t="inlineStr">
        <is>
          <t>Fabrica de Bares (2025)</t>
        </is>
      </c>
      <c r="G821" t="b">
        <v>1</v>
      </c>
      <c r="H821" t="inlineStr">
        <is>
          <t>4/2026</t>
        </is>
      </c>
    </row>
    <row r="822">
      <c r="A822" t="inlineStr">
        <is>
          <t>Nuv Gastrobar</t>
        </is>
      </c>
      <c r="B822" t="inlineStr">
        <is>
          <t>Informática e TI</t>
        </is>
      </c>
      <c r="C822" t="inlineStr">
        <is>
          <t>Sistemas Gerais - Comunicação e Marketing</t>
        </is>
      </c>
      <c r="D822" t="inlineStr">
        <is>
          <t>01/05/2026</t>
        </is>
      </c>
      <c r="E822" t="n">
        <v>0</v>
      </c>
      <c r="F822" t="inlineStr">
        <is>
          <t>Fabrica de Bares (2025)</t>
        </is>
      </c>
      <c r="G822" t="b">
        <v>1</v>
      </c>
      <c r="H822" t="inlineStr">
        <is>
          <t>5/2026</t>
        </is>
      </c>
    </row>
    <row r="823">
      <c r="A823" t="inlineStr">
        <is>
          <t>Nuv Gastrobar</t>
        </is>
      </c>
      <c r="B823" t="inlineStr">
        <is>
          <t>Informática e TI</t>
        </is>
      </c>
      <c r="C823" t="inlineStr">
        <is>
          <t>Sistemas Gerais - Comunicação e Marketing</t>
        </is>
      </c>
      <c r="D823" t="inlineStr">
        <is>
          <t>01/06/2026</t>
        </is>
      </c>
      <c r="E823" t="n">
        <v>0</v>
      </c>
      <c r="F823" t="inlineStr">
        <is>
          <t>Fabrica de Bares (2025)</t>
        </is>
      </c>
      <c r="G823" t="b">
        <v>1</v>
      </c>
      <c r="H823" t="inlineStr">
        <is>
          <t>6/2026</t>
        </is>
      </c>
    </row>
    <row r="824">
      <c r="A824" t="inlineStr">
        <is>
          <t>Nuv Gastrobar</t>
        </is>
      </c>
      <c r="B824" t="inlineStr">
        <is>
          <t>Informática e TI</t>
        </is>
      </c>
      <c r="C824" t="inlineStr">
        <is>
          <t>Sistemas Gerais - Comunicação e Marketing</t>
        </is>
      </c>
      <c r="D824" t="inlineStr">
        <is>
          <t>01/07/2026</t>
        </is>
      </c>
      <c r="E824" t="n">
        <v>0</v>
      </c>
      <c r="F824" t="inlineStr">
        <is>
          <t>Fabrica de Bares (2025)</t>
        </is>
      </c>
      <c r="G824" t="b">
        <v>1</v>
      </c>
      <c r="H824" t="inlineStr">
        <is>
          <t>7/2026</t>
        </is>
      </c>
    </row>
    <row r="825">
      <c r="A825" t="inlineStr">
        <is>
          <t>Nuv Gastrobar</t>
        </is>
      </c>
      <c r="B825" t="inlineStr">
        <is>
          <t>Informática e TI</t>
        </is>
      </c>
      <c r="C825" t="inlineStr">
        <is>
          <t>Sistemas Gerais - Comunicação e Marketing</t>
        </is>
      </c>
      <c r="D825" t="inlineStr">
        <is>
          <t>01/08/2026</t>
        </is>
      </c>
      <c r="E825" t="n">
        <v>0</v>
      </c>
      <c r="F825" t="inlineStr">
        <is>
          <t>Fabrica de Bares (2025)</t>
        </is>
      </c>
      <c r="G825" t="b">
        <v>1</v>
      </c>
      <c r="H825" t="inlineStr">
        <is>
          <t>8/2026</t>
        </is>
      </c>
    </row>
    <row r="826">
      <c r="A826" t="inlineStr">
        <is>
          <t>Nuv Gastrobar</t>
        </is>
      </c>
      <c r="B826" t="inlineStr">
        <is>
          <t>Informática e TI</t>
        </is>
      </c>
      <c r="C826" t="inlineStr">
        <is>
          <t>Sistemas Gerais - Comunicação e Marketing</t>
        </is>
      </c>
      <c r="D826" t="inlineStr">
        <is>
          <t>01/09/2026</t>
        </is>
      </c>
      <c r="E826" t="n">
        <v>0</v>
      </c>
      <c r="F826" t="inlineStr">
        <is>
          <t>Fabrica de Bares (2025)</t>
        </is>
      </c>
      <c r="G826" t="b">
        <v>1</v>
      </c>
      <c r="H826" t="inlineStr">
        <is>
          <t>9/2026</t>
        </is>
      </c>
    </row>
    <row r="827">
      <c r="A827" t="inlineStr">
        <is>
          <t>Nuv Gastrobar</t>
        </is>
      </c>
      <c r="B827" t="inlineStr">
        <is>
          <t>Informática e TI</t>
        </is>
      </c>
      <c r="C827" t="inlineStr">
        <is>
          <t>Sistemas Gerais - Comunicação e Marketing</t>
        </is>
      </c>
      <c r="D827" t="inlineStr">
        <is>
          <t>01/10/2026</t>
        </is>
      </c>
      <c r="E827" t="n">
        <v>0</v>
      </c>
      <c r="F827" t="inlineStr">
        <is>
          <t>Fabrica de Bares (2025)</t>
        </is>
      </c>
      <c r="G827" t="b">
        <v>1</v>
      </c>
      <c r="H827" t="inlineStr">
        <is>
          <t>10/2026</t>
        </is>
      </c>
    </row>
    <row r="828">
      <c r="A828" t="inlineStr">
        <is>
          <t>Nuv Gastrobar</t>
        </is>
      </c>
      <c r="B828" t="inlineStr">
        <is>
          <t>Informática e TI</t>
        </is>
      </c>
      <c r="C828" t="inlineStr">
        <is>
          <t>Sistemas Gerais - Comunicação e Marketing</t>
        </is>
      </c>
      <c r="D828" t="inlineStr">
        <is>
          <t>01/11/2026</t>
        </is>
      </c>
      <c r="E828" t="n">
        <v>0</v>
      </c>
      <c r="F828" t="inlineStr">
        <is>
          <t>Fabrica de Bares (2025)</t>
        </is>
      </c>
      <c r="G828" t="b">
        <v>1</v>
      </c>
      <c r="H828" t="inlineStr">
        <is>
          <t>11/2026</t>
        </is>
      </c>
    </row>
    <row r="829">
      <c r="A829" t="inlineStr">
        <is>
          <t>Nuv Gastrobar</t>
        </is>
      </c>
      <c r="B829" t="inlineStr">
        <is>
          <t>Informática e TI</t>
        </is>
      </c>
      <c r="C829" t="inlineStr">
        <is>
          <t>Sistemas Gerais - Comunicação e Marketing</t>
        </is>
      </c>
      <c r="D829" t="inlineStr">
        <is>
          <t>01/12/2026</t>
        </is>
      </c>
      <c r="E829" t="n">
        <v>0</v>
      </c>
      <c r="F829" t="inlineStr">
        <is>
          <t>Fabrica de Bares (2025)</t>
        </is>
      </c>
      <c r="G829" t="b">
        <v>1</v>
      </c>
      <c r="H829" t="inlineStr">
        <is>
          <t>12/2026</t>
        </is>
      </c>
    </row>
    <row r="830">
      <c r="A830" t="inlineStr">
        <is>
          <t>Nuv Gastrobar</t>
        </is>
      </c>
      <c r="B830" t="inlineStr">
        <is>
          <t>Informática e TI</t>
        </is>
      </c>
      <c r="C830" t="inlineStr">
        <is>
          <t>Sistemas Gerais - Financeiros</t>
        </is>
      </c>
      <c r="D830" t="inlineStr">
        <is>
          <t>01/01/2026</t>
        </is>
      </c>
      <c r="E830" t="n">
        <v>0</v>
      </c>
      <c r="F830" t="inlineStr">
        <is>
          <t>Fabrica de Bares (2025)</t>
        </is>
      </c>
      <c r="G830" t="b">
        <v>1</v>
      </c>
      <c r="H830" t="inlineStr">
        <is>
          <t>1/2026</t>
        </is>
      </c>
    </row>
    <row r="831">
      <c r="A831" t="inlineStr">
        <is>
          <t>Nuv Gastrobar</t>
        </is>
      </c>
      <c r="B831" t="inlineStr">
        <is>
          <t>Informática e TI</t>
        </is>
      </c>
      <c r="C831" t="inlineStr">
        <is>
          <t>Sistemas Gerais - Financeiros</t>
        </is>
      </c>
      <c r="D831" t="inlineStr">
        <is>
          <t>01/02/2026</t>
        </is>
      </c>
      <c r="E831" t="n">
        <v>0</v>
      </c>
      <c r="F831" t="inlineStr">
        <is>
          <t>Fabrica de Bares (2025)</t>
        </is>
      </c>
      <c r="G831" t="b">
        <v>1</v>
      </c>
      <c r="H831" t="inlineStr">
        <is>
          <t>2/2026</t>
        </is>
      </c>
    </row>
    <row r="832">
      <c r="A832" t="inlineStr">
        <is>
          <t>Nuv Gastrobar</t>
        </is>
      </c>
      <c r="B832" t="inlineStr">
        <is>
          <t>Informática e TI</t>
        </is>
      </c>
      <c r="C832" t="inlineStr">
        <is>
          <t>Sistemas Gerais - Financeiros</t>
        </is>
      </c>
      <c r="D832" t="inlineStr">
        <is>
          <t>01/03/2026</t>
        </is>
      </c>
      <c r="E832" t="n">
        <v>0</v>
      </c>
      <c r="F832" t="inlineStr">
        <is>
          <t>Fabrica de Bares (2025)</t>
        </is>
      </c>
      <c r="G832" t="b">
        <v>1</v>
      </c>
      <c r="H832" t="inlineStr">
        <is>
          <t>3/2026</t>
        </is>
      </c>
    </row>
    <row r="833">
      <c r="A833" t="inlineStr">
        <is>
          <t>Nuv Gastrobar</t>
        </is>
      </c>
      <c r="B833" t="inlineStr">
        <is>
          <t>Informática e TI</t>
        </is>
      </c>
      <c r="C833" t="inlineStr">
        <is>
          <t>Sistemas Gerais - Financeiros</t>
        </is>
      </c>
      <c r="D833" t="inlineStr">
        <is>
          <t>01/04/2026</t>
        </is>
      </c>
      <c r="E833" t="n">
        <v>0</v>
      </c>
      <c r="F833" t="inlineStr">
        <is>
          <t>Fabrica de Bares (2025)</t>
        </is>
      </c>
      <c r="G833" t="b">
        <v>1</v>
      </c>
      <c r="H833" t="inlineStr">
        <is>
          <t>4/2026</t>
        </is>
      </c>
    </row>
    <row r="834">
      <c r="A834" t="inlineStr">
        <is>
          <t>Nuv Gastrobar</t>
        </is>
      </c>
      <c r="B834" t="inlineStr">
        <is>
          <t>Informática e TI</t>
        </is>
      </c>
      <c r="C834" t="inlineStr">
        <is>
          <t>Sistemas Gerais - Financeiros</t>
        </is>
      </c>
      <c r="D834" t="inlineStr">
        <is>
          <t>01/05/2026</t>
        </is>
      </c>
      <c r="E834" t="n">
        <v>0</v>
      </c>
      <c r="F834" t="inlineStr">
        <is>
          <t>Fabrica de Bares (2025)</t>
        </is>
      </c>
      <c r="G834" t="b">
        <v>1</v>
      </c>
      <c r="H834" t="inlineStr">
        <is>
          <t>5/2026</t>
        </is>
      </c>
    </row>
    <row r="835">
      <c r="A835" t="inlineStr">
        <is>
          <t>Nuv Gastrobar</t>
        </is>
      </c>
      <c r="B835" t="inlineStr">
        <is>
          <t>Informática e TI</t>
        </is>
      </c>
      <c r="C835" t="inlineStr">
        <is>
          <t>Sistemas Gerais - Financeiros</t>
        </is>
      </c>
      <c r="D835" t="inlineStr">
        <is>
          <t>01/06/2026</t>
        </is>
      </c>
      <c r="E835" t="n">
        <v>0</v>
      </c>
      <c r="F835" t="inlineStr">
        <is>
          <t>Fabrica de Bares (2025)</t>
        </is>
      </c>
      <c r="G835" t="b">
        <v>1</v>
      </c>
      <c r="H835" t="inlineStr">
        <is>
          <t>6/2026</t>
        </is>
      </c>
    </row>
    <row r="836">
      <c r="A836" t="inlineStr">
        <is>
          <t>Nuv Gastrobar</t>
        </is>
      </c>
      <c r="B836" t="inlineStr">
        <is>
          <t>Informática e TI</t>
        </is>
      </c>
      <c r="C836" t="inlineStr">
        <is>
          <t>Sistemas Gerais - Financeiros</t>
        </is>
      </c>
      <c r="D836" t="inlineStr">
        <is>
          <t>01/07/2026</t>
        </is>
      </c>
      <c r="E836" t="n">
        <v>0</v>
      </c>
      <c r="F836" t="inlineStr">
        <is>
          <t>Fabrica de Bares (2025)</t>
        </is>
      </c>
      <c r="G836" t="b">
        <v>1</v>
      </c>
      <c r="H836" t="inlineStr">
        <is>
          <t>7/2026</t>
        </is>
      </c>
    </row>
    <row r="837">
      <c r="A837" t="inlineStr">
        <is>
          <t>Nuv Gastrobar</t>
        </is>
      </c>
      <c r="B837" t="inlineStr">
        <is>
          <t>Informática e TI</t>
        </is>
      </c>
      <c r="C837" t="inlineStr">
        <is>
          <t>Sistemas Gerais - Financeiros</t>
        </is>
      </c>
      <c r="D837" t="inlineStr">
        <is>
          <t>01/08/2026</t>
        </is>
      </c>
      <c r="E837" t="n">
        <v>539.34</v>
      </c>
      <c r="F837" t="inlineStr">
        <is>
          <t>Fabrica de Bares (2025)</t>
        </is>
      </c>
      <c r="G837" t="b">
        <v>1</v>
      </c>
      <c r="H837" t="inlineStr">
        <is>
          <t>8/2026</t>
        </is>
      </c>
    </row>
    <row r="838">
      <c r="A838" t="inlineStr">
        <is>
          <t>Nuv Gastrobar</t>
        </is>
      </c>
      <c r="B838" t="inlineStr">
        <is>
          <t>Informática e TI</t>
        </is>
      </c>
      <c r="C838" t="inlineStr">
        <is>
          <t>Sistemas Gerais - Financeiros</t>
        </is>
      </c>
      <c r="D838" t="inlineStr">
        <is>
          <t>01/09/2026</t>
        </is>
      </c>
      <c r="E838" t="n">
        <v>644.72</v>
      </c>
      <c r="F838" t="inlineStr">
        <is>
          <t>Fabrica de Bares (2025)</t>
        </is>
      </c>
      <c r="G838" t="b">
        <v>1</v>
      </c>
      <c r="H838" t="inlineStr">
        <is>
          <t>9/2026</t>
        </is>
      </c>
    </row>
    <row r="839">
      <c r="A839" t="inlineStr">
        <is>
          <t>Nuv Gastrobar</t>
        </is>
      </c>
      <c r="B839" t="inlineStr">
        <is>
          <t>Informática e TI</t>
        </is>
      </c>
      <c r="C839" t="inlineStr">
        <is>
          <t>Sistemas Gerais - Financeiros</t>
        </is>
      </c>
      <c r="D839" t="inlineStr">
        <is>
          <t>01/10/2026</t>
        </is>
      </c>
      <c r="E839" t="n">
        <v>693.29</v>
      </c>
      <c r="F839" t="inlineStr">
        <is>
          <t>Fabrica de Bares (2025)</t>
        </is>
      </c>
      <c r="G839" t="b">
        <v>1</v>
      </c>
      <c r="H839" t="inlineStr">
        <is>
          <t>10/2026</t>
        </is>
      </c>
    </row>
    <row r="840">
      <c r="A840" t="inlineStr">
        <is>
          <t>Nuv Gastrobar</t>
        </is>
      </c>
      <c r="B840" t="inlineStr">
        <is>
          <t>Informática e TI</t>
        </is>
      </c>
      <c r="C840" t="inlineStr">
        <is>
          <t>Sistemas Gerais - Financeiros</t>
        </is>
      </c>
      <c r="D840" t="inlineStr">
        <is>
          <t>01/11/2026</t>
        </is>
      </c>
      <c r="E840" t="n">
        <v>847.14</v>
      </c>
      <c r="F840" t="inlineStr">
        <is>
          <t>Fabrica de Bares (2025)</t>
        </is>
      </c>
      <c r="G840" t="b">
        <v>1</v>
      </c>
      <c r="H840" t="inlineStr">
        <is>
          <t>11/2026</t>
        </is>
      </c>
    </row>
    <row r="841">
      <c r="A841" t="inlineStr">
        <is>
          <t>Nuv Gastrobar</t>
        </is>
      </c>
      <c r="B841" t="inlineStr">
        <is>
          <t>Informática e TI</t>
        </is>
      </c>
      <c r="C841" t="inlineStr">
        <is>
          <t>Sistemas Gerais - Financeiros</t>
        </is>
      </c>
      <c r="D841" t="inlineStr">
        <is>
          <t>01/12/2026</t>
        </is>
      </c>
      <c r="E841" t="n">
        <v>841.8200000000001</v>
      </c>
      <c r="F841" t="inlineStr">
        <is>
          <t>Fabrica de Bares (2025)</t>
        </is>
      </c>
      <c r="G841" t="b">
        <v>1</v>
      </c>
      <c r="H841" t="inlineStr">
        <is>
          <t>12/2026</t>
        </is>
      </c>
    </row>
    <row r="842">
      <c r="A842" t="inlineStr">
        <is>
          <t>Nuv Gastrobar</t>
        </is>
      </c>
      <c r="B842" t="inlineStr">
        <is>
          <t>Informática e TI</t>
        </is>
      </c>
      <c r="C842" t="inlineStr">
        <is>
          <t>Sistemas Gerais - Operacionais</t>
        </is>
      </c>
      <c r="D842" t="inlineStr">
        <is>
          <t>01/01/2026</t>
        </is>
      </c>
      <c r="E842" t="n">
        <v>0</v>
      </c>
      <c r="F842" t="inlineStr">
        <is>
          <t>Fabrica de Bares (2025)</t>
        </is>
      </c>
      <c r="G842" t="b">
        <v>1</v>
      </c>
      <c r="H842" t="inlineStr">
        <is>
          <t>1/2026</t>
        </is>
      </c>
    </row>
    <row r="843">
      <c r="A843" t="inlineStr">
        <is>
          <t>Nuv Gastrobar</t>
        </is>
      </c>
      <c r="B843" t="inlineStr">
        <is>
          <t>Informática e TI</t>
        </is>
      </c>
      <c r="C843" t="inlineStr">
        <is>
          <t>Sistemas Gerais - Operacionais</t>
        </is>
      </c>
      <c r="D843" t="inlineStr">
        <is>
          <t>01/02/2026</t>
        </is>
      </c>
      <c r="E843" t="n">
        <v>0</v>
      </c>
      <c r="F843" t="inlineStr">
        <is>
          <t>Fabrica de Bares (2025)</t>
        </is>
      </c>
      <c r="G843" t="b">
        <v>1</v>
      </c>
      <c r="H843" t="inlineStr">
        <is>
          <t>2/2026</t>
        </is>
      </c>
    </row>
    <row r="844">
      <c r="A844" t="inlineStr">
        <is>
          <t>Nuv Gastrobar</t>
        </is>
      </c>
      <c r="B844" t="inlineStr">
        <is>
          <t>Informática e TI</t>
        </is>
      </c>
      <c r="C844" t="inlineStr">
        <is>
          <t>Sistemas Gerais - Operacionais</t>
        </is>
      </c>
      <c r="D844" t="inlineStr">
        <is>
          <t>01/03/2026</t>
        </is>
      </c>
      <c r="E844" t="n">
        <v>0</v>
      </c>
      <c r="F844" t="inlineStr">
        <is>
          <t>Fabrica de Bares (2025)</t>
        </is>
      </c>
      <c r="G844" t="b">
        <v>1</v>
      </c>
      <c r="H844" t="inlineStr">
        <is>
          <t>3/2026</t>
        </is>
      </c>
    </row>
    <row r="845">
      <c r="A845" t="inlineStr">
        <is>
          <t>Nuv Gastrobar</t>
        </is>
      </c>
      <c r="B845" t="inlineStr">
        <is>
          <t>Informática e TI</t>
        </is>
      </c>
      <c r="C845" t="inlineStr">
        <is>
          <t>Sistemas Gerais - Operacionais</t>
        </is>
      </c>
      <c r="D845" t="inlineStr">
        <is>
          <t>01/04/2026</t>
        </is>
      </c>
      <c r="E845" t="n">
        <v>0</v>
      </c>
      <c r="F845" t="inlineStr">
        <is>
          <t>Fabrica de Bares (2025)</t>
        </is>
      </c>
      <c r="G845" t="b">
        <v>1</v>
      </c>
      <c r="H845" t="inlineStr">
        <is>
          <t>4/2026</t>
        </is>
      </c>
    </row>
    <row r="846">
      <c r="A846" t="inlineStr">
        <is>
          <t>Nuv Gastrobar</t>
        </is>
      </c>
      <c r="B846" t="inlineStr">
        <is>
          <t>Informática e TI</t>
        </is>
      </c>
      <c r="C846" t="inlineStr">
        <is>
          <t>Sistemas Gerais - Operacionais</t>
        </is>
      </c>
      <c r="D846" t="inlineStr">
        <is>
          <t>01/05/2026</t>
        </is>
      </c>
      <c r="E846" t="n">
        <v>0</v>
      </c>
      <c r="F846" t="inlineStr">
        <is>
          <t>Fabrica de Bares (2025)</t>
        </is>
      </c>
      <c r="G846" t="b">
        <v>1</v>
      </c>
      <c r="H846" t="inlineStr">
        <is>
          <t>5/2026</t>
        </is>
      </c>
    </row>
    <row r="847">
      <c r="A847" t="inlineStr">
        <is>
          <t>Nuv Gastrobar</t>
        </is>
      </c>
      <c r="B847" t="inlineStr">
        <is>
          <t>Informática e TI</t>
        </is>
      </c>
      <c r="C847" t="inlineStr">
        <is>
          <t>Sistemas Gerais - Operacionais</t>
        </is>
      </c>
      <c r="D847" t="inlineStr">
        <is>
          <t>01/06/2026</t>
        </is>
      </c>
      <c r="E847" t="n">
        <v>0</v>
      </c>
      <c r="F847" t="inlineStr">
        <is>
          <t>Fabrica de Bares (2025)</t>
        </is>
      </c>
      <c r="G847" t="b">
        <v>1</v>
      </c>
      <c r="H847" t="inlineStr">
        <is>
          <t>6/2026</t>
        </is>
      </c>
    </row>
    <row r="848">
      <c r="A848" t="inlineStr">
        <is>
          <t>Nuv Gastrobar</t>
        </is>
      </c>
      <c r="B848" t="inlineStr">
        <is>
          <t>Informática e TI</t>
        </is>
      </c>
      <c r="C848" t="inlineStr">
        <is>
          <t>Sistemas Gerais - Operacionais</t>
        </is>
      </c>
      <c r="D848" t="inlineStr">
        <is>
          <t>01/07/2026</t>
        </is>
      </c>
      <c r="E848" t="n">
        <v>0</v>
      </c>
      <c r="F848" t="inlineStr">
        <is>
          <t>Fabrica de Bares (2025)</t>
        </is>
      </c>
      <c r="G848" t="b">
        <v>1</v>
      </c>
      <c r="H848" t="inlineStr">
        <is>
          <t>7/2026</t>
        </is>
      </c>
    </row>
    <row r="849">
      <c r="A849" t="inlineStr">
        <is>
          <t>Nuv Gastrobar</t>
        </is>
      </c>
      <c r="B849" t="inlineStr">
        <is>
          <t>Informática e TI</t>
        </is>
      </c>
      <c r="C849" t="inlineStr">
        <is>
          <t>Sistemas Gerais - Operacionais</t>
        </is>
      </c>
      <c r="D849" t="inlineStr">
        <is>
          <t>01/08/2026</t>
        </is>
      </c>
      <c r="E849" t="n">
        <v>2189.34</v>
      </c>
      <c r="F849" t="inlineStr">
        <is>
          <t>Fabrica de Bares (2025)</t>
        </is>
      </c>
      <c r="G849" t="b">
        <v>1</v>
      </c>
      <c r="H849" t="inlineStr">
        <is>
          <t>8/2026</t>
        </is>
      </c>
    </row>
    <row r="850">
      <c r="A850" t="inlineStr">
        <is>
          <t>Nuv Gastrobar</t>
        </is>
      </c>
      <c r="B850" t="inlineStr">
        <is>
          <t>Informática e TI</t>
        </is>
      </c>
      <c r="C850" t="inlineStr">
        <is>
          <t>Sistemas Gerais - Operacionais</t>
        </is>
      </c>
      <c r="D850" t="inlineStr">
        <is>
          <t>01/09/2026</t>
        </is>
      </c>
      <c r="E850" t="n">
        <v>2294.72</v>
      </c>
      <c r="F850" t="inlineStr">
        <is>
          <t>Fabrica de Bares (2025)</t>
        </is>
      </c>
      <c r="G850" t="b">
        <v>1</v>
      </c>
      <c r="H850" t="inlineStr">
        <is>
          <t>9/2026</t>
        </is>
      </c>
    </row>
    <row r="851">
      <c r="A851" t="inlineStr">
        <is>
          <t>Nuv Gastrobar</t>
        </is>
      </c>
      <c r="B851" t="inlineStr">
        <is>
          <t>Informática e TI</t>
        </is>
      </c>
      <c r="C851" t="inlineStr">
        <is>
          <t>Sistemas Gerais - Operacionais</t>
        </is>
      </c>
      <c r="D851" t="inlineStr">
        <is>
          <t>01/10/2026</t>
        </is>
      </c>
      <c r="E851" t="n">
        <v>2343.29</v>
      </c>
      <c r="F851" t="inlineStr">
        <is>
          <t>Fabrica de Bares (2025)</t>
        </is>
      </c>
      <c r="G851" t="b">
        <v>1</v>
      </c>
      <c r="H851" t="inlineStr">
        <is>
          <t>10/2026</t>
        </is>
      </c>
    </row>
    <row r="852">
      <c r="A852" t="inlineStr">
        <is>
          <t>Nuv Gastrobar</t>
        </is>
      </c>
      <c r="B852" t="inlineStr">
        <is>
          <t>Informática e TI</t>
        </is>
      </c>
      <c r="C852" t="inlineStr">
        <is>
          <t>Sistemas Gerais - Operacionais</t>
        </is>
      </c>
      <c r="D852" t="inlineStr">
        <is>
          <t>01/11/2026</t>
        </is>
      </c>
      <c r="E852" t="n">
        <v>2497.14</v>
      </c>
      <c r="F852" t="inlineStr">
        <is>
          <t>Fabrica de Bares (2025)</t>
        </is>
      </c>
      <c r="G852" t="b">
        <v>1</v>
      </c>
      <c r="H852" t="inlineStr">
        <is>
          <t>11/2026</t>
        </is>
      </c>
    </row>
    <row r="853">
      <c r="A853" t="inlineStr">
        <is>
          <t>Nuv Gastrobar</t>
        </is>
      </c>
      <c r="B853" t="inlineStr">
        <is>
          <t>Informática e TI</t>
        </is>
      </c>
      <c r="C853" t="inlineStr">
        <is>
          <t>Sistemas Gerais - Operacionais</t>
        </is>
      </c>
      <c r="D853" t="inlineStr">
        <is>
          <t>01/12/2026</t>
        </is>
      </c>
      <c r="E853" t="n">
        <v>2491.82</v>
      </c>
      <c r="F853" t="inlineStr">
        <is>
          <t>Fabrica de Bares (2025)</t>
        </is>
      </c>
      <c r="G853" t="b">
        <v>1</v>
      </c>
      <c r="H853" t="inlineStr">
        <is>
          <t>12/2026</t>
        </is>
      </c>
    </row>
    <row r="854">
      <c r="A854" t="inlineStr">
        <is>
          <t>Nuv Gastrobar</t>
        </is>
      </c>
      <c r="B854" t="inlineStr">
        <is>
          <t>Informática e TI</t>
        </is>
      </c>
      <c r="C854" t="inlineStr">
        <is>
          <t>Telefone</t>
        </is>
      </c>
      <c r="D854" t="inlineStr">
        <is>
          <t>01/01/2026</t>
        </is>
      </c>
      <c r="E854" t="n">
        <v>0</v>
      </c>
      <c r="F854" t="inlineStr">
        <is>
          <t>Fabrica de Bares (2025)</t>
        </is>
      </c>
      <c r="G854" t="b">
        <v>1</v>
      </c>
      <c r="H854" t="inlineStr">
        <is>
          <t>1/2026</t>
        </is>
      </c>
    </row>
    <row r="855">
      <c r="A855" t="inlineStr">
        <is>
          <t>Nuv Gastrobar</t>
        </is>
      </c>
      <c r="B855" t="inlineStr">
        <is>
          <t>Informática e TI</t>
        </is>
      </c>
      <c r="C855" t="inlineStr">
        <is>
          <t>Telefone</t>
        </is>
      </c>
      <c r="D855" t="inlineStr">
        <is>
          <t>01/02/2026</t>
        </is>
      </c>
      <c r="E855" t="n">
        <v>0</v>
      </c>
      <c r="F855" t="inlineStr">
        <is>
          <t>Fabrica de Bares (2025)</t>
        </is>
      </c>
      <c r="G855" t="b">
        <v>1</v>
      </c>
      <c r="H855" t="inlineStr">
        <is>
          <t>2/2026</t>
        </is>
      </c>
    </row>
    <row r="856">
      <c r="A856" t="inlineStr">
        <is>
          <t>Nuv Gastrobar</t>
        </is>
      </c>
      <c r="B856" t="inlineStr">
        <is>
          <t>Informática e TI</t>
        </is>
      </c>
      <c r="C856" t="inlineStr">
        <is>
          <t>Telefone</t>
        </is>
      </c>
      <c r="D856" t="inlineStr">
        <is>
          <t>01/03/2026</t>
        </is>
      </c>
      <c r="E856" t="n">
        <v>0</v>
      </c>
      <c r="F856" t="inlineStr">
        <is>
          <t>Fabrica de Bares (2025)</t>
        </is>
      </c>
      <c r="G856" t="b">
        <v>1</v>
      </c>
      <c r="H856" t="inlineStr">
        <is>
          <t>3/2026</t>
        </is>
      </c>
    </row>
    <row r="857">
      <c r="A857" t="inlineStr">
        <is>
          <t>Nuv Gastrobar</t>
        </is>
      </c>
      <c r="B857" t="inlineStr">
        <is>
          <t>Informática e TI</t>
        </is>
      </c>
      <c r="C857" t="inlineStr">
        <is>
          <t>Telefone</t>
        </is>
      </c>
      <c r="D857" t="inlineStr">
        <is>
          <t>01/04/2026</t>
        </is>
      </c>
      <c r="E857" t="n">
        <v>0</v>
      </c>
      <c r="F857" t="inlineStr">
        <is>
          <t>Fabrica de Bares (2025)</t>
        </is>
      </c>
      <c r="G857" t="b">
        <v>1</v>
      </c>
      <c r="H857" t="inlineStr">
        <is>
          <t>4/2026</t>
        </is>
      </c>
    </row>
    <row r="858">
      <c r="A858" t="inlineStr">
        <is>
          <t>Nuv Gastrobar</t>
        </is>
      </c>
      <c r="B858" t="inlineStr">
        <is>
          <t>Informática e TI</t>
        </is>
      </c>
      <c r="C858" t="inlineStr">
        <is>
          <t>Telefone</t>
        </is>
      </c>
      <c r="D858" t="inlineStr">
        <is>
          <t>01/05/2026</t>
        </is>
      </c>
      <c r="E858" t="n">
        <v>0</v>
      </c>
      <c r="F858" t="inlineStr">
        <is>
          <t>Fabrica de Bares (2025)</t>
        </is>
      </c>
      <c r="G858" t="b">
        <v>1</v>
      </c>
      <c r="H858" t="inlineStr">
        <is>
          <t>5/2026</t>
        </is>
      </c>
    </row>
    <row r="859">
      <c r="A859" t="inlineStr">
        <is>
          <t>Nuv Gastrobar</t>
        </is>
      </c>
      <c r="B859" t="inlineStr">
        <is>
          <t>Informática e TI</t>
        </is>
      </c>
      <c r="C859" t="inlineStr">
        <is>
          <t>Telefone</t>
        </is>
      </c>
      <c r="D859" t="inlineStr">
        <is>
          <t>01/06/2026</t>
        </is>
      </c>
      <c r="E859" t="n">
        <v>0</v>
      </c>
      <c r="F859" t="inlineStr">
        <is>
          <t>Fabrica de Bares (2025)</t>
        </is>
      </c>
      <c r="G859" t="b">
        <v>1</v>
      </c>
      <c r="H859" t="inlineStr">
        <is>
          <t>6/2026</t>
        </is>
      </c>
    </row>
    <row r="860">
      <c r="A860" t="inlineStr">
        <is>
          <t>Nuv Gastrobar</t>
        </is>
      </c>
      <c r="B860" t="inlineStr">
        <is>
          <t>Informática e TI</t>
        </is>
      </c>
      <c r="C860" t="inlineStr">
        <is>
          <t>Telefone</t>
        </is>
      </c>
      <c r="D860" t="inlineStr">
        <is>
          <t>01/07/2026</t>
        </is>
      </c>
      <c r="E860" t="n">
        <v>0</v>
      </c>
      <c r="F860" t="inlineStr">
        <is>
          <t>Fabrica de Bares (2025)</t>
        </is>
      </c>
      <c r="G860" t="b">
        <v>1</v>
      </c>
      <c r="H860" t="inlineStr">
        <is>
          <t>7/2026</t>
        </is>
      </c>
    </row>
    <row r="861">
      <c r="A861" t="inlineStr">
        <is>
          <t>Nuv Gastrobar</t>
        </is>
      </c>
      <c r="B861" t="inlineStr">
        <is>
          <t>Informática e TI</t>
        </is>
      </c>
      <c r="C861" t="inlineStr">
        <is>
          <t>Telefone</t>
        </is>
      </c>
      <c r="D861" t="inlineStr">
        <is>
          <t>01/08/2026</t>
        </is>
      </c>
      <c r="E861" t="n">
        <v>189.34</v>
      </c>
      <c r="F861" t="inlineStr">
        <is>
          <t>Fabrica de Bares (2025)</t>
        </is>
      </c>
      <c r="G861" t="b">
        <v>1</v>
      </c>
      <c r="H861" t="inlineStr">
        <is>
          <t>8/2026</t>
        </is>
      </c>
    </row>
    <row r="862">
      <c r="A862" t="inlineStr">
        <is>
          <t>Nuv Gastrobar</t>
        </is>
      </c>
      <c r="B862" t="inlineStr">
        <is>
          <t>Informática e TI</t>
        </is>
      </c>
      <c r="C862" t="inlineStr">
        <is>
          <t>Telefone</t>
        </is>
      </c>
      <c r="D862" t="inlineStr">
        <is>
          <t>01/09/2026</t>
        </is>
      </c>
      <c r="E862" t="n">
        <v>294.72</v>
      </c>
      <c r="F862" t="inlineStr">
        <is>
          <t>Fabrica de Bares (2025)</t>
        </is>
      </c>
      <c r="G862" t="b">
        <v>1</v>
      </c>
      <c r="H862" t="inlineStr">
        <is>
          <t>9/2026</t>
        </is>
      </c>
    </row>
    <row r="863">
      <c r="A863" t="inlineStr">
        <is>
          <t>Nuv Gastrobar</t>
        </is>
      </c>
      <c r="B863" t="inlineStr">
        <is>
          <t>Informática e TI</t>
        </is>
      </c>
      <c r="C863" t="inlineStr">
        <is>
          <t>Telefone</t>
        </is>
      </c>
      <c r="D863" t="inlineStr">
        <is>
          <t>01/10/2026</t>
        </is>
      </c>
      <c r="E863" t="n">
        <v>343.29</v>
      </c>
      <c r="F863" t="inlineStr">
        <is>
          <t>Fabrica de Bares (2025)</t>
        </is>
      </c>
      <c r="G863" t="b">
        <v>1</v>
      </c>
      <c r="H863" t="inlineStr">
        <is>
          <t>10/2026</t>
        </is>
      </c>
    </row>
    <row r="864">
      <c r="A864" t="inlineStr">
        <is>
          <t>Nuv Gastrobar</t>
        </is>
      </c>
      <c r="B864" t="inlineStr">
        <is>
          <t>Informática e TI</t>
        </is>
      </c>
      <c r="C864" t="inlineStr">
        <is>
          <t>Telefone</t>
        </is>
      </c>
      <c r="D864" t="inlineStr">
        <is>
          <t>01/11/2026</t>
        </is>
      </c>
      <c r="E864" t="n">
        <v>497.14</v>
      </c>
      <c r="F864" t="inlineStr">
        <is>
          <t>Fabrica de Bares (2025)</t>
        </is>
      </c>
      <c r="G864" t="b">
        <v>1</v>
      </c>
      <c r="H864" t="inlineStr">
        <is>
          <t>11/2026</t>
        </is>
      </c>
    </row>
    <row r="865">
      <c r="A865" t="inlineStr">
        <is>
          <t>Nuv Gastrobar</t>
        </is>
      </c>
      <c r="B865" t="inlineStr">
        <is>
          <t>Informática e TI</t>
        </is>
      </c>
      <c r="C865" t="inlineStr">
        <is>
          <t>Telefone</t>
        </is>
      </c>
      <c r="D865" t="inlineStr">
        <is>
          <t>01/12/2026</t>
        </is>
      </c>
      <c r="E865" t="n">
        <v>491.82</v>
      </c>
      <c r="F865" t="inlineStr">
        <is>
          <t>Fabrica de Bares (2025)</t>
        </is>
      </c>
      <c r="G865" t="b">
        <v>1</v>
      </c>
      <c r="H865" t="inlineStr">
        <is>
          <t>12/2026</t>
        </is>
      </c>
    </row>
    <row r="866">
      <c r="A866" t="inlineStr">
        <is>
          <t>Nuv Gastrobar</t>
        </is>
      </c>
      <c r="B866" t="inlineStr">
        <is>
          <t>Informática e TI</t>
        </is>
      </c>
      <c r="C866" t="inlineStr">
        <is>
          <t>TV por assinatura/musica ambiente</t>
        </is>
      </c>
      <c r="D866" t="inlineStr">
        <is>
          <t>01/01/2026</t>
        </is>
      </c>
      <c r="E866" t="n">
        <v>0</v>
      </c>
      <c r="F866" t="inlineStr">
        <is>
          <t>Fabrica de Bares (2025)</t>
        </is>
      </c>
      <c r="G866" t="b">
        <v>1</v>
      </c>
      <c r="H866" t="inlineStr">
        <is>
          <t>1/2026</t>
        </is>
      </c>
    </row>
    <row r="867">
      <c r="A867" t="inlineStr">
        <is>
          <t>Nuv Gastrobar</t>
        </is>
      </c>
      <c r="B867" t="inlineStr">
        <is>
          <t>Informática e TI</t>
        </is>
      </c>
      <c r="C867" t="inlineStr">
        <is>
          <t>TV por assinatura/musica ambiente</t>
        </is>
      </c>
      <c r="D867" t="inlineStr">
        <is>
          <t>01/02/2026</t>
        </is>
      </c>
      <c r="E867" t="n">
        <v>0</v>
      </c>
      <c r="F867" t="inlineStr">
        <is>
          <t>Fabrica de Bares (2025)</t>
        </is>
      </c>
      <c r="G867" t="b">
        <v>1</v>
      </c>
      <c r="H867" t="inlineStr">
        <is>
          <t>2/2026</t>
        </is>
      </c>
    </row>
    <row r="868">
      <c r="A868" t="inlineStr">
        <is>
          <t>Nuv Gastrobar</t>
        </is>
      </c>
      <c r="B868" t="inlineStr">
        <is>
          <t>Informática e TI</t>
        </is>
      </c>
      <c r="C868" t="inlineStr">
        <is>
          <t>TV por assinatura/musica ambiente</t>
        </is>
      </c>
      <c r="D868" t="inlineStr">
        <is>
          <t>01/03/2026</t>
        </is>
      </c>
      <c r="E868" t="n">
        <v>0</v>
      </c>
      <c r="F868" t="inlineStr">
        <is>
          <t>Fabrica de Bares (2025)</t>
        </is>
      </c>
      <c r="G868" t="b">
        <v>1</v>
      </c>
      <c r="H868" t="inlineStr">
        <is>
          <t>3/2026</t>
        </is>
      </c>
    </row>
    <row r="869">
      <c r="A869" t="inlineStr">
        <is>
          <t>Nuv Gastrobar</t>
        </is>
      </c>
      <c r="B869" t="inlineStr">
        <is>
          <t>Informática e TI</t>
        </is>
      </c>
      <c r="C869" t="inlineStr">
        <is>
          <t>TV por assinatura/musica ambiente</t>
        </is>
      </c>
      <c r="D869" t="inlineStr">
        <is>
          <t>01/04/2026</t>
        </is>
      </c>
      <c r="E869" t="n">
        <v>0</v>
      </c>
      <c r="F869" t="inlineStr">
        <is>
          <t>Fabrica de Bares (2025)</t>
        </is>
      </c>
      <c r="G869" t="b">
        <v>1</v>
      </c>
      <c r="H869" t="inlineStr">
        <is>
          <t>4/2026</t>
        </is>
      </c>
    </row>
    <row r="870">
      <c r="A870" t="inlineStr">
        <is>
          <t>Nuv Gastrobar</t>
        </is>
      </c>
      <c r="B870" t="inlineStr">
        <is>
          <t>Informática e TI</t>
        </is>
      </c>
      <c r="C870" t="inlineStr">
        <is>
          <t>TV por assinatura/musica ambiente</t>
        </is>
      </c>
      <c r="D870" t="inlineStr">
        <is>
          <t>01/05/2026</t>
        </is>
      </c>
      <c r="E870" t="n">
        <v>0</v>
      </c>
      <c r="F870" t="inlineStr">
        <is>
          <t>Fabrica de Bares (2025)</t>
        </is>
      </c>
      <c r="G870" t="b">
        <v>1</v>
      </c>
      <c r="H870" t="inlineStr">
        <is>
          <t>5/2026</t>
        </is>
      </c>
    </row>
    <row r="871">
      <c r="A871" t="inlineStr">
        <is>
          <t>Nuv Gastrobar</t>
        </is>
      </c>
      <c r="B871" t="inlineStr">
        <is>
          <t>Informática e TI</t>
        </is>
      </c>
      <c r="C871" t="inlineStr">
        <is>
          <t>TV por assinatura/musica ambiente</t>
        </is>
      </c>
      <c r="D871" t="inlineStr">
        <is>
          <t>01/06/2026</t>
        </is>
      </c>
      <c r="E871" t="n">
        <v>0</v>
      </c>
      <c r="F871" t="inlineStr">
        <is>
          <t>Fabrica de Bares (2025)</t>
        </is>
      </c>
      <c r="G871" t="b">
        <v>1</v>
      </c>
      <c r="H871" t="inlineStr">
        <is>
          <t>6/2026</t>
        </is>
      </c>
    </row>
    <row r="872">
      <c r="A872" t="inlineStr">
        <is>
          <t>Nuv Gastrobar</t>
        </is>
      </c>
      <c r="B872" t="inlineStr">
        <is>
          <t>Informática e TI</t>
        </is>
      </c>
      <c r="C872" t="inlineStr">
        <is>
          <t>TV por assinatura/musica ambiente</t>
        </is>
      </c>
      <c r="D872" t="inlineStr">
        <is>
          <t>01/07/2026</t>
        </is>
      </c>
      <c r="E872" t="n">
        <v>0</v>
      </c>
      <c r="F872" t="inlineStr">
        <is>
          <t>Fabrica de Bares (2025)</t>
        </is>
      </c>
      <c r="G872" t="b">
        <v>1</v>
      </c>
      <c r="H872" t="inlineStr">
        <is>
          <t>7/2026</t>
        </is>
      </c>
    </row>
    <row r="873">
      <c r="A873" t="inlineStr">
        <is>
          <t>Nuv Gastrobar</t>
        </is>
      </c>
      <c r="B873" t="inlineStr">
        <is>
          <t>Informática e TI</t>
        </is>
      </c>
      <c r="C873" t="inlineStr">
        <is>
          <t>TV por assinatura/musica ambiente</t>
        </is>
      </c>
      <c r="D873" t="inlineStr">
        <is>
          <t>01/08/2026</t>
        </is>
      </c>
      <c r="E873" t="n">
        <v>113.61</v>
      </c>
      <c r="F873" t="inlineStr">
        <is>
          <t>Fabrica de Bares (2025)</t>
        </is>
      </c>
      <c r="G873" t="b">
        <v>1</v>
      </c>
      <c r="H873" t="inlineStr">
        <is>
          <t>8/2026</t>
        </is>
      </c>
    </row>
    <row r="874">
      <c r="A874" t="inlineStr">
        <is>
          <t>Nuv Gastrobar</t>
        </is>
      </c>
      <c r="B874" t="inlineStr">
        <is>
          <t>Informática e TI</t>
        </is>
      </c>
      <c r="C874" t="inlineStr">
        <is>
          <t>TV por assinatura/musica ambiente</t>
        </is>
      </c>
      <c r="D874" t="inlineStr">
        <is>
          <t>01/09/2026</t>
        </is>
      </c>
      <c r="E874" t="n">
        <v>176.83</v>
      </c>
      <c r="F874" t="inlineStr">
        <is>
          <t>Fabrica de Bares (2025)</t>
        </is>
      </c>
      <c r="G874" t="b">
        <v>1</v>
      </c>
      <c r="H874" t="inlineStr">
        <is>
          <t>9/2026</t>
        </is>
      </c>
    </row>
    <row r="875">
      <c r="A875" t="inlineStr">
        <is>
          <t>Nuv Gastrobar</t>
        </is>
      </c>
      <c r="B875" t="inlineStr">
        <is>
          <t>Informática e TI</t>
        </is>
      </c>
      <c r="C875" t="inlineStr">
        <is>
          <t>TV por assinatura/musica ambiente</t>
        </is>
      </c>
      <c r="D875" t="inlineStr">
        <is>
          <t>01/10/2026</t>
        </is>
      </c>
      <c r="E875" t="n">
        <v>205.97</v>
      </c>
      <c r="F875" t="inlineStr">
        <is>
          <t>Fabrica de Bares (2025)</t>
        </is>
      </c>
      <c r="G875" t="b">
        <v>1</v>
      </c>
      <c r="H875" t="inlineStr">
        <is>
          <t>10/2026</t>
        </is>
      </c>
    </row>
    <row r="876">
      <c r="A876" t="inlineStr">
        <is>
          <t>Nuv Gastrobar</t>
        </is>
      </c>
      <c r="B876" t="inlineStr">
        <is>
          <t>Informática e TI</t>
        </is>
      </c>
      <c r="C876" t="inlineStr">
        <is>
          <t>TV por assinatura/musica ambiente</t>
        </is>
      </c>
      <c r="D876" t="inlineStr">
        <is>
          <t>01/11/2026</t>
        </is>
      </c>
      <c r="E876" t="n">
        <v>298.28</v>
      </c>
      <c r="F876" t="inlineStr">
        <is>
          <t>Fabrica de Bares (2025)</t>
        </is>
      </c>
      <c r="G876" t="b">
        <v>1</v>
      </c>
      <c r="H876" t="inlineStr">
        <is>
          <t>11/2026</t>
        </is>
      </c>
    </row>
    <row r="877">
      <c r="A877" t="inlineStr">
        <is>
          <t>Nuv Gastrobar</t>
        </is>
      </c>
      <c r="B877" t="inlineStr">
        <is>
          <t>Informática e TI</t>
        </is>
      </c>
      <c r="C877" t="inlineStr">
        <is>
          <t>TV por assinatura/musica ambiente</t>
        </is>
      </c>
      <c r="D877" t="inlineStr">
        <is>
          <t>01/12/2026</t>
        </is>
      </c>
      <c r="E877" t="n">
        <v>295.09</v>
      </c>
      <c r="F877" t="inlineStr">
        <is>
          <t>Fabrica de Bares (2025)</t>
        </is>
      </c>
      <c r="G877" t="b">
        <v>1</v>
      </c>
      <c r="H877" t="inlineStr">
        <is>
          <t>12/2026</t>
        </is>
      </c>
    </row>
    <row r="878">
      <c r="A878" t="inlineStr">
        <is>
          <t>Nuv Gastrobar</t>
        </is>
      </c>
      <c r="B878" t="inlineStr">
        <is>
          <t>Locação de Equipamentos</t>
        </is>
      </c>
      <c r="C878" t="inlineStr">
        <is>
          <t>Locação de Equipamentos - Informatica e TI</t>
        </is>
      </c>
      <c r="D878" t="inlineStr">
        <is>
          <t>01/01/2026</t>
        </is>
      </c>
      <c r="E878" t="n">
        <v>0</v>
      </c>
      <c r="F878" t="inlineStr">
        <is>
          <t>Fabrica de Bares (2025)</t>
        </is>
      </c>
      <c r="G878" t="b">
        <v>1</v>
      </c>
      <c r="H878" t="inlineStr">
        <is>
          <t>1/2026</t>
        </is>
      </c>
    </row>
    <row r="879">
      <c r="A879" t="inlineStr">
        <is>
          <t>Nuv Gastrobar</t>
        </is>
      </c>
      <c r="B879" t="inlineStr">
        <is>
          <t>Locação de Equipamentos</t>
        </is>
      </c>
      <c r="C879" t="inlineStr">
        <is>
          <t>Locação de Equipamentos - Informatica e TI</t>
        </is>
      </c>
      <c r="D879" t="inlineStr">
        <is>
          <t>01/02/2026</t>
        </is>
      </c>
      <c r="E879" t="n">
        <v>0</v>
      </c>
      <c r="F879" t="inlineStr">
        <is>
          <t>Fabrica de Bares (2025)</t>
        </is>
      </c>
      <c r="G879" t="b">
        <v>1</v>
      </c>
      <c r="H879" t="inlineStr">
        <is>
          <t>2/2026</t>
        </is>
      </c>
    </row>
    <row r="880">
      <c r="A880" t="inlineStr">
        <is>
          <t>Nuv Gastrobar</t>
        </is>
      </c>
      <c r="B880" t="inlineStr">
        <is>
          <t>Locação de Equipamentos</t>
        </is>
      </c>
      <c r="C880" t="inlineStr">
        <is>
          <t>Locação de Equipamentos - Informatica e TI</t>
        </is>
      </c>
      <c r="D880" t="inlineStr">
        <is>
          <t>01/03/2026</t>
        </is>
      </c>
      <c r="E880" t="n">
        <v>0</v>
      </c>
      <c r="F880" t="inlineStr">
        <is>
          <t>Fabrica de Bares (2025)</t>
        </is>
      </c>
      <c r="G880" t="b">
        <v>1</v>
      </c>
      <c r="H880" t="inlineStr">
        <is>
          <t>3/2026</t>
        </is>
      </c>
    </row>
    <row r="881">
      <c r="A881" t="inlineStr">
        <is>
          <t>Nuv Gastrobar</t>
        </is>
      </c>
      <c r="B881" t="inlineStr">
        <is>
          <t>Locação de Equipamentos</t>
        </is>
      </c>
      <c r="C881" t="inlineStr">
        <is>
          <t>Locação de Equipamentos - Informatica e TI</t>
        </is>
      </c>
      <c r="D881" t="inlineStr">
        <is>
          <t>01/04/2026</t>
        </is>
      </c>
      <c r="E881" t="n">
        <v>0</v>
      </c>
      <c r="F881" t="inlineStr">
        <is>
          <t>Fabrica de Bares (2025)</t>
        </is>
      </c>
      <c r="G881" t="b">
        <v>1</v>
      </c>
      <c r="H881" t="inlineStr">
        <is>
          <t>4/2026</t>
        </is>
      </c>
    </row>
    <row r="882">
      <c r="A882" t="inlineStr">
        <is>
          <t>Nuv Gastrobar</t>
        </is>
      </c>
      <c r="B882" t="inlineStr">
        <is>
          <t>Locação de Equipamentos</t>
        </is>
      </c>
      <c r="C882" t="inlineStr">
        <is>
          <t>Locação de Equipamentos - Informatica e TI</t>
        </is>
      </c>
      <c r="D882" t="inlineStr">
        <is>
          <t>01/05/2026</t>
        </is>
      </c>
      <c r="E882" t="n">
        <v>0</v>
      </c>
      <c r="F882" t="inlineStr">
        <is>
          <t>Fabrica de Bares (2025)</t>
        </is>
      </c>
      <c r="G882" t="b">
        <v>1</v>
      </c>
      <c r="H882" t="inlineStr">
        <is>
          <t>5/2026</t>
        </is>
      </c>
    </row>
    <row r="883">
      <c r="A883" t="inlineStr">
        <is>
          <t>Nuv Gastrobar</t>
        </is>
      </c>
      <c r="B883" t="inlineStr">
        <is>
          <t>Locação de Equipamentos</t>
        </is>
      </c>
      <c r="C883" t="inlineStr">
        <is>
          <t>Locação de Equipamentos - Informatica e TI</t>
        </is>
      </c>
      <c r="D883" t="inlineStr">
        <is>
          <t>01/06/2026</t>
        </is>
      </c>
      <c r="E883" t="n">
        <v>0</v>
      </c>
      <c r="F883" t="inlineStr">
        <is>
          <t>Fabrica de Bares (2025)</t>
        </is>
      </c>
      <c r="G883" t="b">
        <v>1</v>
      </c>
      <c r="H883" t="inlineStr">
        <is>
          <t>6/2026</t>
        </is>
      </c>
    </row>
    <row r="884">
      <c r="A884" t="inlineStr">
        <is>
          <t>Nuv Gastrobar</t>
        </is>
      </c>
      <c r="B884" t="inlineStr">
        <is>
          <t>Locação de Equipamentos</t>
        </is>
      </c>
      <c r="C884" t="inlineStr">
        <is>
          <t>Locação de Equipamentos - Informatica e TI</t>
        </is>
      </c>
      <c r="D884" t="inlineStr">
        <is>
          <t>01/07/2026</t>
        </is>
      </c>
      <c r="E884" t="n">
        <v>0</v>
      </c>
      <c r="F884" t="inlineStr">
        <is>
          <t>Fabrica de Bares (2025)</t>
        </is>
      </c>
      <c r="G884" t="b">
        <v>1</v>
      </c>
      <c r="H884" t="inlineStr">
        <is>
          <t>7/2026</t>
        </is>
      </c>
    </row>
    <row r="885">
      <c r="A885" t="inlineStr">
        <is>
          <t>Nuv Gastrobar</t>
        </is>
      </c>
      <c r="B885" t="inlineStr">
        <is>
          <t>Locação de Equipamentos</t>
        </is>
      </c>
      <c r="C885" t="inlineStr">
        <is>
          <t>Locação de Equipamentos - Informatica e TI</t>
        </is>
      </c>
      <c r="D885" t="inlineStr">
        <is>
          <t>01/08/2026</t>
        </is>
      </c>
      <c r="E885" t="n">
        <v>0</v>
      </c>
      <c r="F885" t="inlineStr">
        <is>
          <t>Fabrica de Bares (2025)</t>
        </is>
      </c>
      <c r="G885" t="b">
        <v>1</v>
      </c>
      <c r="H885" t="inlineStr">
        <is>
          <t>8/2026</t>
        </is>
      </c>
    </row>
    <row r="886">
      <c r="A886" t="inlineStr">
        <is>
          <t>Nuv Gastrobar</t>
        </is>
      </c>
      <c r="B886" t="inlineStr">
        <is>
          <t>Locação de Equipamentos</t>
        </is>
      </c>
      <c r="C886" t="inlineStr">
        <is>
          <t>Locação de Equipamentos - Informatica e TI</t>
        </is>
      </c>
      <c r="D886" t="inlineStr">
        <is>
          <t>01/09/2026</t>
        </is>
      </c>
      <c r="E886" t="n">
        <v>0</v>
      </c>
      <c r="F886" t="inlineStr">
        <is>
          <t>Fabrica de Bares (2025)</t>
        </is>
      </c>
      <c r="G886" t="b">
        <v>1</v>
      </c>
      <c r="H886" t="inlineStr">
        <is>
          <t>9/2026</t>
        </is>
      </c>
    </row>
    <row r="887">
      <c r="A887" t="inlineStr">
        <is>
          <t>Nuv Gastrobar</t>
        </is>
      </c>
      <c r="B887" t="inlineStr">
        <is>
          <t>Locação de Equipamentos</t>
        </is>
      </c>
      <c r="C887" t="inlineStr">
        <is>
          <t>Locação de Equipamentos - Informatica e TI</t>
        </is>
      </c>
      <c r="D887" t="inlineStr">
        <is>
          <t>01/10/2026</t>
        </is>
      </c>
      <c r="E887" t="n">
        <v>0</v>
      </c>
      <c r="F887" t="inlineStr">
        <is>
          <t>Fabrica de Bares (2025)</t>
        </is>
      </c>
      <c r="G887" t="b">
        <v>1</v>
      </c>
      <c r="H887" t="inlineStr">
        <is>
          <t>10/2026</t>
        </is>
      </c>
    </row>
    <row r="888">
      <c r="A888" t="inlineStr">
        <is>
          <t>Nuv Gastrobar</t>
        </is>
      </c>
      <c r="B888" t="inlineStr">
        <is>
          <t>Locação de Equipamentos</t>
        </is>
      </c>
      <c r="C888" t="inlineStr">
        <is>
          <t>Locação de Equipamentos - Informatica e TI</t>
        </is>
      </c>
      <c r="D888" t="inlineStr">
        <is>
          <t>01/11/2026</t>
        </is>
      </c>
      <c r="E888" t="n">
        <v>0</v>
      </c>
      <c r="F888" t="inlineStr">
        <is>
          <t>Fabrica de Bares (2025)</t>
        </is>
      </c>
      <c r="G888" t="b">
        <v>1</v>
      </c>
      <c r="H888" t="inlineStr">
        <is>
          <t>11/2026</t>
        </is>
      </c>
    </row>
    <row r="889">
      <c r="A889" t="inlineStr">
        <is>
          <t>Nuv Gastrobar</t>
        </is>
      </c>
      <c r="B889" t="inlineStr">
        <is>
          <t>Locação de Equipamentos</t>
        </is>
      </c>
      <c r="C889" t="inlineStr">
        <is>
          <t>Locação de Equipamentos - Informatica e TI</t>
        </is>
      </c>
      <c r="D889" t="inlineStr">
        <is>
          <t>01/12/2026</t>
        </is>
      </c>
      <c r="E889" t="n">
        <v>0</v>
      </c>
      <c r="F889" t="inlineStr">
        <is>
          <t>Fabrica de Bares (2025)</t>
        </is>
      </c>
      <c r="G889" t="b">
        <v>1</v>
      </c>
      <c r="H889" t="inlineStr">
        <is>
          <t>12/2026</t>
        </is>
      </c>
    </row>
    <row r="890">
      <c r="A890" t="inlineStr">
        <is>
          <t>Nuv Gastrobar</t>
        </is>
      </c>
      <c r="B890" t="inlineStr">
        <is>
          <t>Locação de Equipamentos</t>
        </is>
      </c>
      <c r="C890" t="inlineStr">
        <is>
          <t>Locação de Utensílios</t>
        </is>
      </c>
      <c r="D890" t="inlineStr">
        <is>
          <t>01/01/2026</t>
        </is>
      </c>
      <c r="E890" t="n">
        <v>0</v>
      </c>
      <c r="F890" t="inlineStr">
        <is>
          <t>Fabrica de Bares (2025)</t>
        </is>
      </c>
      <c r="G890" t="b">
        <v>1</v>
      </c>
      <c r="H890" t="inlineStr">
        <is>
          <t>1/2026</t>
        </is>
      </c>
    </row>
    <row r="891">
      <c r="A891" t="inlineStr">
        <is>
          <t>Nuv Gastrobar</t>
        </is>
      </c>
      <c r="B891" t="inlineStr">
        <is>
          <t>Locação de Equipamentos</t>
        </is>
      </c>
      <c r="C891" t="inlineStr">
        <is>
          <t>Locação de Utensílios</t>
        </is>
      </c>
      <c r="D891" t="inlineStr">
        <is>
          <t>01/02/2026</t>
        </is>
      </c>
      <c r="E891" t="n">
        <v>0</v>
      </c>
      <c r="F891" t="inlineStr">
        <is>
          <t>Fabrica de Bares (2025)</t>
        </is>
      </c>
      <c r="G891" t="b">
        <v>1</v>
      </c>
      <c r="H891" t="inlineStr">
        <is>
          <t>2/2026</t>
        </is>
      </c>
    </row>
    <row r="892">
      <c r="A892" t="inlineStr">
        <is>
          <t>Nuv Gastrobar</t>
        </is>
      </c>
      <c r="B892" t="inlineStr">
        <is>
          <t>Locação de Equipamentos</t>
        </is>
      </c>
      <c r="C892" t="inlineStr">
        <is>
          <t>Locação de Utensílios</t>
        </is>
      </c>
      <c r="D892" t="inlineStr">
        <is>
          <t>01/03/2026</t>
        </is>
      </c>
      <c r="E892" t="n">
        <v>0</v>
      </c>
      <c r="F892" t="inlineStr">
        <is>
          <t>Fabrica de Bares (2025)</t>
        </is>
      </c>
      <c r="G892" t="b">
        <v>1</v>
      </c>
      <c r="H892" t="inlineStr">
        <is>
          <t>3/2026</t>
        </is>
      </c>
    </row>
    <row r="893">
      <c r="A893" t="inlineStr">
        <is>
          <t>Nuv Gastrobar</t>
        </is>
      </c>
      <c r="B893" t="inlineStr">
        <is>
          <t>Locação de Equipamentos</t>
        </is>
      </c>
      <c r="C893" t="inlineStr">
        <is>
          <t>Locação de Utensílios</t>
        </is>
      </c>
      <c r="D893" t="inlineStr">
        <is>
          <t>01/04/2026</t>
        </is>
      </c>
      <c r="E893" t="n">
        <v>0</v>
      </c>
      <c r="F893" t="inlineStr">
        <is>
          <t>Fabrica de Bares (2025)</t>
        </is>
      </c>
      <c r="G893" t="b">
        <v>1</v>
      </c>
      <c r="H893" t="inlineStr">
        <is>
          <t>4/2026</t>
        </is>
      </c>
    </row>
    <row r="894">
      <c r="A894" t="inlineStr">
        <is>
          <t>Nuv Gastrobar</t>
        </is>
      </c>
      <c r="B894" t="inlineStr">
        <is>
          <t>Locação de Equipamentos</t>
        </is>
      </c>
      <c r="C894" t="inlineStr">
        <is>
          <t>Locação de Utensílios</t>
        </is>
      </c>
      <c r="D894" t="inlineStr">
        <is>
          <t>01/05/2026</t>
        </is>
      </c>
      <c r="E894" t="n">
        <v>0</v>
      </c>
      <c r="F894" t="inlineStr">
        <is>
          <t>Fabrica de Bares (2025)</t>
        </is>
      </c>
      <c r="G894" t="b">
        <v>1</v>
      </c>
      <c r="H894" t="inlineStr">
        <is>
          <t>5/2026</t>
        </is>
      </c>
    </row>
    <row r="895">
      <c r="A895" t="inlineStr">
        <is>
          <t>Nuv Gastrobar</t>
        </is>
      </c>
      <c r="B895" t="inlineStr">
        <is>
          <t>Locação de Equipamentos</t>
        </is>
      </c>
      <c r="C895" t="inlineStr">
        <is>
          <t>Locação de Utensílios</t>
        </is>
      </c>
      <c r="D895" t="inlineStr">
        <is>
          <t>01/06/2026</t>
        </is>
      </c>
      <c r="E895" t="n">
        <v>0</v>
      </c>
      <c r="F895" t="inlineStr">
        <is>
          <t>Fabrica de Bares (2025)</t>
        </is>
      </c>
      <c r="G895" t="b">
        <v>1</v>
      </c>
      <c r="H895" t="inlineStr">
        <is>
          <t>6/2026</t>
        </is>
      </c>
    </row>
    <row r="896">
      <c r="A896" t="inlineStr">
        <is>
          <t>Nuv Gastrobar</t>
        </is>
      </c>
      <c r="B896" t="inlineStr">
        <is>
          <t>Locação de Equipamentos</t>
        </is>
      </c>
      <c r="C896" t="inlineStr">
        <is>
          <t>Locação de Utensílios</t>
        </is>
      </c>
      <c r="D896" t="inlineStr">
        <is>
          <t>01/07/2026</t>
        </is>
      </c>
      <c r="E896" t="n">
        <v>0</v>
      </c>
      <c r="F896" t="inlineStr">
        <is>
          <t>Fabrica de Bares (2025)</t>
        </is>
      </c>
      <c r="G896" t="b">
        <v>1</v>
      </c>
      <c r="H896" t="inlineStr">
        <is>
          <t>7/2026</t>
        </is>
      </c>
    </row>
    <row r="897">
      <c r="A897" t="inlineStr">
        <is>
          <t>Nuv Gastrobar</t>
        </is>
      </c>
      <c r="B897" t="inlineStr">
        <is>
          <t>Locação de Equipamentos</t>
        </is>
      </c>
      <c r="C897" t="inlineStr">
        <is>
          <t>Locação de Utensílios</t>
        </is>
      </c>
      <c r="D897" t="inlineStr">
        <is>
          <t>01/08/2026</t>
        </is>
      </c>
      <c r="E897" t="n">
        <v>0</v>
      </c>
      <c r="F897" t="inlineStr">
        <is>
          <t>Fabrica de Bares (2025)</t>
        </is>
      </c>
      <c r="G897" t="b">
        <v>1</v>
      </c>
      <c r="H897" t="inlineStr">
        <is>
          <t>8/2026</t>
        </is>
      </c>
    </row>
    <row r="898">
      <c r="A898" t="inlineStr">
        <is>
          <t>Nuv Gastrobar</t>
        </is>
      </c>
      <c r="B898" t="inlineStr">
        <is>
          <t>Locação de Equipamentos</t>
        </is>
      </c>
      <c r="C898" t="inlineStr">
        <is>
          <t>Locação de Utensílios</t>
        </is>
      </c>
      <c r="D898" t="inlineStr">
        <is>
          <t>01/09/2026</t>
        </is>
      </c>
      <c r="E898" t="n">
        <v>0</v>
      </c>
      <c r="F898" t="inlineStr">
        <is>
          <t>Fabrica de Bares (2025)</t>
        </is>
      </c>
      <c r="G898" t="b">
        <v>1</v>
      </c>
      <c r="H898" t="inlineStr">
        <is>
          <t>9/2026</t>
        </is>
      </c>
    </row>
    <row r="899">
      <c r="A899" t="inlineStr">
        <is>
          <t>Nuv Gastrobar</t>
        </is>
      </c>
      <c r="B899" t="inlineStr">
        <is>
          <t>Locação de Equipamentos</t>
        </is>
      </c>
      <c r="C899" t="inlineStr">
        <is>
          <t>Locação de Utensílios</t>
        </is>
      </c>
      <c r="D899" t="inlineStr">
        <is>
          <t>01/10/2026</t>
        </is>
      </c>
      <c r="E899" t="n">
        <v>0</v>
      </c>
      <c r="F899" t="inlineStr">
        <is>
          <t>Fabrica de Bares (2025)</t>
        </is>
      </c>
      <c r="G899" t="b">
        <v>1</v>
      </c>
      <c r="H899" t="inlineStr">
        <is>
          <t>10/2026</t>
        </is>
      </c>
    </row>
    <row r="900">
      <c r="A900" t="inlineStr">
        <is>
          <t>Nuv Gastrobar</t>
        </is>
      </c>
      <c r="B900" t="inlineStr">
        <is>
          <t>Locação de Equipamentos</t>
        </is>
      </c>
      <c r="C900" t="inlineStr">
        <is>
          <t>Locação de Utensílios</t>
        </is>
      </c>
      <c r="D900" t="inlineStr">
        <is>
          <t>01/11/2026</t>
        </is>
      </c>
      <c r="E900" t="n">
        <v>0</v>
      </c>
      <c r="F900" t="inlineStr">
        <is>
          <t>Fabrica de Bares (2025)</t>
        </is>
      </c>
      <c r="G900" t="b">
        <v>1</v>
      </c>
      <c r="H900" t="inlineStr">
        <is>
          <t>11/2026</t>
        </is>
      </c>
    </row>
    <row r="901">
      <c r="A901" t="inlineStr">
        <is>
          <t>Nuv Gastrobar</t>
        </is>
      </c>
      <c r="B901" t="inlineStr">
        <is>
          <t>Locação de Equipamentos</t>
        </is>
      </c>
      <c r="C901" t="inlineStr">
        <is>
          <t>Locação de Utensílios</t>
        </is>
      </c>
      <c r="D901" t="inlineStr">
        <is>
          <t>01/12/2026</t>
        </is>
      </c>
      <c r="E901" t="n">
        <v>0</v>
      </c>
      <c r="F901" t="inlineStr">
        <is>
          <t>Fabrica de Bares (2025)</t>
        </is>
      </c>
      <c r="G901" t="b">
        <v>1</v>
      </c>
      <c r="H901" t="inlineStr">
        <is>
          <t>12/2026</t>
        </is>
      </c>
    </row>
    <row r="902">
      <c r="A902" t="inlineStr">
        <is>
          <t>Nuv Gastrobar</t>
        </is>
      </c>
      <c r="B902" t="inlineStr">
        <is>
          <t>Locação de Equipamentos</t>
        </is>
      </c>
      <c r="C902" t="inlineStr">
        <is>
          <t>Locações de Equipamentos - Comunicação e Marketing</t>
        </is>
      </c>
      <c r="D902" t="inlineStr">
        <is>
          <t>01/01/2026</t>
        </is>
      </c>
      <c r="E902" t="n">
        <v>0</v>
      </c>
      <c r="F902" t="inlineStr">
        <is>
          <t>Fabrica de Bares (2025)</t>
        </is>
      </c>
      <c r="G902" t="b">
        <v>1</v>
      </c>
      <c r="H902" t="inlineStr">
        <is>
          <t>1/2026</t>
        </is>
      </c>
    </row>
    <row r="903">
      <c r="A903" t="inlineStr">
        <is>
          <t>Nuv Gastrobar</t>
        </is>
      </c>
      <c r="B903" t="inlineStr">
        <is>
          <t>Locação de Equipamentos</t>
        </is>
      </c>
      <c r="C903" t="inlineStr">
        <is>
          <t>Locações de Equipamentos - Comunicação e Marketing</t>
        </is>
      </c>
      <c r="D903" t="inlineStr">
        <is>
          <t>01/02/2026</t>
        </is>
      </c>
      <c r="E903" t="n">
        <v>0</v>
      </c>
      <c r="F903" t="inlineStr">
        <is>
          <t>Fabrica de Bares (2025)</t>
        </is>
      </c>
      <c r="G903" t="b">
        <v>1</v>
      </c>
      <c r="H903" t="inlineStr">
        <is>
          <t>2/2026</t>
        </is>
      </c>
    </row>
    <row r="904">
      <c r="A904" t="inlineStr">
        <is>
          <t>Nuv Gastrobar</t>
        </is>
      </c>
      <c r="B904" t="inlineStr">
        <is>
          <t>Locação de Equipamentos</t>
        </is>
      </c>
      <c r="C904" t="inlineStr">
        <is>
          <t>Locações de Equipamentos - Comunicação e Marketing</t>
        </is>
      </c>
      <c r="D904" t="inlineStr">
        <is>
          <t>01/03/2026</t>
        </is>
      </c>
      <c r="E904" t="n">
        <v>0</v>
      </c>
      <c r="F904" t="inlineStr">
        <is>
          <t>Fabrica de Bares (2025)</t>
        </is>
      </c>
      <c r="G904" t="b">
        <v>1</v>
      </c>
      <c r="H904" t="inlineStr">
        <is>
          <t>3/2026</t>
        </is>
      </c>
    </row>
    <row r="905">
      <c r="A905" t="inlineStr">
        <is>
          <t>Nuv Gastrobar</t>
        </is>
      </c>
      <c r="B905" t="inlineStr">
        <is>
          <t>Locação de Equipamentos</t>
        </is>
      </c>
      <c r="C905" t="inlineStr">
        <is>
          <t>Locações de Equipamentos - Comunicação e Marketing</t>
        </is>
      </c>
      <c r="D905" t="inlineStr">
        <is>
          <t>01/04/2026</t>
        </is>
      </c>
      <c r="E905" t="n">
        <v>0</v>
      </c>
      <c r="F905" t="inlineStr">
        <is>
          <t>Fabrica de Bares (2025)</t>
        </is>
      </c>
      <c r="G905" t="b">
        <v>1</v>
      </c>
      <c r="H905" t="inlineStr">
        <is>
          <t>4/2026</t>
        </is>
      </c>
    </row>
    <row r="906">
      <c r="A906" t="inlineStr">
        <is>
          <t>Nuv Gastrobar</t>
        </is>
      </c>
      <c r="B906" t="inlineStr">
        <is>
          <t>Locação de Equipamentos</t>
        </is>
      </c>
      <c r="C906" t="inlineStr">
        <is>
          <t>Locações de Equipamentos - Comunicação e Marketing</t>
        </is>
      </c>
      <c r="D906" t="inlineStr">
        <is>
          <t>01/05/2026</t>
        </is>
      </c>
      <c r="E906" t="n">
        <v>0</v>
      </c>
      <c r="F906" t="inlineStr">
        <is>
          <t>Fabrica de Bares (2025)</t>
        </is>
      </c>
      <c r="G906" t="b">
        <v>1</v>
      </c>
      <c r="H906" t="inlineStr">
        <is>
          <t>5/2026</t>
        </is>
      </c>
    </row>
    <row r="907">
      <c r="A907" t="inlineStr">
        <is>
          <t>Nuv Gastrobar</t>
        </is>
      </c>
      <c r="B907" t="inlineStr">
        <is>
          <t>Locação de Equipamentos</t>
        </is>
      </c>
      <c r="C907" t="inlineStr">
        <is>
          <t>Locações de Equipamentos - Comunicação e Marketing</t>
        </is>
      </c>
      <c r="D907" t="inlineStr">
        <is>
          <t>01/06/2026</t>
        </is>
      </c>
      <c r="E907" t="n">
        <v>0</v>
      </c>
      <c r="F907" t="inlineStr">
        <is>
          <t>Fabrica de Bares (2025)</t>
        </is>
      </c>
      <c r="G907" t="b">
        <v>1</v>
      </c>
      <c r="H907" t="inlineStr">
        <is>
          <t>6/2026</t>
        </is>
      </c>
    </row>
    <row r="908">
      <c r="A908" t="inlineStr">
        <is>
          <t>Nuv Gastrobar</t>
        </is>
      </c>
      <c r="B908" t="inlineStr">
        <is>
          <t>Locação de Equipamentos</t>
        </is>
      </c>
      <c r="C908" t="inlineStr">
        <is>
          <t>Locações de Equipamentos - Comunicação e Marketing</t>
        </is>
      </c>
      <c r="D908" t="inlineStr">
        <is>
          <t>01/07/2026</t>
        </is>
      </c>
      <c r="E908" t="n">
        <v>0</v>
      </c>
      <c r="F908" t="inlineStr">
        <is>
          <t>Fabrica de Bares (2025)</t>
        </is>
      </c>
      <c r="G908" t="b">
        <v>1</v>
      </c>
      <c r="H908" t="inlineStr">
        <is>
          <t>7/2026</t>
        </is>
      </c>
    </row>
    <row r="909">
      <c r="A909" t="inlineStr">
        <is>
          <t>Nuv Gastrobar</t>
        </is>
      </c>
      <c r="B909" t="inlineStr">
        <is>
          <t>Locação de Equipamentos</t>
        </is>
      </c>
      <c r="C909" t="inlineStr">
        <is>
          <t>Locações de Equipamentos - Comunicação e Marketing</t>
        </is>
      </c>
      <c r="D909" t="inlineStr">
        <is>
          <t>01/08/2026</t>
        </is>
      </c>
      <c r="E909" t="n">
        <v>0</v>
      </c>
      <c r="F909" t="inlineStr">
        <is>
          <t>Fabrica de Bares (2025)</t>
        </is>
      </c>
      <c r="G909" t="b">
        <v>1</v>
      </c>
      <c r="H909" t="inlineStr">
        <is>
          <t>8/2026</t>
        </is>
      </c>
    </row>
    <row r="910">
      <c r="A910" t="inlineStr">
        <is>
          <t>Nuv Gastrobar</t>
        </is>
      </c>
      <c r="B910" t="inlineStr">
        <is>
          <t>Locação de Equipamentos</t>
        </is>
      </c>
      <c r="C910" t="inlineStr">
        <is>
          <t>Locações de Equipamentos - Comunicação e Marketing</t>
        </is>
      </c>
      <c r="D910" t="inlineStr">
        <is>
          <t>01/09/2026</t>
        </is>
      </c>
      <c r="E910" t="n">
        <v>0</v>
      </c>
      <c r="F910" t="inlineStr">
        <is>
          <t>Fabrica de Bares (2025)</t>
        </is>
      </c>
      <c r="G910" t="b">
        <v>1</v>
      </c>
      <c r="H910" t="inlineStr">
        <is>
          <t>9/2026</t>
        </is>
      </c>
    </row>
    <row r="911">
      <c r="A911" t="inlineStr">
        <is>
          <t>Nuv Gastrobar</t>
        </is>
      </c>
      <c r="B911" t="inlineStr">
        <is>
          <t>Locação de Equipamentos</t>
        </is>
      </c>
      <c r="C911" t="inlineStr">
        <is>
          <t>Locações de Equipamentos - Comunicação e Marketing</t>
        </is>
      </c>
      <c r="D911" t="inlineStr">
        <is>
          <t>01/10/2026</t>
        </is>
      </c>
      <c r="E911" t="n">
        <v>0</v>
      </c>
      <c r="F911" t="inlineStr">
        <is>
          <t>Fabrica de Bares (2025)</t>
        </is>
      </c>
      <c r="G911" t="b">
        <v>1</v>
      </c>
      <c r="H911" t="inlineStr">
        <is>
          <t>10/2026</t>
        </is>
      </c>
    </row>
    <row r="912">
      <c r="A912" t="inlineStr">
        <is>
          <t>Nuv Gastrobar</t>
        </is>
      </c>
      <c r="B912" t="inlineStr">
        <is>
          <t>Locação de Equipamentos</t>
        </is>
      </c>
      <c r="C912" t="inlineStr">
        <is>
          <t>Locações de Equipamentos - Comunicação e Marketing</t>
        </is>
      </c>
      <c r="D912" t="inlineStr">
        <is>
          <t>01/11/2026</t>
        </is>
      </c>
      <c r="E912" t="n">
        <v>0</v>
      </c>
      <c r="F912" t="inlineStr">
        <is>
          <t>Fabrica de Bares (2025)</t>
        </is>
      </c>
      <c r="G912" t="b">
        <v>1</v>
      </c>
      <c r="H912" t="inlineStr">
        <is>
          <t>11/2026</t>
        </is>
      </c>
    </row>
    <row r="913">
      <c r="A913" t="inlineStr">
        <is>
          <t>Nuv Gastrobar</t>
        </is>
      </c>
      <c r="B913" t="inlineStr">
        <is>
          <t>Locação de Equipamentos</t>
        </is>
      </c>
      <c r="C913" t="inlineStr">
        <is>
          <t>Locações de Equipamentos - Comunicação e Marketing</t>
        </is>
      </c>
      <c r="D913" t="inlineStr">
        <is>
          <t>01/12/2026</t>
        </is>
      </c>
      <c r="E913" t="n">
        <v>0</v>
      </c>
      <c r="F913" t="inlineStr">
        <is>
          <t>Fabrica de Bares (2025)</t>
        </is>
      </c>
      <c r="G913" t="b">
        <v>1</v>
      </c>
      <c r="H913" t="inlineStr">
        <is>
          <t>12/2026</t>
        </is>
      </c>
    </row>
    <row r="914">
      <c r="A914" t="inlineStr">
        <is>
          <t>Nuv Gastrobar</t>
        </is>
      </c>
      <c r="B914" t="inlineStr">
        <is>
          <t>Locação de Equipamentos</t>
        </is>
      </c>
      <c r="C914" t="inlineStr">
        <is>
          <t>Locações de Equipamentos - Operacionais</t>
        </is>
      </c>
      <c r="D914" t="inlineStr">
        <is>
          <t>01/01/2026</t>
        </is>
      </c>
      <c r="E914" t="n">
        <v>0</v>
      </c>
      <c r="F914" t="inlineStr">
        <is>
          <t>Fabrica de Bares (2025)</t>
        </is>
      </c>
      <c r="G914" t="b">
        <v>1</v>
      </c>
      <c r="H914" t="inlineStr">
        <is>
          <t>1/2026</t>
        </is>
      </c>
    </row>
    <row r="915">
      <c r="A915" t="inlineStr">
        <is>
          <t>Nuv Gastrobar</t>
        </is>
      </c>
      <c r="B915" t="inlineStr">
        <is>
          <t>Locação de Equipamentos</t>
        </is>
      </c>
      <c r="C915" t="inlineStr">
        <is>
          <t>Locações de Equipamentos - Operacionais</t>
        </is>
      </c>
      <c r="D915" t="inlineStr">
        <is>
          <t>01/02/2026</t>
        </is>
      </c>
      <c r="E915" t="n">
        <v>0</v>
      </c>
      <c r="F915" t="inlineStr">
        <is>
          <t>Fabrica de Bares (2025)</t>
        </is>
      </c>
      <c r="G915" t="b">
        <v>1</v>
      </c>
      <c r="H915" t="inlineStr">
        <is>
          <t>2/2026</t>
        </is>
      </c>
    </row>
    <row r="916">
      <c r="A916" t="inlineStr">
        <is>
          <t>Nuv Gastrobar</t>
        </is>
      </c>
      <c r="B916" t="inlineStr">
        <is>
          <t>Locação de Equipamentos</t>
        </is>
      </c>
      <c r="C916" t="inlineStr">
        <is>
          <t>Locações de Equipamentos - Operacionais</t>
        </is>
      </c>
      <c r="D916" t="inlineStr">
        <is>
          <t>01/03/2026</t>
        </is>
      </c>
      <c r="E916" t="n">
        <v>0</v>
      </c>
      <c r="F916" t="inlineStr">
        <is>
          <t>Fabrica de Bares (2025)</t>
        </is>
      </c>
      <c r="G916" t="b">
        <v>1</v>
      </c>
      <c r="H916" t="inlineStr">
        <is>
          <t>3/2026</t>
        </is>
      </c>
    </row>
    <row r="917">
      <c r="A917" t="inlineStr">
        <is>
          <t>Nuv Gastrobar</t>
        </is>
      </c>
      <c r="B917" t="inlineStr">
        <is>
          <t>Locação de Equipamentos</t>
        </is>
      </c>
      <c r="C917" t="inlineStr">
        <is>
          <t>Locações de Equipamentos - Operacionais</t>
        </is>
      </c>
      <c r="D917" t="inlineStr">
        <is>
          <t>01/04/2026</t>
        </is>
      </c>
      <c r="E917" t="n">
        <v>0</v>
      </c>
      <c r="F917" t="inlineStr">
        <is>
          <t>Fabrica de Bares (2025)</t>
        </is>
      </c>
      <c r="G917" t="b">
        <v>1</v>
      </c>
      <c r="H917" t="inlineStr">
        <is>
          <t>4/2026</t>
        </is>
      </c>
    </row>
    <row r="918">
      <c r="A918" t="inlineStr">
        <is>
          <t>Nuv Gastrobar</t>
        </is>
      </c>
      <c r="B918" t="inlineStr">
        <is>
          <t>Locação de Equipamentos</t>
        </is>
      </c>
      <c r="C918" t="inlineStr">
        <is>
          <t>Locações de Equipamentos - Operacionais</t>
        </is>
      </c>
      <c r="D918" t="inlineStr">
        <is>
          <t>01/05/2026</t>
        </is>
      </c>
      <c r="E918" t="n">
        <v>0</v>
      </c>
      <c r="F918" t="inlineStr">
        <is>
          <t>Fabrica de Bares (2025)</t>
        </is>
      </c>
      <c r="G918" t="b">
        <v>1</v>
      </c>
      <c r="H918" t="inlineStr">
        <is>
          <t>5/2026</t>
        </is>
      </c>
    </row>
    <row r="919">
      <c r="A919" t="inlineStr">
        <is>
          <t>Nuv Gastrobar</t>
        </is>
      </c>
      <c r="B919" t="inlineStr">
        <is>
          <t>Locação de Equipamentos</t>
        </is>
      </c>
      <c r="C919" t="inlineStr">
        <is>
          <t>Locações de Equipamentos - Operacionais</t>
        </is>
      </c>
      <c r="D919" t="inlineStr">
        <is>
          <t>01/06/2026</t>
        </is>
      </c>
      <c r="E919" t="n">
        <v>0</v>
      </c>
      <c r="F919" t="inlineStr">
        <is>
          <t>Fabrica de Bares (2025)</t>
        </is>
      </c>
      <c r="G919" t="b">
        <v>1</v>
      </c>
      <c r="H919" t="inlineStr">
        <is>
          <t>6/2026</t>
        </is>
      </c>
    </row>
    <row r="920">
      <c r="A920" t="inlineStr">
        <is>
          <t>Nuv Gastrobar</t>
        </is>
      </c>
      <c r="B920" t="inlineStr">
        <is>
          <t>Locação de Equipamentos</t>
        </is>
      </c>
      <c r="C920" t="inlineStr">
        <is>
          <t>Locações de Equipamentos - Operacionais</t>
        </is>
      </c>
      <c r="D920" t="inlineStr">
        <is>
          <t>01/07/2026</t>
        </is>
      </c>
      <c r="E920" t="n">
        <v>0</v>
      </c>
      <c r="F920" t="inlineStr">
        <is>
          <t>Fabrica de Bares (2025)</t>
        </is>
      </c>
      <c r="G920" t="b">
        <v>1</v>
      </c>
      <c r="H920" t="inlineStr">
        <is>
          <t>7/2026</t>
        </is>
      </c>
    </row>
    <row r="921">
      <c r="A921" t="inlineStr">
        <is>
          <t>Nuv Gastrobar</t>
        </is>
      </c>
      <c r="B921" t="inlineStr">
        <is>
          <t>Locação de Equipamentos</t>
        </is>
      </c>
      <c r="C921" t="inlineStr">
        <is>
          <t>Locações de Equipamentos - Operacionais</t>
        </is>
      </c>
      <c r="D921" t="inlineStr">
        <is>
          <t>01/08/2026</t>
        </is>
      </c>
      <c r="E921" t="n">
        <v>2667</v>
      </c>
      <c r="F921" t="inlineStr">
        <is>
          <t>Fabrica de Bares (2025)</t>
        </is>
      </c>
      <c r="G921" t="b">
        <v>1</v>
      </c>
      <c r="H921" t="inlineStr">
        <is>
          <t>8/2026</t>
        </is>
      </c>
    </row>
    <row r="922">
      <c r="A922" t="inlineStr">
        <is>
          <t>Nuv Gastrobar</t>
        </is>
      </c>
      <c r="B922" t="inlineStr">
        <is>
          <t>Locação de Equipamentos</t>
        </is>
      </c>
      <c r="C922" t="inlineStr">
        <is>
          <t>Locações de Equipamentos - Operacionais</t>
        </is>
      </c>
      <c r="D922" t="inlineStr">
        <is>
          <t>01/09/2026</t>
        </is>
      </c>
      <c r="E922" t="n">
        <v>2667</v>
      </c>
      <c r="F922" t="inlineStr">
        <is>
          <t>Fabrica de Bares (2025)</t>
        </is>
      </c>
      <c r="G922" t="b">
        <v>1</v>
      </c>
      <c r="H922" t="inlineStr">
        <is>
          <t>9/2026</t>
        </is>
      </c>
    </row>
    <row r="923">
      <c r="A923" t="inlineStr">
        <is>
          <t>Nuv Gastrobar</t>
        </is>
      </c>
      <c r="B923" t="inlineStr">
        <is>
          <t>Locação de Equipamentos</t>
        </is>
      </c>
      <c r="C923" t="inlineStr">
        <is>
          <t>Locações de Equipamentos - Operacionais</t>
        </is>
      </c>
      <c r="D923" t="inlineStr">
        <is>
          <t>01/10/2026</t>
        </is>
      </c>
      <c r="E923" t="n">
        <v>2667</v>
      </c>
      <c r="F923" t="inlineStr">
        <is>
          <t>Fabrica de Bares (2025)</t>
        </is>
      </c>
      <c r="G923" t="b">
        <v>1</v>
      </c>
      <c r="H923" t="inlineStr">
        <is>
          <t>10/2026</t>
        </is>
      </c>
    </row>
    <row r="924">
      <c r="A924" t="inlineStr">
        <is>
          <t>Nuv Gastrobar</t>
        </is>
      </c>
      <c r="B924" t="inlineStr">
        <is>
          <t>Locação de Equipamentos</t>
        </is>
      </c>
      <c r="C924" t="inlineStr">
        <is>
          <t>Locações de Equipamentos - Operacionais</t>
        </is>
      </c>
      <c r="D924" t="inlineStr">
        <is>
          <t>01/11/2026</t>
        </is>
      </c>
      <c r="E924" t="n">
        <v>2667</v>
      </c>
      <c r="F924" t="inlineStr">
        <is>
          <t>Fabrica de Bares (2025)</t>
        </is>
      </c>
      <c r="G924" t="b">
        <v>1</v>
      </c>
      <c r="H924" t="inlineStr">
        <is>
          <t>11/2026</t>
        </is>
      </c>
    </row>
    <row r="925">
      <c r="A925" t="inlineStr">
        <is>
          <t>Nuv Gastrobar</t>
        </is>
      </c>
      <c r="B925" t="inlineStr">
        <is>
          <t>Locação de Equipamentos</t>
        </is>
      </c>
      <c r="C925" t="inlineStr">
        <is>
          <t>Locações de Equipamentos - Operacionais</t>
        </is>
      </c>
      <c r="D925" t="inlineStr">
        <is>
          <t>01/12/2026</t>
        </is>
      </c>
      <c r="E925" t="n">
        <v>2667</v>
      </c>
      <c r="F925" t="inlineStr">
        <is>
          <t>Fabrica de Bares (2025)</t>
        </is>
      </c>
      <c r="G925" t="b">
        <v>1</v>
      </c>
      <c r="H925" t="inlineStr">
        <is>
          <t>12/2026</t>
        </is>
      </c>
    </row>
    <row r="926">
      <c r="A926" t="inlineStr">
        <is>
          <t>Nuv Gastrobar</t>
        </is>
      </c>
      <c r="B926" t="inlineStr">
        <is>
          <t>Manutenção</t>
        </is>
      </c>
      <c r="C926" t="inlineStr">
        <is>
          <t>Decoração/Paisagismo e Jardinagem</t>
        </is>
      </c>
      <c r="D926" t="inlineStr">
        <is>
          <t>01/01/2026</t>
        </is>
      </c>
      <c r="E926" t="n">
        <v>0</v>
      </c>
      <c r="F926" t="inlineStr">
        <is>
          <t>Fabrica de Bares (2025)</t>
        </is>
      </c>
      <c r="G926" t="b">
        <v>1</v>
      </c>
      <c r="H926" t="inlineStr">
        <is>
          <t>1/2026</t>
        </is>
      </c>
    </row>
    <row r="927">
      <c r="A927" t="inlineStr">
        <is>
          <t>Nuv Gastrobar</t>
        </is>
      </c>
      <c r="B927" t="inlineStr">
        <is>
          <t>Manutenção</t>
        </is>
      </c>
      <c r="C927" t="inlineStr">
        <is>
          <t>Decoração/Paisagismo e Jardinagem</t>
        </is>
      </c>
      <c r="D927" t="inlineStr">
        <is>
          <t>01/02/2026</t>
        </is>
      </c>
      <c r="E927" t="n">
        <v>0</v>
      </c>
      <c r="F927" t="inlineStr">
        <is>
          <t>Fabrica de Bares (2025)</t>
        </is>
      </c>
      <c r="G927" t="b">
        <v>1</v>
      </c>
      <c r="H927" t="inlineStr">
        <is>
          <t>2/2026</t>
        </is>
      </c>
    </row>
    <row r="928">
      <c r="A928" t="inlineStr">
        <is>
          <t>Nuv Gastrobar</t>
        </is>
      </c>
      <c r="B928" t="inlineStr">
        <is>
          <t>Manutenção</t>
        </is>
      </c>
      <c r="C928" t="inlineStr">
        <is>
          <t>Decoração/Paisagismo e Jardinagem</t>
        </is>
      </c>
      <c r="D928" t="inlineStr">
        <is>
          <t>01/03/2026</t>
        </is>
      </c>
      <c r="E928" t="n">
        <v>0</v>
      </c>
      <c r="F928" t="inlineStr">
        <is>
          <t>Fabrica de Bares (2025)</t>
        </is>
      </c>
      <c r="G928" t="b">
        <v>1</v>
      </c>
      <c r="H928" t="inlineStr">
        <is>
          <t>3/2026</t>
        </is>
      </c>
    </row>
    <row r="929">
      <c r="A929" t="inlineStr">
        <is>
          <t>Nuv Gastrobar</t>
        </is>
      </c>
      <c r="B929" t="inlineStr">
        <is>
          <t>Manutenção</t>
        </is>
      </c>
      <c r="C929" t="inlineStr">
        <is>
          <t>Decoração/Paisagismo e Jardinagem</t>
        </is>
      </c>
      <c r="D929" t="inlineStr">
        <is>
          <t>01/04/2026</t>
        </is>
      </c>
      <c r="E929" t="n">
        <v>0</v>
      </c>
      <c r="F929" t="inlineStr">
        <is>
          <t>Fabrica de Bares (2025)</t>
        </is>
      </c>
      <c r="G929" t="b">
        <v>1</v>
      </c>
      <c r="H929" t="inlineStr">
        <is>
          <t>4/2026</t>
        </is>
      </c>
    </row>
    <row r="930">
      <c r="A930" t="inlineStr">
        <is>
          <t>Nuv Gastrobar</t>
        </is>
      </c>
      <c r="B930" t="inlineStr">
        <is>
          <t>Manutenção</t>
        </is>
      </c>
      <c r="C930" t="inlineStr">
        <is>
          <t>Decoração/Paisagismo e Jardinagem</t>
        </is>
      </c>
      <c r="D930" t="inlineStr">
        <is>
          <t>01/05/2026</t>
        </is>
      </c>
      <c r="E930" t="n">
        <v>0</v>
      </c>
      <c r="F930" t="inlineStr">
        <is>
          <t>Fabrica de Bares (2025)</t>
        </is>
      </c>
      <c r="G930" t="b">
        <v>1</v>
      </c>
      <c r="H930" t="inlineStr">
        <is>
          <t>5/2026</t>
        </is>
      </c>
    </row>
    <row r="931">
      <c r="A931" t="inlineStr">
        <is>
          <t>Nuv Gastrobar</t>
        </is>
      </c>
      <c r="B931" t="inlineStr">
        <is>
          <t>Manutenção</t>
        </is>
      </c>
      <c r="C931" t="inlineStr">
        <is>
          <t>Decoração/Paisagismo e Jardinagem</t>
        </is>
      </c>
      <c r="D931" t="inlineStr">
        <is>
          <t>01/06/2026</t>
        </is>
      </c>
      <c r="E931" t="n">
        <v>0</v>
      </c>
      <c r="F931" t="inlineStr">
        <is>
          <t>Fabrica de Bares (2025)</t>
        </is>
      </c>
      <c r="G931" t="b">
        <v>1</v>
      </c>
      <c r="H931" t="inlineStr">
        <is>
          <t>6/2026</t>
        </is>
      </c>
    </row>
    <row r="932">
      <c r="A932" t="inlineStr">
        <is>
          <t>Nuv Gastrobar</t>
        </is>
      </c>
      <c r="B932" t="inlineStr">
        <is>
          <t>Manutenção</t>
        </is>
      </c>
      <c r="C932" t="inlineStr">
        <is>
          <t>Decoração/Paisagismo e Jardinagem</t>
        </is>
      </c>
      <c r="D932" t="inlineStr">
        <is>
          <t>01/07/2026</t>
        </is>
      </c>
      <c r="E932" t="n">
        <v>0</v>
      </c>
      <c r="F932" t="inlineStr">
        <is>
          <t>Fabrica de Bares (2025)</t>
        </is>
      </c>
      <c r="G932" t="b">
        <v>1</v>
      </c>
      <c r="H932" t="inlineStr">
        <is>
          <t>7/2026</t>
        </is>
      </c>
    </row>
    <row r="933">
      <c r="A933" t="inlineStr">
        <is>
          <t>Nuv Gastrobar</t>
        </is>
      </c>
      <c r="B933" t="inlineStr">
        <is>
          <t>Manutenção</t>
        </is>
      </c>
      <c r="C933" t="inlineStr">
        <is>
          <t>Decoração/Paisagismo e Jardinagem</t>
        </is>
      </c>
      <c r="D933" t="inlineStr">
        <is>
          <t>01/08/2026</t>
        </is>
      </c>
      <c r="E933" t="n">
        <v>0</v>
      </c>
      <c r="F933" t="inlineStr">
        <is>
          <t>Fabrica de Bares (2025)</t>
        </is>
      </c>
      <c r="G933" t="b">
        <v>1</v>
      </c>
      <c r="H933" t="inlineStr">
        <is>
          <t>8/2026</t>
        </is>
      </c>
    </row>
    <row r="934">
      <c r="A934" t="inlineStr">
        <is>
          <t>Nuv Gastrobar</t>
        </is>
      </c>
      <c r="B934" t="inlineStr">
        <is>
          <t>Manutenção</t>
        </is>
      </c>
      <c r="C934" t="inlineStr">
        <is>
          <t>Decoração/Paisagismo e Jardinagem</t>
        </is>
      </c>
      <c r="D934" t="inlineStr">
        <is>
          <t>01/09/2026</t>
        </is>
      </c>
      <c r="E934" t="n">
        <v>0</v>
      </c>
      <c r="F934" t="inlineStr">
        <is>
          <t>Fabrica de Bares (2025)</t>
        </is>
      </c>
      <c r="G934" t="b">
        <v>1</v>
      </c>
      <c r="H934" t="inlineStr">
        <is>
          <t>9/2026</t>
        </is>
      </c>
    </row>
    <row r="935">
      <c r="A935" t="inlineStr">
        <is>
          <t>Nuv Gastrobar</t>
        </is>
      </c>
      <c r="B935" t="inlineStr">
        <is>
          <t>Manutenção</t>
        </is>
      </c>
      <c r="C935" t="inlineStr">
        <is>
          <t>Decoração/Paisagismo e Jardinagem</t>
        </is>
      </c>
      <c r="D935" t="inlineStr">
        <is>
          <t>01/10/2026</t>
        </is>
      </c>
      <c r="E935" t="n">
        <v>0</v>
      </c>
      <c r="F935" t="inlineStr">
        <is>
          <t>Fabrica de Bares (2025)</t>
        </is>
      </c>
      <c r="G935" t="b">
        <v>1</v>
      </c>
      <c r="H935" t="inlineStr">
        <is>
          <t>10/2026</t>
        </is>
      </c>
    </row>
    <row r="936">
      <c r="A936" t="inlineStr">
        <is>
          <t>Nuv Gastrobar</t>
        </is>
      </c>
      <c r="B936" t="inlineStr">
        <is>
          <t>Manutenção</t>
        </is>
      </c>
      <c r="C936" t="inlineStr">
        <is>
          <t>Decoração/Paisagismo e Jardinagem</t>
        </is>
      </c>
      <c r="D936" t="inlineStr">
        <is>
          <t>01/11/2026</t>
        </is>
      </c>
      <c r="E936" t="n">
        <v>0</v>
      </c>
      <c r="F936" t="inlineStr">
        <is>
          <t>Fabrica de Bares (2025)</t>
        </is>
      </c>
      <c r="G936" t="b">
        <v>1</v>
      </c>
      <c r="H936" t="inlineStr">
        <is>
          <t>11/2026</t>
        </is>
      </c>
    </row>
    <row r="937">
      <c r="A937" t="inlineStr">
        <is>
          <t>Nuv Gastrobar</t>
        </is>
      </c>
      <c r="B937" t="inlineStr">
        <is>
          <t>Manutenção</t>
        </is>
      </c>
      <c r="C937" t="inlineStr">
        <is>
          <t>Decoração/Paisagismo e Jardinagem</t>
        </is>
      </c>
      <c r="D937" t="inlineStr">
        <is>
          <t>01/12/2026</t>
        </is>
      </c>
      <c r="E937" t="n">
        <v>0</v>
      </c>
      <c r="F937" t="inlineStr">
        <is>
          <t>Fabrica de Bares (2025)</t>
        </is>
      </c>
      <c r="G937" t="b">
        <v>1</v>
      </c>
      <c r="H937" t="inlineStr">
        <is>
          <t>12/2026</t>
        </is>
      </c>
    </row>
    <row r="938">
      <c r="A938" t="inlineStr">
        <is>
          <t>Nuv Gastrobar</t>
        </is>
      </c>
      <c r="B938" t="inlineStr">
        <is>
          <t>Manutenção</t>
        </is>
      </c>
      <c r="C938" t="inlineStr">
        <is>
          <t>Manutenção de Equipamentos</t>
        </is>
      </c>
      <c r="D938" t="inlineStr">
        <is>
          <t>01/01/2026</t>
        </is>
      </c>
      <c r="E938" t="n">
        <v>0</v>
      </c>
      <c r="F938" t="inlineStr">
        <is>
          <t>Fabrica de Bares (2025)</t>
        </is>
      </c>
      <c r="G938" t="b">
        <v>1</v>
      </c>
      <c r="H938" t="inlineStr">
        <is>
          <t>1/2026</t>
        </is>
      </c>
    </row>
    <row r="939">
      <c r="A939" t="inlineStr">
        <is>
          <t>Nuv Gastrobar</t>
        </is>
      </c>
      <c r="B939" t="inlineStr">
        <is>
          <t>Manutenção</t>
        </is>
      </c>
      <c r="C939" t="inlineStr">
        <is>
          <t>Manutenção de Equipamentos</t>
        </is>
      </c>
      <c r="D939" t="inlineStr">
        <is>
          <t>01/02/2026</t>
        </is>
      </c>
      <c r="E939" t="n">
        <v>0</v>
      </c>
      <c r="F939" t="inlineStr">
        <is>
          <t>Fabrica de Bares (2025)</t>
        </is>
      </c>
      <c r="G939" t="b">
        <v>1</v>
      </c>
      <c r="H939" t="inlineStr">
        <is>
          <t>2/2026</t>
        </is>
      </c>
    </row>
    <row r="940">
      <c r="A940" t="inlineStr">
        <is>
          <t>Nuv Gastrobar</t>
        </is>
      </c>
      <c r="B940" t="inlineStr">
        <is>
          <t>Manutenção</t>
        </is>
      </c>
      <c r="C940" t="inlineStr">
        <is>
          <t>Manutenção de Equipamentos</t>
        </is>
      </c>
      <c r="D940" t="inlineStr">
        <is>
          <t>01/03/2026</t>
        </is>
      </c>
      <c r="E940" t="n">
        <v>0</v>
      </c>
      <c r="F940" t="inlineStr">
        <is>
          <t>Fabrica de Bares (2025)</t>
        </is>
      </c>
      <c r="G940" t="b">
        <v>1</v>
      </c>
      <c r="H940" t="inlineStr">
        <is>
          <t>3/2026</t>
        </is>
      </c>
    </row>
    <row r="941">
      <c r="A941" t="inlineStr">
        <is>
          <t>Nuv Gastrobar</t>
        </is>
      </c>
      <c r="B941" t="inlineStr">
        <is>
          <t>Manutenção</t>
        </is>
      </c>
      <c r="C941" t="inlineStr">
        <is>
          <t>Manutenção de Equipamentos</t>
        </is>
      </c>
      <c r="D941" t="inlineStr">
        <is>
          <t>01/04/2026</t>
        </is>
      </c>
      <c r="E941" t="n">
        <v>0</v>
      </c>
      <c r="F941" t="inlineStr">
        <is>
          <t>Fabrica de Bares (2025)</t>
        </is>
      </c>
      <c r="G941" t="b">
        <v>1</v>
      </c>
      <c r="H941" t="inlineStr">
        <is>
          <t>4/2026</t>
        </is>
      </c>
    </row>
    <row r="942">
      <c r="A942" t="inlineStr">
        <is>
          <t>Nuv Gastrobar</t>
        </is>
      </c>
      <c r="B942" t="inlineStr">
        <is>
          <t>Manutenção</t>
        </is>
      </c>
      <c r="C942" t="inlineStr">
        <is>
          <t>Manutenção de Equipamentos</t>
        </is>
      </c>
      <c r="D942" t="inlineStr">
        <is>
          <t>01/05/2026</t>
        </is>
      </c>
      <c r="E942" t="n">
        <v>0</v>
      </c>
      <c r="F942" t="inlineStr">
        <is>
          <t>Fabrica de Bares (2025)</t>
        </is>
      </c>
      <c r="G942" t="b">
        <v>1</v>
      </c>
      <c r="H942" t="inlineStr">
        <is>
          <t>5/2026</t>
        </is>
      </c>
    </row>
    <row r="943">
      <c r="A943" t="inlineStr">
        <is>
          <t>Nuv Gastrobar</t>
        </is>
      </c>
      <c r="B943" t="inlineStr">
        <is>
          <t>Manutenção</t>
        </is>
      </c>
      <c r="C943" t="inlineStr">
        <is>
          <t>Manutenção de Equipamentos</t>
        </is>
      </c>
      <c r="D943" t="inlineStr">
        <is>
          <t>01/06/2026</t>
        </is>
      </c>
      <c r="E943" t="n">
        <v>0</v>
      </c>
      <c r="F943" t="inlineStr">
        <is>
          <t>Fabrica de Bares (2025)</t>
        </is>
      </c>
      <c r="G943" t="b">
        <v>1</v>
      </c>
      <c r="H943" t="inlineStr">
        <is>
          <t>6/2026</t>
        </is>
      </c>
    </row>
    <row r="944">
      <c r="A944" t="inlineStr">
        <is>
          <t>Nuv Gastrobar</t>
        </is>
      </c>
      <c r="B944" t="inlineStr">
        <is>
          <t>Manutenção</t>
        </is>
      </c>
      <c r="C944" t="inlineStr">
        <is>
          <t>Manutenção de Equipamentos</t>
        </is>
      </c>
      <c r="D944" t="inlineStr">
        <is>
          <t>01/07/2026</t>
        </is>
      </c>
      <c r="E944" t="n">
        <v>0</v>
      </c>
      <c r="F944" t="inlineStr">
        <is>
          <t>Fabrica de Bares (2025)</t>
        </is>
      </c>
      <c r="G944" t="b">
        <v>1</v>
      </c>
      <c r="H944" t="inlineStr">
        <is>
          <t>7/2026</t>
        </is>
      </c>
    </row>
    <row r="945">
      <c r="A945" t="inlineStr">
        <is>
          <t>Nuv Gastrobar</t>
        </is>
      </c>
      <c r="B945" t="inlineStr">
        <is>
          <t>Manutenção</t>
        </is>
      </c>
      <c r="C945" t="inlineStr">
        <is>
          <t>Manutenção de Equipamentos</t>
        </is>
      </c>
      <c r="D945" t="inlineStr">
        <is>
          <t>01/08/2026</t>
        </is>
      </c>
      <c r="E945" t="n">
        <v>2068.03</v>
      </c>
      <c r="F945" t="inlineStr">
        <is>
          <t>Fabrica de Bares (2025)</t>
        </is>
      </c>
      <c r="G945" t="b">
        <v>1</v>
      </c>
      <c r="H945" t="inlineStr">
        <is>
          <t>8/2026</t>
        </is>
      </c>
    </row>
    <row r="946">
      <c r="A946" t="inlineStr">
        <is>
          <t>Nuv Gastrobar</t>
        </is>
      </c>
      <c r="B946" t="inlineStr">
        <is>
          <t>Manutenção</t>
        </is>
      </c>
      <c r="C946" t="inlineStr">
        <is>
          <t>Manutenção de Equipamentos</t>
        </is>
      </c>
      <c r="D946" t="inlineStr">
        <is>
          <t>01/09/2026</t>
        </is>
      </c>
      <c r="E946" t="n">
        <v>2384.15</v>
      </c>
      <c r="F946" t="inlineStr">
        <is>
          <t>Fabrica de Bares (2025)</t>
        </is>
      </c>
      <c r="G946" t="b">
        <v>1</v>
      </c>
      <c r="H946" t="inlineStr">
        <is>
          <t>9/2026</t>
        </is>
      </c>
    </row>
    <row r="947">
      <c r="A947" t="inlineStr">
        <is>
          <t>Nuv Gastrobar</t>
        </is>
      </c>
      <c r="B947" t="inlineStr">
        <is>
          <t>Manutenção</t>
        </is>
      </c>
      <c r="C947" t="inlineStr">
        <is>
          <t>Manutenção de Equipamentos</t>
        </is>
      </c>
      <c r="D947" t="inlineStr">
        <is>
          <t>01/10/2026</t>
        </is>
      </c>
      <c r="E947" t="n">
        <v>2529.86</v>
      </c>
      <c r="F947" t="inlineStr">
        <is>
          <t>Fabrica de Bares (2025)</t>
        </is>
      </c>
      <c r="G947" t="b">
        <v>1</v>
      </c>
      <c r="H947" t="inlineStr">
        <is>
          <t>10/2026</t>
        </is>
      </c>
    </row>
    <row r="948">
      <c r="A948" t="inlineStr">
        <is>
          <t>Nuv Gastrobar</t>
        </is>
      </c>
      <c r="B948" t="inlineStr">
        <is>
          <t>Manutenção</t>
        </is>
      </c>
      <c r="C948" t="inlineStr">
        <is>
          <t>Manutenção de Equipamentos</t>
        </is>
      </c>
      <c r="D948" t="inlineStr">
        <is>
          <t>01/11/2026</t>
        </is>
      </c>
      <c r="E948" t="n">
        <v>2991.42</v>
      </c>
      <c r="F948" t="inlineStr">
        <is>
          <t>Fabrica de Bares (2025)</t>
        </is>
      </c>
      <c r="G948" t="b">
        <v>1</v>
      </c>
      <c r="H948" t="inlineStr">
        <is>
          <t>11/2026</t>
        </is>
      </c>
    </row>
    <row r="949">
      <c r="A949" t="inlineStr">
        <is>
          <t>Nuv Gastrobar</t>
        </is>
      </c>
      <c r="B949" t="inlineStr">
        <is>
          <t>Manutenção</t>
        </is>
      </c>
      <c r="C949" t="inlineStr">
        <is>
          <t>Manutenção de Equipamentos</t>
        </is>
      </c>
      <c r="D949" t="inlineStr">
        <is>
          <t>01/12/2026</t>
        </is>
      </c>
      <c r="E949" t="n">
        <v>2975.45</v>
      </c>
      <c r="F949" t="inlineStr">
        <is>
          <t>Fabrica de Bares (2025)</t>
        </is>
      </c>
      <c r="G949" t="b">
        <v>1</v>
      </c>
      <c r="H949" t="inlineStr">
        <is>
          <t>12/2026</t>
        </is>
      </c>
    </row>
    <row r="950">
      <c r="A950" t="inlineStr">
        <is>
          <t>Nuv Gastrobar</t>
        </is>
      </c>
      <c r="B950" t="inlineStr">
        <is>
          <t>Manutenção</t>
        </is>
      </c>
      <c r="C950" t="inlineStr">
        <is>
          <t>Manutenção de Mobiliário</t>
        </is>
      </c>
      <c r="D950" t="inlineStr">
        <is>
          <t>01/01/2026</t>
        </is>
      </c>
      <c r="E950" t="n">
        <v>0</v>
      </c>
      <c r="F950" t="inlineStr">
        <is>
          <t>Fabrica de Bares (2025)</t>
        </is>
      </c>
      <c r="G950" t="b">
        <v>1</v>
      </c>
      <c r="H950" t="inlineStr">
        <is>
          <t>1/2026</t>
        </is>
      </c>
    </row>
    <row r="951">
      <c r="A951" t="inlineStr">
        <is>
          <t>Nuv Gastrobar</t>
        </is>
      </c>
      <c r="B951" t="inlineStr">
        <is>
          <t>Manutenção</t>
        </is>
      </c>
      <c r="C951" t="inlineStr">
        <is>
          <t>Manutenção de Mobiliário</t>
        </is>
      </c>
      <c r="D951" t="inlineStr">
        <is>
          <t>01/02/2026</t>
        </is>
      </c>
      <c r="E951" t="n">
        <v>0</v>
      </c>
      <c r="F951" t="inlineStr">
        <is>
          <t>Fabrica de Bares (2025)</t>
        </is>
      </c>
      <c r="G951" t="b">
        <v>1</v>
      </c>
      <c r="H951" t="inlineStr">
        <is>
          <t>2/2026</t>
        </is>
      </c>
    </row>
    <row r="952">
      <c r="A952" t="inlineStr">
        <is>
          <t>Nuv Gastrobar</t>
        </is>
      </c>
      <c r="B952" t="inlineStr">
        <is>
          <t>Manutenção</t>
        </is>
      </c>
      <c r="C952" t="inlineStr">
        <is>
          <t>Manutenção de Mobiliário</t>
        </is>
      </c>
      <c r="D952" t="inlineStr">
        <is>
          <t>01/03/2026</t>
        </is>
      </c>
      <c r="E952" t="n">
        <v>0</v>
      </c>
      <c r="F952" t="inlineStr">
        <is>
          <t>Fabrica de Bares (2025)</t>
        </is>
      </c>
      <c r="G952" t="b">
        <v>1</v>
      </c>
      <c r="H952" t="inlineStr">
        <is>
          <t>3/2026</t>
        </is>
      </c>
    </row>
    <row r="953">
      <c r="A953" t="inlineStr">
        <is>
          <t>Nuv Gastrobar</t>
        </is>
      </c>
      <c r="B953" t="inlineStr">
        <is>
          <t>Manutenção</t>
        </is>
      </c>
      <c r="C953" t="inlineStr">
        <is>
          <t>Manutenção de Mobiliário</t>
        </is>
      </c>
      <c r="D953" t="inlineStr">
        <is>
          <t>01/04/2026</t>
        </is>
      </c>
      <c r="E953" t="n">
        <v>0</v>
      </c>
      <c r="F953" t="inlineStr">
        <is>
          <t>Fabrica de Bares (2025)</t>
        </is>
      </c>
      <c r="G953" t="b">
        <v>1</v>
      </c>
      <c r="H953" t="inlineStr">
        <is>
          <t>4/2026</t>
        </is>
      </c>
    </row>
    <row r="954">
      <c r="A954" t="inlineStr">
        <is>
          <t>Nuv Gastrobar</t>
        </is>
      </c>
      <c r="B954" t="inlineStr">
        <is>
          <t>Manutenção</t>
        </is>
      </c>
      <c r="C954" t="inlineStr">
        <is>
          <t>Manutenção de Mobiliário</t>
        </is>
      </c>
      <c r="D954" t="inlineStr">
        <is>
          <t>01/05/2026</t>
        </is>
      </c>
      <c r="E954" t="n">
        <v>0</v>
      </c>
      <c r="F954" t="inlineStr">
        <is>
          <t>Fabrica de Bares (2025)</t>
        </is>
      </c>
      <c r="G954" t="b">
        <v>1</v>
      </c>
      <c r="H954" t="inlineStr">
        <is>
          <t>5/2026</t>
        </is>
      </c>
    </row>
    <row r="955">
      <c r="A955" t="inlineStr">
        <is>
          <t>Nuv Gastrobar</t>
        </is>
      </c>
      <c r="B955" t="inlineStr">
        <is>
          <t>Manutenção</t>
        </is>
      </c>
      <c r="C955" t="inlineStr">
        <is>
          <t>Manutenção de Mobiliário</t>
        </is>
      </c>
      <c r="D955" t="inlineStr">
        <is>
          <t>01/06/2026</t>
        </is>
      </c>
      <c r="E955" t="n">
        <v>0</v>
      </c>
      <c r="F955" t="inlineStr">
        <is>
          <t>Fabrica de Bares (2025)</t>
        </is>
      </c>
      <c r="G955" t="b">
        <v>1</v>
      </c>
      <c r="H955" t="inlineStr">
        <is>
          <t>6/2026</t>
        </is>
      </c>
    </row>
    <row r="956">
      <c r="A956" t="inlineStr">
        <is>
          <t>Nuv Gastrobar</t>
        </is>
      </c>
      <c r="B956" t="inlineStr">
        <is>
          <t>Manutenção</t>
        </is>
      </c>
      <c r="C956" t="inlineStr">
        <is>
          <t>Manutenção de Mobiliário</t>
        </is>
      </c>
      <c r="D956" t="inlineStr">
        <is>
          <t>01/07/2026</t>
        </is>
      </c>
      <c r="E956" t="n">
        <v>0</v>
      </c>
      <c r="F956" t="inlineStr">
        <is>
          <t>Fabrica de Bares (2025)</t>
        </is>
      </c>
      <c r="G956" t="b">
        <v>1</v>
      </c>
      <c r="H956" t="inlineStr">
        <is>
          <t>7/2026</t>
        </is>
      </c>
    </row>
    <row r="957">
      <c r="A957" t="inlineStr">
        <is>
          <t>Nuv Gastrobar</t>
        </is>
      </c>
      <c r="B957" t="inlineStr">
        <is>
          <t>Manutenção</t>
        </is>
      </c>
      <c r="C957" t="inlineStr">
        <is>
          <t>Manutenção de Mobiliário</t>
        </is>
      </c>
      <c r="D957" t="inlineStr">
        <is>
          <t>01/08/2026</t>
        </is>
      </c>
      <c r="E957" t="n">
        <v>1568.03</v>
      </c>
      <c r="F957" t="inlineStr">
        <is>
          <t>Fabrica de Bares (2025)</t>
        </is>
      </c>
      <c r="G957" t="b">
        <v>1</v>
      </c>
      <c r="H957" t="inlineStr">
        <is>
          <t>8/2026</t>
        </is>
      </c>
    </row>
    <row r="958">
      <c r="A958" t="inlineStr">
        <is>
          <t>Nuv Gastrobar</t>
        </is>
      </c>
      <c r="B958" t="inlineStr">
        <is>
          <t>Manutenção</t>
        </is>
      </c>
      <c r="C958" t="inlineStr">
        <is>
          <t>Manutenção de Mobiliário</t>
        </is>
      </c>
      <c r="D958" t="inlineStr">
        <is>
          <t>01/09/2026</t>
        </is>
      </c>
      <c r="E958" t="n">
        <v>1884.15</v>
      </c>
      <c r="F958" t="inlineStr">
        <is>
          <t>Fabrica de Bares (2025)</t>
        </is>
      </c>
      <c r="G958" t="b">
        <v>1</v>
      </c>
      <c r="H958" t="inlineStr">
        <is>
          <t>9/2026</t>
        </is>
      </c>
    </row>
    <row r="959">
      <c r="A959" t="inlineStr">
        <is>
          <t>Nuv Gastrobar</t>
        </is>
      </c>
      <c r="B959" t="inlineStr">
        <is>
          <t>Manutenção</t>
        </is>
      </c>
      <c r="C959" t="inlineStr">
        <is>
          <t>Manutenção de Mobiliário</t>
        </is>
      </c>
      <c r="D959" t="inlineStr">
        <is>
          <t>01/10/2026</t>
        </is>
      </c>
      <c r="E959" t="n">
        <v>2029.86</v>
      </c>
      <c r="F959" t="inlineStr">
        <is>
          <t>Fabrica de Bares (2025)</t>
        </is>
      </c>
      <c r="G959" t="b">
        <v>1</v>
      </c>
      <c r="H959" t="inlineStr">
        <is>
          <t>10/2026</t>
        </is>
      </c>
    </row>
    <row r="960">
      <c r="A960" t="inlineStr">
        <is>
          <t>Nuv Gastrobar</t>
        </is>
      </c>
      <c r="B960" t="inlineStr">
        <is>
          <t>Manutenção</t>
        </is>
      </c>
      <c r="C960" t="inlineStr">
        <is>
          <t>Manutenção de Mobiliário</t>
        </is>
      </c>
      <c r="D960" t="inlineStr">
        <is>
          <t>01/11/2026</t>
        </is>
      </c>
      <c r="E960" t="n">
        <v>2491.42</v>
      </c>
      <c r="F960" t="inlineStr">
        <is>
          <t>Fabrica de Bares (2025)</t>
        </is>
      </c>
      <c r="G960" t="b">
        <v>1</v>
      </c>
      <c r="H960" t="inlineStr">
        <is>
          <t>11/2026</t>
        </is>
      </c>
    </row>
    <row r="961">
      <c r="A961" t="inlineStr">
        <is>
          <t>Nuv Gastrobar</t>
        </is>
      </c>
      <c r="B961" t="inlineStr">
        <is>
          <t>Manutenção</t>
        </is>
      </c>
      <c r="C961" t="inlineStr">
        <is>
          <t>Manutenção de Mobiliário</t>
        </is>
      </c>
      <c r="D961" t="inlineStr">
        <is>
          <t>01/12/2026</t>
        </is>
      </c>
      <c r="E961" t="n">
        <v>2475.45</v>
      </c>
      <c r="F961" t="inlineStr">
        <is>
          <t>Fabrica de Bares (2025)</t>
        </is>
      </c>
      <c r="G961" t="b">
        <v>1</v>
      </c>
      <c r="H961" t="inlineStr">
        <is>
          <t>12/2026</t>
        </is>
      </c>
    </row>
    <row r="962">
      <c r="A962" t="inlineStr">
        <is>
          <t>Nuv Gastrobar</t>
        </is>
      </c>
      <c r="B962" t="inlineStr">
        <is>
          <t>Manutenção</t>
        </is>
      </c>
      <c r="C962" t="inlineStr">
        <is>
          <t>Manutenção Predial</t>
        </is>
      </c>
      <c r="D962" t="inlineStr">
        <is>
          <t>01/01/2026</t>
        </is>
      </c>
      <c r="E962" t="n">
        <v>0</v>
      </c>
      <c r="F962" t="inlineStr">
        <is>
          <t>Fabrica de Bares (2025)</t>
        </is>
      </c>
      <c r="G962" t="b">
        <v>1</v>
      </c>
      <c r="H962" t="inlineStr">
        <is>
          <t>1/2026</t>
        </is>
      </c>
    </row>
    <row r="963">
      <c r="A963" t="inlineStr">
        <is>
          <t>Nuv Gastrobar</t>
        </is>
      </c>
      <c r="B963" t="inlineStr">
        <is>
          <t>Manutenção</t>
        </is>
      </c>
      <c r="C963" t="inlineStr">
        <is>
          <t>Manutenção Predial</t>
        </is>
      </c>
      <c r="D963" t="inlineStr">
        <is>
          <t>01/02/2026</t>
        </is>
      </c>
      <c r="E963" t="n">
        <v>0</v>
      </c>
      <c r="F963" t="inlineStr">
        <is>
          <t>Fabrica de Bares (2025)</t>
        </is>
      </c>
      <c r="G963" t="b">
        <v>1</v>
      </c>
      <c r="H963" t="inlineStr">
        <is>
          <t>2/2026</t>
        </is>
      </c>
    </row>
    <row r="964">
      <c r="A964" t="inlineStr">
        <is>
          <t>Nuv Gastrobar</t>
        </is>
      </c>
      <c r="B964" t="inlineStr">
        <is>
          <t>Manutenção</t>
        </is>
      </c>
      <c r="C964" t="inlineStr">
        <is>
          <t>Manutenção Predial</t>
        </is>
      </c>
      <c r="D964" t="inlineStr">
        <is>
          <t>01/03/2026</t>
        </is>
      </c>
      <c r="E964" t="n">
        <v>0</v>
      </c>
      <c r="F964" t="inlineStr">
        <is>
          <t>Fabrica de Bares (2025)</t>
        </is>
      </c>
      <c r="G964" t="b">
        <v>1</v>
      </c>
      <c r="H964" t="inlineStr">
        <is>
          <t>3/2026</t>
        </is>
      </c>
    </row>
    <row r="965">
      <c r="A965" t="inlineStr">
        <is>
          <t>Nuv Gastrobar</t>
        </is>
      </c>
      <c r="B965" t="inlineStr">
        <is>
          <t>Manutenção</t>
        </is>
      </c>
      <c r="C965" t="inlineStr">
        <is>
          <t>Manutenção Predial</t>
        </is>
      </c>
      <c r="D965" t="inlineStr">
        <is>
          <t>01/04/2026</t>
        </is>
      </c>
      <c r="E965" t="n">
        <v>0</v>
      </c>
      <c r="F965" t="inlineStr">
        <is>
          <t>Fabrica de Bares (2025)</t>
        </is>
      </c>
      <c r="G965" t="b">
        <v>1</v>
      </c>
      <c r="H965" t="inlineStr">
        <is>
          <t>4/2026</t>
        </is>
      </c>
    </row>
    <row r="966">
      <c r="A966" t="inlineStr">
        <is>
          <t>Nuv Gastrobar</t>
        </is>
      </c>
      <c r="B966" t="inlineStr">
        <is>
          <t>Manutenção</t>
        </is>
      </c>
      <c r="C966" t="inlineStr">
        <is>
          <t>Manutenção Predial</t>
        </is>
      </c>
      <c r="D966" t="inlineStr">
        <is>
          <t>01/05/2026</t>
        </is>
      </c>
      <c r="E966" t="n">
        <v>0</v>
      </c>
      <c r="F966" t="inlineStr">
        <is>
          <t>Fabrica de Bares (2025)</t>
        </is>
      </c>
      <c r="G966" t="b">
        <v>1</v>
      </c>
      <c r="H966" t="inlineStr">
        <is>
          <t>5/2026</t>
        </is>
      </c>
    </row>
    <row r="967">
      <c r="A967" t="inlineStr">
        <is>
          <t>Nuv Gastrobar</t>
        </is>
      </c>
      <c r="B967" t="inlineStr">
        <is>
          <t>Manutenção</t>
        </is>
      </c>
      <c r="C967" t="inlineStr">
        <is>
          <t>Manutenção Predial</t>
        </is>
      </c>
      <c r="D967" t="inlineStr">
        <is>
          <t>01/06/2026</t>
        </is>
      </c>
      <c r="E967" t="n">
        <v>0</v>
      </c>
      <c r="F967" t="inlineStr">
        <is>
          <t>Fabrica de Bares (2025)</t>
        </is>
      </c>
      <c r="G967" t="b">
        <v>1</v>
      </c>
      <c r="H967" t="inlineStr">
        <is>
          <t>6/2026</t>
        </is>
      </c>
    </row>
    <row r="968">
      <c r="A968" t="inlineStr">
        <is>
          <t>Nuv Gastrobar</t>
        </is>
      </c>
      <c r="B968" t="inlineStr">
        <is>
          <t>Manutenção</t>
        </is>
      </c>
      <c r="C968" t="inlineStr">
        <is>
          <t>Manutenção Predial</t>
        </is>
      </c>
      <c r="D968" t="inlineStr">
        <is>
          <t>01/07/2026</t>
        </is>
      </c>
      <c r="E968" t="n">
        <v>0</v>
      </c>
      <c r="F968" t="inlineStr">
        <is>
          <t>Fabrica de Bares (2025)</t>
        </is>
      </c>
      <c r="G968" t="b">
        <v>1</v>
      </c>
      <c r="H968" t="inlineStr">
        <is>
          <t>7/2026</t>
        </is>
      </c>
    </row>
    <row r="969">
      <c r="A969" t="inlineStr">
        <is>
          <t>Nuv Gastrobar</t>
        </is>
      </c>
      <c r="B969" t="inlineStr">
        <is>
          <t>Manutenção</t>
        </is>
      </c>
      <c r="C969" t="inlineStr">
        <is>
          <t>Manutenção Predial</t>
        </is>
      </c>
      <c r="D969" t="inlineStr">
        <is>
          <t>01/08/2026</t>
        </is>
      </c>
      <c r="E969" t="n">
        <v>0</v>
      </c>
      <c r="F969" t="inlineStr">
        <is>
          <t>Fabrica de Bares (2025)</t>
        </is>
      </c>
      <c r="G969" t="b">
        <v>1</v>
      </c>
      <c r="H969" t="inlineStr">
        <is>
          <t>8/2026</t>
        </is>
      </c>
    </row>
    <row r="970">
      <c r="A970" t="inlineStr">
        <is>
          <t>Nuv Gastrobar</t>
        </is>
      </c>
      <c r="B970" t="inlineStr">
        <is>
          <t>Manutenção</t>
        </is>
      </c>
      <c r="C970" t="inlineStr">
        <is>
          <t>Manutenção Predial</t>
        </is>
      </c>
      <c r="D970" t="inlineStr">
        <is>
          <t>01/09/2026</t>
        </is>
      </c>
      <c r="E970" t="n">
        <v>0</v>
      </c>
      <c r="F970" t="inlineStr">
        <is>
          <t>Fabrica de Bares (2025)</t>
        </is>
      </c>
      <c r="G970" t="b">
        <v>1</v>
      </c>
      <c r="H970" t="inlineStr">
        <is>
          <t>9/2026</t>
        </is>
      </c>
    </row>
    <row r="971">
      <c r="A971" t="inlineStr">
        <is>
          <t>Nuv Gastrobar</t>
        </is>
      </c>
      <c r="B971" t="inlineStr">
        <is>
          <t>Manutenção</t>
        </is>
      </c>
      <c r="C971" t="inlineStr">
        <is>
          <t>Manutenção Predial</t>
        </is>
      </c>
      <c r="D971" t="inlineStr">
        <is>
          <t>01/10/2026</t>
        </is>
      </c>
      <c r="E971" t="n">
        <v>0</v>
      </c>
      <c r="F971" t="inlineStr">
        <is>
          <t>Fabrica de Bares (2025)</t>
        </is>
      </c>
      <c r="G971" t="b">
        <v>1</v>
      </c>
      <c r="H971" t="inlineStr">
        <is>
          <t>10/2026</t>
        </is>
      </c>
    </row>
    <row r="972">
      <c r="A972" t="inlineStr">
        <is>
          <t>Nuv Gastrobar</t>
        </is>
      </c>
      <c r="B972" t="inlineStr">
        <is>
          <t>Manutenção</t>
        </is>
      </c>
      <c r="C972" t="inlineStr">
        <is>
          <t>Manutenção Predial</t>
        </is>
      </c>
      <c r="D972" t="inlineStr">
        <is>
          <t>01/11/2026</t>
        </is>
      </c>
      <c r="E972" t="n">
        <v>0</v>
      </c>
      <c r="F972" t="inlineStr">
        <is>
          <t>Fabrica de Bares (2025)</t>
        </is>
      </c>
      <c r="G972" t="b">
        <v>1</v>
      </c>
      <c r="H972" t="inlineStr">
        <is>
          <t>11/2026</t>
        </is>
      </c>
    </row>
    <row r="973">
      <c r="A973" t="inlineStr">
        <is>
          <t>Nuv Gastrobar</t>
        </is>
      </c>
      <c r="B973" t="inlineStr">
        <is>
          <t>Manutenção</t>
        </is>
      </c>
      <c r="C973" t="inlineStr">
        <is>
          <t>Manutenção Predial</t>
        </is>
      </c>
      <c r="D973" t="inlineStr">
        <is>
          <t>01/12/2026</t>
        </is>
      </c>
      <c r="E973" t="n">
        <v>0</v>
      </c>
      <c r="F973" t="inlineStr">
        <is>
          <t>Fabrica de Bares (2025)</t>
        </is>
      </c>
      <c r="G973" t="b">
        <v>1</v>
      </c>
      <c r="H973" t="inlineStr">
        <is>
          <t>12/2026</t>
        </is>
      </c>
    </row>
    <row r="974">
      <c r="A974" t="inlineStr">
        <is>
          <t>Nuv Gastrobar</t>
        </is>
      </c>
      <c r="B974" t="inlineStr">
        <is>
          <t>Manutenção</t>
        </is>
      </c>
      <c r="C974" t="inlineStr">
        <is>
          <t>Material de Manutenção</t>
        </is>
      </c>
      <c r="D974" t="inlineStr">
        <is>
          <t>01/01/2026</t>
        </is>
      </c>
      <c r="E974" t="n">
        <v>0</v>
      </c>
      <c r="F974" t="inlineStr">
        <is>
          <t>Fabrica de Bares (2025)</t>
        </is>
      </c>
      <c r="G974" t="b">
        <v>1</v>
      </c>
      <c r="H974" t="inlineStr">
        <is>
          <t>1/2026</t>
        </is>
      </c>
    </row>
    <row r="975">
      <c r="A975" t="inlineStr">
        <is>
          <t>Nuv Gastrobar</t>
        </is>
      </c>
      <c r="B975" t="inlineStr">
        <is>
          <t>Manutenção</t>
        </is>
      </c>
      <c r="C975" t="inlineStr">
        <is>
          <t>Material de Manutenção</t>
        </is>
      </c>
      <c r="D975" t="inlineStr">
        <is>
          <t>01/02/2026</t>
        </is>
      </c>
      <c r="E975" t="n">
        <v>0</v>
      </c>
      <c r="F975" t="inlineStr">
        <is>
          <t>Fabrica de Bares (2025)</t>
        </is>
      </c>
      <c r="G975" t="b">
        <v>1</v>
      </c>
      <c r="H975" t="inlineStr">
        <is>
          <t>2/2026</t>
        </is>
      </c>
    </row>
    <row r="976">
      <c r="A976" t="inlineStr">
        <is>
          <t>Nuv Gastrobar</t>
        </is>
      </c>
      <c r="B976" t="inlineStr">
        <is>
          <t>Manutenção</t>
        </is>
      </c>
      <c r="C976" t="inlineStr">
        <is>
          <t>Material de Manutenção</t>
        </is>
      </c>
      <c r="D976" t="inlineStr">
        <is>
          <t>01/03/2026</t>
        </is>
      </c>
      <c r="E976" t="n">
        <v>0</v>
      </c>
      <c r="F976" t="inlineStr">
        <is>
          <t>Fabrica de Bares (2025)</t>
        </is>
      </c>
      <c r="G976" t="b">
        <v>1</v>
      </c>
      <c r="H976" t="inlineStr">
        <is>
          <t>3/2026</t>
        </is>
      </c>
    </row>
    <row r="977">
      <c r="A977" t="inlineStr">
        <is>
          <t>Nuv Gastrobar</t>
        </is>
      </c>
      <c r="B977" t="inlineStr">
        <is>
          <t>Manutenção</t>
        </is>
      </c>
      <c r="C977" t="inlineStr">
        <is>
          <t>Material de Manutenção</t>
        </is>
      </c>
      <c r="D977" t="inlineStr">
        <is>
          <t>01/04/2026</t>
        </is>
      </c>
      <c r="E977" t="n">
        <v>0</v>
      </c>
      <c r="F977" t="inlineStr">
        <is>
          <t>Fabrica de Bares (2025)</t>
        </is>
      </c>
      <c r="G977" t="b">
        <v>1</v>
      </c>
      <c r="H977" t="inlineStr">
        <is>
          <t>4/2026</t>
        </is>
      </c>
    </row>
    <row r="978">
      <c r="A978" t="inlineStr">
        <is>
          <t>Nuv Gastrobar</t>
        </is>
      </c>
      <c r="B978" t="inlineStr">
        <is>
          <t>Manutenção</t>
        </is>
      </c>
      <c r="C978" t="inlineStr">
        <is>
          <t>Material de Manutenção</t>
        </is>
      </c>
      <c r="D978" t="inlineStr">
        <is>
          <t>01/05/2026</t>
        </is>
      </c>
      <c r="E978" t="n">
        <v>0</v>
      </c>
      <c r="F978" t="inlineStr">
        <is>
          <t>Fabrica de Bares (2025)</t>
        </is>
      </c>
      <c r="G978" t="b">
        <v>1</v>
      </c>
      <c r="H978" t="inlineStr">
        <is>
          <t>5/2026</t>
        </is>
      </c>
    </row>
    <row r="979">
      <c r="A979" t="inlineStr">
        <is>
          <t>Nuv Gastrobar</t>
        </is>
      </c>
      <c r="B979" t="inlineStr">
        <is>
          <t>Manutenção</t>
        </is>
      </c>
      <c r="C979" t="inlineStr">
        <is>
          <t>Material de Manutenção</t>
        </is>
      </c>
      <c r="D979" t="inlineStr">
        <is>
          <t>01/06/2026</t>
        </is>
      </c>
      <c r="E979" t="n">
        <v>0</v>
      </c>
      <c r="F979" t="inlineStr">
        <is>
          <t>Fabrica de Bares (2025)</t>
        </is>
      </c>
      <c r="G979" t="b">
        <v>1</v>
      </c>
      <c r="H979" t="inlineStr">
        <is>
          <t>6/2026</t>
        </is>
      </c>
    </row>
    <row r="980">
      <c r="A980" t="inlineStr">
        <is>
          <t>Nuv Gastrobar</t>
        </is>
      </c>
      <c r="B980" t="inlineStr">
        <is>
          <t>Manutenção</t>
        </is>
      </c>
      <c r="C980" t="inlineStr">
        <is>
          <t>Material de Manutenção</t>
        </is>
      </c>
      <c r="D980" t="inlineStr">
        <is>
          <t>01/07/2026</t>
        </is>
      </c>
      <c r="E980" t="n">
        <v>0</v>
      </c>
      <c r="F980" t="inlineStr">
        <is>
          <t>Fabrica de Bares (2025)</t>
        </is>
      </c>
      <c r="G980" t="b">
        <v>1</v>
      </c>
      <c r="H980" t="inlineStr">
        <is>
          <t>7/2026</t>
        </is>
      </c>
    </row>
    <row r="981">
      <c r="A981" t="inlineStr">
        <is>
          <t>Nuv Gastrobar</t>
        </is>
      </c>
      <c r="B981" t="inlineStr">
        <is>
          <t>Manutenção</t>
        </is>
      </c>
      <c r="C981" t="inlineStr">
        <is>
          <t>Material de Manutenção</t>
        </is>
      </c>
      <c r="D981" t="inlineStr">
        <is>
          <t>01/08/2026</t>
        </is>
      </c>
      <c r="E981" t="n">
        <v>1068.03</v>
      </c>
      <c r="F981" t="inlineStr">
        <is>
          <t>Fabrica de Bares (2025)</t>
        </is>
      </c>
      <c r="G981" t="b">
        <v>1</v>
      </c>
      <c r="H981" t="inlineStr">
        <is>
          <t>8/2026</t>
        </is>
      </c>
    </row>
    <row r="982">
      <c r="A982" t="inlineStr">
        <is>
          <t>Nuv Gastrobar</t>
        </is>
      </c>
      <c r="B982" t="inlineStr">
        <is>
          <t>Manutenção</t>
        </is>
      </c>
      <c r="C982" t="inlineStr">
        <is>
          <t>Material de Manutenção</t>
        </is>
      </c>
      <c r="D982" t="inlineStr">
        <is>
          <t>01/09/2026</t>
        </is>
      </c>
      <c r="E982" t="n">
        <v>1384.15</v>
      </c>
      <c r="F982" t="inlineStr">
        <is>
          <t>Fabrica de Bares (2025)</t>
        </is>
      </c>
      <c r="G982" t="b">
        <v>1</v>
      </c>
      <c r="H982" t="inlineStr">
        <is>
          <t>9/2026</t>
        </is>
      </c>
    </row>
    <row r="983">
      <c r="A983" t="inlineStr">
        <is>
          <t>Nuv Gastrobar</t>
        </is>
      </c>
      <c r="B983" t="inlineStr">
        <is>
          <t>Manutenção</t>
        </is>
      </c>
      <c r="C983" t="inlineStr">
        <is>
          <t>Material de Manutenção</t>
        </is>
      </c>
      <c r="D983" t="inlineStr">
        <is>
          <t>01/10/2026</t>
        </is>
      </c>
      <c r="E983" t="n">
        <v>1529.86</v>
      </c>
      <c r="F983" t="inlineStr">
        <is>
          <t>Fabrica de Bares (2025)</t>
        </is>
      </c>
      <c r="G983" t="b">
        <v>1</v>
      </c>
      <c r="H983" t="inlineStr">
        <is>
          <t>10/2026</t>
        </is>
      </c>
    </row>
    <row r="984">
      <c r="A984" t="inlineStr">
        <is>
          <t>Nuv Gastrobar</t>
        </is>
      </c>
      <c r="B984" t="inlineStr">
        <is>
          <t>Manutenção</t>
        </is>
      </c>
      <c r="C984" t="inlineStr">
        <is>
          <t>Material de Manutenção</t>
        </is>
      </c>
      <c r="D984" t="inlineStr">
        <is>
          <t>01/11/2026</t>
        </is>
      </c>
      <c r="E984" t="n">
        <v>1991.42</v>
      </c>
      <c r="F984" t="inlineStr">
        <is>
          <t>Fabrica de Bares (2025)</t>
        </is>
      </c>
      <c r="G984" t="b">
        <v>1</v>
      </c>
      <c r="H984" t="inlineStr">
        <is>
          <t>11/2026</t>
        </is>
      </c>
    </row>
    <row r="985">
      <c r="A985" t="inlineStr">
        <is>
          <t>Nuv Gastrobar</t>
        </is>
      </c>
      <c r="B985" t="inlineStr">
        <is>
          <t>Manutenção</t>
        </is>
      </c>
      <c r="C985" t="inlineStr">
        <is>
          <t>Material de Manutenção</t>
        </is>
      </c>
      <c r="D985" t="inlineStr">
        <is>
          <t>01/12/2026</t>
        </is>
      </c>
      <c r="E985" t="n">
        <v>1975.45</v>
      </c>
      <c r="F985" t="inlineStr">
        <is>
          <t>Fabrica de Bares (2025)</t>
        </is>
      </c>
      <c r="G985" t="b">
        <v>1</v>
      </c>
      <c r="H985" t="inlineStr">
        <is>
          <t>12/2026</t>
        </is>
      </c>
    </row>
    <row r="986">
      <c r="A986" t="inlineStr">
        <is>
          <t>Nuv Gastrobar</t>
        </is>
      </c>
      <c r="B986" t="inlineStr">
        <is>
          <t>Mão de Obra - Benefícios</t>
        </is>
      </c>
      <c r="C986" t="inlineStr">
        <is>
          <t xml:space="preserve">  -  Ajuda de Custo</t>
        </is>
      </c>
      <c r="D986" t="inlineStr">
        <is>
          <t>01/01/2026</t>
        </is>
      </c>
      <c r="E986" t="n">
        <v>0</v>
      </c>
      <c r="F986" t="inlineStr">
        <is>
          <t>Fabrica de Bares (2025)</t>
        </is>
      </c>
      <c r="G986" t="b">
        <v>1</v>
      </c>
      <c r="H986" t="inlineStr">
        <is>
          <t>1/2026</t>
        </is>
      </c>
    </row>
    <row r="987">
      <c r="A987" t="inlineStr">
        <is>
          <t>Nuv Gastrobar</t>
        </is>
      </c>
      <c r="B987" t="inlineStr">
        <is>
          <t>Mão de Obra - Benefícios</t>
        </is>
      </c>
      <c r="C987" t="inlineStr">
        <is>
          <t xml:space="preserve">  -  Ajuda de Custo</t>
        </is>
      </c>
      <c r="D987" t="inlineStr">
        <is>
          <t>01/02/2026</t>
        </is>
      </c>
      <c r="E987" t="n">
        <v>0</v>
      </c>
      <c r="F987" t="inlineStr">
        <is>
          <t>Fabrica de Bares (2025)</t>
        </is>
      </c>
      <c r="G987" t="b">
        <v>1</v>
      </c>
      <c r="H987" t="inlineStr">
        <is>
          <t>2/2026</t>
        </is>
      </c>
    </row>
    <row r="988">
      <c r="A988" t="inlineStr">
        <is>
          <t>Nuv Gastrobar</t>
        </is>
      </c>
      <c r="B988" t="inlineStr">
        <is>
          <t>Mão de Obra - Benefícios</t>
        </is>
      </c>
      <c r="C988" t="inlineStr">
        <is>
          <t xml:space="preserve">  -  Ajuda de Custo</t>
        </is>
      </c>
      <c r="D988" t="inlineStr">
        <is>
          <t>01/03/2026</t>
        </is>
      </c>
      <c r="E988" t="n">
        <v>0</v>
      </c>
      <c r="F988" t="inlineStr">
        <is>
          <t>Fabrica de Bares (2025)</t>
        </is>
      </c>
      <c r="G988" t="b">
        <v>1</v>
      </c>
      <c r="H988" t="inlineStr">
        <is>
          <t>3/2026</t>
        </is>
      </c>
    </row>
    <row r="989">
      <c r="A989" t="inlineStr">
        <is>
          <t>Nuv Gastrobar</t>
        </is>
      </c>
      <c r="B989" t="inlineStr">
        <is>
          <t>Mão de Obra - Benefícios</t>
        </is>
      </c>
      <c r="C989" t="inlineStr">
        <is>
          <t xml:space="preserve">  -  Ajuda de Custo</t>
        </is>
      </c>
      <c r="D989" t="inlineStr">
        <is>
          <t>01/04/2026</t>
        </is>
      </c>
      <c r="E989" t="n">
        <v>0</v>
      </c>
      <c r="F989" t="inlineStr">
        <is>
          <t>Fabrica de Bares (2025)</t>
        </is>
      </c>
      <c r="G989" t="b">
        <v>1</v>
      </c>
      <c r="H989" t="inlineStr">
        <is>
          <t>4/2026</t>
        </is>
      </c>
    </row>
    <row r="990">
      <c r="A990" t="inlineStr">
        <is>
          <t>Nuv Gastrobar</t>
        </is>
      </c>
      <c r="B990" t="inlineStr">
        <is>
          <t>Mão de Obra - Benefícios</t>
        </is>
      </c>
      <c r="C990" t="inlineStr">
        <is>
          <t xml:space="preserve">  -  Ajuda de Custo</t>
        </is>
      </c>
      <c r="D990" t="inlineStr">
        <is>
          <t>01/05/2026</t>
        </is>
      </c>
      <c r="E990" t="n">
        <v>0</v>
      </c>
      <c r="F990" t="inlineStr">
        <is>
          <t>Fabrica de Bares (2025)</t>
        </is>
      </c>
      <c r="G990" t="b">
        <v>1</v>
      </c>
      <c r="H990" t="inlineStr">
        <is>
          <t>5/2026</t>
        </is>
      </c>
    </row>
    <row r="991">
      <c r="A991" t="inlineStr">
        <is>
          <t>Nuv Gastrobar</t>
        </is>
      </c>
      <c r="B991" t="inlineStr">
        <is>
          <t>Mão de Obra - Benefícios</t>
        </is>
      </c>
      <c r="C991" t="inlineStr">
        <is>
          <t xml:space="preserve">  -  Ajuda de Custo</t>
        </is>
      </c>
      <c r="D991" t="inlineStr">
        <is>
          <t>01/06/2026</t>
        </is>
      </c>
      <c r="E991" t="n">
        <v>0</v>
      </c>
      <c r="F991" t="inlineStr">
        <is>
          <t>Fabrica de Bares (2025)</t>
        </is>
      </c>
      <c r="G991" t="b">
        <v>1</v>
      </c>
      <c r="H991" t="inlineStr">
        <is>
          <t>6/2026</t>
        </is>
      </c>
    </row>
    <row r="992">
      <c r="A992" t="inlineStr">
        <is>
          <t>Nuv Gastrobar</t>
        </is>
      </c>
      <c r="B992" t="inlineStr">
        <is>
          <t>Mão de Obra - Benefícios</t>
        </is>
      </c>
      <c r="C992" t="inlineStr">
        <is>
          <t xml:space="preserve">  -  Ajuda de Custo</t>
        </is>
      </c>
      <c r="D992" t="inlineStr">
        <is>
          <t>01/07/2026</t>
        </is>
      </c>
      <c r="E992" t="n">
        <v>0</v>
      </c>
      <c r="F992" t="inlineStr">
        <is>
          <t>Fabrica de Bares (2025)</t>
        </is>
      </c>
      <c r="G992" t="b">
        <v>1</v>
      </c>
      <c r="H992" t="inlineStr">
        <is>
          <t>7/2026</t>
        </is>
      </c>
    </row>
    <row r="993">
      <c r="A993" t="inlineStr">
        <is>
          <t>Nuv Gastrobar</t>
        </is>
      </c>
      <c r="B993" t="inlineStr">
        <is>
          <t>Mão de Obra - Benefícios</t>
        </is>
      </c>
      <c r="C993" t="inlineStr">
        <is>
          <t xml:space="preserve">  -  Ajuda de Custo</t>
        </is>
      </c>
      <c r="D993" t="inlineStr">
        <is>
          <t>01/08/2026</t>
        </is>
      </c>
      <c r="E993" t="n">
        <v>0</v>
      </c>
      <c r="F993" t="inlineStr">
        <is>
          <t>Fabrica de Bares (2025)</t>
        </is>
      </c>
      <c r="G993" t="b">
        <v>1</v>
      </c>
      <c r="H993" t="inlineStr">
        <is>
          <t>8/2026</t>
        </is>
      </c>
    </row>
    <row r="994">
      <c r="A994" t="inlineStr">
        <is>
          <t>Nuv Gastrobar</t>
        </is>
      </c>
      <c r="B994" t="inlineStr">
        <is>
          <t>Mão de Obra - Benefícios</t>
        </is>
      </c>
      <c r="C994" t="inlineStr">
        <is>
          <t xml:space="preserve">  -  Ajuda de Custo</t>
        </is>
      </c>
      <c r="D994" t="inlineStr">
        <is>
          <t>01/09/2026</t>
        </is>
      </c>
      <c r="E994" t="n">
        <v>0</v>
      </c>
      <c r="F994" t="inlineStr">
        <is>
          <t>Fabrica de Bares (2025)</t>
        </is>
      </c>
      <c r="G994" t="b">
        <v>1</v>
      </c>
      <c r="H994" t="inlineStr">
        <is>
          <t>9/2026</t>
        </is>
      </c>
    </row>
    <row r="995">
      <c r="A995" t="inlineStr">
        <is>
          <t>Nuv Gastrobar</t>
        </is>
      </c>
      <c r="B995" t="inlineStr">
        <is>
          <t>Mão de Obra - Benefícios</t>
        </is>
      </c>
      <c r="C995" t="inlineStr">
        <is>
          <t xml:space="preserve">  -  Ajuda de Custo</t>
        </is>
      </c>
      <c r="D995" t="inlineStr">
        <is>
          <t>01/10/2026</t>
        </is>
      </c>
      <c r="E995" t="n">
        <v>0</v>
      </c>
      <c r="F995" t="inlineStr">
        <is>
          <t>Fabrica de Bares (2025)</t>
        </is>
      </c>
      <c r="G995" t="b">
        <v>1</v>
      </c>
      <c r="H995" t="inlineStr">
        <is>
          <t>10/2026</t>
        </is>
      </c>
    </row>
    <row r="996">
      <c r="A996" t="inlineStr">
        <is>
          <t>Nuv Gastrobar</t>
        </is>
      </c>
      <c r="B996" t="inlineStr">
        <is>
          <t>Mão de Obra - Benefícios</t>
        </is>
      </c>
      <c r="C996" t="inlineStr">
        <is>
          <t xml:space="preserve">  -  Ajuda de Custo</t>
        </is>
      </c>
      <c r="D996" t="inlineStr">
        <is>
          <t>01/11/2026</t>
        </is>
      </c>
      <c r="E996" t="n">
        <v>0</v>
      </c>
      <c r="F996" t="inlineStr">
        <is>
          <t>Fabrica de Bares (2025)</t>
        </is>
      </c>
      <c r="G996" t="b">
        <v>1</v>
      </c>
      <c r="H996" t="inlineStr">
        <is>
          <t>11/2026</t>
        </is>
      </c>
    </row>
    <row r="997">
      <c r="A997" t="inlineStr">
        <is>
          <t>Nuv Gastrobar</t>
        </is>
      </c>
      <c r="B997" t="inlineStr">
        <is>
          <t>Mão de Obra - Benefícios</t>
        </is>
      </c>
      <c r="C997" t="inlineStr">
        <is>
          <t xml:space="preserve">  -  Ajuda de Custo</t>
        </is>
      </c>
      <c r="D997" t="inlineStr">
        <is>
          <t>01/12/2026</t>
        </is>
      </c>
      <c r="E997" t="n">
        <v>0</v>
      </c>
      <c r="F997" t="inlineStr">
        <is>
          <t>Fabrica de Bares (2025)</t>
        </is>
      </c>
      <c r="G997" t="b">
        <v>1</v>
      </c>
      <c r="H997" t="inlineStr">
        <is>
          <t>12/2026</t>
        </is>
      </c>
    </row>
    <row r="998">
      <c r="A998" t="inlineStr">
        <is>
          <t>Nuv Gastrobar</t>
        </is>
      </c>
      <c r="B998" t="inlineStr">
        <is>
          <t>Mão de Obra - Benefícios</t>
        </is>
      </c>
      <c r="C998" t="inlineStr">
        <is>
          <t xml:space="preserve">  -  Alimentação Funcionário</t>
        </is>
      </c>
      <c r="D998" t="inlineStr">
        <is>
          <t>01/01/2026</t>
        </is>
      </c>
      <c r="E998" t="n">
        <v>0</v>
      </c>
      <c r="F998" t="inlineStr">
        <is>
          <t>Fabrica de Bares (2025)</t>
        </is>
      </c>
      <c r="G998" t="b">
        <v>1</v>
      </c>
      <c r="H998" t="inlineStr">
        <is>
          <t>1/2026</t>
        </is>
      </c>
    </row>
    <row r="999">
      <c r="A999" t="inlineStr">
        <is>
          <t>Nuv Gastrobar</t>
        </is>
      </c>
      <c r="B999" t="inlineStr">
        <is>
          <t>Mão de Obra - Benefícios</t>
        </is>
      </c>
      <c r="C999" t="inlineStr">
        <is>
          <t xml:space="preserve">  -  Alimentação Funcionário</t>
        </is>
      </c>
      <c r="D999" t="inlineStr">
        <is>
          <t>01/02/2026</t>
        </is>
      </c>
      <c r="E999" t="n">
        <v>0</v>
      </c>
      <c r="F999" t="inlineStr">
        <is>
          <t>Fabrica de Bares (2025)</t>
        </is>
      </c>
      <c r="G999" t="b">
        <v>1</v>
      </c>
      <c r="H999" t="inlineStr">
        <is>
          <t>2/2026</t>
        </is>
      </c>
    </row>
    <row r="1000">
      <c r="A1000" t="inlineStr">
        <is>
          <t>Nuv Gastrobar</t>
        </is>
      </c>
      <c r="B1000" t="inlineStr">
        <is>
          <t>Mão de Obra - Benefícios</t>
        </is>
      </c>
      <c r="C1000" t="inlineStr">
        <is>
          <t xml:space="preserve">  -  Alimentação Funcionário</t>
        </is>
      </c>
      <c r="D1000" t="inlineStr">
        <is>
          <t>01/03/2026</t>
        </is>
      </c>
      <c r="E1000" t="n">
        <v>0</v>
      </c>
      <c r="F1000" t="inlineStr">
        <is>
          <t>Fabrica de Bares (2025)</t>
        </is>
      </c>
      <c r="G1000" t="b">
        <v>1</v>
      </c>
      <c r="H1000" t="inlineStr">
        <is>
          <t>3/2026</t>
        </is>
      </c>
    </row>
    <row r="1001">
      <c r="A1001" t="inlineStr">
        <is>
          <t>Nuv Gastrobar</t>
        </is>
      </c>
      <c r="B1001" t="inlineStr">
        <is>
          <t>Mão de Obra - Benefícios</t>
        </is>
      </c>
      <c r="C1001" t="inlineStr">
        <is>
          <t xml:space="preserve">  -  Alimentação Funcionário</t>
        </is>
      </c>
      <c r="D1001" t="inlineStr">
        <is>
          <t>01/04/2026</t>
        </is>
      </c>
      <c r="E1001" t="n">
        <v>0</v>
      </c>
      <c r="F1001" t="inlineStr">
        <is>
          <t>Fabrica de Bares (2025)</t>
        </is>
      </c>
      <c r="G1001" t="b">
        <v>1</v>
      </c>
      <c r="H1001" t="inlineStr">
        <is>
          <t>4/2026</t>
        </is>
      </c>
    </row>
    <row r="1002">
      <c r="A1002" t="inlineStr">
        <is>
          <t>Nuv Gastrobar</t>
        </is>
      </c>
      <c r="B1002" t="inlineStr">
        <is>
          <t>Mão de Obra - Benefícios</t>
        </is>
      </c>
      <c r="C1002" t="inlineStr">
        <is>
          <t xml:space="preserve">  -  Alimentação Funcionário</t>
        </is>
      </c>
      <c r="D1002" t="inlineStr">
        <is>
          <t>01/05/2026</t>
        </is>
      </c>
      <c r="E1002" t="n">
        <v>0</v>
      </c>
      <c r="F1002" t="inlineStr">
        <is>
          <t>Fabrica de Bares (2025)</t>
        </is>
      </c>
      <c r="G1002" t="b">
        <v>1</v>
      </c>
      <c r="H1002" t="inlineStr">
        <is>
          <t>5/2026</t>
        </is>
      </c>
    </row>
    <row r="1003">
      <c r="A1003" t="inlineStr">
        <is>
          <t>Nuv Gastrobar</t>
        </is>
      </c>
      <c r="B1003" t="inlineStr">
        <is>
          <t>Mão de Obra - Benefícios</t>
        </is>
      </c>
      <c r="C1003" t="inlineStr">
        <is>
          <t xml:space="preserve">  -  Alimentação Funcionário</t>
        </is>
      </c>
      <c r="D1003" t="inlineStr">
        <is>
          <t>01/06/2026</t>
        </is>
      </c>
      <c r="E1003" t="n">
        <v>0</v>
      </c>
      <c r="F1003" t="inlineStr">
        <is>
          <t>Fabrica de Bares (2025)</t>
        </is>
      </c>
      <c r="G1003" t="b">
        <v>1</v>
      </c>
      <c r="H1003" t="inlineStr">
        <is>
          <t>6/2026</t>
        </is>
      </c>
    </row>
    <row r="1004">
      <c r="A1004" t="inlineStr">
        <is>
          <t>Nuv Gastrobar</t>
        </is>
      </c>
      <c r="B1004" t="inlineStr">
        <is>
          <t>Mão de Obra - Benefícios</t>
        </is>
      </c>
      <c r="C1004" t="inlineStr">
        <is>
          <t xml:space="preserve">  -  Alimentação Funcionário</t>
        </is>
      </c>
      <c r="D1004" t="inlineStr">
        <is>
          <t>01/07/2026</t>
        </is>
      </c>
      <c r="E1004" t="n">
        <v>0</v>
      </c>
      <c r="F1004" t="inlineStr">
        <is>
          <t>Fabrica de Bares (2025)</t>
        </is>
      </c>
      <c r="G1004" t="b">
        <v>1</v>
      </c>
      <c r="H1004" t="inlineStr">
        <is>
          <t>7/2026</t>
        </is>
      </c>
    </row>
    <row r="1005">
      <c r="A1005" t="inlineStr">
        <is>
          <t>Nuv Gastrobar</t>
        </is>
      </c>
      <c r="B1005" t="inlineStr">
        <is>
          <t>Mão de Obra - Benefícios</t>
        </is>
      </c>
      <c r="C1005" t="inlineStr">
        <is>
          <t xml:space="preserve">  -  Alimentação Funcionário</t>
        </is>
      </c>
      <c r="D1005" t="inlineStr">
        <is>
          <t>01/08/2026</t>
        </is>
      </c>
      <c r="E1005" t="n">
        <v>8970</v>
      </c>
      <c r="F1005" t="inlineStr">
        <is>
          <t>Fabrica de Bares (2025)</t>
        </is>
      </c>
      <c r="G1005" t="b">
        <v>1</v>
      </c>
      <c r="H1005" t="inlineStr">
        <is>
          <t>8/2026</t>
        </is>
      </c>
    </row>
    <row r="1006">
      <c r="A1006" t="inlineStr">
        <is>
          <t>Nuv Gastrobar</t>
        </is>
      </c>
      <c r="B1006" t="inlineStr">
        <is>
          <t>Mão de Obra - Benefícios</t>
        </is>
      </c>
      <c r="C1006" t="inlineStr">
        <is>
          <t xml:space="preserve">  -  Alimentação Funcionário</t>
        </is>
      </c>
      <c r="D1006" t="inlineStr">
        <is>
          <t>01/09/2026</t>
        </is>
      </c>
      <c r="E1006" t="n">
        <v>8970</v>
      </c>
      <c r="F1006" t="inlineStr">
        <is>
          <t>Fabrica de Bares (2025)</t>
        </is>
      </c>
      <c r="G1006" t="b">
        <v>1</v>
      </c>
      <c r="H1006" t="inlineStr">
        <is>
          <t>9/2026</t>
        </is>
      </c>
    </row>
    <row r="1007">
      <c r="A1007" t="inlineStr">
        <is>
          <t>Nuv Gastrobar</t>
        </is>
      </c>
      <c r="B1007" t="inlineStr">
        <is>
          <t>Mão de Obra - Benefícios</t>
        </is>
      </c>
      <c r="C1007" t="inlineStr">
        <is>
          <t xml:space="preserve">  -  Alimentação Funcionário</t>
        </is>
      </c>
      <c r="D1007" t="inlineStr">
        <is>
          <t>01/10/2026</t>
        </is>
      </c>
      <c r="E1007" t="n">
        <v>8970</v>
      </c>
      <c r="F1007" t="inlineStr">
        <is>
          <t>Fabrica de Bares (2025)</t>
        </is>
      </c>
      <c r="G1007" t="b">
        <v>1</v>
      </c>
      <c r="H1007" t="inlineStr">
        <is>
          <t>10/2026</t>
        </is>
      </c>
    </row>
    <row r="1008">
      <c r="A1008" t="inlineStr">
        <is>
          <t>Nuv Gastrobar</t>
        </is>
      </c>
      <c r="B1008" t="inlineStr">
        <is>
          <t>Mão de Obra - Benefícios</t>
        </is>
      </c>
      <c r="C1008" t="inlineStr">
        <is>
          <t xml:space="preserve">  -  Alimentação Funcionário</t>
        </is>
      </c>
      <c r="D1008" t="inlineStr">
        <is>
          <t>01/11/2026</t>
        </is>
      </c>
      <c r="E1008" t="n">
        <v>8970</v>
      </c>
      <c r="F1008" t="inlineStr">
        <is>
          <t>Fabrica de Bares (2025)</t>
        </is>
      </c>
      <c r="G1008" t="b">
        <v>1</v>
      </c>
      <c r="H1008" t="inlineStr">
        <is>
          <t>11/2026</t>
        </is>
      </c>
    </row>
    <row r="1009">
      <c r="A1009" t="inlineStr">
        <is>
          <t>Nuv Gastrobar</t>
        </is>
      </c>
      <c r="B1009" t="inlineStr">
        <is>
          <t>Mão de Obra - Benefícios</t>
        </is>
      </c>
      <c r="C1009" t="inlineStr">
        <is>
          <t xml:space="preserve">  -  Alimentação Funcionário</t>
        </is>
      </c>
      <c r="D1009" t="inlineStr">
        <is>
          <t>01/12/2026</t>
        </is>
      </c>
      <c r="E1009" t="n">
        <v>8970</v>
      </c>
      <c r="F1009" t="inlineStr">
        <is>
          <t>Fabrica de Bares (2025)</t>
        </is>
      </c>
      <c r="G1009" t="b">
        <v>1</v>
      </c>
      <c r="H1009" t="inlineStr">
        <is>
          <t>12/2026</t>
        </is>
      </c>
    </row>
    <row r="1010">
      <c r="A1010" t="inlineStr">
        <is>
          <t>Nuv Gastrobar</t>
        </is>
      </c>
      <c r="B1010" t="inlineStr">
        <is>
          <t>Mão de Obra - Benefícios</t>
        </is>
      </c>
      <c r="C1010" t="inlineStr">
        <is>
          <t xml:space="preserve">  -  Assist. Médica</t>
        </is>
      </c>
      <c r="D1010" t="inlineStr">
        <is>
          <t>01/01/2026</t>
        </is>
      </c>
      <c r="E1010" t="n">
        <v>0</v>
      </c>
      <c r="F1010" t="inlineStr">
        <is>
          <t>Fabrica de Bares (2025)</t>
        </is>
      </c>
      <c r="G1010" t="b">
        <v>1</v>
      </c>
      <c r="H1010" t="inlineStr">
        <is>
          <t>1/2026</t>
        </is>
      </c>
    </row>
    <row r="1011">
      <c r="A1011" t="inlineStr">
        <is>
          <t>Nuv Gastrobar</t>
        </is>
      </c>
      <c r="B1011" t="inlineStr">
        <is>
          <t>Mão de Obra - Benefícios</t>
        </is>
      </c>
      <c r="C1011" t="inlineStr">
        <is>
          <t xml:space="preserve">  -  Assist. Médica</t>
        </is>
      </c>
      <c r="D1011" t="inlineStr">
        <is>
          <t>01/02/2026</t>
        </is>
      </c>
      <c r="E1011" t="n">
        <v>0</v>
      </c>
      <c r="F1011" t="inlineStr">
        <is>
          <t>Fabrica de Bares (2025)</t>
        </is>
      </c>
      <c r="G1011" t="b">
        <v>1</v>
      </c>
      <c r="H1011" t="inlineStr">
        <is>
          <t>2/2026</t>
        </is>
      </c>
    </row>
    <row r="1012">
      <c r="A1012" t="inlineStr">
        <is>
          <t>Nuv Gastrobar</t>
        </is>
      </c>
      <c r="B1012" t="inlineStr">
        <is>
          <t>Mão de Obra - Benefícios</t>
        </is>
      </c>
      <c r="C1012" t="inlineStr">
        <is>
          <t xml:space="preserve">  -  Assist. Médica</t>
        </is>
      </c>
      <c r="D1012" t="inlineStr">
        <is>
          <t>01/03/2026</t>
        </is>
      </c>
      <c r="E1012" t="n">
        <v>0</v>
      </c>
      <c r="F1012" t="inlineStr">
        <is>
          <t>Fabrica de Bares (2025)</t>
        </is>
      </c>
      <c r="G1012" t="b">
        <v>1</v>
      </c>
      <c r="H1012" t="inlineStr">
        <is>
          <t>3/2026</t>
        </is>
      </c>
    </row>
    <row r="1013">
      <c r="A1013" t="inlineStr">
        <is>
          <t>Nuv Gastrobar</t>
        </is>
      </c>
      <c r="B1013" t="inlineStr">
        <is>
          <t>Mão de Obra - Benefícios</t>
        </is>
      </c>
      <c r="C1013" t="inlineStr">
        <is>
          <t xml:space="preserve">  -  Assist. Médica</t>
        </is>
      </c>
      <c r="D1013" t="inlineStr">
        <is>
          <t>01/04/2026</t>
        </is>
      </c>
      <c r="E1013" t="n">
        <v>0</v>
      </c>
      <c r="F1013" t="inlineStr">
        <is>
          <t>Fabrica de Bares (2025)</t>
        </is>
      </c>
      <c r="G1013" t="b">
        <v>1</v>
      </c>
      <c r="H1013" t="inlineStr">
        <is>
          <t>4/2026</t>
        </is>
      </c>
    </row>
    <row r="1014">
      <c r="A1014" t="inlineStr">
        <is>
          <t>Nuv Gastrobar</t>
        </is>
      </c>
      <c r="B1014" t="inlineStr">
        <is>
          <t>Mão de Obra - Benefícios</t>
        </is>
      </c>
      <c r="C1014" t="inlineStr">
        <is>
          <t xml:space="preserve">  -  Assist. Médica</t>
        </is>
      </c>
      <c r="D1014" t="inlineStr">
        <is>
          <t>01/05/2026</t>
        </is>
      </c>
      <c r="E1014" t="n">
        <v>0</v>
      </c>
      <c r="F1014" t="inlineStr">
        <is>
          <t>Fabrica de Bares (2025)</t>
        </is>
      </c>
      <c r="G1014" t="b">
        <v>1</v>
      </c>
      <c r="H1014" t="inlineStr">
        <is>
          <t>5/2026</t>
        </is>
      </c>
    </row>
    <row r="1015">
      <c r="A1015" t="inlineStr">
        <is>
          <t>Nuv Gastrobar</t>
        </is>
      </c>
      <c r="B1015" t="inlineStr">
        <is>
          <t>Mão de Obra - Benefícios</t>
        </is>
      </c>
      <c r="C1015" t="inlineStr">
        <is>
          <t xml:space="preserve">  -  Assist. Médica</t>
        </is>
      </c>
      <c r="D1015" t="inlineStr">
        <is>
          <t>01/06/2026</t>
        </is>
      </c>
      <c r="E1015" t="n">
        <v>0</v>
      </c>
      <c r="F1015" t="inlineStr">
        <is>
          <t>Fabrica de Bares (2025)</t>
        </is>
      </c>
      <c r="G1015" t="b">
        <v>1</v>
      </c>
      <c r="H1015" t="inlineStr">
        <is>
          <t>6/2026</t>
        </is>
      </c>
    </row>
    <row r="1016">
      <c r="A1016" t="inlineStr">
        <is>
          <t>Nuv Gastrobar</t>
        </is>
      </c>
      <c r="B1016" t="inlineStr">
        <is>
          <t>Mão de Obra - Benefícios</t>
        </is>
      </c>
      <c r="C1016" t="inlineStr">
        <is>
          <t xml:space="preserve">  -  Assist. Médica</t>
        </is>
      </c>
      <c r="D1016" t="inlineStr">
        <is>
          <t>01/07/2026</t>
        </is>
      </c>
      <c r="E1016" t="n">
        <v>0</v>
      </c>
      <c r="F1016" t="inlineStr">
        <is>
          <t>Fabrica de Bares (2025)</t>
        </is>
      </c>
      <c r="G1016" t="b">
        <v>1</v>
      </c>
      <c r="H1016" t="inlineStr">
        <is>
          <t>7/2026</t>
        </is>
      </c>
    </row>
    <row r="1017">
      <c r="A1017" t="inlineStr">
        <is>
          <t>Nuv Gastrobar</t>
        </is>
      </c>
      <c r="B1017" t="inlineStr">
        <is>
          <t>Mão de Obra - Benefícios</t>
        </is>
      </c>
      <c r="C1017" t="inlineStr">
        <is>
          <t xml:space="preserve">  -  Assist. Médica</t>
        </is>
      </c>
      <c r="D1017" t="inlineStr">
        <is>
          <t>01/08/2026</t>
        </is>
      </c>
      <c r="E1017" t="n">
        <v>0</v>
      </c>
      <c r="F1017" t="inlineStr">
        <is>
          <t>Fabrica de Bares (2025)</t>
        </is>
      </c>
      <c r="G1017" t="b">
        <v>1</v>
      </c>
      <c r="H1017" t="inlineStr">
        <is>
          <t>8/2026</t>
        </is>
      </c>
    </row>
    <row r="1018">
      <c r="A1018" t="inlineStr">
        <is>
          <t>Nuv Gastrobar</t>
        </is>
      </c>
      <c r="B1018" t="inlineStr">
        <is>
          <t>Mão de Obra - Benefícios</t>
        </is>
      </c>
      <c r="C1018" t="inlineStr">
        <is>
          <t xml:space="preserve">  -  Assist. Médica</t>
        </is>
      </c>
      <c r="D1018" t="inlineStr">
        <is>
          <t>01/09/2026</t>
        </is>
      </c>
      <c r="E1018" t="n">
        <v>0</v>
      </c>
      <c r="F1018" t="inlineStr">
        <is>
          <t>Fabrica de Bares (2025)</t>
        </is>
      </c>
      <c r="G1018" t="b">
        <v>1</v>
      </c>
      <c r="H1018" t="inlineStr">
        <is>
          <t>9/2026</t>
        </is>
      </c>
    </row>
    <row r="1019">
      <c r="A1019" t="inlineStr">
        <is>
          <t>Nuv Gastrobar</t>
        </is>
      </c>
      <c r="B1019" t="inlineStr">
        <is>
          <t>Mão de Obra - Benefícios</t>
        </is>
      </c>
      <c r="C1019" t="inlineStr">
        <is>
          <t xml:space="preserve">  -  Assist. Médica</t>
        </is>
      </c>
      <c r="D1019" t="inlineStr">
        <is>
          <t>01/10/2026</t>
        </is>
      </c>
      <c r="E1019" t="n">
        <v>0</v>
      </c>
      <c r="F1019" t="inlineStr">
        <is>
          <t>Fabrica de Bares (2025)</t>
        </is>
      </c>
      <c r="G1019" t="b">
        <v>1</v>
      </c>
      <c r="H1019" t="inlineStr">
        <is>
          <t>10/2026</t>
        </is>
      </c>
    </row>
    <row r="1020">
      <c r="A1020" t="inlineStr">
        <is>
          <t>Nuv Gastrobar</t>
        </is>
      </c>
      <c r="B1020" t="inlineStr">
        <is>
          <t>Mão de Obra - Benefícios</t>
        </is>
      </c>
      <c r="C1020" t="inlineStr">
        <is>
          <t xml:space="preserve">  -  Assist. Médica</t>
        </is>
      </c>
      <c r="D1020" t="inlineStr">
        <is>
          <t>01/11/2026</t>
        </is>
      </c>
      <c r="E1020" t="n">
        <v>0</v>
      </c>
      <c r="F1020" t="inlineStr">
        <is>
          <t>Fabrica de Bares (2025)</t>
        </is>
      </c>
      <c r="G1020" t="b">
        <v>1</v>
      </c>
      <c r="H1020" t="inlineStr">
        <is>
          <t>11/2026</t>
        </is>
      </c>
    </row>
    <row r="1021">
      <c r="A1021" t="inlineStr">
        <is>
          <t>Nuv Gastrobar</t>
        </is>
      </c>
      <c r="B1021" t="inlineStr">
        <is>
          <t>Mão de Obra - Benefícios</t>
        </is>
      </c>
      <c r="C1021" t="inlineStr">
        <is>
          <t xml:space="preserve">  -  Assist. Médica</t>
        </is>
      </c>
      <c r="D1021" t="inlineStr">
        <is>
          <t>01/12/2026</t>
        </is>
      </c>
      <c r="E1021" t="n">
        <v>0</v>
      </c>
      <c r="F1021" t="inlineStr">
        <is>
          <t>Fabrica de Bares (2025)</t>
        </is>
      </c>
      <c r="G1021" t="b">
        <v>1</v>
      </c>
      <c r="H1021" t="inlineStr">
        <is>
          <t>12/2026</t>
        </is>
      </c>
    </row>
    <row r="1022">
      <c r="A1022" t="inlineStr">
        <is>
          <t>Nuv Gastrobar</t>
        </is>
      </c>
      <c r="B1022" t="inlineStr">
        <is>
          <t>Mão de Obra - Benefícios</t>
        </is>
      </c>
      <c r="C1022" t="inlineStr">
        <is>
          <t xml:space="preserve">  -  Assist. Odontologica</t>
        </is>
      </c>
      <c r="D1022" t="inlineStr">
        <is>
          <t>01/01/2026</t>
        </is>
      </c>
      <c r="E1022" t="n">
        <v>0</v>
      </c>
      <c r="F1022" t="inlineStr">
        <is>
          <t>Fabrica de Bares (2025)</t>
        </is>
      </c>
      <c r="G1022" t="b">
        <v>1</v>
      </c>
      <c r="H1022" t="inlineStr">
        <is>
          <t>1/2026</t>
        </is>
      </c>
    </row>
    <row r="1023">
      <c r="A1023" t="inlineStr">
        <is>
          <t>Nuv Gastrobar</t>
        </is>
      </c>
      <c r="B1023" t="inlineStr">
        <is>
          <t>Mão de Obra - Benefícios</t>
        </is>
      </c>
      <c r="C1023" t="inlineStr">
        <is>
          <t xml:space="preserve">  -  Assist. Odontologica</t>
        </is>
      </c>
      <c r="D1023" t="inlineStr">
        <is>
          <t>01/02/2026</t>
        </is>
      </c>
      <c r="E1023" t="n">
        <v>0</v>
      </c>
      <c r="F1023" t="inlineStr">
        <is>
          <t>Fabrica de Bares (2025)</t>
        </is>
      </c>
      <c r="G1023" t="b">
        <v>1</v>
      </c>
      <c r="H1023" t="inlineStr">
        <is>
          <t>2/2026</t>
        </is>
      </c>
    </row>
    <row r="1024">
      <c r="A1024" t="inlineStr">
        <is>
          <t>Nuv Gastrobar</t>
        </is>
      </c>
      <c r="B1024" t="inlineStr">
        <is>
          <t>Mão de Obra - Benefícios</t>
        </is>
      </c>
      <c r="C1024" t="inlineStr">
        <is>
          <t xml:space="preserve">  -  Assist. Odontologica</t>
        </is>
      </c>
      <c r="D1024" t="inlineStr">
        <is>
          <t>01/03/2026</t>
        </is>
      </c>
      <c r="E1024" t="n">
        <v>0</v>
      </c>
      <c r="F1024" t="inlineStr">
        <is>
          <t>Fabrica de Bares (2025)</t>
        </is>
      </c>
      <c r="G1024" t="b">
        <v>1</v>
      </c>
      <c r="H1024" t="inlineStr">
        <is>
          <t>3/2026</t>
        </is>
      </c>
    </row>
    <row r="1025">
      <c r="A1025" t="inlineStr">
        <is>
          <t>Nuv Gastrobar</t>
        </is>
      </c>
      <c r="B1025" t="inlineStr">
        <is>
          <t>Mão de Obra - Benefícios</t>
        </is>
      </c>
      <c r="C1025" t="inlineStr">
        <is>
          <t xml:space="preserve">  -  Assist. Odontologica</t>
        </is>
      </c>
      <c r="D1025" t="inlineStr">
        <is>
          <t>01/04/2026</t>
        </is>
      </c>
      <c r="E1025" t="n">
        <v>0</v>
      </c>
      <c r="F1025" t="inlineStr">
        <is>
          <t>Fabrica de Bares (2025)</t>
        </is>
      </c>
      <c r="G1025" t="b">
        <v>1</v>
      </c>
      <c r="H1025" t="inlineStr">
        <is>
          <t>4/2026</t>
        </is>
      </c>
    </row>
    <row r="1026">
      <c r="A1026" t="inlineStr">
        <is>
          <t>Nuv Gastrobar</t>
        </is>
      </c>
      <c r="B1026" t="inlineStr">
        <is>
          <t>Mão de Obra - Benefícios</t>
        </is>
      </c>
      <c r="C1026" t="inlineStr">
        <is>
          <t xml:space="preserve">  -  Assist. Odontologica</t>
        </is>
      </c>
      <c r="D1026" t="inlineStr">
        <is>
          <t>01/05/2026</t>
        </is>
      </c>
      <c r="E1026" t="n">
        <v>0</v>
      </c>
      <c r="F1026" t="inlineStr">
        <is>
          <t>Fabrica de Bares (2025)</t>
        </is>
      </c>
      <c r="G1026" t="b">
        <v>1</v>
      </c>
      <c r="H1026" t="inlineStr">
        <is>
          <t>5/2026</t>
        </is>
      </c>
    </row>
    <row r="1027">
      <c r="A1027" t="inlineStr">
        <is>
          <t>Nuv Gastrobar</t>
        </is>
      </c>
      <c r="B1027" t="inlineStr">
        <is>
          <t>Mão de Obra - Benefícios</t>
        </is>
      </c>
      <c r="C1027" t="inlineStr">
        <is>
          <t xml:space="preserve">  -  Assist. Odontologica</t>
        </is>
      </c>
      <c r="D1027" t="inlineStr">
        <is>
          <t>01/06/2026</t>
        </is>
      </c>
      <c r="E1027" t="n">
        <v>0</v>
      </c>
      <c r="F1027" t="inlineStr">
        <is>
          <t>Fabrica de Bares (2025)</t>
        </is>
      </c>
      <c r="G1027" t="b">
        <v>1</v>
      </c>
      <c r="H1027" t="inlineStr">
        <is>
          <t>6/2026</t>
        </is>
      </c>
    </row>
    <row r="1028">
      <c r="A1028" t="inlineStr">
        <is>
          <t>Nuv Gastrobar</t>
        </is>
      </c>
      <c r="B1028" t="inlineStr">
        <is>
          <t>Mão de Obra - Benefícios</t>
        </is>
      </c>
      <c r="C1028" t="inlineStr">
        <is>
          <t xml:space="preserve">  -  Assist. Odontologica</t>
        </is>
      </c>
      <c r="D1028" t="inlineStr">
        <is>
          <t>01/07/2026</t>
        </is>
      </c>
      <c r="E1028" t="n">
        <v>0</v>
      </c>
      <c r="F1028" t="inlineStr">
        <is>
          <t>Fabrica de Bares (2025)</t>
        </is>
      </c>
      <c r="G1028" t="b">
        <v>1</v>
      </c>
      <c r="H1028" t="inlineStr">
        <is>
          <t>7/2026</t>
        </is>
      </c>
    </row>
    <row r="1029">
      <c r="A1029" t="inlineStr">
        <is>
          <t>Nuv Gastrobar</t>
        </is>
      </c>
      <c r="B1029" t="inlineStr">
        <is>
          <t>Mão de Obra - Benefícios</t>
        </is>
      </c>
      <c r="C1029" t="inlineStr">
        <is>
          <t xml:space="preserve">  -  Assist. Odontologica</t>
        </is>
      </c>
      <c r="D1029" t="inlineStr">
        <is>
          <t>01/08/2026</t>
        </is>
      </c>
      <c r="E1029" t="n">
        <v>0</v>
      </c>
      <c r="F1029" t="inlineStr">
        <is>
          <t>Fabrica de Bares (2025)</t>
        </is>
      </c>
      <c r="G1029" t="b">
        <v>1</v>
      </c>
      <c r="H1029" t="inlineStr">
        <is>
          <t>8/2026</t>
        </is>
      </c>
    </row>
    <row r="1030">
      <c r="A1030" t="inlineStr">
        <is>
          <t>Nuv Gastrobar</t>
        </is>
      </c>
      <c r="B1030" t="inlineStr">
        <is>
          <t>Mão de Obra - Benefícios</t>
        </is>
      </c>
      <c r="C1030" t="inlineStr">
        <is>
          <t xml:space="preserve">  -  Assist. Odontologica</t>
        </is>
      </c>
      <c r="D1030" t="inlineStr">
        <is>
          <t>01/09/2026</t>
        </is>
      </c>
      <c r="E1030" t="n">
        <v>0</v>
      </c>
      <c r="F1030" t="inlineStr">
        <is>
          <t>Fabrica de Bares (2025)</t>
        </is>
      </c>
      <c r="G1030" t="b">
        <v>1</v>
      </c>
      <c r="H1030" t="inlineStr">
        <is>
          <t>9/2026</t>
        </is>
      </c>
    </row>
    <row r="1031">
      <c r="A1031" t="inlineStr">
        <is>
          <t>Nuv Gastrobar</t>
        </is>
      </c>
      <c r="B1031" t="inlineStr">
        <is>
          <t>Mão de Obra - Benefícios</t>
        </is>
      </c>
      <c r="C1031" t="inlineStr">
        <is>
          <t xml:space="preserve">  -  Assist. Odontologica</t>
        </is>
      </c>
      <c r="D1031" t="inlineStr">
        <is>
          <t>01/10/2026</t>
        </is>
      </c>
      <c r="E1031" t="n">
        <v>0</v>
      </c>
      <c r="F1031" t="inlineStr">
        <is>
          <t>Fabrica de Bares (2025)</t>
        </is>
      </c>
      <c r="G1031" t="b">
        <v>1</v>
      </c>
      <c r="H1031" t="inlineStr">
        <is>
          <t>10/2026</t>
        </is>
      </c>
    </row>
    <row r="1032">
      <c r="A1032" t="inlineStr">
        <is>
          <t>Nuv Gastrobar</t>
        </is>
      </c>
      <c r="B1032" t="inlineStr">
        <is>
          <t>Mão de Obra - Benefícios</t>
        </is>
      </c>
      <c r="C1032" t="inlineStr">
        <is>
          <t xml:space="preserve">  -  Assist. Odontologica</t>
        </is>
      </c>
      <c r="D1032" t="inlineStr">
        <is>
          <t>01/11/2026</t>
        </is>
      </c>
      <c r="E1032" t="n">
        <v>0</v>
      </c>
      <c r="F1032" t="inlineStr">
        <is>
          <t>Fabrica de Bares (2025)</t>
        </is>
      </c>
      <c r="G1032" t="b">
        <v>1</v>
      </c>
      <c r="H1032" t="inlineStr">
        <is>
          <t>11/2026</t>
        </is>
      </c>
    </row>
    <row r="1033">
      <c r="A1033" t="inlineStr">
        <is>
          <t>Nuv Gastrobar</t>
        </is>
      </c>
      <c r="B1033" t="inlineStr">
        <is>
          <t>Mão de Obra - Benefícios</t>
        </is>
      </c>
      <c r="C1033" t="inlineStr">
        <is>
          <t xml:space="preserve">  -  Assist. Odontologica</t>
        </is>
      </c>
      <c r="D1033" t="inlineStr">
        <is>
          <t>01/12/2026</t>
        </is>
      </c>
      <c r="E1033" t="n">
        <v>0</v>
      </c>
      <c r="F1033" t="inlineStr">
        <is>
          <t>Fabrica de Bares (2025)</t>
        </is>
      </c>
      <c r="G1033" t="b">
        <v>1</v>
      </c>
      <c r="H1033" t="inlineStr">
        <is>
          <t>12/2026</t>
        </is>
      </c>
    </row>
    <row r="1034">
      <c r="A1034" t="inlineStr">
        <is>
          <t>Nuv Gastrobar</t>
        </is>
      </c>
      <c r="B1034" t="inlineStr">
        <is>
          <t>Mão de Obra - Benefícios</t>
        </is>
      </c>
      <c r="C1034" t="inlineStr">
        <is>
          <t xml:space="preserve">  -  Cursos e Treinamentos</t>
        </is>
      </c>
      <c r="D1034" t="inlineStr">
        <is>
          <t>01/01/2026</t>
        </is>
      </c>
      <c r="E1034" t="n">
        <v>0</v>
      </c>
      <c r="F1034" t="inlineStr">
        <is>
          <t>Fabrica de Bares (2025)</t>
        </is>
      </c>
      <c r="G1034" t="b">
        <v>1</v>
      </c>
      <c r="H1034" t="inlineStr">
        <is>
          <t>1/2026</t>
        </is>
      </c>
    </row>
    <row r="1035">
      <c r="A1035" t="inlineStr">
        <is>
          <t>Nuv Gastrobar</t>
        </is>
      </c>
      <c r="B1035" t="inlineStr">
        <is>
          <t>Mão de Obra - Benefícios</t>
        </is>
      </c>
      <c r="C1035" t="inlineStr">
        <is>
          <t xml:space="preserve">  -  Cursos e Treinamentos</t>
        </is>
      </c>
      <c r="D1035" t="inlineStr">
        <is>
          <t>01/02/2026</t>
        </is>
      </c>
      <c r="E1035" t="n">
        <v>0</v>
      </c>
      <c r="F1035" t="inlineStr">
        <is>
          <t>Fabrica de Bares (2025)</t>
        </is>
      </c>
      <c r="G1035" t="b">
        <v>1</v>
      </c>
      <c r="H1035" t="inlineStr">
        <is>
          <t>2/2026</t>
        </is>
      </c>
    </row>
    <row r="1036">
      <c r="A1036" t="inlineStr">
        <is>
          <t>Nuv Gastrobar</t>
        </is>
      </c>
      <c r="B1036" t="inlineStr">
        <is>
          <t>Mão de Obra - Benefícios</t>
        </is>
      </c>
      <c r="C1036" t="inlineStr">
        <is>
          <t xml:space="preserve">  -  Cursos e Treinamentos</t>
        </is>
      </c>
      <c r="D1036" t="inlineStr">
        <is>
          <t>01/03/2026</t>
        </is>
      </c>
      <c r="E1036" t="n">
        <v>0</v>
      </c>
      <c r="F1036" t="inlineStr">
        <is>
          <t>Fabrica de Bares (2025)</t>
        </is>
      </c>
      <c r="G1036" t="b">
        <v>1</v>
      </c>
      <c r="H1036" t="inlineStr">
        <is>
          <t>3/2026</t>
        </is>
      </c>
    </row>
    <row r="1037">
      <c r="A1037" t="inlineStr">
        <is>
          <t>Nuv Gastrobar</t>
        </is>
      </c>
      <c r="B1037" t="inlineStr">
        <is>
          <t>Mão de Obra - Benefícios</t>
        </is>
      </c>
      <c r="C1037" t="inlineStr">
        <is>
          <t xml:space="preserve">  -  Cursos e Treinamentos</t>
        </is>
      </c>
      <c r="D1037" t="inlineStr">
        <is>
          <t>01/04/2026</t>
        </is>
      </c>
      <c r="E1037" t="n">
        <v>0</v>
      </c>
      <c r="F1037" t="inlineStr">
        <is>
          <t>Fabrica de Bares (2025)</t>
        </is>
      </c>
      <c r="G1037" t="b">
        <v>1</v>
      </c>
      <c r="H1037" t="inlineStr">
        <is>
          <t>4/2026</t>
        </is>
      </c>
    </row>
    <row r="1038">
      <c r="A1038" t="inlineStr">
        <is>
          <t>Nuv Gastrobar</t>
        </is>
      </c>
      <c r="B1038" t="inlineStr">
        <is>
          <t>Mão de Obra - Benefícios</t>
        </is>
      </c>
      <c r="C1038" t="inlineStr">
        <is>
          <t xml:space="preserve">  -  Cursos e Treinamentos</t>
        </is>
      </c>
      <c r="D1038" t="inlineStr">
        <is>
          <t>01/05/2026</t>
        </is>
      </c>
      <c r="E1038" t="n">
        <v>0</v>
      </c>
      <c r="F1038" t="inlineStr">
        <is>
          <t>Fabrica de Bares (2025)</t>
        </is>
      </c>
      <c r="G1038" t="b">
        <v>1</v>
      </c>
      <c r="H1038" t="inlineStr">
        <is>
          <t>5/2026</t>
        </is>
      </c>
    </row>
    <row r="1039">
      <c r="A1039" t="inlineStr">
        <is>
          <t>Nuv Gastrobar</t>
        </is>
      </c>
      <c r="B1039" t="inlineStr">
        <is>
          <t>Mão de Obra - Benefícios</t>
        </is>
      </c>
      <c r="C1039" t="inlineStr">
        <is>
          <t xml:space="preserve">  -  Cursos e Treinamentos</t>
        </is>
      </c>
      <c r="D1039" t="inlineStr">
        <is>
          <t>01/06/2026</t>
        </is>
      </c>
      <c r="E1039" t="n">
        <v>0</v>
      </c>
      <c r="F1039" t="inlineStr">
        <is>
          <t>Fabrica de Bares (2025)</t>
        </is>
      </c>
      <c r="G1039" t="b">
        <v>1</v>
      </c>
      <c r="H1039" t="inlineStr">
        <is>
          <t>6/2026</t>
        </is>
      </c>
    </row>
    <row r="1040">
      <c r="A1040" t="inlineStr">
        <is>
          <t>Nuv Gastrobar</t>
        </is>
      </c>
      <c r="B1040" t="inlineStr">
        <is>
          <t>Mão de Obra - Benefícios</t>
        </is>
      </c>
      <c r="C1040" t="inlineStr">
        <is>
          <t xml:space="preserve">  -  Cursos e Treinamentos</t>
        </is>
      </c>
      <c r="D1040" t="inlineStr">
        <is>
          <t>01/07/2026</t>
        </is>
      </c>
      <c r="E1040" t="n">
        <v>0</v>
      </c>
      <c r="F1040" t="inlineStr">
        <is>
          <t>Fabrica de Bares (2025)</t>
        </is>
      </c>
      <c r="G1040" t="b">
        <v>1</v>
      </c>
      <c r="H1040" t="inlineStr">
        <is>
          <t>7/2026</t>
        </is>
      </c>
    </row>
    <row r="1041">
      <c r="A1041" t="inlineStr">
        <is>
          <t>Nuv Gastrobar</t>
        </is>
      </c>
      <c r="B1041" t="inlineStr">
        <is>
          <t>Mão de Obra - Benefícios</t>
        </is>
      </c>
      <c r="C1041" t="inlineStr">
        <is>
          <t xml:space="preserve">  -  Cursos e Treinamentos</t>
        </is>
      </c>
      <c r="D1041" t="inlineStr">
        <is>
          <t>01/08/2026</t>
        </is>
      </c>
      <c r="E1041" t="n">
        <v>0</v>
      </c>
      <c r="F1041" t="inlineStr">
        <is>
          <t>Fabrica de Bares (2025)</t>
        </is>
      </c>
      <c r="G1041" t="b">
        <v>1</v>
      </c>
      <c r="H1041" t="inlineStr">
        <is>
          <t>8/2026</t>
        </is>
      </c>
    </row>
    <row r="1042">
      <c r="A1042" t="inlineStr">
        <is>
          <t>Nuv Gastrobar</t>
        </is>
      </c>
      <c r="B1042" t="inlineStr">
        <is>
          <t>Mão de Obra - Benefícios</t>
        </is>
      </c>
      <c r="C1042" t="inlineStr">
        <is>
          <t xml:space="preserve">  -  Cursos e Treinamentos</t>
        </is>
      </c>
      <c r="D1042" t="inlineStr">
        <is>
          <t>01/09/2026</t>
        </is>
      </c>
      <c r="E1042" t="n">
        <v>0</v>
      </c>
      <c r="F1042" t="inlineStr">
        <is>
          <t>Fabrica de Bares (2025)</t>
        </is>
      </c>
      <c r="G1042" t="b">
        <v>1</v>
      </c>
      <c r="H1042" t="inlineStr">
        <is>
          <t>9/2026</t>
        </is>
      </c>
    </row>
    <row r="1043">
      <c r="A1043" t="inlineStr">
        <is>
          <t>Nuv Gastrobar</t>
        </is>
      </c>
      <c r="B1043" t="inlineStr">
        <is>
          <t>Mão de Obra - Benefícios</t>
        </is>
      </c>
      <c r="C1043" t="inlineStr">
        <is>
          <t xml:space="preserve">  -  Cursos e Treinamentos</t>
        </is>
      </c>
      <c r="D1043" t="inlineStr">
        <is>
          <t>01/10/2026</t>
        </is>
      </c>
      <c r="E1043" t="n">
        <v>0</v>
      </c>
      <c r="F1043" t="inlineStr">
        <is>
          <t>Fabrica de Bares (2025)</t>
        </is>
      </c>
      <c r="G1043" t="b">
        <v>1</v>
      </c>
      <c r="H1043" t="inlineStr">
        <is>
          <t>10/2026</t>
        </is>
      </c>
    </row>
    <row r="1044">
      <c r="A1044" t="inlineStr">
        <is>
          <t>Nuv Gastrobar</t>
        </is>
      </c>
      <c r="B1044" t="inlineStr">
        <is>
          <t>Mão de Obra - Benefícios</t>
        </is>
      </c>
      <c r="C1044" t="inlineStr">
        <is>
          <t xml:space="preserve">  -  Cursos e Treinamentos</t>
        </is>
      </c>
      <c r="D1044" t="inlineStr">
        <is>
          <t>01/11/2026</t>
        </is>
      </c>
      <c r="E1044" t="n">
        <v>0</v>
      </c>
      <c r="F1044" t="inlineStr">
        <is>
          <t>Fabrica de Bares (2025)</t>
        </is>
      </c>
      <c r="G1044" t="b">
        <v>1</v>
      </c>
      <c r="H1044" t="inlineStr">
        <is>
          <t>11/2026</t>
        </is>
      </c>
    </row>
    <row r="1045">
      <c r="A1045" t="inlineStr">
        <is>
          <t>Nuv Gastrobar</t>
        </is>
      </c>
      <c r="B1045" t="inlineStr">
        <is>
          <t>Mão de Obra - Benefícios</t>
        </is>
      </c>
      <c r="C1045" t="inlineStr">
        <is>
          <t xml:space="preserve">  -  Cursos e Treinamentos</t>
        </is>
      </c>
      <c r="D1045" t="inlineStr">
        <is>
          <t>01/12/2026</t>
        </is>
      </c>
      <c r="E1045" t="n">
        <v>0</v>
      </c>
      <c r="F1045" t="inlineStr">
        <is>
          <t>Fabrica de Bares (2025)</t>
        </is>
      </c>
      <c r="G1045" t="b">
        <v>1</v>
      </c>
      <c r="H1045" t="inlineStr">
        <is>
          <t>12/2026</t>
        </is>
      </c>
    </row>
    <row r="1046">
      <c r="A1046" t="inlineStr">
        <is>
          <t>Nuv Gastrobar</t>
        </is>
      </c>
      <c r="B1046" t="inlineStr">
        <is>
          <t>Mão de Obra - Benefícios</t>
        </is>
      </c>
      <c r="C1046" t="inlineStr">
        <is>
          <t xml:space="preserve">  -  Diversos - Vale Combustível</t>
        </is>
      </c>
      <c r="D1046" t="inlineStr">
        <is>
          <t>01/01/2026</t>
        </is>
      </c>
      <c r="E1046" t="n">
        <v>0</v>
      </c>
      <c r="F1046" t="inlineStr">
        <is>
          <t>Fabrica de Bares (2025)</t>
        </is>
      </c>
      <c r="G1046" t="b">
        <v>1</v>
      </c>
      <c r="H1046" t="inlineStr">
        <is>
          <t>1/2026</t>
        </is>
      </c>
    </row>
    <row r="1047">
      <c r="A1047" t="inlineStr">
        <is>
          <t>Nuv Gastrobar</t>
        </is>
      </c>
      <c r="B1047" t="inlineStr">
        <is>
          <t>Mão de Obra - Benefícios</t>
        </is>
      </c>
      <c r="C1047" t="inlineStr">
        <is>
          <t xml:space="preserve">  -  Diversos - Vale Combustível</t>
        </is>
      </c>
      <c r="D1047" t="inlineStr">
        <is>
          <t>01/02/2026</t>
        </is>
      </c>
      <c r="E1047" t="n">
        <v>0</v>
      </c>
      <c r="F1047" t="inlineStr">
        <is>
          <t>Fabrica de Bares (2025)</t>
        </is>
      </c>
      <c r="G1047" t="b">
        <v>1</v>
      </c>
      <c r="H1047" t="inlineStr">
        <is>
          <t>2/2026</t>
        </is>
      </c>
    </row>
    <row r="1048">
      <c r="A1048" t="inlineStr">
        <is>
          <t>Nuv Gastrobar</t>
        </is>
      </c>
      <c r="B1048" t="inlineStr">
        <is>
          <t>Mão de Obra - Benefícios</t>
        </is>
      </c>
      <c r="C1048" t="inlineStr">
        <is>
          <t xml:space="preserve">  -  Diversos - Vale Combustível</t>
        </is>
      </c>
      <c r="D1048" t="inlineStr">
        <is>
          <t>01/03/2026</t>
        </is>
      </c>
      <c r="E1048" t="n">
        <v>0</v>
      </c>
      <c r="F1048" t="inlineStr">
        <is>
          <t>Fabrica de Bares (2025)</t>
        </is>
      </c>
      <c r="G1048" t="b">
        <v>1</v>
      </c>
      <c r="H1048" t="inlineStr">
        <is>
          <t>3/2026</t>
        </is>
      </c>
    </row>
    <row r="1049">
      <c r="A1049" t="inlineStr">
        <is>
          <t>Nuv Gastrobar</t>
        </is>
      </c>
      <c r="B1049" t="inlineStr">
        <is>
          <t>Mão de Obra - Benefícios</t>
        </is>
      </c>
      <c r="C1049" t="inlineStr">
        <is>
          <t xml:space="preserve">  -  Diversos - Vale Combustível</t>
        </is>
      </c>
      <c r="D1049" t="inlineStr">
        <is>
          <t>01/04/2026</t>
        </is>
      </c>
      <c r="E1049" t="n">
        <v>0</v>
      </c>
      <c r="F1049" t="inlineStr">
        <is>
          <t>Fabrica de Bares (2025)</t>
        </is>
      </c>
      <c r="G1049" t="b">
        <v>1</v>
      </c>
      <c r="H1049" t="inlineStr">
        <is>
          <t>4/2026</t>
        </is>
      </c>
    </row>
    <row r="1050">
      <c r="A1050" t="inlineStr">
        <is>
          <t>Nuv Gastrobar</t>
        </is>
      </c>
      <c r="B1050" t="inlineStr">
        <is>
          <t>Mão de Obra - Benefícios</t>
        </is>
      </c>
      <c r="C1050" t="inlineStr">
        <is>
          <t xml:space="preserve">  -  Diversos - Vale Combustível</t>
        </is>
      </c>
      <c r="D1050" t="inlineStr">
        <is>
          <t>01/05/2026</t>
        </is>
      </c>
      <c r="E1050" t="n">
        <v>0</v>
      </c>
      <c r="F1050" t="inlineStr">
        <is>
          <t>Fabrica de Bares (2025)</t>
        </is>
      </c>
      <c r="G1050" t="b">
        <v>1</v>
      </c>
      <c r="H1050" t="inlineStr">
        <is>
          <t>5/2026</t>
        </is>
      </c>
    </row>
    <row r="1051">
      <c r="A1051" t="inlineStr">
        <is>
          <t>Nuv Gastrobar</t>
        </is>
      </c>
      <c r="B1051" t="inlineStr">
        <is>
          <t>Mão de Obra - Benefícios</t>
        </is>
      </c>
      <c r="C1051" t="inlineStr">
        <is>
          <t xml:space="preserve">  -  Diversos - Vale Combustível</t>
        </is>
      </c>
      <c r="D1051" t="inlineStr">
        <is>
          <t>01/06/2026</t>
        </is>
      </c>
      <c r="E1051" t="n">
        <v>0</v>
      </c>
      <c r="F1051" t="inlineStr">
        <is>
          <t>Fabrica de Bares (2025)</t>
        </is>
      </c>
      <c r="G1051" t="b">
        <v>1</v>
      </c>
      <c r="H1051" t="inlineStr">
        <is>
          <t>6/2026</t>
        </is>
      </c>
    </row>
    <row r="1052">
      <c r="A1052" t="inlineStr">
        <is>
          <t>Nuv Gastrobar</t>
        </is>
      </c>
      <c r="B1052" t="inlineStr">
        <is>
          <t>Mão de Obra - Benefícios</t>
        </is>
      </c>
      <c r="C1052" t="inlineStr">
        <is>
          <t xml:space="preserve">  -  Diversos - Vale Combustível</t>
        </is>
      </c>
      <c r="D1052" t="inlineStr">
        <is>
          <t>01/07/2026</t>
        </is>
      </c>
      <c r="E1052" t="n">
        <v>0</v>
      </c>
      <c r="F1052" t="inlineStr">
        <is>
          <t>Fabrica de Bares (2025)</t>
        </is>
      </c>
      <c r="G1052" t="b">
        <v>1</v>
      </c>
      <c r="H1052" t="inlineStr">
        <is>
          <t>7/2026</t>
        </is>
      </c>
    </row>
    <row r="1053">
      <c r="A1053" t="inlineStr">
        <is>
          <t>Nuv Gastrobar</t>
        </is>
      </c>
      <c r="B1053" t="inlineStr">
        <is>
          <t>Mão de Obra - Benefícios</t>
        </is>
      </c>
      <c r="C1053" t="inlineStr">
        <is>
          <t xml:space="preserve">  -  Diversos - Vale Combustível</t>
        </is>
      </c>
      <c r="D1053" t="inlineStr">
        <is>
          <t>01/08/2026</t>
        </is>
      </c>
      <c r="E1053" t="n">
        <v>0</v>
      </c>
      <c r="F1053" t="inlineStr">
        <is>
          <t>Fabrica de Bares (2025)</t>
        </is>
      </c>
      <c r="G1053" t="b">
        <v>1</v>
      </c>
      <c r="H1053" t="inlineStr">
        <is>
          <t>8/2026</t>
        </is>
      </c>
    </row>
    <row r="1054">
      <c r="A1054" t="inlineStr">
        <is>
          <t>Nuv Gastrobar</t>
        </is>
      </c>
      <c r="B1054" t="inlineStr">
        <is>
          <t>Mão de Obra - Benefícios</t>
        </is>
      </c>
      <c r="C1054" t="inlineStr">
        <is>
          <t xml:space="preserve">  -  Diversos - Vale Combustível</t>
        </is>
      </c>
      <c r="D1054" t="inlineStr">
        <is>
          <t>01/09/2026</t>
        </is>
      </c>
      <c r="E1054" t="n">
        <v>0</v>
      </c>
      <c r="F1054" t="inlineStr">
        <is>
          <t>Fabrica de Bares (2025)</t>
        </is>
      </c>
      <c r="G1054" t="b">
        <v>1</v>
      </c>
      <c r="H1054" t="inlineStr">
        <is>
          <t>9/2026</t>
        </is>
      </c>
    </row>
    <row r="1055">
      <c r="A1055" t="inlineStr">
        <is>
          <t>Nuv Gastrobar</t>
        </is>
      </c>
      <c r="B1055" t="inlineStr">
        <is>
          <t>Mão de Obra - Benefícios</t>
        </is>
      </c>
      <c r="C1055" t="inlineStr">
        <is>
          <t xml:space="preserve">  -  Diversos - Vale Combustível</t>
        </is>
      </c>
      <c r="D1055" t="inlineStr">
        <is>
          <t>01/10/2026</t>
        </is>
      </c>
      <c r="E1055" t="n">
        <v>0</v>
      </c>
      <c r="F1055" t="inlineStr">
        <is>
          <t>Fabrica de Bares (2025)</t>
        </is>
      </c>
      <c r="G1055" t="b">
        <v>1</v>
      </c>
      <c r="H1055" t="inlineStr">
        <is>
          <t>10/2026</t>
        </is>
      </c>
    </row>
    <row r="1056">
      <c r="A1056" t="inlineStr">
        <is>
          <t>Nuv Gastrobar</t>
        </is>
      </c>
      <c r="B1056" t="inlineStr">
        <is>
          <t>Mão de Obra - Benefícios</t>
        </is>
      </c>
      <c r="C1056" t="inlineStr">
        <is>
          <t xml:space="preserve">  -  Diversos - Vale Combustível</t>
        </is>
      </c>
      <c r="D1056" t="inlineStr">
        <is>
          <t>01/11/2026</t>
        </is>
      </c>
      <c r="E1056" t="n">
        <v>0</v>
      </c>
      <c r="F1056" t="inlineStr">
        <is>
          <t>Fabrica de Bares (2025)</t>
        </is>
      </c>
      <c r="G1056" t="b">
        <v>1</v>
      </c>
      <c r="H1056" t="inlineStr">
        <is>
          <t>11/2026</t>
        </is>
      </c>
    </row>
    <row r="1057">
      <c r="A1057" t="inlineStr">
        <is>
          <t>Nuv Gastrobar</t>
        </is>
      </c>
      <c r="B1057" t="inlineStr">
        <is>
          <t>Mão de Obra - Benefícios</t>
        </is>
      </c>
      <c r="C1057" t="inlineStr">
        <is>
          <t xml:space="preserve">  -  Diversos - Vale Combustível</t>
        </is>
      </c>
      <c r="D1057" t="inlineStr">
        <is>
          <t>01/12/2026</t>
        </is>
      </c>
      <c r="E1057" t="n">
        <v>0</v>
      </c>
      <c r="F1057" t="inlineStr">
        <is>
          <t>Fabrica de Bares (2025)</t>
        </is>
      </c>
      <c r="G1057" t="b">
        <v>1</v>
      </c>
      <c r="H1057" t="inlineStr">
        <is>
          <t>12/2026</t>
        </is>
      </c>
    </row>
    <row r="1058">
      <c r="A1058" t="inlineStr">
        <is>
          <t>Nuv Gastrobar</t>
        </is>
      </c>
      <c r="B1058" t="inlineStr">
        <is>
          <t>Mão de Obra - Benefícios</t>
        </is>
      </c>
      <c r="C1058" t="inlineStr">
        <is>
          <t xml:space="preserve">  -  Exames Periódicos</t>
        </is>
      </c>
      <c r="D1058" t="inlineStr">
        <is>
          <t>01/01/2026</t>
        </is>
      </c>
      <c r="E1058" t="n">
        <v>0</v>
      </c>
      <c r="F1058" t="inlineStr">
        <is>
          <t>Fabrica de Bares (2025)</t>
        </is>
      </c>
      <c r="G1058" t="b">
        <v>1</v>
      </c>
      <c r="H1058" t="inlineStr">
        <is>
          <t>1/2026</t>
        </is>
      </c>
    </row>
    <row r="1059">
      <c r="A1059" t="inlineStr">
        <is>
          <t>Nuv Gastrobar</t>
        </is>
      </c>
      <c r="B1059" t="inlineStr">
        <is>
          <t>Mão de Obra - Benefícios</t>
        </is>
      </c>
      <c r="C1059" t="inlineStr">
        <is>
          <t xml:space="preserve">  -  Exames Periódicos</t>
        </is>
      </c>
      <c r="D1059" t="inlineStr">
        <is>
          <t>01/02/2026</t>
        </is>
      </c>
      <c r="E1059" t="n">
        <v>0</v>
      </c>
      <c r="F1059" t="inlineStr">
        <is>
          <t>Fabrica de Bares (2025)</t>
        </is>
      </c>
      <c r="G1059" t="b">
        <v>1</v>
      </c>
      <c r="H1059" t="inlineStr">
        <is>
          <t>2/2026</t>
        </is>
      </c>
    </row>
    <row r="1060">
      <c r="A1060" t="inlineStr">
        <is>
          <t>Nuv Gastrobar</t>
        </is>
      </c>
      <c r="B1060" t="inlineStr">
        <is>
          <t>Mão de Obra - Benefícios</t>
        </is>
      </c>
      <c r="C1060" t="inlineStr">
        <is>
          <t xml:space="preserve">  -  Exames Periódicos</t>
        </is>
      </c>
      <c r="D1060" t="inlineStr">
        <is>
          <t>01/03/2026</t>
        </is>
      </c>
      <c r="E1060" t="n">
        <v>0</v>
      </c>
      <c r="F1060" t="inlineStr">
        <is>
          <t>Fabrica de Bares (2025)</t>
        </is>
      </c>
      <c r="G1060" t="b">
        <v>1</v>
      </c>
      <c r="H1060" t="inlineStr">
        <is>
          <t>3/2026</t>
        </is>
      </c>
    </row>
    <row r="1061">
      <c r="A1061" t="inlineStr">
        <is>
          <t>Nuv Gastrobar</t>
        </is>
      </c>
      <c r="B1061" t="inlineStr">
        <is>
          <t>Mão de Obra - Benefícios</t>
        </is>
      </c>
      <c r="C1061" t="inlineStr">
        <is>
          <t xml:space="preserve">  -  Exames Periódicos</t>
        </is>
      </c>
      <c r="D1061" t="inlineStr">
        <is>
          <t>01/04/2026</t>
        </is>
      </c>
      <c r="E1061" t="n">
        <v>0</v>
      </c>
      <c r="F1061" t="inlineStr">
        <is>
          <t>Fabrica de Bares (2025)</t>
        </is>
      </c>
      <c r="G1061" t="b">
        <v>1</v>
      </c>
      <c r="H1061" t="inlineStr">
        <is>
          <t>4/2026</t>
        </is>
      </c>
    </row>
    <row r="1062">
      <c r="A1062" t="inlineStr">
        <is>
          <t>Nuv Gastrobar</t>
        </is>
      </c>
      <c r="B1062" t="inlineStr">
        <is>
          <t>Mão de Obra - Benefícios</t>
        </is>
      </c>
      <c r="C1062" t="inlineStr">
        <is>
          <t xml:space="preserve">  -  Exames Periódicos</t>
        </is>
      </c>
      <c r="D1062" t="inlineStr">
        <is>
          <t>01/05/2026</t>
        </is>
      </c>
      <c r="E1062" t="n">
        <v>0</v>
      </c>
      <c r="F1062" t="inlineStr">
        <is>
          <t>Fabrica de Bares (2025)</t>
        </is>
      </c>
      <c r="G1062" t="b">
        <v>1</v>
      </c>
      <c r="H1062" t="inlineStr">
        <is>
          <t>5/2026</t>
        </is>
      </c>
    </row>
    <row r="1063">
      <c r="A1063" t="inlineStr">
        <is>
          <t>Nuv Gastrobar</t>
        </is>
      </c>
      <c r="B1063" t="inlineStr">
        <is>
          <t>Mão de Obra - Benefícios</t>
        </is>
      </c>
      <c r="C1063" t="inlineStr">
        <is>
          <t xml:space="preserve">  -  Exames Periódicos</t>
        </is>
      </c>
      <c r="D1063" t="inlineStr">
        <is>
          <t>01/06/2026</t>
        </is>
      </c>
      <c r="E1063" t="n">
        <v>0</v>
      </c>
      <c r="F1063" t="inlineStr">
        <is>
          <t>Fabrica de Bares (2025)</t>
        </is>
      </c>
      <c r="G1063" t="b">
        <v>1</v>
      </c>
      <c r="H1063" t="inlineStr">
        <is>
          <t>6/2026</t>
        </is>
      </c>
    </row>
    <row r="1064">
      <c r="A1064" t="inlineStr">
        <is>
          <t>Nuv Gastrobar</t>
        </is>
      </c>
      <c r="B1064" t="inlineStr">
        <is>
          <t>Mão de Obra - Benefícios</t>
        </is>
      </c>
      <c r="C1064" t="inlineStr">
        <is>
          <t xml:space="preserve">  -  Exames Periódicos</t>
        </is>
      </c>
      <c r="D1064" t="inlineStr">
        <is>
          <t>01/07/2026</t>
        </is>
      </c>
      <c r="E1064" t="n">
        <v>0</v>
      </c>
      <c r="F1064" t="inlineStr">
        <is>
          <t>Fabrica de Bares (2025)</t>
        </is>
      </c>
      <c r="G1064" t="b">
        <v>1</v>
      </c>
      <c r="H1064" t="inlineStr">
        <is>
          <t>7/2026</t>
        </is>
      </c>
    </row>
    <row r="1065">
      <c r="A1065" t="inlineStr">
        <is>
          <t>Nuv Gastrobar</t>
        </is>
      </c>
      <c r="B1065" t="inlineStr">
        <is>
          <t>Mão de Obra - Benefícios</t>
        </is>
      </c>
      <c r="C1065" t="inlineStr">
        <is>
          <t xml:space="preserve">  -  Exames Periódicos</t>
        </is>
      </c>
      <c r="D1065" t="inlineStr">
        <is>
          <t>01/08/2026</t>
        </is>
      </c>
      <c r="E1065" t="n">
        <v>0</v>
      </c>
      <c r="F1065" t="inlineStr">
        <is>
          <t>Fabrica de Bares (2025)</t>
        </is>
      </c>
      <c r="G1065" t="b">
        <v>1</v>
      </c>
      <c r="H1065" t="inlineStr">
        <is>
          <t>8/2026</t>
        </is>
      </c>
    </row>
    <row r="1066">
      <c r="A1066" t="inlineStr">
        <is>
          <t>Nuv Gastrobar</t>
        </is>
      </c>
      <c r="B1066" t="inlineStr">
        <is>
          <t>Mão de Obra - Benefícios</t>
        </is>
      </c>
      <c r="C1066" t="inlineStr">
        <is>
          <t xml:space="preserve">  -  Exames Periódicos</t>
        </is>
      </c>
      <c r="D1066" t="inlineStr">
        <is>
          <t>01/09/2026</t>
        </is>
      </c>
      <c r="E1066" t="n">
        <v>0</v>
      </c>
      <c r="F1066" t="inlineStr">
        <is>
          <t>Fabrica de Bares (2025)</t>
        </is>
      </c>
      <c r="G1066" t="b">
        <v>1</v>
      </c>
      <c r="H1066" t="inlineStr">
        <is>
          <t>9/2026</t>
        </is>
      </c>
    </row>
    <row r="1067">
      <c r="A1067" t="inlineStr">
        <is>
          <t>Nuv Gastrobar</t>
        </is>
      </c>
      <c r="B1067" t="inlineStr">
        <is>
          <t>Mão de Obra - Benefícios</t>
        </is>
      </c>
      <c r="C1067" t="inlineStr">
        <is>
          <t xml:space="preserve">  -  Exames Periódicos</t>
        </is>
      </c>
      <c r="D1067" t="inlineStr">
        <is>
          <t>01/10/2026</t>
        </is>
      </c>
      <c r="E1067" t="n">
        <v>0</v>
      </c>
      <c r="F1067" t="inlineStr">
        <is>
          <t>Fabrica de Bares (2025)</t>
        </is>
      </c>
      <c r="G1067" t="b">
        <v>1</v>
      </c>
      <c r="H1067" t="inlineStr">
        <is>
          <t>10/2026</t>
        </is>
      </c>
    </row>
    <row r="1068">
      <c r="A1068" t="inlineStr">
        <is>
          <t>Nuv Gastrobar</t>
        </is>
      </c>
      <c r="B1068" t="inlineStr">
        <is>
          <t>Mão de Obra - Benefícios</t>
        </is>
      </c>
      <c r="C1068" t="inlineStr">
        <is>
          <t xml:space="preserve">  -  Exames Periódicos</t>
        </is>
      </c>
      <c r="D1068" t="inlineStr">
        <is>
          <t>01/11/2026</t>
        </is>
      </c>
      <c r="E1068" t="n">
        <v>0</v>
      </c>
      <c r="F1068" t="inlineStr">
        <is>
          <t>Fabrica de Bares (2025)</t>
        </is>
      </c>
      <c r="G1068" t="b">
        <v>1</v>
      </c>
      <c r="H1068" t="inlineStr">
        <is>
          <t>11/2026</t>
        </is>
      </c>
    </row>
    <row r="1069">
      <c r="A1069" t="inlineStr">
        <is>
          <t>Nuv Gastrobar</t>
        </is>
      </c>
      <c r="B1069" t="inlineStr">
        <is>
          <t>Mão de Obra - Benefícios</t>
        </is>
      </c>
      <c r="C1069" t="inlineStr">
        <is>
          <t xml:space="preserve">  -  Exames Periódicos</t>
        </is>
      </c>
      <c r="D1069" t="inlineStr">
        <is>
          <t>01/12/2026</t>
        </is>
      </c>
      <c r="E1069" t="n">
        <v>0</v>
      </c>
      <c r="F1069" t="inlineStr">
        <is>
          <t>Fabrica de Bares (2025)</t>
        </is>
      </c>
      <c r="G1069" t="b">
        <v>1</v>
      </c>
      <c r="H1069" t="inlineStr">
        <is>
          <t>12/2026</t>
        </is>
      </c>
    </row>
    <row r="1070">
      <c r="A1070" t="inlineStr">
        <is>
          <t>Nuv Gastrobar</t>
        </is>
      </c>
      <c r="B1070" t="inlineStr">
        <is>
          <t>Mão de Obra - Benefícios</t>
        </is>
      </c>
      <c r="C1070" t="inlineStr">
        <is>
          <t xml:space="preserve">  -  Gratificações</t>
        </is>
      </c>
      <c r="D1070" t="inlineStr">
        <is>
          <t>01/01/2026</t>
        </is>
      </c>
      <c r="E1070" t="n">
        <v>0</v>
      </c>
      <c r="F1070" t="inlineStr">
        <is>
          <t>Fabrica de Bares (2025)</t>
        </is>
      </c>
      <c r="G1070" t="b">
        <v>1</v>
      </c>
      <c r="H1070" t="inlineStr">
        <is>
          <t>1/2026</t>
        </is>
      </c>
    </row>
    <row r="1071">
      <c r="A1071" t="inlineStr">
        <is>
          <t>Nuv Gastrobar</t>
        </is>
      </c>
      <c r="B1071" t="inlineStr">
        <is>
          <t>Mão de Obra - Benefícios</t>
        </is>
      </c>
      <c r="C1071" t="inlineStr">
        <is>
          <t xml:space="preserve">  -  Gratificações</t>
        </is>
      </c>
      <c r="D1071" t="inlineStr">
        <is>
          <t>01/02/2026</t>
        </is>
      </c>
      <c r="E1071" t="n">
        <v>0</v>
      </c>
      <c r="F1071" t="inlineStr">
        <is>
          <t>Fabrica de Bares (2025)</t>
        </is>
      </c>
      <c r="G1071" t="b">
        <v>1</v>
      </c>
      <c r="H1071" t="inlineStr">
        <is>
          <t>2/2026</t>
        </is>
      </c>
    </row>
    <row r="1072">
      <c r="A1072" t="inlineStr">
        <is>
          <t>Nuv Gastrobar</t>
        </is>
      </c>
      <c r="B1072" t="inlineStr">
        <is>
          <t>Mão de Obra - Benefícios</t>
        </is>
      </c>
      <c r="C1072" t="inlineStr">
        <is>
          <t xml:space="preserve">  -  Gratificações</t>
        </is>
      </c>
      <c r="D1072" t="inlineStr">
        <is>
          <t>01/03/2026</t>
        </is>
      </c>
      <c r="E1072" t="n">
        <v>0</v>
      </c>
      <c r="F1072" t="inlineStr">
        <is>
          <t>Fabrica de Bares (2025)</t>
        </is>
      </c>
      <c r="G1072" t="b">
        <v>1</v>
      </c>
      <c r="H1072" t="inlineStr">
        <is>
          <t>3/2026</t>
        </is>
      </c>
    </row>
    <row r="1073">
      <c r="A1073" t="inlineStr">
        <is>
          <t>Nuv Gastrobar</t>
        </is>
      </c>
      <c r="B1073" t="inlineStr">
        <is>
          <t>Mão de Obra - Benefícios</t>
        </is>
      </c>
      <c r="C1073" t="inlineStr">
        <is>
          <t xml:space="preserve">  -  Gratificações</t>
        </is>
      </c>
      <c r="D1073" t="inlineStr">
        <is>
          <t>01/04/2026</t>
        </is>
      </c>
      <c r="E1073" t="n">
        <v>0</v>
      </c>
      <c r="F1073" t="inlineStr">
        <is>
          <t>Fabrica de Bares (2025)</t>
        </is>
      </c>
      <c r="G1073" t="b">
        <v>1</v>
      </c>
      <c r="H1073" t="inlineStr">
        <is>
          <t>4/2026</t>
        </is>
      </c>
    </row>
    <row r="1074">
      <c r="A1074" t="inlineStr">
        <is>
          <t>Nuv Gastrobar</t>
        </is>
      </c>
      <c r="B1074" t="inlineStr">
        <is>
          <t>Mão de Obra - Benefícios</t>
        </is>
      </c>
      <c r="C1074" t="inlineStr">
        <is>
          <t xml:space="preserve">  -  Gratificações</t>
        </is>
      </c>
      <c r="D1074" t="inlineStr">
        <is>
          <t>01/05/2026</t>
        </is>
      </c>
      <c r="E1074" t="n">
        <v>0</v>
      </c>
      <c r="F1074" t="inlineStr">
        <is>
          <t>Fabrica de Bares (2025)</t>
        </is>
      </c>
      <c r="G1074" t="b">
        <v>1</v>
      </c>
      <c r="H1074" t="inlineStr">
        <is>
          <t>5/2026</t>
        </is>
      </c>
    </row>
    <row r="1075">
      <c r="A1075" t="inlineStr">
        <is>
          <t>Nuv Gastrobar</t>
        </is>
      </c>
      <c r="B1075" t="inlineStr">
        <is>
          <t>Mão de Obra - Benefícios</t>
        </is>
      </c>
      <c r="C1075" t="inlineStr">
        <is>
          <t xml:space="preserve">  -  Gratificações</t>
        </is>
      </c>
      <c r="D1075" t="inlineStr">
        <is>
          <t>01/06/2026</t>
        </is>
      </c>
      <c r="E1075" t="n">
        <v>0</v>
      </c>
      <c r="F1075" t="inlineStr">
        <is>
          <t>Fabrica de Bares (2025)</t>
        </is>
      </c>
      <c r="G1075" t="b">
        <v>1</v>
      </c>
      <c r="H1075" t="inlineStr">
        <is>
          <t>6/2026</t>
        </is>
      </c>
    </row>
    <row r="1076">
      <c r="A1076" t="inlineStr">
        <is>
          <t>Nuv Gastrobar</t>
        </is>
      </c>
      <c r="B1076" t="inlineStr">
        <is>
          <t>Mão de Obra - Benefícios</t>
        </is>
      </c>
      <c r="C1076" t="inlineStr">
        <is>
          <t xml:space="preserve">  -  Gratificações</t>
        </is>
      </c>
      <c r="D1076" t="inlineStr">
        <is>
          <t>01/07/2026</t>
        </is>
      </c>
      <c r="E1076" t="n">
        <v>0</v>
      </c>
      <c r="F1076" t="inlineStr">
        <is>
          <t>Fabrica de Bares (2025)</t>
        </is>
      </c>
      <c r="G1076" t="b">
        <v>1</v>
      </c>
      <c r="H1076" t="inlineStr">
        <is>
          <t>7/2026</t>
        </is>
      </c>
    </row>
    <row r="1077">
      <c r="A1077" t="inlineStr">
        <is>
          <t>Nuv Gastrobar</t>
        </is>
      </c>
      <c r="B1077" t="inlineStr">
        <is>
          <t>Mão de Obra - Benefícios</t>
        </is>
      </c>
      <c r="C1077" t="inlineStr">
        <is>
          <t xml:space="preserve">  -  Gratificações</t>
        </is>
      </c>
      <c r="D1077" t="inlineStr">
        <is>
          <t>01/08/2026</t>
        </is>
      </c>
      <c r="E1077" t="n">
        <v>0</v>
      </c>
      <c r="F1077" t="inlineStr">
        <is>
          <t>Fabrica de Bares (2025)</t>
        </is>
      </c>
      <c r="G1077" t="b">
        <v>1</v>
      </c>
      <c r="H1077" t="inlineStr">
        <is>
          <t>8/2026</t>
        </is>
      </c>
    </row>
    <row r="1078">
      <c r="A1078" t="inlineStr">
        <is>
          <t>Nuv Gastrobar</t>
        </is>
      </c>
      <c r="B1078" t="inlineStr">
        <is>
          <t>Mão de Obra - Benefícios</t>
        </is>
      </c>
      <c r="C1078" t="inlineStr">
        <is>
          <t xml:space="preserve">  -  Gratificações</t>
        </is>
      </c>
      <c r="D1078" t="inlineStr">
        <is>
          <t>01/09/2026</t>
        </is>
      </c>
      <c r="E1078" t="n">
        <v>0</v>
      </c>
      <c r="F1078" t="inlineStr">
        <is>
          <t>Fabrica de Bares (2025)</t>
        </is>
      </c>
      <c r="G1078" t="b">
        <v>1</v>
      </c>
      <c r="H1078" t="inlineStr">
        <is>
          <t>9/2026</t>
        </is>
      </c>
    </row>
    <row r="1079">
      <c r="A1079" t="inlineStr">
        <is>
          <t>Nuv Gastrobar</t>
        </is>
      </c>
      <c r="B1079" t="inlineStr">
        <is>
          <t>Mão de Obra - Benefícios</t>
        </is>
      </c>
      <c r="C1079" t="inlineStr">
        <is>
          <t xml:space="preserve">  -  Gratificações</t>
        </is>
      </c>
      <c r="D1079" t="inlineStr">
        <is>
          <t>01/10/2026</t>
        </is>
      </c>
      <c r="E1079" t="n">
        <v>0</v>
      </c>
      <c r="F1079" t="inlineStr">
        <is>
          <t>Fabrica de Bares (2025)</t>
        </is>
      </c>
      <c r="G1079" t="b">
        <v>1</v>
      </c>
      <c r="H1079" t="inlineStr">
        <is>
          <t>10/2026</t>
        </is>
      </c>
    </row>
    <row r="1080">
      <c r="A1080" t="inlineStr">
        <is>
          <t>Nuv Gastrobar</t>
        </is>
      </c>
      <c r="B1080" t="inlineStr">
        <is>
          <t>Mão de Obra - Benefícios</t>
        </is>
      </c>
      <c r="C1080" t="inlineStr">
        <is>
          <t xml:space="preserve">  -  Gratificações</t>
        </is>
      </c>
      <c r="D1080" t="inlineStr">
        <is>
          <t>01/11/2026</t>
        </is>
      </c>
      <c r="E1080" t="n">
        <v>0</v>
      </c>
      <c r="F1080" t="inlineStr">
        <is>
          <t>Fabrica de Bares (2025)</t>
        </is>
      </c>
      <c r="G1080" t="b">
        <v>1</v>
      </c>
      <c r="H1080" t="inlineStr">
        <is>
          <t>11/2026</t>
        </is>
      </c>
    </row>
    <row r="1081">
      <c r="A1081" t="inlineStr">
        <is>
          <t>Nuv Gastrobar</t>
        </is>
      </c>
      <c r="B1081" t="inlineStr">
        <is>
          <t>Mão de Obra - Benefícios</t>
        </is>
      </c>
      <c r="C1081" t="inlineStr">
        <is>
          <t xml:space="preserve">  -  Gratificações</t>
        </is>
      </c>
      <c r="D1081" t="inlineStr">
        <is>
          <t>01/12/2026</t>
        </is>
      </c>
      <c r="E1081" t="n">
        <v>0</v>
      </c>
      <c r="F1081" t="inlineStr">
        <is>
          <t>Fabrica de Bares (2025)</t>
        </is>
      </c>
      <c r="G1081" t="b">
        <v>1</v>
      </c>
      <c r="H1081" t="inlineStr">
        <is>
          <t>12/2026</t>
        </is>
      </c>
    </row>
    <row r="1082">
      <c r="A1082" t="inlineStr">
        <is>
          <t>Nuv Gastrobar</t>
        </is>
      </c>
      <c r="B1082" t="inlineStr">
        <is>
          <t>Mão de Obra - Benefícios</t>
        </is>
      </c>
      <c r="C1082" t="inlineStr">
        <is>
          <t xml:space="preserve">  -  Seguro de Vida</t>
        </is>
      </c>
      <c r="D1082" t="inlineStr">
        <is>
          <t>01/01/2026</t>
        </is>
      </c>
      <c r="E1082" t="n">
        <v>0</v>
      </c>
      <c r="F1082" t="inlineStr">
        <is>
          <t>Fabrica de Bares (2025)</t>
        </is>
      </c>
      <c r="G1082" t="b">
        <v>1</v>
      </c>
      <c r="H1082" t="inlineStr">
        <is>
          <t>1/2026</t>
        </is>
      </c>
    </row>
    <row r="1083">
      <c r="A1083" t="inlineStr">
        <is>
          <t>Nuv Gastrobar</t>
        </is>
      </c>
      <c r="B1083" t="inlineStr">
        <is>
          <t>Mão de Obra - Benefícios</t>
        </is>
      </c>
      <c r="C1083" t="inlineStr">
        <is>
          <t xml:space="preserve">  -  Seguro de Vida</t>
        </is>
      </c>
      <c r="D1083" t="inlineStr">
        <is>
          <t>01/02/2026</t>
        </is>
      </c>
      <c r="E1083" t="n">
        <v>0</v>
      </c>
      <c r="F1083" t="inlineStr">
        <is>
          <t>Fabrica de Bares (2025)</t>
        </is>
      </c>
      <c r="G1083" t="b">
        <v>1</v>
      </c>
      <c r="H1083" t="inlineStr">
        <is>
          <t>2/2026</t>
        </is>
      </c>
    </row>
    <row r="1084">
      <c r="A1084" t="inlineStr">
        <is>
          <t>Nuv Gastrobar</t>
        </is>
      </c>
      <c r="B1084" t="inlineStr">
        <is>
          <t>Mão de Obra - Benefícios</t>
        </is>
      </c>
      <c r="C1084" t="inlineStr">
        <is>
          <t xml:space="preserve">  -  Seguro de Vida</t>
        </is>
      </c>
      <c r="D1084" t="inlineStr">
        <is>
          <t>01/03/2026</t>
        </is>
      </c>
      <c r="E1084" t="n">
        <v>0</v>
      </c>
      <c r="F1084" t="inlineStr">
        <is>
          <t>Fabrica de Bares (2025)</t>
        </is>
      </c>
      <c r="G1084" t="b">
        <v>1</v>
      </c>
      <c r="H1084" t="inlineStr">
        <is>
          <t>3/2026</t>
        </is>
      </c>
    </row>
    <row r="1085">
      <c r="A1085" t="inlineStr">
        <is>
          <t>Nuv Gastrobar</t>
        </is>
      </c>
      <c r="B1085" t="inlineStr">
        <is>
          <t>Mão de Obra - Benefícios</t>
        </is>
      </c>
      <c r="C1085" t="inlineStr">
        <is>
          <t xml:space="preserve">  -  Seguro de Vida</t>
        </is>
      </c>
      <c r="D1085" t="inlineStr">
        <is>
          <t>01/04/2026</t>
        </is>
      </c>
      <c r="E1085" t="n">
        <v>0</v>
      </c>
      <c r="F1085" t="inlineStr">
        <is>
          <t>Fabrica de Bares (2025)</t>
        </is>
      </c>
      <c r="G1085" t="b">
        <v>1</v>
      </c>
      <c r="H1085" t="inlineStr">
        <is>
          <t>4/2026</t>
        </is>
      </c>
    </row>
    <row r="1086">
      <c r="A1086" t="inlineStr">
        <is>
          <t>Nuv Gastrobar</t>
        </is>
      </c>
      <c r="B1086" t="inlineStr">
        <is>
          <t>Mão de Obra - Benefícios</t>
        </is>
      </c>
      <c r="C1086" t="inlineStr">
        <is>
          <t xml:space="preserve">  -  Seguro de Vida</t>
        </is>
      </c>
      <c r="D1086" t="inlineStr">
        <is>
          <t>01/05/2026</t>
        </is>
      </c>
      <c r="E1086" t="n">
        <v>0</v>
      </c>
      <c r="F1086" t="inlineStr">
        <is>
          <t>Fabrica de Bares (2025)</t>
        </is>
      </c>
      <c r="G1086" t="b">
        <v>1</v>
      </c>
      <c r="H1086" t="inlineStr">
        <is>
          <t>5/2026</t>
        </is>
      </c>
    </row>
    <row r="1087">
      <c r="A1087" t="inlineStr">
        <is>
          <t>Nuv Gastrobar</t>
        </is>
      </c>
      <c r="B1087" t="inlineStr">
        <is>
          <t>Mão de Obra - Benefícios</t>
        </is>
      </c>
      <c r="C1087" t="inlineStr">
        <is>
          <t xml:space="preserve">  -  Seguro de Vida</t>
        </is>
      </c>
      <c r="D1087" t="inlineStr">
        <is>
          <t>01/06/2026</t>
        </is>
      </c>
      <c r="E1087" t="n">
        <v>0</v>
      </c>
      <c r="F1087" t="inlineStr">
        <is>
          <t>Fabrica de Bares (2025)</t>
        </is>
      </c>
      <c r="G1087" t="b">
        <v>1</v>
      </c>
      <c r="H1087" t="inlineStr">
        <is>
          <t>6/2026</t>
        </is>
      </c>
    </row>
    <row r="1088">
      <c r="A1088" t="inlineStr">
        <is>
          <t>Nuv Gastrobar</t>
        </is>
      </c>
      <c r="B1088" t="inlineStr">
        <is>
          <t>Mão de Obra - Benefícios</t>
        </is>
      </c>
      <c r="C1088" t="inlineStr">
        <is>
          <t xml:space="preserve">  -  Seguro de Vida</t>
        </is>
      </c>
      <c r="D1088" t="inlineStr">
        <is>
          <t>01/07/2026</t>
        </is>
      </c>
      <c r="E1088" t="n">
        <v>0</v>
      </c>
      <c r="F1088" t="inlineStr">
        <is>
          <t>Fabrica de Bares (2025)</t>
        </is>
      </c>
      <c r="G1088" t="b">
        <v>1</v>
      </c>
      <c r="H1088" t="inlineStr">
        <is>
          <t>7/2026</t>
        </is>
      </c>
    </row>
    <row r="1089">
      <c r="A1089" t="inlineStr">
        <is>
          <t>Nuv Gastrobar</t>
        </is>
      </c>
      <c r="B1089" t="inlineStr">
        <is>
          <t>Mão de Obra - Benefícios</t>
        </is>
      </c>
      <c r="C1089" t="inlineStr">
        <is>
          <t xml:space="preserve">  -  Seguro de Vida</t>
        </is>
      </c>
      <c r="D1089" t="inlineStr">
        <is>
          <t>01/08/2026</t>
        </is>
      </c>
      <c r="E1089" t="n">
        <v>241.5</v>
      </c>
      <c r="F1089" t="inlineStr">
        <is>
          <t>Fabrica de Bares (2025)</t>
        </is>
      </c>
      <c r="G1089" t="b">
        <v>1</v>
      </c>
      <c r="H1089" t="inlineStr">
        <is>
          <t>8/2026</t>
        </is>
      </c>
    </row>
    <row r="1090">
      <c r="A1090" t="inlineStr">
        <is>
          <t>Nuv Gastrobar</t>
        </is>
      </c>
      <c r="B1090" t="inlineStr">
        <is>
          <t>Mão de Obra - Benefícios</t>
        </is>
      </c>
      <c r="C1090" t="inlineStr">
        <is>
          <t xml:space="preserve">  -  Seguro de Vida</t>
        </is>
      </c>
      <c r="D1090" t="inlineStr">
        <is>
          <t>01/09/2026</t>
        </is>
      </c>
      <c r="E1090" t="n">
        <v>241.5</v>
      </c>
      <c r="F1090" t="inlineStr">
        <is>
          <t>Fabrica de Bares (2025)</t>
        </is>
      </c>
      <c r="G1090" t="b">
        <v>1</v>
      </c>
      <c r="H1090" t="inlineStr">
        <is>
          <t>9/2026</t>
        </is>
      </c>
    </row>
    <row r="1091">
      <c r="A1091" t="inlineStr">
        <is>
          <t>Nuv Gastrobar</t>
        </is>
      </c>
      <c r="B1091" t="inlineStr">
        <is>
          <t>Mão de Obra - Benefícios</t>
        </is>
      </c>
      <c r="C1091" t="inlineStr">
        <is>
          <t xml:space="preserve">  -  Seguro de Vida</t>
        </is>
      </c>
      <c r="D1091" t="inlineStr">
        <is>
          <t>01/10/2026</t>
        </is>
      </c>
      <c r="E1091" t="n">
        <v>241.5</v>
      </c>
      <c r="F1091" t="inlineStr">
        <is>
          <t>Fabrica de Bares (2025)</t>
        </is>
      </c>
      <c r="G1091" t="b">
        <v>1</v>
      </c>
      <c r="H1091" t="inlineStr">
        <is>
          <t>10/2026</t>
        </is>
      </c>
    </row>
    <row r="1092">
      <c r="A1092" t="inlineStr">
        <is>
          <t>Nuv Gastrobar</t>
        </is>
      </c>
      <c r="B1092" t="inlineStr">
        <is>
          <t>Mão de Obra - Benefícios</t>
        </is>
      </c>
      <c r="C1092" t="inlineStr">
        <is>
          <t xml:space="preserve">  -  Seguro de Vida</t>
        </is>
      </c>
      <c r="D1092" t="inlineStr">
        <is>
          <t>01/11/2026</t>
        </is>
      </c>
      <c r="E1092" t="n">
        <v>241.5</v>
      </c>
      <c r="F1092" t="inlineStr">
        <is>
          <t>Fabrica de Bares (2025)</t>
        </is>
      </c>
      <c r="G1092" t="b">
        <v>1</v>
      </c>
      <c r="H1092" t="inlineStr">
        <is>
          <t>11/2026</t>
        </is>
      </c>
    </row>
    <row r="1093">
      <c r="A1093" t="inlineStr">
        <is>
          <t>Nuv Gastrobar</t>
        </is>
      </c>
      <c r="B1093" t="inlineStr">
        <is>
          <t>Mão de Obra - Benefícios</t>
        </is>
      </c>
      <c r="C1093" t="inlineStr">
        <is>
          <t xml:space="preserve">  -  Seguro de Vida</t>
        </is>
      </c>
      <c r="D1093" t="inlineStr">
        <is>
          <t>01/12/2026</t>
        </is>
      </c>
      <c r="E1093" t="n">
        <v>241.5</v>
      </c>
      <c r="F1093" t="inlineStr">
        <is>
          <t>Fabrica de Bares (2025)</t>
        </is>
      </c>
      <c r="G1093" t="b">
        <v>1</v>
      </c>
      <c r="H1093" t="inlineStr">
        <is>
          <t>12/2026</t>
        </is>
      </c>
    </row>
    <row r="1094">
      <c r="A1094" t="inlineStr">
        <is>
          <t>Nuv Gastrobar</t>
        </is>
      </c>
      <c r="B1094" t="inlineStr">
        <is>
          <t>Mão de Obra - Benefícios</t>
        </is>
      </c>
      <c r="C1094" t="inlineStr">
        <is>
          <t xml:space="preserve">  -  Uniformes Manutenção e Reposição</t>
        </is>
      </c>
      <c r="D1094" t="inlineStr">
        <is>
          <t>01/01/2026</t>
        </is>
      </c>
      <c r="E1094" t="n">
        <v>0</v>
      </c>
      <c r="F1094" t="inlineStr">
        <is>
          <t>Fabrica de Bares (2025)</t>
        </is>
      </c>
      <c r="G1094" t="b">
        <v>1</v>
      </c>
      <c r="H1094" t="inlineStr">
        <is>
          <t>1/2026</t>
        </is>
      </c>
    </row>
    <row r="1095">
      <c r="A1095" t="inlineStr">
        <is>
          <t>Nuv Gastrobar</t>
        </is>
      </c>
      <c r="B1095" t="inlineStr">
        <is>
          <t>Mão de Obra - Benefícios</t>
        </is>
      </c>
      <c r="C1095" t="inlineStr">
        <is>
          <t xml:space="preserve">  -  Uniformes Manutenção e Reposição</t>
        </is>
      </c>
      <c r="D1095" t="inlineStr">
        <is>
          <t>01/02/2026</t>
        </is>
      </c>
      <c r="E1095" t="n">
        <v>0</v>
      </c>
      <c r="F1095" t="inlineStr">
        <is>
          <t>Fabrica de Bares (2025)</t>
        </is>
      </c>
      <c r="G1095" t="b">
        <v>1</v>
      </c>
      <c r="H1095" t="inlineStr">
        <is>
          <t>2/2026</t>
        </is>
      </c>
    </row>
    <row r="1096">
      <c r="A1096" t="inlineStr">
        <is>
          <t>Nuv Gastrobar</t>
        </is>
      </c>
      <c r="B1096" t="inlineStr">
        <is>
          <t>Mão de Obra - Benefícios</t>
        </is>
      </c>
      <c r="C1096" t="inlineStr">
        <is>
          <t xml:space="preserve">  -  Uniformes Manutenção e Reposição</t>
        </is>
      </c>
      <c r="D1096" t="inlineStr">
        <is>
          <t>01/03/2026</t>
        </is>
      </c>
      <c r="E1096" t="n">
        <v>0</v>
      </c>
      <c r="F1096" t="inlineStr">
        <is>
          <t>Fabrica de Bares (2025)</t>
        </is>
      </c>
      <c r="G1096" t="b">
        <v>1</v>
      </c>
      <c r="H1096" t="inlineStr">
        <is>
          <t>3/2026</t>
        </is>
      </c>
    </row>
    <row r="1097">
      <c r="A1097" t="inlineStr">
        <is>
          <t>Nuv Gastrobar</t>
        </is>
      </c>
      <c r="B1097" t="inlineStr">
        <is>
          <t>Mão de Obra - Benefícios</t>
        </is>
      </c>
      <c r="C1097" t="inlineStr">
        <is>
          <t xml:space="preserve">  -  Uniformes Manutenção e Reposição</t>
        </is>
      </c>
      <c r="D1097" t="inlineStr">
        <is>
          <t>01/04/2026</t>
        </is>
      </c>
      <c r="E1097" t="n">
        <v>0</v>
      </c>
      <c r="F1097" t="inlineStr">
        <is>
          <t>Fabrica de Bares (2025)</t>
        </is>
      </c>
      <c r="G1097" t="b">
        <v>1</v>
      </c>
      <c r="H1097" t="inlineStr">
        <is>
          <t>4/2026</t>
        </is>
      </c>
    </row>
    <row r="1098">
      <c r="A1098" t="inlineStr">
        <is>
          <t>Nuv Gastrobar</t>
        </is>
      </c>
      <c r="B1098" t="inlineStr">
        <is>
          <t>Mão de Obra - Benefícios</t>
        </is>
      </c>
      <c r="C1098" t="inlineStr">
        <is>
          <t xml:space="preserve">  -  Uniformes Manutenção e Reposição</t>
        </is>
      </c>
      <c r="D1098" t="inlineStr">
        <is>
          <t>01/05/2026</t>
        </is>
      </c>
      <c r="E1098" t="n">
        <v>0</v>
      </c>
      <c r="F1098" t="inlineStr">
        <is>
          <t>Fabrica de Bares (2025)</t>
        </is>
      </c>
      <c r="G1098" t="b">
        <v>1</v>
      </c>
      <c r="H1098" t="inlineStr">
        <is>
          <t>5/2026</t>
        </is>
      </c>
    </row>
    <row r="1099">
      <c r="A1099" t="inlineStr">
        <is>
          <t>Nuv Gastrobar</t>
        </is>
      </c>
      <c r="B1099" t="inlineStr">
        <is>
          <t>Mão de Obra - Benefícios</t>
        </is>
      </c>
      <c r="C1099" t="inlineStr">
        <is>
          <t xml:space="preserve">  -  Uniformes Manutenção e Reposição</t>
        </is>
      </c>
      <c r="D1099" t="inlineStr">
        <is>
          <t>01/06/2026</t>
        </is>
      </c>
      <c r="E1099" t="n">
        <v>0</v>
      </c>
      <c r="F1099" t="inlineStr">
        <is>
          <t>Fabrica de Bares (2025)</t>
        </is>
      </c>
      <c r="G1099" t="b">
        <v>1</v>
      </c>
      <c r="H1099" t="inlineStr">
        <is>
          <t>6/2026</t>
        </is>
      </c>
    </row>
    <row r="1100">
      <c r="A1100" t="inlineStr">
        <is>
          <t>Nuv Gastrobar</t>
        </is>
      </c>
      <c r="B1100" t="inlineStr">
        <is>
          <t>Mão de Obra - Benefícios</t>
        </is>
      </c>
      <c r="C1100" t="inlineStr">
        <is>
          <t xml:space="preserve">  -  Uniformes Manutenção e Reposição</t>
        </is>
      </c>
      <c r="D1100" t="inlineStr">
        <is>
          <t>01/07/2026</t>
        </is>
      </c>
      <c r="E1100" t="n">
        <v>0</v>
      </c>
      <c r="F1100" t="inlineStr">
        <is>
          <t>Fabrica de Bares (2025)</t>
        </is>
      </c>
      <c r="G1100" t="b">
        <v>1</v>
      </c>
      <c r="H1100" t="inlineStr">
        <is>
          <t>7/2026</t>
        </is>
      </c>
    </row>
    <row r="1101">
      <c r="A1101" t="inlineStr">
        <is>
          <t>Nuv Gastrobar</t>
        </is>
      </c>
      <c r="B1101" t="inlineStr">
        <is>
          <t>Mão de Obra - Benefícios</t>
        </is>
      </c>
      <c r="C1101" t="inlineStr">
        <is>
          <t xml:space="preserve">  -  Uniformes Manutenção e Reposição</t>
        </is>
      </c>
      <c r="D1101" t="inlineStr">
        <is>
          <t>01/08/2026</t>
        </is>
      </c>
      <c r="E1101" t="n">
        <v>0</v>
      </c>
      <c r="F1101" t="inlineStr">
        <is>
          <t>Fabrica de Bares (2025)</t>
        </is>
      </c>
      <c r="G1101" t="b">
        <v>1</v>
      </c>
      <c r="H1101" t="inlineStr">
        <is>
          <t>8/2026</t>
        </is>
      </c>
    </row>
    <row r="1102">
      <c r="A1102" t="inlineStr">
        <is>
          <t>Nuv Gastrobar</t>
        </is>
      </c>
      <c r="B1102" t="inlineStr">
        <is>
          <t>Mão de Obra - Benefícios</t>
        </is>
      </c>
      <c r="C1102" t="inlineStr">
        <is>
          <t xml:space="preserve">  -  Uniformes Manutenção e Reposição</t>
        </is>
      </c>
      <c r="D1102" t="inlineStr">
        <is>
          <t>01/09/2026</t>
        </is>
      </c>
      <c r="E1102" t="n">
        <v>0</v>
      </c>
      <c r="F1102" t="inlineStr">
        <is>
          <t>Fabrica de Bares (2025)</t>
        </is>
      </c>
      <c r="G1102" t="b">
        <v>1</v>
      </c>
      <c r="H1102" t="inlineStr">
        <is>
          <t>9/2026</t>
        </is>
      </c>
    </row>
    <row r="1103">
      <c r="A1103" t="inlineStr">
        <is>
          <t>Nuv Gastrobar</t>
        </is>
      </c>
      <c r="B1103" t="inlineStr">
        <is>
          <t>Mão de Obra - Benefícios</t>
        </is>
      </c>
      <c r="C1103" t="inlineStr">
        <is>
          <t xml:space="preserve">  -  Uniformes Manutenção e Reposição</t>
        </is>
      </c>
      <c r="D1103" t="inlineStr">
        <is>
          <t>01/10/2026</t>
        </is>
      </c>
      <c r="E1103" t="n">
        <v>0</v>
      </c>
      <c r="F1103" t="inlineStr">
        <is>
          <t>Fabrica de Bares (2025)</t>
        </is>
      </c>
      <c r="G1103" t="b">
        <v>1</v>
      </c>
      <c r="H1103" t="inlineStr">
        <is>
          <t>10/2026</t>
        </is>
      </c>
    </row>
    <row r="1104">
      <c r="A1104" t="inlineStr">
        <is>
          <t>Nuv Gastrobar</t>
        </is>
      </c>
      <c r="B1104" t="inlineStr">
        <is>
          <t>Mão de Obra - Benefícios</t>
        </is>
      </c>
      <c r="C1104" t="inlineStr">
        <is>
          <t xml:space="preserve">  -  Uniformes Manutenção e Reposição</t>
        </is>
      </c>
      <c r="D1104" t="inlineStr">
        <is>
          <t>01/11/2026</t>
        </is>
      </c>
      <c r="E1104" t="n">
        <v>0</v>
      </c>
      <c r="F1104" t="inlineStr">
        <is>
          <t>Fabrica de Bares (2025)</t>
        </is>
      </c>
      <c r="G1104" t="b">
        <v>1</v>
      </c>
      <c r="H1104" t="inlineStr">
        <is>
          <t>11/2026</t>
        </is>
      </c>
    </row>
    <row r="1105">
      <c r="A1105" t="inlineStr">
        <is>
          <t>Nuv Gastrobar</t>
        </is>
      </c>
      <c r="B1105" t="inlineStr">
        <is>
          <t>Mão de Obra - Benefícios</t>
        </is>
      </c>
      <c r="C1105" t="inlineStr">
        <is>
          <t xml:space="preserve">  -  Uniformes Manutenção e Reposição</t>
        </is>
      </c>
      <c r="D1105" t="inlineStr">
        <is>
          <t>01/12/2026</t>
        </is>
      </c>
      <c r="E1105" t="n">
        <v>0</v>
      </c>
      <c r="F1105" t="inlineStr">
        <is>
          <t>Fabrica de Bares (2025)</t>
        </is>
      </c>
      <c r="G1105" t="b">
        <v>1</v>
      </c>
      <c r="H1105" t="inlineStr">
        <is>
          <t>12/2026</t>
        </is>
      </c>
    </row>
    <row r="1106">
      <c r="A1106" t="inlineStr">
        <is>
          <t>Nuv Gastrobar</t>
        </is>
      </c>
      <c r="B1106" t="inlineStr">
        <is>
          <t>Mão de Obra - Benefícios</t>
        </is>
      </c>
      <c r="C1106" t="inlineStr">
        <is>
          <t xml:space="preserve">  -  Vale-transporte</t>
        </is>
      </c>
      <c r="D1106" t="inlineStr">
        <is>
          <t>01/01/2026</t>
        </is>
      </c>
      <c r="E1106" t="n">
        <v>0</v>
      </c>
      <c r="F1106" t="inlineStr">
        <is>
          <t>Fabrica de Bares (2025)</t>
        </is>
      </c>
      <c r="G1106" t="b">
        <v>1</v>
      </c>
      <c r="H1106" t="inlineStr">
        <is>
          <t>1/2026</t>
        </is>
      </c>
    </row>
    <row r="1107">
      <c r="A1107" t="inlineStr">
        <is>
          <t>Nuv Gastrobar</t>
        </is>
      </c>
      <c r="B1107" t="inlineStr">
        <is>
          <t>Mão de Obra - Benefícios</t>
        </is>
      </c>
      <c r="C1107" t="inlineStr">
        <is>
          <t xml:space="preserve">  -  Vale-transporte</t>
        </is>
      </c>
      <c r="D1107" t="inlineStr">
        <is>
          <t>01/02/2026</t>
        </is>
      </c>
      <c r="E1107" t="n">
        <v>0</v>
      </c>
      <c r="F1107" t="inlineStr">
        <is>
          <t>Fabrica de Bares (2025)</t>
        </is>
      </c>
      <c r="G1107" t="b">
        <v>1</v>
      </c>
      <c r="H1107" t="inlineStr">
        <is>
          <t>2/2026</t>
        </is>
      </c>
    </row>
    <row r="1108">
      <c r="A1108" t="inlineStr">
        <is>
          <t>Nuv Gastrobar</t>
        </is>
      </c>
      <c r="B1108" t="inlineStr">
        <is>
          <t>Mão de Obra - Benefícios</t>
        </is>
      </c>
      <c r="C1108" t="inlineStr">
        <is>
          <t xml:space="preserve">  -  Vale-transporte</t>
        </is>
      </c>
      <c r="D1108" t="inlineStr">
        <is>
          <t>01/03/2026</t>
        </is>
      </c>
      <c r="E1108" t="n">
        <v>0</v>
      </c>
      <c r="F1108" t="inlineStr">
        <is>
          <t>Fabrica de Bares (2025)</t>
        </is>
      </c>
      <c r="G1108" t="b">
        <v>1</v>
      </c>
      <c r="H1108" t="inlineStr">
        <is>
          <t>3/2026</t>
        </is>
      </c>
    </row>
    <row r="1109">
      <c r="A1109" t="inlineStr">
        <is>
          <t>Nuv Gastrobar</t>
        </is>
      </c>
      <c r="B1109" t="inlineStr">
        <is>
          <t>Mão de Obra - Benefícios</t>
        </is>
      </c>
      <c r="C1109" t="inlineStr">
        <is>
          <t xml:space="preserve">  -  Vale-transporte</t>
        </is>
      </c>
      <c r="D1109" t="inlineStr">
        <is>
          <t>01/04/2026</t>
        </is>
      </c>
      <c r="E1109" t="n">
        <v>0</v>
      </c>
      <c r="F1109" t="inlineStr">
        <is>
          <t>Fabrica de Bares (2025)</t>
        </is>
      </c>
      <c r="G1109" t="b">
        <v>1</v>
      </c>
      <c r="H1109" t="inlineStr">
        <is>
          <t>4/2026</t>
        </is>
      </c>
    </row>
    <row r="1110">
      <c r="A1110" t="inlineStr">
        <is>
          <t>Nuv Gastrobar</t>
        </is>
      </c>
      <c r="B1110" t="inlineStr">
        <is>
          <t>Mão de Obra - Benefícios</t>
        </is>
      </c>
      <c r="C1110" t="inlineStr">
        <is>
          <t xml:space="preserve">  -  Vale-transporte</t>
        </is>
      </c>
      <c r="D1110" t="inlineStr">
        <is>
          <t>01/05/2026</t>
        </is>
      </c>
      <c r="E1110" t="n">
        <v>0</v>
      </c>
      <c r="F1110" t="inlineStr">
        <is>
          <t>Fabrica de Bares (2025)</t>
        </is>
      </c>
      <c r="G1110" t="b">
        <v>1</v>
      </c>
      <c r="H1110" t="inlineStr">
        <is>
          <t>5/2026</t>
        </is>
      </c>
    </row>
    <row r="1111">
      <c r="A1111" t="inlineStr">
        <is>
          <t>Nuv Gastrobar</t>
        </is>
      </c>
      <c r="B1111" t="inlineStr">
        <is>
          <t>Mão de Obra - Benefícios</t>
        </is>
      </c>
      <c r="C1111" t="inlineStr">
        <is>
          <t xml:space="preserve">  -  Vale-transporte</t>
        </is>
      </c>
      <c r="D1111" t="inlineStr">
        <is>
          <t>01/06/2026</t>
        </is>
      </c>
      <c r="E1111" t="n">
        <v>0</v>
      </c>
      <c r="F1111" t="inlineStr">
        <is>
          <t>Fabrica de Bares (2025)</t>
        </is>
      </c>
      <c r="G1111" t="b">
        <v>1</v>
      </c>
      <c r="H1111" t="inlineStr">
        <is>
          <t>6/2026</t>
        </is>
      </c>
    </row>
    <row r="1112">
      <c r="A1112" t="inlineStr">
        <is>
          <t>Nuv Gastrobar</t>
        </is>
      </c>
      <c r="B1112" t="inlineStr">
        <is>
          <t>Mão de Obra - Benefícios</t>
        </is>
      </c>
      <c r="C1112" t="inlineStr">
        <is>
          <t xml:space="preserve">  -  Vale-transporte</t>
        </is>
      </c>
      <c r="D1112" t="inlineStr">
        <is>
          <t>01/07/2026</t>
        </is>
      </c>
      <c r="E1112" t="n">
        <v>0</v>
      </c>
      <c r="F1112" t="inlineStr">
        <is>
          <t>Fabrica de Bares (2025)</t>
        </is>
      </c>
      <c r="G1112" t="b">
        <v>1</v>
      </c>
      <c r="H1112" t="inlineStr">
        <is>
          <t>7/2026</t>
        </is>
      </c>
    </row>
    <row r="1113">
      <c r="A1113" t="inlineStr">
        <is>
          <t>Nuv Gastrobar</t>
        </is>
      </c>
      <c r="B1113" t="inlineStr">
        <is>
          <t>Mão de Obra - Benefícios</t>
        </is>
      </c>
      <c r="C1113" t="inlineStr">
        <is>
          <t xml:space="preserve">  -  Vale-transporte</t>
        </is>
      </c>
      <c r="D1113" t="inlineStr">
        <is>
          <t>01/08/2026</t>
        </is>
      </c>
      <c r="E1113" t="n">
        <v>9200</v>
      </c>
      <c r="F1113" t="inlineStr">
        <is>
          <t>Fabrica de Bares (2025)</t>
        </is>
      </c>
      <c r="G1113" t="b">
        <v>1</v>
      </c>
      <c r="H1113" t="inlineStr">
        <is>
          <t>8/2026</t>
        </is>
      </c>
    </row>
    <row r="1114">
      <c r="A1114" t="inlineStr">
        <is>
          <t>Nuv Gastrobar</t>
        </is>
      </c>
      <c r="B1114" t="inlineStr">
        <is>
          <t>Mão de Obra - Benefícios</t>
        </is>
      </c>
      <c r="C1114" t="inlineStr">
        <is>
          <t xml:space="preserve">  -  Vale-transporte</t>
        </is>
      </c>
      <c r="D1114" t="inlineStr">
        <is>
          <t>01/09/2026</t>
        </is>
      </c>
      <c r="E1114" t="n">
        <v>9200</v>
      </c>
      <c r="F1114" t="inlineStr">
        <is>
          <t>Fabrica de Bares (2025)</t>
        </is>
      </c>
      <c r="G1114" t="b">
        <v>1</v>
      </c>
      <c r="H1114" t="inlineStr">
        <is>
          <t>9/2026</t>
        </is>
      </c>
    </row>
    <row r="1115">
      <c r="A1115" t="inlineStr">
        <is>
          <t>Nuv Gastrobar</t>
        </is>
      </c>
      <c r="B1115" t="inlineStr">
        <is>
          <t>Mão de Obra - Benefícios</t>
        </is>
      </c>
      <c r="C1115" t="inlineStr">
        <is>
          <t xml:space="preserve">  -  Vale-transporte</t>
        </is>
      </c>
      <c r="D1115" t="inlineStr">
        <is>
          <t>01/10/2026</t>
        </is>
      </c>
      <c r="E1115" t="n">
        <v>9200</v>
      </c>
      <c r="F1115" t="inlineStr">
        <is>
          <t>Fabrica de Bares (2025)</t>
        </is>
      </c>
      <c r="G1115" t="b">
        <v>1</v>
      </c>
      <c r="H1115" t="inlineStr">
        <is>
          <t>10/2026</t>
        </is>
      </c>
    </row>
    <row r="1116">
      <c r="A1116" t="inlineStr">
        <is>
          <t>Nuv Gastrobar</t>
        </is>
      </c>
      <c r="B1116" t="inlineStr">
        <is>
          <t>Mão de Obra - Benefícios</t>
        </is>
      </c>
      <c r="C1116" t="inlineStr">
        <is>
          <t xml:space="preserve">  -  Vale-transporte</t>
        </is>
      </c>
      <c r="D1116" t="inlineStr">
        <is>
          <t>01/11/2026</t>
        </is>
      </c>
      <c r="E1116" t="n">
        <v>9200</v>
      </c>
      <c r="F1116" t="inlineStr">
        <is>
          <t>Fabrica de Bares (2025)</t>
        </is>
      </c>
      <c r="G1116" t="b">
        <v>1</v>
      </c>
      <c r="H1116" t="inlineStr">
        <is>
          <t>11/2026</t>
        </is>
      </c>
    </row>
    <row r="1117">
      <c r="A1117" t="inlineStr">
        <is>
          <t>Nuv Gastrobar</t>
        </is>
      </c>
      <c r="B1117" t="inlineStr">
        <is>
          <t>Mão de Obra - Benefícios</t>
        </is>
      </c>
      <c r="C1117" t="inlineStr">
        <is>
          <t xml:space="preserve">  -  Vale-transporte</t>
        </is>
      </c>
      <c r="D1117" t="inlineStr">
        <is>
          <t>01/12/2026</t>
        </is>
      </c>
      <c r="E1117" t="n">
        <v>9200</v>
      </c>
      <c r="F1117" t="inlineStr">
        <is>
          <t>Fabrica de Bares (2025)</t>
        </is>
      </c>
      <c r="G1117" t="b">
        <v>1</v>
      </c>
      <c r="H1117" t="inlineStr">
        <is>
          <t>12/2026</t>
        </is>
      </c>
    </row>
    <row r="1118">
      <c r="A1118" t="inlineStr">
        <is>
          <t>Nuv Gastrobar</t>
        </is>
      </c>
      <c r="B1118" t="inlineStr">
        <is>
          <t>Mão de Obra - Encargos e Provisões</t>
        </is>
      </c>
      <c r="C1118" t="inlineStr">
        <is>
          <t xml:space="preserve">  -  13º Salário</t>
        </is>
      </c>
      <c r="D1118" t="inlineStr">
        <is>
          <t>01/01/2026</t>
        </is>
      </c>
      <c r="E1118" t="n">
        <v>0</v>
      </c>
      <c r="F1118" t="inlineStr">
        <is>
          <t>Fabrica de Bares (2025)</t>
        </is>
      </c>
      <c r="G1118" t="b">
        <v>1</v>
      </c>
      <c r="H1118" t="inlineStr">
        <is>
          <t>1/2026</t>
        </is>
      </c>
    </row>
    <row r="1119">
      <c r="A1119" t="inlineStr">
        <is>
          <t>Nuv Gastrobar</t>
        </is>
      </c>
      <c r="B1119" t="inlineStr">
        <is>
          <t>Mão de Obra - Encargos e Provisões</t>
        </is>
      </c>
      <c r="C1119" t="inlineStr">
        <is>
          <t xml:space="preserve">  -  13º Salário</t>
        </is>
      </c>
      <c r="D1119" t="inlineStr">
        <is>
          <t>01/02/2026</t>
        </is>
      </c>
      <c r="E1119" t="n">
        <v>0</v>
      </c>
      <c r="F1119" t="inlineStr">
        <is>
          <t>Fabrica de Bares (2025)</t>
        </is>
      </c>
      <c r="G1119" t="b">
        <v>1</v>
      </c>
      <c r="H1119" t="inlineStr">
        <is>
          <t>2/2026</t>
        </is>
      </c>
    </row>
    <row r="1120">
      <c r="A1120" t="inlineStr">
        <is>
          <t>Nuv Gastrobar</t>
        </is>
      </c>
      <c r="B1120" t="inlineStr">
        <is>
          <t>Mão de Obra - Encargos e Provisões</t>
        </is>
      </c>
      <c r="C1120" t="inlineStr">
        <is>
          <t xml:space="preserve">  -  13º Salário</t>
        </is>
      </c>
      <c r="D1120" t="inlineStr">
        <is>
          <t>01/03/2026</t>
        </is>
      </c>
      <c r="E1120" t="n">
        <v>0</v>
      </c>
      <c r="F1120" t="inlineStr">
        <is>
          <t>Fabrica de Bares (2025)</t>
        </is>
      </c>
      <c r="G1120" t="b">
        <v>1</v>
      </c>
      <c r="H1120" t="inlineStr">
        <is>
          <t>3/2026</t>
        </is>
      </c>
    </row>
    <row r="1121">
      <c r="A1121" t="inlineStr">
        <is>
          <t>Nuv Gastrobar</t>
        </is>
      </c>
      <c r="B1121" t="inlineStr">
        <is>
          <t>Mão de Obra - Encargos e Provisões</t>
        </is>
      </c>
      <c r="C1121" t="inlineStr">
        <is>
          <t xml:space="preserve">  -  13º Salário</t>
        </is>
      </c>
      <c r="D1121" t="inlineStr">
        <is>
          <t>01/04/2026</t>
        </is>
      </c>
      <c r="E1121" t="n">
        <v>0</v>
      </c>
      <c r="F1121" t="inlineStr">
        <is>
          <t>Fabrica de Bares (2025)</t>
        </is>
      </c>
      <c r="G1121" t="b">
        <v>1</v>
      </c>
      <c r="H1121" t="inlineStr">
        <is>
          <t>4/2026</t>
        </is>
      </c>
    </row>
    <row r="1122">
      <c r="A1122" t="inlineStr">
        <is>
          <t>Nuv Gastrobar</t>
        </is>
      </c>
      <c r="B1122" t="inlineStr">
        <is>
          <t>Mão de Obra - Encargos e Provisões</t>
        </is>
      </c>
      <c r="C1122" t="inlineStr">
        <is>
          <t xml:space="preserve">  -  13º Salário</t>
        </is>
      </c>
      <c r="D1122" t="inlineStr">
        <is>
          <t>01/05/2026</t>
        </is>
      </c>
      <c r="E1122" t="n">
        <v>0</v>
      </c>
      <c r="F1122" t="inlineStr">
        <is>
          <t>Fabrica de Bares (2025)</t>
        </is>
      </c>
      <c r="G1122" t="b">
        <v>1</v>
      </c>
      <c r="H1122" t="inlineStr">
        <is>
          <t>5/2026</t>
        </is>
      </c>
    </row>
    <row r="1123">
      <c r="A1123" t="inlineStr">
        <is>
          <t>Nuv Gastrobar</t>
        </is>
      </c>
      <c r="B1123" t="inlineStr">
        <is>
          <t>Mão de Obra - Encargos e Provisões</t>
        </is>
      </c>
      <c r="C1123" t="inlineStr">
        <is>
          <t xml:space="preserve">  -  13º Salário</t>
        </is>
      </c>
      <c r="D1123" t="inlineStr">
        <is>
          <t>01/06/2026</t>
        </is>
      </c>
      <c r="E1123" t="n">
        <v>0</v>
      </c>
      <c r="F1123" t="inlineStr">
        <is>
          <t>Fabrica de Bares (2025)</t>
        </is>
      </c>
      <c r="G1123" t="b">
        <v>1</v>
      </c>
      <c r="H1123" t="inlineStr">
        <is>
          <t>6/2026</t>
        </is>
      </c>
    </row>
    <row r="1124">
      <c r="A1124" t="inlineStr">
        <is>
          <t>Nuv Gastrobar</t>
        </is>
      </c>
      <c r="B1124" t="inlineStr">
        <is>
          <t>Mão de Obra - Encargos e Provisões</t>
        </is>
      </c>
      <c r="C1124" t="inlineStr">
        <is>
          <t xml:space="preserve">  -  13º Salário</t>
        </is>
      </c>
      <c r="D1124" t="inlineStr">
        <is>
          <t>01/07/2026</t>
        </is>
      </c>
      <c r="E1124" t="n">
        <v>0</v>
      </c>
      <c r="F1124" t="inlineStr">
        <is>
          <t>Fabrica de Bares (2025)</t>
        </is>
      </c>
      <c r="G1124" t="b">
        <v>1</v>
      </c>
      <c r="H1124" t="inlineStr">
        <is>
          <t>7/2026</t>
        </is>
      </c>
    </row>
    <row r="1125">
      <c r="A1125" t="inlineStr">
        <is>
          <t>Nuv Gastrobar</t>
        </is>
      </c>
      <c r="B1125" t="inlineStr">
        <is>
          <t>Mão de Obra - Encargos e Provisões</t>
        </is>
      </c>
      <c r="C1125" t="inlineStr">
        <is>
          <t xml:space="preserve">  -  13º Salário</t>
        </is>
      </c>
      <c r="D1125" t="inlineStr">
        <is>
          <t>01/08/2026</t>
        </is>
      </c>
      <c r="E1125" t="n">
        <v>6792.75</v>
      </c>
      <c r="F1125" t="inlineStr">
        <is>
          <t>Fabrica de Bares (2025)</t>
        </is>
      </c>
      <c r="G1125" t="b">
        <v>1</v>
      </c>
      <c r="H1125" t="inlineStr">
        <is>
          <t>8/2026</t>
        </is>
      </c>
    </row>
    <row r="1126">
      <c r="A1126" t="inlineStr">
        <is>
          <t>Nuv Gastrobar</t>
        </is>
      </c>
      <c r="B1126" t="inlineStr">
        <is>
          <t>Mão de Obra - Encargos e Provisões</t>
        </is>
      </c>
      <c r="C1126" t="inlineStr">
        <is>
          <t xml:space="preserve">  -  13º Salário</t>
        </is>
      </c>
      <c r="D1126" t="inlineStr">
        <is>
          <t>01/09/2026</t>
        </is>
      </c>
      <c r="E1126" t="n">
        <v>7982.48</v>
      </c>
      <c r="F1126" t="inlineStr">
        <is>
          <t>Fabrica de Bares (2025)</t>
        </is>
      </c>
      <c r="G1126" t="b">
        <v>1</v>
      </c>
      <c r="H1126" t="inlineStr">
        <is>
          <t>9/2026</t>
        </is>
      </c>
    </row>
    <row r="1127">
      <c r="A1127" t="inlineStr">
        <is>
          <t>Nuv Gastrobar</t>
        </is>
      </c>
      <c r="B1127" t="inlineStr">
        <is>
          <t>Mão de Obra - Encargos e Provisões</t>
        </is>
      </c>
      <c r="C1127" t="inlineStr">
        <is>
          <t xml:space="preserve">  -  13º Salário</t>
        </is>
      </c>
      <c r="D1127" t="inlineStr">
        <is>
          <t>01/10/2026</t>
        </is>
      </c>
      <c r="E1127" t="n">
        <v>8574.67</v>
      </c>
      <c r="F1127" t="inlineStr">
        <is>
          <t>Fabrica de Bares (2025)</t>
        </is>
      </c>
      <c r="G1127" t="b">
        <v>1</v>
      </c>
      <c r="H1127" t="inlineStr">
        <is>
          <t>10/2026</t>
        </is>
      </c>
    </row>
    <row r="1128">
      <c r="A1128" t="inlineStr">
        <is>
          <t>Nuv Gastrobar</t>
        </is>
      </c>
      <c r="B1128" t="inlineStr">
        <is>
          <t>Mão de Obra - Encargos e Provisões</t>
        </is>
      </c>
      <c r="C1128" t="inlineStr">
        <is>
          <t xml:space="preserve">  -  13º Salário</t>
        </is>
      </c>
      <c r="D1128" t="inlineStr">
        <is>
          <t>01/11/2026</t>
        </is>
      </c>
      <c r="E1128" t="n">
        <v>10680.71</v>
      </c>
      <c r="F1128" t="inlineStr">
        <is>
          <t>Fabrica de Bares (2025)</t>
        </is>
      </c>
      <c r="G1128" t="b">
        <v>1</v>
      </c>
      <c r="H1128" t="inlineStr">
        <is>
          <t>11/2026</t>
        </is>
      </c>
    </row>
    <row r="1129">
      <c r="A1129" t="inlineStr">
        <is>
          <t>Nuv Gastrobar</t>
        </is>
      </c>
      <c r="B1129" t="inlineStr">
        <is>
          <t>Mão de Obra - Encargos e Provisões</t>
        </is>
      </c>
      <c r="C1129" t="inlineStr">
        <is>
          <t xml:space="preserve">  -  13º Salário</t>
        </is>
      </c>
      <c r="D1129" t="inlineStr">
        <is>
          <t>01/12/2026</t>
        </is>
      </c>
      <c r="E1129" t="n">
        <v>10624.71</v>
      </c>
      <c r="F1129" t="inlineStr">
        <is>
          <t>Fabrica de Bares (2025)</t>
        </is>
      </c>
      <c r="G1129" t="b">
        <v>1</v>
      </c>
      <c r="H1129" t="inlineStr">
        <is>
          <t>12/2026</t>
        </is>
      </c>
    </row>
    <row r="1130">
      <c r="A1130" t="inlineStr">
        <is>
          <t>Nuv Gastrobar</t>
        </is>
      </c>
      <c r="B1130" t="inlineStr">
        <is>
          <t>Mão de Obra - Encargos e Provisões</t>
        </is>
      </c>
      <c r="C1130" t="inlineStr">
        <is>
          <t xml:space="preserve">  -  Ações trabalhistas</t>
        </is>
      </c>
      <c r="D1130" t="inlineStr">
        <is>
          <t>01/01/2026</t>
        </is>
      </c>
      <c r="E1130" t="n">
        <v>0</v>
      </c>
      <c r="F1130" t="inlineStr">
        <is>
          <t>Fabrica de Bares (2025)</t>
        </is>
      </c>
      <c r="G1130" t="b">
        <v>1</v>
      </c>
      <c r="H1130" t="inlineStr">
        <is>
          <t>1/2026</t>
        </is>
      </c>
    </row>
    <row r="1131">
      <c r="A1131" t="inlineStr">
        <is>
          <t>Nuv Gastrobar</t>
        </is>
      </c>
      <c r="B1131" t="inlineStr">
        <is>
          <t>Mão de Obra - Encargos e Provisões</t>
        </is>
      </c>
      <c r="C1131" t="inlineStr">
        <is>
          <t xml:space="preserve">  -  Ações trabalhistas</t>
        </is>
      </c>
      <c r="D1131" t="inlineStr">
        <is>
          <t>01/02/2026</t>
        </is>
      </c>
      <c r="E1131" t="n">
        <v>0</v>
      </c>
      <c r="F1131" t="inlineStr">
        <is>
          <t>Fabrica de Bares (2025)</t>
        </is>
      </c>
      <c r="G1131" t="b">
        <v>1</v>
      </c>
      <c r="H1131" t="inlineStr">
        <is>
          <t>2/2026</t>
        </is>
      </c>
    </row>
    <row r="1132">
      <c r="A1132" t="inlineStr">
        <is>
          <t>Nuv Gastrobar</t>
        </is>
      </c>
      <c r="B1132" t="inlineStr">
        <is>
          <t>Mão de Obra - Encargos e Provisões</t>
        </is>
      </c>
      <c r="C1132" t="inlineStr">
        <is>
          <t xml:space="preserve">  -  Ações trabalhistas</t>
        </is>
      </c>
      <c r="D1132" t="inlineStr">
        <is>
          <t>01/03/2026</t>
        </is>
      </c>
      <c r="E1132" t="n">
        <v>0</v>
      </c>
      <c r="F1132" t="inlineStr">
        <is>
          <t>Fabrica de Bares (2025)</t>
        </is>
      </c>
      <c r="G1132" t="b">
        <v>1</v>
      </c>
      <c r="H1132" t="inlineStr">
        <is>
          <t>3/2026</t>
        </is>
      </c>
    </row>
    <row r="1133">
      <c r="A1133" t="inlineStr">
        <is>
          <t>Nuv Gastrobar</t>
        </is>
      </c>
      <c r="B1133" t="inlineStr">
        <is>
          <t>Mão de Obra - Encargos e Provisões</t>
        </is>
      </c>
      <c r="C1133" t="inlineStr">
        <is>
          <t xml:space="preserve">  -  Ações trabalhistas</t>
        </is>
      </c>
      <c r="D1133" t="inlineStr">
        <is>
          <t>01/04/2026</t>
        </is>
      </c>
      <c r="E1133" t="n">
        <v>0</v>
      </c>
      <c r="F1133" t="inlineStr">
        <is>
          <t>Fabrica de Bares (2025)</t>
        </is>
      </c>
      <c r="G1133" t="b">
        <v>1</v>
      </c>
      <c r="H1133" t="inlineStr">
        <is>
          <t>4/2026</t>
        </is>
      </c>
    </row>
    <row r="1134">
      <c r="A1134" t="inlineStr">
        <is>
          <t>Nuv Gastrobar</t>
        </is>
      </c>
      <c r="B1134" t="inlineStr">
        <is>
          <t>Mão de Obra - Encargos e Provisões</t>
        </is>
      </c>
      <c r="C1134" t="inlineStr">
        <is>
          <t xml:space="preserve">  -  Ações trabalhistas</t>
        </is>
      </c>
      <c r="D1134" t="inlineStr">
        <is>
          <t>01/05/2026</t>
        </is>
      </c>
      <c r="E1134" t="n">
        <v>0</v>
      </c>
      <c r="F1134" t="inlineStr">
        <is>
          <t>Fabrica de Bares (2025)</t>
        </is>
      </c>
      <c r="G1134" t="b">
        <v>1</v>
      </c>
      <c r="H1134" t="inlineStr">
        <is>
          <t>5/2026</t>
        </is>
      </c>
    </row>
    <row r="1135">
      <c r="A1135" t="inlineStr">
        <is>
          <t>Nuv Gastrobar</t>
        </is>
      </c>
      <c r="B1135" t="inlineStr">
        <is>
          <t>Mão de Obra - Encargos e Provisões</t>
        </is>
      </c>
      <c r="C1135" t="inlineStr">
        <is>
          <t xml:space="preserve">  -  Ações trabalhistas</t>
        </is>
      </c>
      <c r="D1135" t="inlineStr">
        <is>
          <t>01/06/2026</t>
        </is>
      </c>
      <c r="E1135" t="n">
        <v>0</v>
      </c>
      <c r="F1135" t="inlineStr">
        <is>
          <t>Fabrica de Bares (2025)</t>
        </is>
      </c>
      <c r="G1135" t="b">
        <v>1</v>
      </c>
      <c r="H1135" t="inlineStr">
        <is>
          <t>6/2026</t>
        </is>
      </c>
    </row>
    <row r="1136">
      <c r="A1136" t="inlineStr">
        <is>
          <t>Nuv Gastrobar</t>
        </is>
      </c>
      <c r="B1136" t="inlineStr">
        <is>
          <t>Mão de Obra - Encargos e Provisões</t>
        </is>
      </c>
      <c r="C1136" t="inlineStr">
        <is>
          <t xml:space="preserve">  -  Ações trabalhistas</t>
        </is>
      </c>
      <c r="D1136" t="inlineStr">
        <is>
          <t>01/07/2026</t>
        </is>
      </c>
      <c r="E1136" t="n">
        <v>0</v>
      </c>
      <c r="F1136" t="inlineStr">
        <is>
          <t>Fabrica de Bares (2025)</t>
        </is>
      </c>
      <c r="G1136" t="b">
        <v>1</v>
      </c>
      <c r="H1136" t="inlineStr">
        <is>
          <t>7/2026</t>
        </is>
      </c>
    </row>
    <row r="1137">
      <c r="A1137" t="inlineStr">
        <is>
          <t>Nuv Gastrobar</t>
        </is>
      </c>
      <c r="B1137" t="inlineStr">
        <is>
          <t>Mão de Obra - Encargos e Provisões</t>
        </is>
      </c>
      <c r="C1137" t="inlineStr">
        <is>
          <t xml:space="preserve">  -  Ações trabalhistas</t>
        </is>
      </c>
      <c r="D1137" t="inlineStr">
        <is>
          <t>01/08/2026</t>
        </is>
      </c>
      <c r="E1137" t="n">
        <v>0</v>
      </c>
      <c r="F1137" t="inlineStr">
        <is>
          <t>Fabrica de Bares (2025)</t>
        </is>
      </c>
      <c r="G1137" t="b">
        <v>1</v>
      </c>
      <c r="H1137" t="inlineStr">
        <is>
          <t>8/2026</t>
        </is>
      </c>
    </row>
    <row r="1138">
      <c r="A1138" t="inlineStr">
        <is>
          <t>Nuv Gastrobar</t>
        </is>
      </c>
      <c r="B1138" t="inlineStr">
        <is>
          <t>Mão de Obra - Encargos e Provisões</t>
        </is>
      </c>
      <c r="C1138" t="inlineStr">
        <is>
          <t xml:space="preserve">  -  Ações trabalhistas</t>
        </is>
      </c>
      <c r="D1138" t="inlineStr">
        <is>
          <t>01/09/2026</t>
        </is>
      </c>
      <c r="E1138" t="n">
        <v>0</v>
      </c>
      <c r="F1138" t="inlineStr">
        <is>
          <t>Fabrica de Bares (2025)</t>
        </is>
      </c>
      <c r="G1138" t="b">
        <v>1</v>
      </c>
      <c r="H1138" t="inlineStr">
        <is>
          <t>9/2026</t>
        </is>
      </c>
    </row>
    <row r="1139">
      <c r="A1139" t="inlineStr">
        <is>
          <t>Nuv Gastrobar</t>
        </is>
      </c>
      <c r="B1139" t="inlineStr">
        <is>
          <t>Mão de Obra - Encargos e Provisões</t>
        </is>
      </c>
      <c r="C1139" t="inlineStr">
        <is>
          <t xml:space="preserve">  -  Ações trabalhistas</t>
        </is>
      </c>
      <c r="D1139" t="inlineStr">
        <is>
          <t>01/10/2026</t>
        </is>
      </c>
      <c r="E1139" t="n">
        <v>0</v>
      </c>
      <c r="F1139" t="inlineStr">
        <is>
          <t>Fabrica de Bares (2025)</t>
        </is>
      </c>
      <c r="G1139" t="b">
        <v>1</v>
      </c>
      <c r="H1139" t="inlineStr">
        <is>
          <t>10/2026</t>
        </is>
      </c>
    </row>
    <row r="1140">
      <c r="A1140" t="inlineStr">
        <is>
          <t>Nuv Gastrobar</t>
        </is>
      </c>
      <c r="B1140" t="inlineStr">
        <is>
          <t>Mão de Obra - Encargos e Provisões</t>
        </is>
      </c>
      <c r="C1140" t="inlineStr">
        <is>
          <t xml:space="preserve">  -  Ações trabalhistas</t>
        </is>
      </c>
      <c r="D1140" t="inlineStr">
        <is>
          <t>01/11/2026</t>
        </is>
      </c>
      <c r="E1140" t="n">
        <v>0</v>
      </c>
      <c r="F1140" t="inlineStr">
        <is>
          <t>Fabrica de Bares (2025)</t>
        </is>
      </c>
      <c r="G1140" t="b">
        <v>1</v>
      </c>
      <c r="H1140" t="inlineStr">
        <is>
          <t>11/2026</t>
        </is>
      </c>
    </row>
    <row r="1141">
      <c r="A1141" t="inlineStr">
        <is>
          <t>Nuv Gastrobar</t>
        </is>
      </c>
      <c r="B1141" t="inlineStr">
        <is>
          <t>Mão de Obra - Encargos e Provisões</t>
        </is>
      </c>
      <c r="C1141" t="inlineStr">
        <is>
          <t xml:space="preserve">  -  Ações trabalhistas</t>
        </is>
      </c>
      <c r="D1141" t="inlineStr">
        <is>
          <t>01/12/2026</t>
        </is>
      </c>
      <c r="E1141" t="n">
        <v>0</v>
      </c>
      <c r="F1141" t="inlineStr">
        <is>
          <t>Fabrica de Bares (2025)</t>
        </is>
      </c>
      <c r="G1141" t="b">
        <v>1</v>
      </c>
      <c r="H1141" t="inlineStr">
        <is>
          <t>12/2026</t>
        </is>
      </c>
    </row>
    <row r="1142">
      <c r="A1142" t="inlineStr">
        <is>
          <t>Nuv Gastrobar</t>
        </is>
      </c>
      <c r="B1142" t="inlineStr">
        <is>
          <t>Mão de Obra - Encargos e Provisões</t>
        </is>
      </c>
      <c r="C1142" t="inlineStr">
        <is>
          <t xml:space="preserve">  -  Adicional Noturno</t>
        </is>
      </c>
      <c r="D1142" t="inlineStr">
        <is>
          <t>01/01/2026</t>
        </is>
      </c>
      <c r="E1142" t="n">
        <v>0</v>
      </c>
      <c r="F1142" t="inlineStr">
        <is>
          <t>Fabrica de Bares (2025)</t>
        </is>
      </c>
      <c r="G1142" t="b">
        <v>1</v>
      </c>
      <c r="H1142" t="inlineStr">
        <is>
          <t>1/2026</t>
        </is>
      </c>
    </row>
    <row r="1143">
      <c r="A1143" t="inlineStr">
        <is>
          <t>Nuv Gastrobar</t>
        </is>
      </c>
      <c r="B1143" t="inlineStr">
        <is>
          <t>Mão de Obra - Encargos e Provisões</t>
        </is>
      </c>
      <c r="C1143" t="inlineStr">
        <is>
          <t xml:space="preserve">  -  Adicional Noturno</t>
        </is>
      </c>
      <c r="D1143" t="inlineStr">
        <is>
          <t>01/02/2026</t>
        </is>
      </c>
      <c r="E1143" t="n">
        <v>0</v>
      </c>
      <c r="F1143" t="inlineStr">
        <is>
          <t>Fabrica de Bares (2025)</t>
        </is>
      </c>
      <c r="G1143" t="b">
        <v>1</v>
      </c>
      <c r="H1143" t="inlineStr">
        <is>
          <t>2/2026</t>
        </is>
      </c>
    </row>
    <row r="1144">
      <c r="A1144" t="inlineStr">
        <is>
          <t>Nuv Gastrobar</t>
        </is>
      </c>
      <c r="B1144" t="inlineStr">
        <is>
          <t>Mão de Obra - Encargos e Provisões</t>
        </is>
      </c>
      <c r="C1144" t="inlineStr">
        <is>
          <t xml:space="preserve">  -  Adicional Noturno</t>
        </is>
      </c>
      <c r="D1144" t="inlineStr">
        <is>
          <t>01/03/2026</t>
        </is>
      </c>
      <c r="E1144" t="n">
        <v>0</v>
      </c>
      <c r="F1144" t="inlineStr">
        <is>
          <t>Fabrica de Bares (2025)</t>
        </is>
      </c>
      <c r="G1144" t="b">
        <v>1</v>
      </c>
      <c r="H1144" t="inlineStr">
        <is>
          <t>3/2026</t>
        </is>
      </c>
    </row>
    <row r="1145">
      <c r="A1145" t="inlineStr">
        <is>
          <t>Nuv Gastrobar</t>
        </is>
      </c>
      <c r="B1145" t="inlineStr">
        <is>
          <t>Mão de Obra - Encargos e Provisões</t>
        </is>
      </c>
      <c r="C1145" t="inlineStr">
        <is>
          <t xml:space="preserve">  -  Adicional Noturno</t>
        </is>
      </c>
      <c r="D1145" t="inlineStr">
        <is>
          <t>01/04/2026</t>
        </is>
      </c>
      <c r="E1145" t="n">
        <v>0</v>
      </c>
      <c r="F1145" t="inlineStr">
        <is>
          <t>Fabrica de Bares (2025)</t>
        </is>
      </c>
      <c r="G1145" t="b">
        <v>1</v>
      </c>
      <c r="H1145" t="inlineStr">
        <is>
          <t>4/2026</t>
        </is>
      </c>
    </row>
    <row r="1146">
      <c r="A1146" t="inlineStr">
        <is>
          <t>Nuv Gastrobar</t>
        </is>
      </c>
      <c r="B1146" t="inlineStr">
        <is>
          <t>Mão de Obra - Encargos e Provisões</t>
        </is>
      </c>
      <c r="C1146" t="inlineStr">
        <is>
          <t xml:space="preserve">  -  Adicional Noturno</t>
        </is>
      </c>
      <c r="D1146" t="inlineStr">
        <is>
          <t>01/05/2026</t>
        </is>
      </c>
      <c r="E1146" t="n">
        <v>0</v>
      </c>
      <c r="F1146" t="inlineStr">
        <is>
          <t>Fabrica de Bares (2025)</t>
        </is>
      </c>
      <c r="G1146" t="b">
        <v>1</v>
      </c>
      <c r="H1146" t="inlineStr">
        <is>
          <t>5/2026</t>
        </is>
      </c>
    </row>
    <row r="1147">
      <c r="A1147" t="inlineStr">
        <is>
          <t>Nuv Gastrobar</t>
        </is>
      </c>
      <c r="B1147" t="inlineStr">
        <is>
          <t>Mão de Obra - Encargos e Provisões</t>
        </is>
      </c>
      <c r="C1147" t="inlineStr">
        <is>
          <t xml:space="preserve">  -  Adicional Noturno</t>
        </is>
      </c>
      <c r="D1147" t="inlineStr">
        <is>
          <t>01/06/2026</t>
        </is>
      </c>
      <c r="E1147" t="n">
        <v>0</v>
      </c>
      <c r="F1147" t="inlineStr">
        <is>
          <t>Fabrica de Bares (2025)</t>
        </is>
      </c>
      <c r="G1147" t="b">
        <v>1</v>
      </c>
      <c r="H1147" t="inlineStr">
        <is>
          <t>6/2026</t>
        </is>
      </c>
    </row>
    <row r="1148">
      <c r="A1148" t="inlineStr">
        <is>
          <t>Nuv Gastrobar</t>
        </is>
      </c>
      <c r="B1148" t="inlineStr">
        <is>
          <t>Mão de Obra - Encargos e Provisões</t>
        </is>
      </c>
      <c r="C1148" t="inlineStr">
        <is>
          <t xml:space="preserve">  -  Adicional Noturno</t>
        </is>
      </c>
      <c r="D1148" t="inlineStr">
        <is>
          <t>01/07/2026</t>
        </is>
      </c>
      <c r="E1148" t="n">
        <v>0</v>
      </c>
      <c r="F1148" t="inlineStr">
        <is>
          <t>Fabrica de Bares (2025)</t>
        </is>
      </c>
      <c r="G1148" t="b">
        <v>1</v>
      </c>
      <c r="H1148" t="inlineStr">
        <is>
          <t>7/2026</t>
        </is>
      </c>
    </row>
    <row r="1149">
      <c r="A1149" t="inlineStr">
        <is>
          <t>Nuv Gastrobar</t>
        </is>
      </c>
      <c r="B1149" t="inlineStr">
        <is>
          <t>Mão de Obra - Encargos e Provisões</t>
        </is>
      </c>
      <c r="C1149" t="inlineStr">
        <is>
          <t xml:space="preserve">  -  Adicional Noturno</t>
        </is>
      </c>
      <c r="D1149" t="inlineStr">
        <is>
          <t>01/08/2026</t>
        </is>
      </c>
      <c r="E1149" t="n">
        <v>0</v>
      </c>
      <c r="F1149" t="inlineStr">
        <is>
          <t>Fabrica de Bares (2025)</t>
        </is>
      </c>
      <c r="G1149" t="b">
        <v>1</v>
      </c>
      <c r="H1149" t="inlineStr">
        <is>
          <t>8/2026</t>
        </is>
      </c>
    </row>
    <row r="1150">
      <c r="A1150" t="inlineStr">
        <is>
          <t>Nuv Gastrobar</t>
        </is>
      </c>
      <c r="B1150" t="inlineStr">
        <is>
          <t>Mão de Obra - Encargos e Provisões</t>
        </is>
      </c>
      <c r="C1150" t="inlineStr">
        <is>
          <t xml:space="preserve">  -  Adicional Noturno</t>
        </is>
      </c>
      <c r="D1150" t="inlineStr">
        <is>
          <t>01/09/2026</t>
        </is>
      </c>
      <c r="E1150" t="n">
        <v>0</v>
      </c>
      <c r="F1150" t="inlineStr">
        <is>
          <t>Fabrica de Bares (2025)</t>
        </is>
      </c>
      <c r="G1150" t="b">
        <v>1</v>
      </c>
      <c r="H1150" t="inlineStr">
        <is>
          <t>9/2026</t>
        </is>
      </c>
    </row>
    <row r="1151">
      <c r="A1151" t="inlineStr">
        <is>
          <t>Nuv Gastrobar</t>
        </is>
      </c>
      <c r="B1151" t="inlineStr">
        <is>
          <t>Mão de Obra - Encargos e Provisões</t>
        </is>
      </c>
      <c r="C1151" t="inlineStr">
        <is>
          <t xml:space="preserve">  -  Adicional Noturno</t>
        </is>
      </c>
      <c r="D1151" t="inlineStr">
        <is>
          <t>01/10/2026</t>
        </is>
      </c>
      <c r="E1151" t="n">
        <v>0</v>
      </c>
      <c r="F1151" t="inlineStr">
        <is>
          <t>Fabrica de Bares (2025)</t>
        </is>
      </c>
      <c r="G1151" t="b">
        <v>1</v>
      </c>
      <c r="H1151" t="inlineStr">
        <is>
          <t>10/2026</t>
        </is>
      </c>
    </row>
    <row r="1152">
      <c r="A1152" t="inlineStr">
        <is>
          <t>Nuv Gastrobar</t>
        </is>
      </c>
      <c r="B1152" t="inlineStr">
        <is>
          <t>Mão de Obra - Encargos e Provisões</t>
        </is>
      </c>
      <c r="C1152" t="inlineStr">
        <is>
          <t xml:space="preserve">  -  Adicional Noturno</t>
        </is>
      </c>
      <c r="D1152" t="inlineStr">
        <is>
          <t>01/11/2026</t>
        </is>
      </c>
      <c r="E1152" t="n">
        <v>0</v>
      </c>
      <c r="F1152" t="inlineStr">
        <is>
          <t>Fabrica de Bares (2025)</t>
        </is>
      </c>
      <c r="G1152" t="b">
        <v>1</v>
      </c>
      <c r="H1152" t="inlineStr">
        <is>
          <t>11/2026</t>
        </is>
      </c>
    </row>
    <row r="1153">
      <c r="A1153" t="inlineStr">
        <is>
          <t>Nuv Gastrobar</t>
        </is>
      </c>
      <c r="B1153" t="inlineStr">
        <is>
          <t>Mão de Obra - Encargos e Provisões</t>
        </is>
      </c>
      <c r="C1153" t="inlineStr">
        <is>
          <t xml:space="preserve">  -  Adicional Noturno</t>
        </is>
      </c>
      <c r="D1153" t="inlineStr">
        <is>
          <t>01/12/2026</t>
        </is>
      </c>
      <c r="E1153" t="n">
        <v>0</v>
      </c>
      <c r="F1153" t="inlineStr">
        <is>
          <t>Fabrica de Bares (2025)</t>
        </is>
      </c>
      <c r="G1153" t="b">
        <v>1</v>
      </c>
      <c r="H1153" t="inlineStr">
        <is>
          <t>12/2026</t>
        </is>
      </c>
    </row>
    <row r="1154">
      <c r="A1154" t="inlineStr">
        <is>
          <t>Nuv Gastrobar</t>
        </is>
      </c>
      <c r="B1154" t="inlineStr">
        <is>
          <t>Mão de Obra - Encargos e Provisões</t>
        </is>
      </c>
      <c r="C1154" t="inlineStr">
        <is>
          <t xml:space="preserve">  -  Férias</t>
        </is>
      </c>
      <c r="D1154" t="inlineStr">
        <is>
          <t>01/01/2026</t>
        </is>
      </c>
      <c r="E1154" t="n">
        <v>0</v>
      </c>
      <c r="F1154" t="inlineStr">
        <is>
          <t>Fabrica de Bares (2025)</t>
        </is>
      </c>
      <c r="G1154" t="b">
        <v>1</v>
      </c>
      <c r="H1154" t="inlineStr">
        <is>
          <t>1/2026</t>
        </is>
      </c>
    </row>
    <row r="1155">
      <c r="A1155" t="inlineStr">
        <is>
          <t>Nuv Gastrobar</t>
        </is>
      </c>
      <c r="B1155" t="inlineStr">
        <is>
          <t>Mão de Obra - Encargos e Provisões</t>
        </is>
      </c>
      <c r="C1155" t="inlineStr">
        <is>
          <t xml:space="preserve">  -  Férias</t>
        </is>
      </c>
      <c r="D1155" t="inlineStr">
        <is>
          <t>01/02/2026</t>
        </is>
      </c>
      <c r="E1155" t="n">
        <v>0</v>
      </c>
      <c r="F1155" t="inlineStr">
        <is>
          <t>Fabrica de Bares (2025)</t>
        </is>
      </c>
      <c r="G1155" t="b">
        <v>1</v>
      </c>
      <c r="H1155" t="inlineStr">
        <is>
          <t>2/2026</t>
        </is>
      </c>
    </row>
    <row r="1156">
      <c r="A1156" t="inlineStr">
        <is>
          <t>Nuv Gastrobar</t>
        </is>
      </c>
      <c r="B1156" t="inlineStr">
        <is>
          <t>Mão de Obra - Encargos e Provisões</t>
        </is>
      </c>
      <c r="C1156" t="inlineStr">
        <is>
          <t xml:space="preserve">  -  Férias</t>
        </is>
      </c>
      <c r="D1156" t="inlineStr">
        <is>
          <t>01/03/2026</t>
        </is>
      </c>
      <c r="E1156" t="n">
        <v>0</v>
      </c>
      <c r="F1156" t="inlineStr">
        <is>
          <t>Fabrica de Bares (2025)</t>
        </is>
      </c>
      <c r="G1156" t="b">
        <v>1</v>
      </c>
      <c r="H1156" t="inlineStr">
        <is>
          <t>3/2026</t>
        </is>
      </c>
    </row>
    <row r="1157">
      <c r="A1157" t="inlineStr">
        <is>
          <t>Nuv Gastrobar</t>
        </is>
      </c>
      <c r="B1157" t="inlineStr">
        <is>
          <t>Mão de Obra - Encargos e Provisões</t>
        </is>
      </c>
      <c r="C1157" t="inlineStr">
        <is>
          <t xml:space="preserve">  -  Férias</t>
        </is>
      </c>
      <c r="D1157" t="inlineStr">
        <is>
          <t>01/04/2026</t>
        </is>
      </c>
      <c r="E1157" t="n">
        <v>0</v>
      </c>
      <c r="F1157" t="inlineStr">
        <is>
          <t>Fabrica de Bares (2025)</t>
        </is>
      </c>
      <c r="G1157" t="b">
        <v>1</v>
      </c>
      <c r="H1157" t="inlineStr">
        <is>
          <t>4/2026</t>
        </is>
      </c>
    </row>
    <row r="1158">
      <c r="A1158" t="inlineStr">
        <is>
          <t>Nuv Gastrobar</t>
        </is>
      </c>
      <c r="B1158" t="inlineStr">
        <is>
          <t>Mão de Obra - Encargos e Provisões</t>
        </is>
      </c>
      <c r="C1158" t="inlineStr">
        <is>
          <t xml:space="preserve">  -  Férias</t>
        </is>
      </c>
      <c r="D1158" t="inlineStr">
        <is>
          <t>01/05/2026</t>
        </is>
      </c>
      <c r="E1158" t="n">
        <v>0</v>
      </c>
      <c r="F1158" t="inlineStr">
        <is>
          <t>Fabrica de Bares (2025)</t>
        </is>
      </c>
      <c r="G1158" t="b">
        <v>1</v>
      </c>
      <c r="H1158" t="inlineStr">
        <is>
          <t>5/2026</t>
        </is>
      </c>
    </row>
    <row r="1159">
      <c r="A1159" t="inlineStr">
        <is>
          <t>Nuv Gastrobar</t>
        </is>
      </c>
      <c r="B1159" t="inlineStr">
        <is>
          <t>Mão de Obra - Encargos e Provisões</t>
        </is>
      </c>
      <c r="C1159" t="inlineStr">
        <is>
          <t xml:space="preserve">  -  Férias</t>
        </is>
      </c>
      <c r="D1159" t="inlineStr">
        <is>
          <t>01/06/2026</t>
        </is>
      </c>
      <c r="E1159" t="n">
        <v>0</v>
      </c>
      <c r="F1159" t="inlineStr">
        <is>
          <t>Fabrica de Bares (2025)</t>
        </is>
      </c>
      <c r="G1159" t="b">
        <v>1</v>
      </c>
      <c r="H1159" t="inlineStr">
        <is>
          <t>6/2026</t>
        </is>
      </c>
    </row>
    <row r="1160">
      <c r="A1160" t="inlineStr">
        <is>
          <t>Nuv Gastrobar</t>
        </is>
      </c>
      <c r="B1160" t="inlineStr">
        <is>
          <t>Mão de Obra - Encargos e Provisões</t>
        </is>
      </c>
      <c r="C1160" t="inlineStr">
        <is>
          <t xml:space="preserve">  -  Férias</t>
        </is>
      </c>
      <c r="D1160" t="inlineStr">
        <is>
          <t>01/07/2026</t>
        </is>
      </c>
      <c r="E1160" t="n">
        <v>0</v>
      </c>
      <c r="F1160" t="inlineStr">
        <is>
          <t>Fabrica de Bares (2025)</t>
        </is>
      </c>
      <c r="G1160" t="b">
        <v>1</v>
      </c>
      <c r="H1160" t="inlineStr">
        <is>
          <t>7/2026</t>
        </is>
      </c>
    </row>
    <row r="1161">
      <c r="A1161" t="inlineStr">
        <is>
          <t>Nuv Gastrobar</t>
        </is>
      </c>
      <c r="B1161" t="inlineStr">
        <is>
          <t>Mão de Obra - Encargos e Provisões</t>
        </is>
      </c>
      <c r="C1161" t="inlineStr">
        <is>
          <t xml:space="preserve">  -  Férias</t>
        </is>
      </c>
      <c r="D1161" t="inlineStr">
        <is>
          <t>01/08/2026</t>
        </is>
      </c>
      <c r="E1161" t="n">
        <v>6792.75</v>
      </c>
      <c r="F1161" t="inlineStr">
        <is>
          <t>Fabrica de Bares (2025)</t>
        </is>
      </c>
      <c r="G1161" t="b">
        <v>1</v>
      </c>
      <c r="H1161" t="inlineStr">
        <is>
          <t>8/2026</t>
        </is>
      </c>
    </row>
    <row r="1162">
      <c r="A1162" t="inlineStr">
        <is>
          <t>Nuv Gastrobar</t>
        </is>
      </c>
      <c r="B1162" t="inlineStr">
        <is>
          <t>Mão de Obra - Encargos e Provisões</t>
        </is>
      </c>
      <c r="C1162" t="inlineStr">
        <is>
          <t xml:space="preserve">  -  Férias</t>
        </is>
      </c>
      <c r="D1162" t="inlineStr">
        <is>
          <t>01/09/2026</t>
        </is>
      </c>
      <c r="E1162" t="n">
        <v>7982.48</v>
      </c>
      <c r="F1162" t="inlineStr">
        <is>
          <t>Fabrica de Bares (2025)</t>
        </is>
      </c>
      <c r="G1162" t="b">
        <v>1</v>
      </c>
      <c r="H1162" t="inlineStr">
        <is>
          <t>9/2026</t>
        </is>
      </c>
    </row>
    <row r="1163">
      <c r="A1163" t="inlineStr">
        <is>
          <t>Nuv Gastrobar</t>
        </is>
      </c>
      <c r="B1163" t="inlineStr">
        <is>
          <t>Mão de Obra - Encargos e Provisões</t>
        </is>
      </c>
      <c r="C1163" t="inlineStr">
        <is>
          <t xml:space="preserve">  -  Férias</t>
        </is>
      </c>
      <c r="D1163" t="inlineStr">
        <is>
          <t>01/10/2026</t>
        </is>
      </c>
      <c r="E1163" t="n">
        <v>8574.67</v>
      </c>
      <c r="F1163" t="inlineStr">
        <is>
          <t>Fabrica de Bares (2025)</t>
        </is>
      </c>
      <c r="G1163" t="b">
        <v>1</v>
      </c>
      <c r="H1163" t="inlineStr">
        <is>
          <t>10/2026</t>
        </is>
      </c>
    </row>
    <row r="1164">
      <c r="A1164" t="inlineStr">
        <is>
          <t>Nuv Gastrobar</t>
        </is>
      </c>
      <c r="B1164" t="inlineStr">
        <is>
          <t>Mão de Obra - Encargos e Provisões</t>
        </is>
      </c>
      <c r="C1164" t="inlineStr">
        <is>
          <t xml:space="preserve">  -  Férias</t>
        </is>
      </c>
      <c r="D1164" t="inlineStr">
        <is>
          <t>01/11/2026</t>
        </is>
      </c>
      <c r="E1164" t="n">
        <v>10680.71</v>
      </c>
      <c r="F1164" t="inlineStr">
        <is>
          <t>Fabrica de Bares (2025)</t>
        </is>
      </c>
      <c r="G1164" t="b">
        <v>1</v>
      </c>
      <c r="H1164" t="inlineStr">
        <is>
          <t>11/2026</t>
        </is>
      </c>
    </row>
    <row r="1165">
      <c r="A1165" t="inlineStr">
        <is>
          <t>Nuv Gastrobar</t>
        </is>
      </c>
      <c r="B1165" t="inlineStr">
        <is>
          <t>Mão de Obra - Encargos e Provisões</t>
        </is>
      </c>
      <c r="C1165" t="inlineStr">
        <is>
          <t xml:space="preserve">  -  Férias</t>
        </is>
      </c>
      <c r="D1165" t="inlineStr">
        <is>
          <t>01/12/2026</t>
        </is>
      </c>
      <c r="E1165" t="n">
        <v>10624.71</v>
      </c>
      <c r="F1165" t="inlineStr">
        <is>
          <t>Fabrica de Bares (2025)</t>
        </is>
      </c>
      <c r="G1165" t="b">
        <v>1</v>
      </c>
      <c r="H1165" t="inlineStr">
        <is>
          <t>12/2026</t>
        </is>
      </c>
    </row>
    <row r="1166">
      <c r="A1166" t="inlineStr">
        <is>
          <t>Nuv Gastrobar</t>
        </is>
      </c>
      <c r="B1166" t="inlineStr">
        <is>
          <t>Mão de Obra - Encargos e Provisões</t>
        </is>
      </c>
      <c r="C1166" t="inlineStr">
        <is>
          <t xml:space="preserve">  -  FGTS</t>
        </is>
      </c>
      <c r="D1166" t="inlineStr">
        <is>
          <t>01/01/2026</t>
        </is>
      </c>
      <c r="E1166" t="n">
        <v>0</v>
      </c>
      <c r="F1166" t="inlineStr">
        <is>
          <t>Fabrica de Bares (2025)</t>
        </is>
      </c>
      <c r="G1166" t="b">
        <v>1</v>
      </c>
      <c r="H1166" t="inlineStr">
        <is>
          <t>1/2026</t>
        </is>
      </c>
    </row>
    <row r="1167">
      <c r="A1167" t="inlineStr">
        <is>
          <t>Nuv Gastrobar</t>
        </is>
      </c>
      <c r="B1167" t="inlineStr">
        <is>
          <t>Mão de Obra - Encargos e Provisões</t>
        </is>
      </c>
      <c r="C1167" t="inlineStr">
        <is>
          <t xml:space="preserve">  -  FGTS</t>
        </is>
      </c>
      <c r="D1167" t="inlineStr">
        <is>
          <t>01/02/2026</t>
        </is>
      </c>
      <c r="E1167" t="n">
        <v>0</v>
      </c>
      <c r="F1167" t="inlineStr">
        <is>
          <t>Fabrica de Bares (2025)</t>
        </is>
      </c>
      <c r="G1167" t="b">
        <v>1</v>
      </c>
      <c r="H1167" t="inlineStr">
        <is>
          <t>2/2026</t>
        </is>
      </c>
    </row>
    <row r="1168">
      <c r="A1168" t="inlineStr">
        <is>
          <t>Nuv Gastrobar</t>
        </is>
      </c>
      <c r="B1168" t="inlineStr">
        <is>
          <t>Mão de Obra - Encargos e Provisões</t>
        </is>
      </c>
      <c r="C1168" t="inlineStr">
        <is>
          <t xml:space="preserve">  -  FGTS</t>
        </is>
      </c>
      <c r="D1168" t="inlineStr">
        <is>
          <t>01/03/2026</t>
        </is>
      </c>
      <c r="E1168" t="n">
        <v>0</v>
      </c>
      <c r="F1168" t="inlineStr">
        <is>
          <t>Fabrica de Bares (2025)</t>
        </is>
      </c>
      <c r="G1168" t="b">
        <v>1</v>
      </c>
      <c r="H1168" t="inlineStr">
        <is>
          <t>3/2026</t>
        </is>
      </c>
    </row>
    <row r="1169">
      <c r="A1169" t="inlineStr">
        <is>
          <t>Nuv Gastrobar</t>
        </is>
      </c>
      <c r="B1169" t="inlineStr">
        <is>
          <t>Mão de Obra - Encargos e Provisões</t>
        </is>
      </c>
      <c r="C1169" t="inlineStr">
        <is>
          <t xml:space="preserve">  -  FGTS</t>
        </is>
      </c>
      <c r="D1169" t="inlineStr">
        <is>
          <t>01/04/2026</t>
        </is>
      </c>
      <c r="E1169" t="n">
        <v>0</v>
      </c>
      <c r="F1169" t="inlineStr">
        <is>
          <t>Fabrica de Bares (2025)</t>
        </is>
      </c>
      <c r="G1169" t="b">
        <v>1</v>
      </c>
      <c r="H1169" t="inlineStr">
        <is>
          <t>4/2026</t>
        </is>
      </c>
    </row>
    <row r="1170">
      <c r="A1170" t="inlineStr">
        <is>
          <t>Nuv Gastrobar</t>
        </is>
      </c>
      <c r="B1170" t="inlineStr">
        <is>
          <t>Mão de Obra - Encargos e Provisões</t>
        </is>
      </c>
      <c r="C1170" t="inlineStr">
        <is>
          <t xml:space="preserve">  -  FGTS</t>
        </is>
      </c>
      <c r="D1170" t="inlineStr">
        <is>
          <t>01/05/2026</t>
        </is>
      </c>
      <c r="E1170" t="n">
        <v>0</v>
      </c>
      <c r="F1170" t="inlineStr">
        <is>
          <t>Fabrica de Bares (2025)</t>
        </is>
      </c>
      <c r="G1170" t="b">
        <v>1</v>
      </c>
      <c r="H1170" t="inlineStr">
        <is>
          <t>5/2026</t>
        </is>
      </c>
    </row>
    <row r="1171">
      <c r="A1171" t="inlineStr">
        <is>
          <t>Nuv Gastrobar</t>
        </is>
      </c>
      <c r="B1171" t="inlineStr">
        <is>
          <t>Mão de Obra - Encargos e Provisões</t>
        </is>
      </c>
      <c r="C1171" t="inlineStr">
        <is>
          <t xml:space="preserve">  -  FGTS</t>
        </is>
      </c>
      <c r="D1171" t="inlineStr">
        <is>
          <t>01/06/2026</t>
        </is>
      </c>
      <c r="E1171" t="n">
        <v>0</v>
      </c>
      <c r="F1171" t="inlineStr">
        <is>
          <t>Fabrica de Bares (2025)</t>
        </is>
      </c>
      <c r="G1171" t="b">
        <v>1</v>
      </c>
      <c r="H1171" t="inlineStr">
        <is>
          <t>6/2026</t>
        </is>
      </c>
    </row>
    <row r="1172">
      <c r="A1172" t="inlineStr">
        <is>
          <t>Nuv Gastrobar</t>
        </is>
      </c>
      <c r="B1172" t="inlineStr">
        <is>
          <t>Mão de Obra - Encargos e Provisões</t>
        </is>
      </c>
      <c r="C1172" t="inlineStr">
        <is>
          <t xml:space="preserve">  -  FGTS</t>
        </is>
      </c>
      <c r="D1172" t="inlineStr">
        <is>
          <t>01/07/2026</t>
        </is>
      </c>
      <c r="E1172" t="n">
        <v>0</v>
      </c>
      <c r="F1172" t="inlineStr">
        <is>
          <t>Fabrica de Bares (2025)</t>
        </is>
      </c>
      <c r="G1172" t="b">
        <v>1</v>
      </c>
      <c r="H1172" t="inlineStr">
        <is>
          <t>7/2026</t>
        </is>
      </c>
    </row>
    <row r="1173">
      <c r="A1173" t="inlineStr">
        <is>
          <t>Nuv Gastrobar</t>
        </is>
      </c>
      <c r="B1173" t="inlineStr">
        <is>
          <t>Mão de Obra - Encargos e Provisões</t>
        </is>
      </c>
      <c r="C1173" t="inlineStr">
        <is>
          <t xml:space="preserve">  -  FGTS</t>
        </is>
      </c>
      <c r="D1173" t="inlineStr">
        <is>
          <t>01/08/2026</t>
        </is>
      </c>
      <c r="E1173" t="n">
        <v>6792.75</v>
      </c>
      <c r="F1173" t="inlineStr">
        <is>
          <t>Fabrica de Bares (2025)</t>
        </is>
      </c>
      <c r="G1173" t="b">
        <v>1</v>
      </c>
      <c r="H1173" t="inlineStr">
        <is>
          <t>8/2026</t>
        </is>
      </c>
    </row>
    <row r="1174">
      <c r="A1174" t="inlineStr">
        <is>
          <t>Nuv Gastrobar</t>
        </is>
      </c>
      <c r="B1174" t="inlineStr">
        <is>
          <t>Mão de Obra - Encargos e Provisões</t>
        </is>
      </c>
      <c r="C1174" t="inlineStr">
        <is>
          <t xml:space="preserve">  -  FGTS</t>
        </is>
      </c>
      <c r="D1174" t="inlineStr">
        <is>
          <t>01/09/2026</t>
        </is>
      </c>
      <c r="E1174" t="n">
        <v>7982.48</v>
      </c>
      <c r="F1174" t="inlineStr">
        <is>
          <t>Fabrica de Bares (2025)</t>
        </is>
      </c>
      <c r="G1174" t="b">
        <v>1</v>
      </c>
      <c r="H1174" t="inlineStr">
        <is>
          <t>9/2026</t>
        </is>
      </c>
    </row>
    <row r="1175">
      <c r="A1175" t="inlineStr">
        <is>
          <t>Nuv Gastrobar</t>
        </is>
      </c>
      <c r="B1175" t="inlineStr">
        <is>
          <t>Mão de Obra - Encargos e Provisões</t>
        </is>
      </c>
      <c r="C1175" t="inlineStr">
        <is>
          <t xml:space="preserve">  -  FGTS</t>
        </is>
      </c>
      <c r="D1175" t="inlineStr">
        <is>
          <t>01/10/2026</t>
        </is>
      </c>
      <c r="E1175" t="n">
        <v>8574.67</v>
      </c>
      <c r="F1175" t="inlineStr">
        <is>
          <t>Fabrica de Bares (2025)</t>
        </is>
      </c>
      <c r="G1175" t="b">
        <v>1</v>
      </c>
      <c r="H1175" t="inlineStr">
        <is>
          <t>10/2026</t>
        </is>
      </c>
    </row>
    <row r="1176">
      <c r="A1176" t="inlineStr">
        <is>
          <t>Nuv Gastrobar</t>
        </is>
      </c>
      <c r="B1176" t="inlineStr">
        <is>
          <t>Mão de Obra - Encargos e Provisões</t>
        </is>
      </c>
      <c r="C1176" t="inlineStr">
        <is>
          <t xml:space="preserve">  -  FGTS</t>
        </is>
      </c>
      <c r="D1176" t="inlineStr">
        <is>
          <t>01/11/2026</t>
        </is>
      </c>
      <c r="E1176" t="n">
        <v>10680.71</v>
      </c>
      <c r="F1176" t="inlineStr">
        <is>
          <t>Fabrica de Bares (2025)</t>
        </is>
      </c>
      <c r="G1176" t="b">
        <v>1</v>
      </c>
      <c r="H1176" t="inlineStr">
        <is>
          <t>11/2026</t>
        </is>
      </c>
    </row>
    <row r="1177">
      <c r="A1177" t="inlineStr">
        <is>
          <t>Nuv Gastrobar</t>
        </is>
      </c>
      <c r="B1177" t="inlineStr">
        <is>
          <t>Mão de Obra - Encargos e Provisões</t>
        </is>
      </c>
      <c r="C1177" t="inlineStr">
        <is>
          <t xml:space="preserve">  -  FGTS</t>
        </is>
      </c>
      <c r="D1177" t="inlineStr">
        <is>
          <t>01/12/2026</t>
        </is>
      </c>
      <c r="E1177" t="n">
        <v>10624.71</v>
      </c>
      <c r="F1177" t="inlineStr">
        <is>
          <t>Fabrica de Bares (2025)</t>
        </is>
      </c>
      <c r="G1177" t="b">
        <v>1</v>
      </c>
      <c r="H1177" t="inlineStr">
        <is>
          <t>12/2026</t>
        </is>
      </c>
    </row>
    <row r="1178">
      <c r="A1178" t="inlineStr">
        <is>
          <t>Nuv Gastrobar</t>
        </is>
      </c>
      <c r="B1178" t="inlineStr">
        <is>
          <t>Mão de Obra - Encargos e Provisões</t>
        </is>
      </c>
      <c r="C1178" t="inlineStr">
        <is>
          <t xml:space="preserve">  -  FGTS sobre 13º Salários</t>
        </is>
      </c>
      <c r="D1178" t="inlineStr">
        <is>
          <t>01/01/2026</t>
        </is>
      </c>
      <c r="E1178" t="n">
        <v>0</v>
      </c>
      <c r="F1178" t="inlineStr">
        <is>
          <t>Fabrica de Bares (2025)</t>
        </is>
      </c>
      <c r="G1178" t="b">
        <v>1</v>
      </c>
      <c r="H1178" t="inlineStr">
        <is>
          <t>1/2026</t>
        </is>
      </c>
    </row>
    <row r="1179">
      <c r="A1179" t="inlineStr">
        <is>
          <t>Nuv Gastrobar</t>
        </is>
      </c>
      <c r="B1179" t="inlineStr">
        <is>
          <t>Mão de Obra - Encargos e Provisões</t>
        </is>
      </c>
      <c r="C1179" t="inlineStr">
        <is>
          <t xml:space="preserve">  -  FGTS sobre 13º Salários</t>
        </is>
      </c>
      <c r="D1179" t="inlineStr">
        <is>
          <t>01/02/2026</t>
        </is>
      </c>
      <c r="E1179" t="n">
        <v>0</v>
      </c>
      <c r="F1179" t="inlineStr">
        <is>
          <t>Fabrica de Bares (2025)</t>
        </is>
      </c>
      <c r="G1179" t="b">
        <v>1</v>
      </c>
      <c r="H1179" t="inlineStr">
        <is>
          <t>2/2026</t>
        </is>
      </c>
    </row>
    <row r="1180">
      <c r="A1180" t="inlineStr">
        <is>
          <t>Nuv Gastrobar</t>
        </is>
      </c>
      <c r="B1180" t="inlineStr">
        <is>
          <t>Mão de Obra - Encargos e Provisões</t>
        </is>
      </c>
      <c r="C1180" t="inlineStr">
        <is>
          <t xml:space="preserve">  -  FGTS sobre 13º Salários</t>
        </is>
      </c>
      <c r="D1180" t="inlineStr">
        <is>
          <t>01/03/2026</t>
        </is>
      </c>
      <c r="E1180" t="n">
        <v>0</v>
      </c>
      <c r="F1180" t="inlineStr">
        <is>
          <t>Fabrica de Bares (2025)</t>
        </is>
      </c>
      <c r="G1180" t="b">
        <v>1</v>
      </c>
      <c r="H1180" t="inlineStr">
        <is>
          <t>3/2026</t>
        </is>
      </c>
    </row>
    <row r="1181">
      <c r="A1181" t="inlineStr">
        <is>
          <t>Nuv Gastrobar</t>
        </is>
      </c>
      <c r="B1181" t="inlineStr">
        <is>
          <t>Mão de Obra - Encargos e Provisões</t>
        </is>
      </c>
      <c r="C1181" t="inlineStr">
        <is>
          <t xml:space="preserve">  -  FGTS sobre 13º Salários</t>
        </is>
      </c>
      <c r="D1181" t="inlineStr">
        <is>
          <t>01/04/2026</t>
        </is>
      </c>
      <c r="E1181" t="n">
        <v>0</v>
      </c>
      <c r="F1181" t="inlineStr">
        <is>
          <t>Fabrica de Bares (2025)</t>
        </is>
      </c>
      <c r="G1181" t="b">
        <v>1</v>
      </c>
      <c r="H1181" t="inlineStr">
        <is>
          <t>4/2026</t>
        </is>
      </c>
    </row>
    <row r="1182">
      <c r="A1182" t="inlineStr">
        <is>
          <t>Nuv Gastrobar</t>
        </is>
      </c>
      <c r="B1182" t="inlineStr">
        <is>
          <t>Mão de Obra - Encargos e Provisões</t>
        </is>
      </c>
      <c r="C1182" t="inlineStr">
        <is>
          <t xml:space="preserve">  -  FGTS sobre 13º Salários</t>
        </is>
      </c>
      <c r="D1182" t="inlineStr">
        <is>
          <t>01/05/2026</t>
        </is>
      </c>
      <c r="E1182" t="n">
        <v>0</v>
      </c>
      <c r="F1182" t="inlineStr">
        <is>
          <t>Fabrica de Bares (2025)</t>
        </is>
      </c>
      <c r="G1182" t="b">
        <v>1</v>
      </c>
      <c r="H1182" t="inlineStr">
        <is>
          <t>5/2026</t>
        </is>
      </c>
    </row>
    <row r="1183">
      <c r="A1183" t="inlineStr">
        <is>
          <t>Nuv Gastrobar</t>
        </is>
      </c>
      <c r="B1183" t="inlineStr">
        <is>
          <t>Mão de Obra - Encargos e Provisões</t>
        </is>
      </c>
      <c r="C1183" t="inlineStr">
        <is>
          <t xml:space="preserve">  -  FGTS sobre 13º Salários</t>
        </is>
      </c>
      <c r="D1183" t="inlineStr">
        <is>
          <t>01/06/2026</t>
        </is>
      </c>
      <c r="E1183" t="n">
        <v>0</v>
      </c>
      <c r="F1183" t="inlineStr">
        <is>
          <t>Fabrica de Bares (2025)</t>
        </is>
      </c>
      <c r="G1183" t="b">
        <v>1</v>
      </c>
      <c r="H1183" t="inlineStr">
        <is>
          <t>6/2026</t>
        </is>
      </c>
    </row>
    <row r="1184">
      <c r="A1184" t="inlineStr">
        <is>
          <t>Nuv Gastrobar</t>
        </is>
      </c>
      <c r="B1184" t="inlineStr">
        <is>
          <t>Mão de Obra - Encargos e Provisões</t>
        </is>
      </c>
      <c r="C1184" t="inlineStr">
        <is>
          <t xml:space="preserve">  -  FGTS sobre 13º Salários</t>
        </is>
      </c>
      <c r="D1184" t="inlineStr">
        <is>
          <t>01/07/2026</t>
        </is>
      </c>
      <c r="E1184" t="n">
        <v>0</v>
      </c>
      <c r="F1184" t="inlineStr">
        <is>
          <t>Fabrica de Bares (2025)</t>
        </is>
      </c>
      <c r="G1184" t="b">
        <v>1</v>
      </c>
      <c r="H1184" t="inlineStr">
        <is>
          <t>7/2026</t>
        </is>
      </c>
    </row>
    <row r="1185">
      <c r="A1185" t="inlineStr">
        <is>
          <t>Nuv Gastrobar</t>
        </is>
      </c>
      <c r="B1185" t="inlineStr">
        <is>
          <t>Mão de Obra - Encargos e Provisões</t>
        </is>
      </c>
      <c r="C1185" t="inlineStr">
        <is>
          <t xml:space="preserve">  -  FGTS sobre 13º Salários</t>
        </is>
      </c>
      <c r="D1185" t="inlineStr">
        <is>
          <t>01/08/2026</t>
        </is>
      </c>
      <c r="E1185" t="n">
        <v>543.42</v>
      </c>
      <c r="F1185" t="inlineStr">
        <is>
          <t>Fabrica de Bares (2025)</t>
        </is>
      </c>
      <c r="G1185" t="b">
        <v>1</v>
      </c>
      <c r="H1185" t="inlineStr">
        <is>
          <t>8/2026</t>
        </is>
      </c>
    </row>
    <row r="1186">
      <c r="A1186" t="inlineStr">
        <is>
          <t>Nuv Gastrobar</t>
        </is>
      </c>
      <c r="B1186" t="inlineStr">
        <is>
          <t>Mão de Obra - Encargos e Provisões</t>
        </is>
      </c>
      <c r="C1186" t="inlineStr">
        <is>
          <t xml:space="preserve">  -  FGTS sobre 13º Salários</t>
        </is>
      </c>
      <c r="D1186" t="inlineStr">
        <is>
          <t>01/09/2026</t>
        </is>
      </c>
      <c r="E1186" t="n">
        <v>638.6</v>
      </c>
      <c r="F1186" t="inlineStr">
        <is>
          <t>Fabrica de Bares (2025)</t>
        </is>
      </c>
      <c r="G1186" t="b">
        <v>1</v>
      </c>
      <c r="H1186" t="inlineStr">
        <is>
          <t>9/2026</t>
        </is>
      </c>
    </row>
    <row r="1187">
      <c r="A1187" t="inlineStr">
        <is>
          <t>Nuv Gastrobar</t>
        </is>
      </c>
      <c r="B1187" t="inlineStr">
        <is>
          <t>Mão de Obra - Encargos e Provisões</t>
        </is>
      </c>
      <c r="C1187" t="inlineStr">
        <is>
          <t xml:space="preserve">  -  FGTS sobre 13º Salários</t>
        </is>
      </c>
      <c r="D1187" t="inlineStr">
        <is>
          <t>01/10/2026</t>
        </is>
      </c>
      <c r="E1187" t="n">
        <v>685.97</v>
      </c>
      <c r="F1187" t="inlineStr">
        <is>
          <t>Fabrica de Bares (2025)</t>
        </is>
      </c>
      <c r="G1187" t="b">
        <v>1</v>
      </c>
      <c r="H1187" t="inlineStr">
        <is>
          <t>10/2026</t>
        </is>
      </c>
    </row>
    <row r="1188">
      <c r="A1188" t="inlineStr">
        <is>
          <t>Nuv Gastrobar</t>
        </is>
      </c>
      <c r="B1188" t="inlineStr">
        <is>
          <t>Mão de Obra - Encargos e Provisões</t>
        </is>
      </c>
      <c r="C1188" t="inlineStr">
        <is>
          <t xml:space="preserve">  -  FGTS sobre 13º Salários</t>
        </is>
      </c>
      <c r="D1188" t="inlineStr">
        <is>
          <t>01/11/2026</t>
        </is>
      </c>
      <c r="E1188" t="n">
        <v>854.46</v>
      </c>
      <c r="F1188" t="inlineStr">
        <is>
          <t>Fabrica de Bares (2025)</t>
        </is>
      </c>
      <c r="G1188" t="b">
        <v>1</v>
      </c>
      <c r="H1188" t="inlineStr">
        <is>
          <t>11/2026</t>
        </is>
      </c>
    </row>
    <row r="1189">
      <c r="A1189" t="inlineStr">
        <is>
          <t>Nuv Gastrobar</t>
        </is>
      </c>
      <c r="B1189" t="inlineStr">
        <is>
          <t>Mão de Obra - Encargos e Provisões</t>
        </is>
      </c>
      <c r="C1189" t="inlineStr">
        <is>
          <t xml:space="preserve">  -  FGTS sobre 13º Salários</t>
        </is>
      </c>
      <c r="D1189" t="inlineStr">
        <is>
          <t>01/12/2026</t>
        </is>
      </c>
      <c r="E1189" t="n">
        <v>849.98</v>
      </c>
      <c r="F1189" t="inlineStr">
        <is>
          <t>Fabrica de Bares (2025)</t>
        </is>
      </c>
      <c r="G1189" t="b">
        <v>1</v>
      </c>
      <c r="H1189" t="inlineStr">
        <is>
          <t>12/2026</t>
        </is>
      </c>
    </row>
    <row r="1190">
      <c r="A1190" t="inlineStr">
        <is>
          <t>Nuv Gastrobar</t>
        </is>
      </c>
      <c r="B1190" t="inlineStr">
        <is>
          <t>Mão de Obra - Encargos e Provisões</t>
        </is>
      </c>
      <c r="C1190" t="inlineStr">
        <is>
          <t xml:space="preserve">  -  FGTS sobre Férias</t>
        </is>
      </c>
      <c r="D1190" t="inlineStr">
        <is>
          <t>01/01/2026</t>
        </is>
      </c>
      <c r="E1190" t="n">
        <v>0</v>
      </c>
      <c r="F1190" t="inlineStr">
        <is>
          <t>Fabrica de Bares (2025)</t>
        </is>
      </c>
      <c r="G1190" t="b">
        <v>1</v>
      </c>
      <c r="H1190" t="inlineStr">
        <is>
          <t>1/2026</t>
        </is>
      </c>
    </row>
    <row r="1191">
      <c r="A1191" t="inlineStr">
        <is>
          <t>Nuv Gastrobar</t>
        </is>
      </c>
      <c r="B1191" t="inlineStr">
        <is>
          <t>Mão de Obra - Encargos e Provisões</t>
        </is>
      </c>
      <c r="C1191" t="inlineStr">
        <is>
          <t xml:space="preserve">  -  FGTS sobre Férias</t>
        </is>
      </c>
      <c r="D1191" t="inlineStr">
        <is>
          <t>01/02/2026</t>
        </is>
      </c>
      <c r="E1191" t="n">
        <v>0</v>
      </c>
      <c r="F1191" t="inlineStr">
        <is>
          <t>Fabrica de Bares (2025)</t>
        </is>
      </c>
      <c r="G1191" t="b">
        <v>1</v>
      </c>
      <c r="H1191" t="inlineStr">
        <is>
          <t>2/2026</t>
        </is>
      </c>
    </row>
    <row r="1192">
      <c r="A1192" t="inlineStr">
        <is>
          <t>Nuv Gastrobar</t>
        </is>
      </c>
      <c r="B1192" t="inlineStr">
        <is>
          <t>Mão de Obra - Encargos e Provisões</t>
        </is>
      </c>
      <c r="C1192" t="inlineStr">
        <is>
          <t xml:space="preserve">  -  FGTS sobre Férias</t>
        </is>
      </c>
      <c r="D1192" t="inlineStr">
        <is>
          <t>01/03/2026</t>
        </is>
      </c>
      <c r="E1192" t="n">
        <v>0</v>
      </c>
      <c r="F1192" t="inlineStr">
        <is>
          <t>Fabrica de Bares (2025)</t>
        </is>
      </c>
      <c r="G1192" t="b">
        <v>1</v>
      </c>
      <c r="H1192" t="inlineStr">
        <is>
          <t>3/2026</t>
        </is>
      </c>
    </row>
    <row r="1193">
      <c r="A1193" t="inlineStr">
        <is>
          <t>Nuv Gastrobar</t>
        </is>
      </c>
      <c r="B1193" t="inlineStr">
        <is>
          <t>Mão de Obra - Encargos e Provisões</t>
        </is>
      </c>
      <c r="C1193" t="inlineStr">
        <is>
          <t xml:space="preserve">  -  FGTS sobre Férias</t>
        </is>
      </c>
      <c r="D1193" t="inlineStr">
        <is>
          <t>01/04/2026</t>
        </is>
      </c>
      <c r="E1193" t="n">
        <v>0</v>
      </c>
      <c r="F1193" t="inlineStr">
        <is>
          <t>Fabrica de Bares (2025)</t>
        </is>
      </c>
      <c r="G1193" t="b">
        <v>1</v>
      </c>
      <c r="H1193" t="inlineStr">
        <is>
          <t>4/2026</t>
        </is>
      </c>
    </row>
    <row r="1194">
      <c r="A1194" t="inlineStr">
        <is>
          <t>Nuv Gastrobar</t>
        </is>
      </c>
      <c r="B1194" t="inlineStr">
        <is>
          <t>Mão de Obra - Encargos e Provisões</t>
        </is>
      </c>
      <c r="C1194" t="inlineStr">
        <is>
          <t xml:space="preserve">  -  FGTS sobre Férias</t>
        </is>
      </c>
      <c r="D1194" t="inlineStr">
        <is>
          <t>01/05/2026</t>
        </is>
      </c>
      <c r="E1194" t="n">
        <v>0</v>
      </c>
      <c r="F1194" t="inlineStr">
        <is>
          <t>Fabrica de Bares (2025)</t>
        </is>
      </c>
      <c r="G1194" t="b">
        <v>1</v>
      </c>
      <c r="H1194" t="inlineStr">
        <is>
          <t>5/2026</t>
        </is>
      </c>
    </row>
    <row r="1195">
      <c r="A1195" t="inlineStr">
        <is>
          <t>Nuv Gastrobar</t>
        </is>
      </c>
      <c r="B1195" t="inlineStr">
        <is>
          <t>Mão de Obra - Encargos e Provisões</t>
        </is>
      </c>
      <c r="C1195" t="inlineStr">
        <is>
          <t xml:space="preserve">  -  FGTS sobre Férias</t>
        </is>
      </c>
      <c r="D1195" t="inlineStr">
        <is>
          <t>01/06/2026</t>
        </is>
      </c>
      <c r="E1195" t="n">
        <v>0</v>
      </c>
      <c r="F1195" t="inlineStr">
        <is>
          <t>Fabrica de Bares (2025)</t>
        </is>
      </c>
      <c r="G1195" t="b">
        <v>1</v>
      </c>
      <c r="H1195" t="inlineStr">
        <is>
          <t>6/2026</t>
        </is>
      </c>
    </row>
    <row r="1196">
      <c r="A1196" t="inlineStr">
        <is>
          <t>Nuv Gastrobar</t>
        </is>
      </c>
      <c r="B1196" t="inlineStr">
        <is>
          <t>Mão de Obra - Encargos e Provisões</t>
        </is>
      </c>
      <c r="C1196" t="inlineStr">
        <is>
          <t xml:space="preserve">  -  FGTS sobre Férias</t>
        </is>
      </c>
      <c r="D1196" t="inlineStr">
        <is>
          <t>01/07/2026</t>
        </is>
      </c>
      <c r="E1196" t="n">
        <v>0</v>
      </c>
      <c r="F1196" t="inlineStr">
        <is>
          <t>Fabrica de Bares (2025)</t>
        </is>
      </c>
      <c r="G1196" t="b">
        <v>1</v>
      </c>
      <c r="H1196" t="inlineStr">
        <is>
          <t>7/2026</t>
        </is>
      </c>
    </row>
    <row r="1197">
      <c r="A1197" t="inlineStr">
        <is>
          <t>Nuv Gastrobar</t>
        </is>
      </c>
      <c r="B1197" t="inlineStr">
        <is>
          <t>Mão de Obra - Encargos e Provisões</t>
        </is>
      </c>
      <c r="C1197" t="inlineStr">
        <is>
          <t xml:space="preserve">  -  FGTS sobre Férias</t>
        </is>
      </c>
      <c r="D1197" t="inlineStr">
        <is>
          <t>01/08/2026</t>
        </is>
      </c>
      <c r="E1197" t="n">
        <v>0</v>
      </c>
      <c r="F1197" t="inlineStr">
        <is>
          <t>Fabrica de Bares (2025)</t>
        </is>
      </c>
      <c r="G1197" t="b">
        <v>1</v>
      </c>
      <c r="H1197" t="inlineStr">
        <is>
          <t>8/2026</t>
        </is>
      </c>
    </row>
    <row r="1198">
      <c r="A1198" t="inlineStr">
        <is>
          <t>Nuv Gastrobar</t>
        </is>
      </c>
      <c r="B1198" t="inlineStr">
        <is>
          <t>Mão de Obra - Encargos e Provisões</t>
        </is>
      </c>
      <c r="C1198" t="inlineStr">
        <is>
          <t xml:space="preserve">  -  FGTS sobre Férias</t>
        </is>
      </c>
      <c r="D1198" t="inlineStr">
        <is>
          <t>01/09/2026</t>
        </is>
      </c>
      <c r="E1198" t="n">
        <v>0</v>
      </c>
      <c r="F1198" t="inlineStr">
        <is>
          <t>Fabrica de Bares (2025)</t>
        </is>
      </c>
      <c r="G1198" t="b">
        <v>1</v>
      </c>
      <c r="H1198" t="inlineStr">
        <is>
          <t>9/2026</t>
        </is>
      </c>
    </row>
    <row r="1199">
      <c r="A1199" t="inlineStr">
        <is>
          <t>Nuv Gastrobar</t>
        </is>
      </c>
      <c r="B1199" t="inlineStr">
        <is>
          <t>Mão de Obra - Encargos e Provisões</t>
        </is>
      </c>
      <c r="C1199" t="inlineStr">
        <is>
          <t xml:space="preserve">  -  FGTS sobre Férias</t>
        </is>
      </c>
      <c r="D1199" t="inlineStr">
        <is>
          <t>01/10/2026</t>
        </is>
      </c>
      <c r="E1199" t="n">
        <v>0</v>
      </c>
      <c r="F1199" t="inlineStr">
        <is>
          <t>Fabrica de Bares (2025)</t>
        </is>
      </c>
      <c r="G1199" t="b">
        <v>1</v>
      </c>
      <c r="H1199" t="inlineStr">
        <is>
          <t>10/2026</t>
        </is>
      </c>
    </row>
    <row r="1200">
      <c r="A1200" t="inlineStr">
        <is>
          <t>Nuv Gastrobar</t>
        </is>
      </c>
      <c r="B1200" t="inlineStr">
        <is>
          <t>Mão de Obra - Encargos e Provisões</t>
        </is>
      </c>
      <c r="C1200" t="inlineStr">
        <is>
          <t xml:space="preserve">  -  FGTS sobre Férias</t>
        </is>
      </c>
      <c r="D1200" t="inlineStr">
        <is>
          <t>01/11/2026</t>
        </is>
      </c>
      <c r="E1200" t="n">
        <v>0</v>
      </c>
      <c r="F1200" t="inlineStr">
        <is>
          <t>Fabrica de Bares (2025)</t>
        </is>
      </c>
      <c r="G1200" t="b">
        <v>1</v>
      </c>
      <c r="H1200" t="inlineStr">
        <is>
          <t>11/2026</t>
        </is>
      </c>
    </row>
    <row r="1201">
      <c r="A1201" t="inlineStr">
        <is>
          <t>Nuv Gastrobar</t>
        </is>
      </c>
      <c r="B1201" t="inlineStr">
        <is>
          <t>Mão de Obra - Encargos e Provisões</t>
        </is>
      </c>
      <c r="C1201" t="inlineStr">
        <is>
          <t xml:space="preserve">  -  FGTS sobre Férias</t>
        </is>
      </c>
      <c r="D1201" t="inlineStr">
        <is>
          <t>01/12/2026</t>
        </is>
      </c>
      <c r="E1201" t="n">
        <v>0</v>
      </c>
      <c r="F1201" t="inlineStr">
        <is>
          <t>Fabrica de Bares (2025)</t>
        </is>
      </c>
      <c r="G1201" t="b">
        <v>1</v>
      </c>
      <c r="H1201" t="inlineStr">
        <is>
          <t>12/2026</t>
        </is>
      </c>
    </row>
    <row r="1202">
      <c r="A1202" t="inlineStr">
        <is>
          <t>Nuv Gastrobar</t>
        </is>
      </c>
      <c r="B1202" t="inlineStr">
        <is>
          <t>Mão de Obra - Encargos e Provisões</t>
        </is>
      </c>
      <c r="C1202" t="inlineStr">
        <is>
          <t xml:space="preserve">  -  Hora Extra</t>
        </is>
      </c>
      <c r="D1202" t="inlineStr">
        <is>
          <t>01/01/2026</t>
        </is>
      </c>
      <c r="E1202" t="n">
        <v>0</v>
      </c>
      <c r="F1202" t="inlineStr">
        <is>
          <t>Fabrica de Bares (2025)</t>
        </is>
      </c>
      <c r="G1202" t="b">
        <v>1</v>
      </c>
      <c r="H1202" t="inlineStr">
        <is>
          <t>1/2026</t>
        </is>
      </c>
    </row>
    <row r="1203">
      <c r="A1203" t="inlineStr">
        <is>
          <t>Nuv Gastrobar</t>
        </is>
      </c>
      <c r="B1203" t="inlineStr">
        <is>
          <t>Mão de Obra - Encargos e Provisões</t>
        </is>
      </c>
      <c r="C1203" t="inlineStr">
        <is>
          <t xml:space="preserve">  -  Hora Extra</t>
        </is>
      </c>
      <c r="D1203" t="inlineStr">
        <is>
          <t>01/02/2026</t>
        </is>
      </c>
      <c r="E1203" t="n">
        <v>0</v>
      </c>
      <c r="F1203" t="inlineStr">
        <is>
          <t>Fabrica de Bares (2025)</t>
        </is>
      </c>
      <c r="G1203" t="b">
        <v>1</v>
      </c>
      <c r="H1203" t="inlineStr">
        <is>
          <t>2/2026</t>
        </is>
      </c>
    </row>
    <row r="1204">
      <c r="A1204" t="inlineStr">
        <is>
          <t>Nuv Gastrobar</t>
        </is>
      </c>
      <c r="B1204" t="inlineStr">
        <is>
          <t>Mão de Obra - Encargos e Provisões</t>
        </is>
      </c>
      <c r="C1204" t="inlineStr">
        <is>
          <t xml:space="preserve">  -  Hora Extra</t>
        </is>
      </c>
      <c r="D1204" t="inlineStr">
        <is>
          <t>01/03/2026</t>
        </is>
      </c>
      <c r="E1204" t="n">
        <v>0</v>
      </c>
      <c r="F1204" t="inlineStr">
        <is>
          <t>Fabrica de Bares (2025)</t>
        </is>
      </c>
      <c r="G1204" t="b">
        <v>1</v>
      </c>
      <c r="H1204" t="inlineStr">
        <is>
          <t>3/2026</t>
        </is>
      </c>
    </row>
    <row r="1205">
      <c r="A1205" t="inlineStr">
        <is>
          <t>Nuv Gastrobar</t>
        </is>
      </c>
      <c r="B1205" t="inlineStr">
        <is>
          <t>Mão de Obra - Encargos e Provisões</t>
        </is>
      </c>
      <c r="C1205" t="inlineStr">
        <is>
          <t xml:space="preserve">  -  Hora Extra</t>
        </is>
      </c>
      <c r="D1205" t="inlineStr">
        <is>
          <t>01/04/2026</t>
        </is>
      </c>
      <c r="E1205" t="n">
        <v>0</v>
      </c>
      <c r="F1205" t="inlineStr">
        <is>
          <t>Fabrica de Bares (2025)</t>
        </is>
      </c>
      <c r="G1205" t="b">
        <v>1</v>
      </c>
      <c r="H1205" t="inlineStr">
        <is>
          <t>4/2026</t>
        </is>
      </c>
    </row>
    <row r="1206">
      <c r="A1206" t="inlineStr">
        <is>
          <t>Nuv Gastrobar</t>
        </is>
      </c>
      <c r="B1206" t="inlineStr">
        <is>
          <t>Mão de Obra - Encargos e Provisões</t>
        </is>
      </c>
      <c r="C1206" t="inlineStr">
        <is>
          <t xml:space="preserve">  -  Hora Extra</t>
        </is>
      </c>
      <c r="D1206" t="inlineStr">
        <is>
          <t>01/05/2026</t>
        </is>
      </c>
      <c r="E1206" t="n">
        <v>0</v>
      </c>
      <c r="F1206" t="inlineStr">
        <is>
          <t>Fabrica de Bares (2025)</t>
        </is>
      </c>
      <c r="G1206" t="b">
        <v>1</v>
      </c>
      <c r="H1206" t="inlineStr">
        <is>
          <t>5/2026</t>
        </is>
      </c>
    </row>
    <row r="1207">
      <c r="A1207" t="inlineStr">
        <is>
          <t>Nuv Gastrobar</t>
        </is>
      </c>
      <c r="B1207" t="inlineStr">
        <is>
          <t>Mão de Obra - Encargos e Provisões</t>
        </is>
      </c>
      <c r="C1207" t="inlineStr">
        <is>
          <t xml:space="preserve">  -  Hora Extra</t>
        </is>
      </c>
      <c r="D1207" t="inlineStr">
        <is>
          <t>01/06/2026</t>
        </is>
      </c>
      <c r="E1207" t="n">
        <v>0</v>
      </c>
      <c r="F1207" t="inlineStr">
        <is>
          <t>Fabrica de Bares (2025)</t>
        </is>
      </c>
      <c r="G1207" t="b">
        <v>1</v>
      </c>
      <c r="H1207" t="inlineStr">
        <is>
          <t>6/2026</t>
        </is>
      </c>
    </row>
    <row r="1208">
      <c r="A1208" t="inlineStr">
        <is>
          <t>Nuv Gastrobar</t>
        </is>
      </c>
      <c r="B1208" t="inlineStr">
        <is>
          <t>Mão de Obra - Encargos e Provisões</t>
        </is>
      </c>
      <c r="C1208" t="inlineStr">
        <is>
          <t xml:space="preserve">  -  Hora Extra</t>
        </is>
      </c>
      <c r="D1208" t="inlineStr">
        <is>
          <t>01/07/2026</t>
        </is>
      </c>
      <c r="E1208" t="n">
        <v>0</v>
      </c>
      <c r="F1208" t="inlineStr">
        <is>
          <t>Fabrica de Bares (2025)</t>
        </is>
      </c>
      <c r="G1208" t="b">
        <v>1</v>
      </c>
      <c r="H1208" t="inlineStr">
        <is>
          <t>7/2026</t>
        </is>
      </c>
    </row>
    <row r="1209">
      <c r="A1209" t="inlineStr">
        <is>
          <t>Nuv Gastrobar</t>
        </is>
      </c>
      <c r="B1209" t="inlineStr">
        <is>
          <t>Mão de Obra - Encargos e Provisões</t>
        </is>
      </c>
      <c r="C1209" t="inlineStr">
        <is>
          <t xml:space="preserve">  -  Hora Extra</t>
        </is>
      </c>
      <c r="D1209" t="inlineStr">
        <is>
          <t>01/08/2026</t>
        </is>
      </c>
      <c r="E1209" t="n">
        <v>0</v>
      </c>
      <c r="F1209" t="inlineStr">
        <is>
          <t>Fabrica de Bares (2025)</t>
        </is>
      </c>
      <c r="G1209" t="b">
        <v>1</v>
      </c>
      <c r="H1209" t="inlineStr">
        <is>
          <t>8/2026</t>
        </is>
      </c>
    </row>
    <row r="1210">
      <c r="A1210" t="inlineStr">
        <is>
          <t>Nuv Gastrobar</t>
        </is>
      </c>
      <c r="B1210" t="inlineStr">
        <is>
          <t>Mão de Obra - Encargos e Provisões</t>
        </is>
      </c>
      <c r="C1210" t="inlineStr">
        <is>
          <t xml:space="preserve">  -  Hora Extra</t>
        </is>
      </c>
      <c r="D1210" t="inlineStr">
        <is>
          <t>01/09/2026</t>
        </is>
      </c>
      <c r="E1210" t="n">
        <v>0</v>
      </c>
      <c r="F1210" t="inlineStr">
        <is>
          <t>Fabrica de Bares (2025)</t>
        </is>
      </c>
      <c r="G1210" t="b">
        <v>1</v>
      </c>
      <c r="H1210" t="inlineStr">
        <is>
          <t>9/2026</t>
        </is>
      </c>
    </row>
    <row r="1211">
      <c r="A1211" t="inlineStr">
        <is>
          <t>Nuv Gastrobar</t>
        </is>
      </c>
      <c r="B1211" t="inlineStr">
        <is>
          <t>Mão de Obra - Encargos e Provisões</t>
        </is>
      </c>
      <c r="C1211" t="inlineStr">
        <is>
          <t xml:space="preserve">  -  Hora Extra</t>
        </is>
      </c>
      <c r="D1211" t="inlineStr">
        <is>
          <t>01/10/2026</t>
        </is>
      </c>
      <c r="E1211" t="n">
        <v>0</v>
      </c>
      <c r="F1211" t="inlineStr">
        <is>
          <t>Fabrica de Bares (2025)</t>
        </is>
      </c>
      <c r="G1211" t="b">
        <v>1</v>
      </c>
      <c r="H1211" t="inlineStr">
        <is>
          <t>10/2026</t>
        </is>
      </c>
    </row>
    <row r="1212">
      <c r="A1212" t="inlineStr">
        <is>
          <t>Nuv Gastrobar</t>
        </is>
      </c>
      <c r="B1212" t="inlineStr">
        <is>
          <t>Mão de Obra - Encargos e Provisões</t>
        </is>
      </c>
      <c r="C1212" t="inlineStr">
        <is>
          <t xml:space="preserve">  -  Hora Extra</t>
        </is>
      </c>
      <c r="D1212" t="inlineStr">
        <is>
          <t>01/11/2026</t>
        </is>
      </c>
      <c r="E1212" t="n">
        <v>0</v>
      </c>
      <c r="F1212" t="inlineStr">
        <is>
          <t>Fabrica de Bares (2025)</t>
        </is>
      </c>
      <c r="G1212" t="b">
        <v>1</v>
      </c>
      <c r="H1212" t="inlineStr">
        <is>
          <t>11/2026</t>
        </is>
      </c>
    </row>
    <row r="1213">
      <c r="A1213" t="inlineStr">
        <is>
          <t>Nuv Gastrobar</t>
        </is>
      </c>
      <c r="B1213" t="inlineStr">
        <is>
          <t>Mão de Obra - Encargos e Provisões</t>
        </is>
      </c>
      <c r="C1213" t="inlineStr">
        <is>
          <t xml:space="preserve">  -  Hora Extra</t>
        </is>
      </c>
      <c r="D1213" t="inlineStr">
        <is>
          <t>01/12/2026</t>
        </is>
      </c>
      <c r="E1213" t="n">
        <v>0</v>
      </c>
      <c r="F1213" t="inlineStr">
        <is>
          <t>Fabrica de Bares (2025)</t>
        </is>
      </c>
      <c r="G1213" t="b">
        <v>1</v>
      </c>
      <c r="H1213" t="inlineStr">
        <is>
          <t>12/2026</t>
        </is>
      </c>
    </row>
    <row r="1214">
      <c r="A1214" t="inlineStr">
        <is>
          <t>Nuv Gastrobar</t>
        </is>
      </c>
      <c r="B1214" t="inlineStr">
        <is>
          <t>Mão de Obra - Encargos e Provisões</t>
        </is>
      </c>
      <c r="C1214" t="inlineStr">
        <is>
          <t xml:space="preserve">  -  INSS Patronal</t>
        </is>
      </c>
      <c r="D1214" t="inlineStr">
        <is>
          <t>01/01/2026</t>
        </is>
      </c>
      <c r="E1214" t="n">
        <v>0</v>
      </c>
      <c r="F1214" t="inlineStr">
        <is>
          <t>Fabrica de Bares (2025)</t>
        </is>
      </c>
      <c r="G1214" t="b">
        <v>1</v>
      </c>
      <c r="H1214" t="inlineStr">
        <is>
          <t>1/2026</t>
        </is>
      </c>
    </row>
    <row r="1215">
      <c r="A1215" t="inlineStr">
        <is>
          <t>Nuv Gastrobar</t>
        </is>
      </c>
      <c r="B1215" t="inlineStr">
        <is>
          <t>Mão de Obra - Encargos e Provisões</t>
        </is>
      </c>
      <c r="C1215" t="inlineStr">
        <is>
          <t xml:space="preserve">  -  INSS Patronal</t>
        </is>
      </c>
      <c r="D1215" t="inlineStr">
        <is>
          <t>01/02/2026</t>
        </is>
      </c>
      <c r="E1215" t="n">
        <v>0</v>
      </c>
      <c r="F1215" t="inlineStr">
        <is>
          <t>Fabrica de Bares (2025)</t>
        </is>
      </c>
      <c r="G1215" t="b">
        <v>1</v>
      </c>
      <c r="H1215" t="inlineStr">
        <is>
          <t>2/2026</t>
        </is>
      </c>
    </row>
    <row r="1216">
      <c r="A1216" t="inlineStr">
        <is>
          <t>Nuv Gastrobar</t>
        </is>
      </c>
      <c r="B1216" t="inlineStr">
        <is>
          <t>Mão de Obra - Encargos e Provisões</t>
        </is>
      </c>
      <c r="C1216" t="inlineStr">
        <is>
          <t xml:space="preserve">  -  INSS Patronal</t>
        </is>
      </c>
      <c r="D1216" t="inlineStr">
        <is>
          <t>01/03/2026</t>
        </is>
      </c>
      <c r="E1216" t="n">
        <v>0</v>
      </c>
      <c r="F1216" t="inlineStr">
        <is>
          <t>Fabrica de Bares (2025)</t>
        </is>
      </c>
      <c r="G1216" t="b">
        <v>1</v>
      </c>
      <c r="H1216" t="inlineStr">
        <is>
          <t>3/2026</t>
        </is>
      </c>
    </row>
    <row r="1217">
      <c r="A1217" t="inlineStr">
        <is>
          <t>Nuv Gastrobar</t>
        </is>
      </c>
      <c r="B1217" t="inlineStr">
        <is>
          <t>Mão de Obra - Encargos e Provisões</t>
        </is>
      </c>
      <c r="C1217" t="inlineStr">
        <is>
          <t xml:space="preserve">  -  INSS Patronal</t>
        </is>
      </c>
      <c r="D1217" t="inlineStr">
        <is>
          <t>01/04/2026</t>
        </is>
      </c>
      <c r="E1217" t="n">
        <v>0</v>
      </c>
      <c r="F1217" t="inlineStr">
        <is>
          <t>Fabrica de Bares (2025)</t>
        </is>
      </c>
      <c r="G1217" t="b">
        <v>1</v>
      </c>
      <c r="H1217" t="inlineStr">
        <is>
          <t>4/2026</t>
        </is>
      </c>
    </row>
    <row r="1218">
      <c r="A1218" t="inlineStr">
        <is>
          <t>Nuv Gastrobar</t>
        </is>
      </c>
      <c r="B1218" t="inlineStr">
        <is>
          <t>Mão de Obra - Encargos e Provisões</t>
        </is>
      </c>
      <c r="C1218" t="inlineStr">
        <is>
          <t xml:space="preserve">  -  INSS Patronal</t>
        </is>
      </c>
      <c r="D1218" t="inlineStr">
        <is>
          <t>01/05/2026</t>
        </is>
      </c>
      <c r="E1218" t="n">
        <v>0</v>
      </c>
      <c r="F1218" t="inlineStr">
        <is>
          <t>Fabrica de Bares (2025)</t>
        </is>
      </c>
      <c r="G1218" t="b">
        <v>1</v>
      </c>
      <c r="H1218" t="inlineStr">
        <is>
          <t>5/2026</t>
        </is>
      </c>
    </row>
    <row r="1219">
      <c r="A1219" t="inlineStr">
        <is>
          <t>Nuv Gastrobar</t>
        </is>
      </c>
      <c r="B1219" t="inlineStr">
        <is>
          <t>Mão de Obra - Encargos e Provisões</t>
        </is>
      </c>
      <c r="C1219" t="inlineStr">
        <is>
          <t xml:space="preserve">  -  INSS Patronal</t>
        </is>
      </c>
      <c r="D1219" t="inlineStr">
        <is>
          <t>01/06/2026</t>
        </is>
      </c>
      <c r="E1219" t="n">
        <v>0</v>
      </c>
      <c r="F1219" t="inlineStr">
        <is>
          <t>Fabrica de Bares (2025)</t>
        </is>
      </c>
      <c r="G1219" t="b">
        <v>1</v>
      </c>
      <c r="H1219" t="inlineStr">
        <is>
          <t>6/2026</t>
        </is>
      </c>
    </row>
    <row r="1220">
      <c r="A1220" t="inlineStr">
        <is>
          <t>Nuv Gastrobar</t>
        </is>
      </c>
      <c r="B1220" t="inlineStr">
        <is>
          <t>Mão de Obra - Encargos e Provisões</t>
        </is>
      </c>
      <c r="C1220" t="inlineStr">
        <is>
          <t xml:space="preserve">  -  INSS Patronal</t>
        </is>
      </c>
      <c r="D1220" t="inlineStr">
        <is>
          <t>01/07/2026</t>
        </is>
      </c>
      <c r="E1220" t="n">
        <v>0</v>
      </c>
      <c r="F1220" t="inlineStr">
        <is>
          <t>Fabrica de Bares (2025)</t>
        </is>
      </c>
      <c r="G1220" t="b">
        <v>1</v>
      </c>
      <c r="H1220" t="inlineStr">
        <is>
          <t>7/2026</t>
        </is>
      </c>
    </row>
    <row r="1221">
      <c r="A1221" t="inlineStr">
        <is>
          <t>Nuv Gastrobar</t>
        </is>
      </c>
      <c r="B1221" t="inlineStr">
        <is>
          <t>Mão de Obra - Encargos e Provisões</t>
        </is>
      </c>
      <c r="C1221" t="inlineStr">
        <is>
          <t xml:space="preserve">  -  INSS Patronal</t>
        </is>
      </c>
      <c r="D1221" t="inlineStr">
        <is>
          <t>01/08/2026</t>
        </is>
      </c>
      <c r="E1221" t="n">
        <v>0</v>
      </c>
      <c r="F1221" t="inlineStr">
        <is>
          <t>Fabrica de Bares (2025)</t>
        </is>
      </c>
      <c r="G1221" t="b">
        <v>1</v>
      </c>
      <c r="H1221" t="inlineStr">
        <is>
          <t>8/2026</t>
        </is>
      </c>
    </row>
    <row r="1222">
      <c r="A1222" t="inlineStr">
        <is>
          <t>Nuv Gastrobar</t>
        </is>
      </c>
      <c r="B1222" t="inlineStr">
        <is>
          <t>Mão de Obra - Encargos e Provisões</t>
        </is>
      </c>
      <c r="C1222" t="inlineStr">
        <is>
          <t xml:space="preserve">  -  INSS Patronal</t>
        </is>
      </c>
      <c r="D1222" t="inlineStr">
        <is>
          <t>01/09/2026</t>
        </is>
      </c>
      <c r="E1222" t="n">
        <v>0</v>
      </c>
      <c r="F1222" t="inlineStr">
        <is>
          <t>Fabrica de Bares (2025)</t>
        </is>
      </c>
      <c r="G1222" t="b">
        <v>1</v>
      </c>
      <c r="H1222" t="inlineStr">
        <is>
          <t>9/2026</t>
        </is>
      </c>
    </row>
    <row r="1223">
      <c r="A1223" t="inlineStr">
        <is>
          <t>Nuv Gastrobar</t>
        </is>
      </c>
      <c r="B1223" t="inlineStr">
        <is>
          <t>Mão de Obra - Encargos e Provisões</t>
        </is>
      </c>
      <c r="C1223" t="inlineStr">
        <is>
          <t xml:space="preserve">  -  INSS Patronal</t>
        </is>
      </c>
      <c r="D1223" t="inlineStr">
        <is>
          <t>01/10/2026</t>
        </is>
      </c>
      <c r="E1223" t="n">
        <v>0</v>
      </c>
      <c r="F1223" t="inlineStr">
        <is>
          <t>Fabrica de Bares (2025)</t>
        </is>
      </c>
      <c r="G1223" t="b">
        <v>1</v>
      </c>
      <c r="H1223" t="inlineStr">
        <is>
          <t>10/2026</t>
        </is>
      </c>
    </row>
    <row r="1224">
      <c r="A1224" t="inlineStr">
        <is>
          <t>Nuv Gastrobar</t>
        </is>
      </c>
      <c r="B1224" t="inlineStr">
        <is>
          <t>Mão de Obra - Encargos e Provisões</t>
        </is>
      </c>
      <c r="C1224" t="inlineStr">
        <is>
          <t xml:space="preserve">  -  INSS Patronal</t>
        </is>
      </c>
      <c r="D1224" t="inlineStr">
        <is>
          <t>01/11/2026</t>
        </is>
      </c>
      <c r="E1224" t="n">
        <v>0</v>
      </c>
      <c r="F1224" t="inlineStr">
        <is>
          <t>Fabrica de Bares (2025)</t>
        </is>
      </c>
      <c r="G1224" t="b">
        <v>1</v>
      </c>
      <c r="H1224" t="inlineStr">
        <is>
          <t>11/2026</t>
        </is>
      </c>
    </row>
    <row r="1225">
      <c r="A1225" t="inlineStr">
        <is>
          <t>Nuv Gastrobar</t>
        </is>
      </c>
      <c r="B1225" t="inlineStr">
        <is>
          <t>Mão de Obra - Encargos e Provisões</t>
        </is>
      </c>
      <c r="C1225" t="inlineStr">
        <is>
          <t xml:space="preserve">  -  INSS Patronal</t>
        </is>
      </c>
      <c r="D1225" t="inlineStr">
        <is>
          <t>01/12/2026</t>
        </is>
      </c>
      <c r="E1225" t="n">
        <v>0</v>
      </c>
      <c r="F1225" t="inlineStr">
        <is>
          <t>Fabrica de Bares (2025)</t>
        </is>
      </c>
      <c r="G1225" t="b">
        <v>1</v>
      </c>
      <c r="H1225" t="inlineStr">
        <is>
          <t>12/2026</t>
        </is>
      </c>
    </row>
    <row r="1226">
      <c r="A1226" t="inlineStr">
        <is>
          <t>Nuv Gastrobar</t>
        </is>
      </c>
      <c r="B1226" t="inlineStr">
        <is>
          <t>Mão de Obra - Encargos e Provisões</t>
        </is>
      </c>
      <c r="C1226" t="inlineStr">
        <is>
          <t xml:space="preserve">  -  INSS Segurados</t>
        </is>
      </c>
      <c r="D1226" t="inlineStr">
        <is>
          <t>01/01/2026</t>
        </is>
      </c>
      <c r="E1226" t="n">
        <v>0</v>
      </c>
      <c r="F1226" t="inlineStr">
        <is>
          <t>Fabrica de Bares (2025)</t>
        </is>
      </c>
      <c r="G1226" t="b">
        <v>1</v>
      </c>
      <c r="H1226" t="inlineStr">
        <is>
          <t>1/2026</t>
        </is>
      </c>
    </row>
    <row r="1227">
      <c r="A1227" t="inlineStr">
        <is>
          <t>Nuv Gastrobar</t>
        </is>
      </c>
      <c r="B1227" t="inlineStr">
        <is>
          <t>Mão de Obra - Encargos e Provisões</t>
        </is>
      </c>
      <c r="C1227" t="inlineStr">
        <is>
          <t xml:space="preserve">  -  INSS Segurados</t>
        </is>
      </c>
      <c r="D1227" t="inlineStr">
        <is>
          <t>01/02/2026</t>
        </is>
      </c>
      <c r="E1227" t="n">
        <v>0</v>
      </c>
      <c r="F1227" t="inlineStr">
        <is>
          <t>Fabrica de Bares (2025)</t>
        </is>
      </c>
      <c r="G1227" t="b">
        <v>1</v>
      </c>
      <c r="H1227" t="inlineStr">
        <is>
          <t>2/2026</t>
        </is>
      </c>
    </row>
    <row r="1228">
      <c r="A1228" t="inlineStr">
        <is>
          <t>Nuv Gastrobar</t>
        </is>
      </c>
      <c r="B1228" t="inlineStr">
        <is>
          <t>Mão de Obra - Encargos e Provisões</t>
        </is>
      </c>
      <c r="C1228" t="inlineStr">
        <is>
          <t xml:space="preserve">  -  INSS Segurados</t>
        </is>
      </c>
      <c r="D1228" t="inlineStr">
        <is>
          <t>01/03/2026</t>
        </is>
      </c>
      <c r="E1228" t="n">
        <v>0</v>
      </c>
      <c r="F1228" t="inlineStr">
        <is>
          <t>Fabrica de Bares (2025)</t>
        </is>
      </c>
      <c r="G1228" t="b">
        <v>1</v>
      </c>
      <c r="H1228" t="inlineStr">
        <is>
          <t>3/2026</t>
        </is>
      </c>
    </row>
    <row r="1229">
      <c r="A1229" t="inlineStr">
        <is>
          <t>Nuv Gastrobar</t>
        </is>
      </c>
      <c r="B1229" t="inlineStr">
        <is>
          <t>Mão de Obra - Encargos e Provisões</t>
        </is>
      </c>
      <c r="C1229" t="inlineStr">
        <is>
          <t xml:space="preserve">  -  INSS Segurados</t>
        </is>
      </c>
      <c r="D1229" t="inlineStr">
        <is>
          <t>01/04/2026</t>
        </is>
      </c>
      <c r="E1229" t="n">
        <v>0</v>
      </c>
      <c r="F1229" t="inlineStr">
        <is>
          <t>Fabrica de Bares (2025)</t>
        </is>
      </c>
      <c r="G1229" t="b">
        <v>1</v>
      </c>
      <c r="H1229" t="inlineStr">
        <is>
          <t>4/2026</t>
        </is>
      </c>
    </row>
    <row r="1230">
      <c r="A1230" t="inlineStr">
        <is>
          <t>Nuv Gastrobar</t>
        </is>
      </c>
      <c r="B1230" t="inlineStr">
        <is>
          <t>Mão de Obra - Encargos e Provisões</t>
        </is>
      </c>
      <c r="C1230" t="inlineStr">
        <is>
          <t xml:space="preserve">  -  INSS Segurados</t>
        </is>
      </c>
      <c r="D1230" t="inlineStr">
        <is>
          <t>01/05/2026</t>
        </is>
      </c>
      <c r="E1230" t="n">
        <v>0</v>
      </c>
      <c r="F1230" t="inlineStr">
        <is>
          <t>Fabrica de Bares (2025)</t>
        </is>
      </c>
      <c r="G1230" t="b">
        <v>1</v>
      </c>
      <c r="H1230" t="inlineStr">
        <is>
          <t>5/2026</t>
        </is>
      </c>
    </row>
    <row r="1231">
      <c r="A1231" t="inlineStr">
        <is>
          <t>Nuv Gastrobar</t>
        </is>
      </c>
      <c r="B1231" t="inlineStr">
        <is>
          <t>Mão de Obra - Encargos e Provisões</t>
        </is>
      </c>
      <c r="C1231" t="inlineStr">
        <is>
          <t xml:space="preserve">  -  INSS Segurados</t>
        </is>
      </c>
      <c r="D1231" t="inlineStr">
        <is>
          <t>01/06/2026</t>
        </is>
      </c>
      <c r="E1231" t="n">
        <v>0</v>
      </c>
      <c r="F1231" t="inlineStr">
        <is>
          <t>Fabrica de Bares (2025)</t>
        </is>
      </c>
      <c r="G1231" t="b">
        <v>1</v>
      </c>
      <c r="H1231" t="inlineStr">
        <is>
          <t>6/2026</t>
        </is>
      </c>
    </row>
    <row r="1232">
      <c r="A1232" t="inlineStr">
        <is>
          <t>Nuv Gastrobar</t>
        </is>
      </c>
      <c r="B1232" t="inlineStr">
        <is>
          <t>Mão de Obra - Encargos e Provisões</t>
        </is>
      </c>
      <c r="C1232" t="inlineStr">
        <is>
          <t xml:space="preserve">  -  INSS Segurados</t>
        </is>
      </c>
      <c r="D1232" t="inlineStr">
        <is>
          <t>01/07/2026</t>
        </is>
      </c>
      <c r="E1232" t="n">
        <v>0</v>
      </c>
      <c r="F1232" t="inlineStr">
        <is>
          <t>Fabrica de Bares (2025)</t>
        </is>
      </c>
      <c r="G1232" t="b">
        <v>1</v>
      </c>
      <c r="H1232" t="inlineStr">
        <is>
          <t>7/2026</t>
        </is>
      </c>
    </row>
    <row r="1233">
      <c r="A1233" t="inlineStr">
        <is>
          <t>Nuv Gastrobar</t>
        </is>
      </c>
      <c r="B1233" t="inlineStr">
        <is>
          <t>Mão de Obra - Encargos e Provisões</t>
        </is>
      </c>
      <c r="C1233" t="inlineStr">
        <is>
          <t xml:space="preserve">  -  INSS Segurados</t>
        </is>
      </c>
      <c r="D1233" t="inlineStr">
        <is>
          <t>01/08/2026</t>
        </is>
      </c>
      <c r="E1233" t="n">
        <v>6792.75</v>
      </c>
      <c r="F1233" t="inlineStr">
        <is>
          <t>Fabrica de Bares (2025)</t>
        </is>
      </c>
      <c r="G1233" t="b">
        <v>1</v>
      </c>
      <c r="H1233" t="inlineStr">
        <is>
          <t>8/2026</t>
        </is>
      </c>
    </row>
    <row r="1234">
      <c r="A1234" t="inlineStr">
        <is>
          <t>Nuv Gastrobar</t>
        </is>
      </c>
      <c r="B1234" t="inlineStr">
        <is>
          <t>Mão de Obra - Encargos e Provisões</t>
        </is>
      </c>
      <c r="C1234" t="inlineStr">
        <is>
          <t xml:space="preserve">  -  INSS Segurados</t>
        </is>
      </c>
      <c r="D1234" t="inlineStr">
        <is>
          <t>01/09/2026</t>
        </is>
      </c>
      <c r="E1234" t="n">
        <v>7982.48</v>
      </c>
      <c r="F1234" t="inlineStr">
        <is>
          <t>Fabrica de Bares (2025)</t>
        </is>
      </c>
      <c r="G1234" t="b">
        <v>1</v>
      </c>
      <c r="H1234" t="inlineStr">
        <is>
          <t>9/2026</t>
        </is>
      </c>
    </row>
    <row r="1235">
      <c r="A1235" t="inlineStr">
        <is>
          <t>Nuv Gastrobar</t>
        </is>
      </c>
      <c r="B1235" t="inlineStr">
        <is>
          <t>Mão de Obra - Encargos e Provisões</t>
        </is>
      </c>
      <c r="C1235" t="inlineStr">
        <is>
          <t xml:space="preserve">  -  INSS Segurados</t>
        </is>
      </c>
      <c r="D1235" t="inlineStr">
        <is>
          <t>01/10/2026</t>
        </is>
      </c>
      <c r="E1235" t="n">
        <v>8574.67</v>
      </c>
      <c r="F1235" t="inlineStr">
        <is>
          <t>Fabrica de Bares (2025)</t>
        </is>
      </c>
      <c r="G1235" t="b">
        <v>1</v>
      </c>
      <c r="H1235" t="inlineStr">
        <is>
          <t>10/2026</t>
        </is>
      </c>
    </row>
    <row r="1236">
      <c r="A1236" t="inlineStr">
        <is>
          <t>Nuv Gastrobar</t>
        </is>
      </c>
      <c r="B1236" t="inlineStr">
        <is>
          <t>Mão de Obra - Encargos e Provisões</t>
        </is>
      </c>
      <c r="C1236" t="inlineStr">
        <is>
          <t xml:space="preserve">  -  INSS Segurados</t>
        </is>
      </c>
      <c r="D1236" t="inlineStr">
        <is>
          <t>01/11/2026</t>
        </is>
      </c>
      <c r="E1236" t="n">
        <v>10680.71</v>
      </c>
      <c r="F1236" t="inlineStr">
        <is>
          <t>Fabrica de Bares (2025)</t>
        </is>
      </c>
      <c r="G1236" t="b">
        <v>1</v>
      </c>
      <c r="H1236" t="inlineStr">
        <is>
          <t>11/2026</t>
        </is>
      </c>
    </row>
    <row r="1237">
      <c r="A1237" t="inlineStr">
        <is>
          <t>Nuv Gastrobar</t>
        </is>
      </c>
      <c r="B1237" t="inlineStr">
        <is>
          <t>Mão de Obra - Encargos e Provisões</t>
        </is>
      </c>
      <c r="C1237" t="inlineStr">
        <is>
          <t xml:space="preserve">  -  INSS Segurados</t>
        </is>
      </c>
      <c r="D1237" t="inlineStr">
        <is>
          <t>01/12/2026</t>
        </is>
      </c>
      <c r="E1237" t="n">
        <v>10624.71</v>
      </c>
      <c r="F1237" t="inlineStr">
        <is>
          <t>Fabrica de Bares (2025)</t>
        </is>
      </c>
      <c r="G1237" t="b">
        <v>1</v>
      </c>
      <c r="H1237" t="inlineStr">
        <is>
          <t>12/2026</t>
        </is>
      </c>
    </row>
    <row r="1238">
      <c r="A1238" t="inlineStr">
        <is>
          <t>Nuv Gastrobar</t>
        </is>
      </c>
      <c r="B1238" t="inlineStr">
        <is>
          <t>Mão de Obra - Encargos e Provisões</t>
        </is>
      </c>
      <c r="C1238" t="inlineStr">
        <is>
          <t xml:space="preserve">  -  INSS sobre 13º Salários</t>
        </is>
      </c>
      <c r="D1238" t="inlineStr">
        <is>
          <t>01/01/2026</t>
        </is>
      </c>
      <c r="E1238" t="n">
        <v>0</v>
      </c>
      <c r="F1238" t="inlineStr">
        <is>
          <t>Fabrica de Bares (2025)</t>
        </is>
      </c>
      <c r="G1238" t="b">
        <v>1</v>
      </c>
      <c r="H1238" t="inlineStr">
        <is>
          <t>1/2026</t>
        </is>
      </c>
    </row>
    <row r="1239">
      <c r="A1239" t="inlineStr">
        <is>
          <t>Nuv Gastrobar</t>
        </is>
      </c>
      <c r="B1239" t="inlineStr">
        <is>
          <t>Mão de Obra - Encargos e Provisões</t>
        </is>
      </c>
      <c r="C1239" t="inlineStr">
        <is>
          <t xml:space="preserve">  -  INSS sobre 13º Salários</t>
        </is>
      </c>
      <c r="D1239" t="inlineStr">
        <is>
          <t>01/02/2026</t>
        </is>
      </c>
      <c r="E1239" t="n">
        <v>0</v>
      </c>
      <c r="F1239" t="inlineStr">
        <is>
          <t>Fabrica de Bares (2025)</t>
        </is>
      </c>
      <c r="G1239" t="b">
        <v>1</v>
      </c>
      <c r="H1239" t="inlineStr">
        <is>
          <t>2/2026</t>
        </is>
      </c>
    </row>
    <row r="1240">
      <c r="A1240" t="inlineStr">
        <is>
          <t>Nuv Gastrobar</t>
        </is>
      </c>
      <c r="B1240" t="inlineStr">
        <is>
          <t>Mão de Obra - Encargos e Provisões</t>
        </is>
      </c>
      <c r="C1240" t="inlineStr">
        <is>
          <t xml:space="preserve">  -  INSS sobre 13º Salários</t>
        </is>
      </c>
      <c r="D1240" t="inlineStr">
        <is>
          <t>01/03/2026</t>
        </is>
      </c>
      <c r="E1240" t="n">
        <v>0</v>
      </c>
      <c r="F1240" t="inlineStr">
        <is>
          <t>Fabrica de Bares (2025)</t>
        </is>
      </c>
      <c r="G1240" t="b">
        <v>1</v>
      </c>
      <c r="H1240" t="inlineStr">
        <is>
          <t>3/2026</t>
        </is>
      </c>
    </row>
    <row r="1241">
      <c r="A1241" t="inlineStr">
        <is>
          <t>Nuv Gastrobar</t>
        </is>
      </c>
      <c r="B1241" t="inlineStr">
        <is>
          <t>Mão de Obra - Encargos e Provisões</t>
        </is>
      </c>
      <c r="C1241" t="inlineStr">
        <is>
          <t xml:space="preserve">  -  INSS sobre 13º Salários</t>
        </is>
      </c>
      <c r="D1241" t="inlineStr">
        <is>
          <t>01/04/2026</t>
        </is>
      </c>
      <c r="E1241" t="n">
        <v>0</v>
      </c>
      <c r="F1241" t="inlineStr">
        <is>
          <t>Fabrica de Bares (2025)</t>
        </is>
      </c>
      <c r="G1241" t="b">
        <v>1</v>
      </c>
      <c r="H1241" t="inlineStr">
        <is>
          <t>4/2026</t>
        </is>
      </c>
    </row>
    <row r="1242">
      <c r="A1242" t="inlineStr">
        <is>
          <t>Nuv Gastrobar</t>
        </is>
      </c>
      <c r="B1242" t="inlineStr">
        <is>
          <t>Mão de Obra - Encargos e Provisões</t>
        </is>
      </c>
      <c r="C1242" t="inlineStr">
        <is>
          <t xml:space="preserve">  -  INSS sobre 13º Salários</t>
        </is>
      </c>
      <c r="D1242" t="inlineStr">
        <is>
          <t>01/05/2026</t>
        </is>
      </c>
      <c r="E1242" t="n">
        <v>0</v>
      </c>
      <c r="F1242" t="inlineStr">
        <is>
          <t>Fabrica de Bares (2025)</t>
        </is>
      </c>
      <c r="G1242" t="b">
        <v>1</v>
      </c>
      <c r="H1242" t="inlineStr">
        <is>
          <t>5/2026</t>
        </is>
      </c>
    </row>
    <row r="1243">
      <c r="A1243" t="inlineStr">
        <is>
          <t>Nuv Gastrobar</t>
        </is>
      </c>
      <c r="B1243" t="inlineStr">
        <is>
          <t>Mão de Obra - Encargos e Provisões</t>
        </is>
      </c>
      <c r="C1243" t="inlineStr">
        <is>
          <t xml:space="preserve">  -  INSS sobre 13º Salários</t>
        </is>
      </c>
      <c r="D1243" t="inlineStr">
        <is>
          <t>01/06/2026</t>
        </is>
      </c>
      <c r="E1243" t="n">
        <v>0</v>
      </c>
      <c r="F1243" t="inlineStr">
        <is>
          <t>Fabrica de Bares (2025)</t>
        </is>
      </c>
      <c r="G1243" t="b">
        <v>1</v>
      </c>
      <c r="H1243" t="inlineStr">
        <is>
          <t>6/2026</t>
        </is>
      </c>
    </row>
    <row r="1244">
      <c r="A1244" t="inlineStr">
        <is>
          <t>Nuv Gastrobar</t>
        </is>
      </c>
      <c r="B1244" t="inlineStr">
        <is>
          <t>Mão de Obra - Encargos e Provisões</t>
        </is>
      </c>
      <c r="C1244" t="inlineStr">
        <is>
          <t xml:space="preserve">  -  INSS sobre 13º Salários</t>
        </is>
      </c>
      <c r="D1244" t="inlineStr">
        <is>
          <t>01/07/2026</t>
        </is>
      </c>
      <c r="E1244" t="n">
        <v>0</v>
      </c>
      <c r="F1244" t="inlineStr">
        <is>
          <t>Fabrica de Bares (2025)</t>
        </is>
      </c>
      <c r="G1244" t="b">
        <v>1</v>
      </c>
      <c r="H1244" t="inlineStr">
        <is>
          <t>7/2026</t>
        </is>
      </c>
    </row>
    <row r="1245">
      <c r="A1245" t="inlineStr">
        <is>
          <t>Nuv Gastrobar</t>
        </is>
      </c>
      <c r="B1245" t="inlineStr">
        <is>
          <t>Mão de Obra - Encargos e Provisões</t>
        </is>
      </c>
      <c r="C1245" t="inlineStr">
        <is>
          <t xml:space="preserve">  -  INSS sobre 13º Salários</t>
        </is>
      </c>
      <c r="D1245" t="inlineStr">
        <is>
          <t>01/08/2026</t>
        </is>
      </c>
      <c r="E1245" t="n">
        <v>747.2</v>
      </c>
      <c r="F1245" t="inlineStr">
        <is>
          <t>Fabrica de Bares (2025)</t>
        </is>
      </c>
      <c r="G1245" t="b">
        <v>1</v>
      </c>
      <c r="H1245" t="inlineStr">
        <is>
          <t>8/2026</t>
        </is>
      </c>
    </row>
    <row r="1246">
      <c r="A1246" t="inlineStr">
        <is>
          <t>Nuv Gastrobar</t>
        </is>
      </c>
      <c r="B1246" t="inlineStr">
        <is>
          <t>Mão de Obra - Encargos e Provisões</t>
        </is>
      </c>
      <c r="C1246" t="inlineStr">
        <is>
          <t xml:space="preserve">  -  INSS sobre 13º Salários</t>
        </is>
      </c>
      <c r="D1246" t="inlineStr">
        <is>
          <t>01/09/2026</t>
        </is>
      </c>
      <c r="E1246" t="n">
        <v>878.0700000000001</v>
      </c>
      <c r="F1246" t="inlineStr">
        <is>
          <t>Fabrica de Bares (2025)</t>
        </is>
      </c>
      <c r="G1246" t="b">
        <v>1</v>
      </c>
      <c r="H1246" t="inlineStr">
        <is>
          <t>9/2026</t>
        </is>
      </c>
    </row>
    <row r="1247">
      <c r="A1247" t="inlineStr">
        <is>
          <t>Nuv Gastrobar</t>
        </is>
      </c>
      <c r="B1247" t="inlineStr">
        <is>
          <t>Mão de Obra - Encargos e Provisões</t>
        </is>
      </c>
      <c r="C1247" t="inlineStr">
        <is>
          <t xml:space="preserve">  -  INSS sobre 13º Salários</t>
        </is>
      </c>
      <c r="D1247" t="inlineStr">
        <is>
          <t>01/10/2026</t>
        </is>
      </c>
      <c r="E1247" t="n">
        <v>943.21</v>
      </c>
      <c r="F1247" t="inlineStr">
        <is>
          <t>Fabrica de Bares (2025)</t>
        </is>
      </c>
      <c r="G1247" t="b">
        <v>1</v>
      </c>
      <c r="H1247" t="inlineStr">
        <is>
          <t>10/2026</t>
        </is>
      </c>
    </row>
    <row r="1248">
      <c r="A1248" t="inlineStr">
        <is>
          <t>Nuv Gastrobar</t>
        </is>
      </c>
      <c r="B1248" t="inlineStr">
        <is>
          <t>Mão de Obra - Encargos e Provisões</t>
        </is>
      </c>
      <c r="C1248" t="inlineStr">
        <is>
          <t xml:space="preserve">  -  INSS sobre 13º Salários</t>
        </is>
      </c>
      <c r="D1248" t="inlineStr">
        <is>
          <t>01/11/2026</t>
        </is>
      </c>
      <c r="E1248" t="n">
        <v>1174.88</v>
      </c>
      <c r="F1248" t="inlineStr">
        <is>
          <t>Fabrica de Bares (2025)</t>
        </is>
      </c>
      <c r="G1248" t="b">
        <v>1</v>
      </c>
      <c r="H1248" t="inlineStr">
        <is>
          <t>11/2026</t>
        </is>
      </c>
    </row>
    <row r="1249">
      <c r="A1249" t="inlineStr">
        <is>
          <t>Nuv Gastrobar</t>
        </is>
      </c>
      <c r="B1249" t="inlineStr">
        <is>
          <t>Mão de Obra - Encargos e Provisões</t>
        </is>
      </c>
      <c r="C1249" t="inlineStr">
        <is>
          <t xml:space="preserve">  -  INSS sobre 13º Salários</t>
        </is>
      </c>
      <c r="D1249" t="inlineStr">
        <is>
          <t>01/12/2026</t>
        </is>
      </c>
      <c r="E1249" t="n">
        <v>1168.72</v>
      </c>
      <c r="F1249" t="inlineStr">
        <is>
          <t>Fabrica de Bares (2025)</t>
        </is>
      </c>
      <c r="G1249" t="b">
        <v>1</v>
      </c>
      <c r="H1249" t="inlineStr">
        <is>
          <t>12/2026</t>
        </is>
      </c>
    </row>
    <row r="1250">
      <c r="A1250" t="inlineStr">
        <is>
          <t>Nuv Gastrobar</t>
        </is>
      </c>
      <c r="B1250" t="inlineStr">
        <is>
          <t>Mão de Obra - Encargos e Provisões</t>
        </is>
      </c>
      <c r="C1250" t="inlineStr">
        <is>
          <t xml:space="preserve">  -  INSS sobre Férias</t>
        </is>
      </c>
      <c r="D1250" t="inlineStr">
        <is>
          <t>01/01/2026</t>
        </is>
      </c>
      <c r="E1250" t="n">
        <v>0</v>
      </c>
      <c r="F1250" t="inlineStr">
        <is>
          <t>Fabrica de Bares (2025)</t>
        </is>
      </c>
      <c r="G1250" t="b">
        <v>1</v>
      </c>
      <c r="H1250" t="inlineStr">
        <is>
          <t>1/2026</t>
        </is>
      </c>
    </row>
    <row r="1251">
      <c r="A1251" t="inlineStr">
        <is>
          <t>Nuv Gastrobar</t>
        </is>
      </c>
      <c r="B1251" t="inlineStr">
        <is>
          <t>Mão de Obra - Encargos e Provisões</t>
        </is>
      </c>
      <c r="C1251" t="inlineStr">
        <is>
          <t xml:space="preserve">  -  INSS sobre Férias</t>
        </is>
      </c>
      <c r="D1251" t="inlineStr">
        <is>
          <t>01/02/2026</t>
        </is>
      </c>
      <c r="E1251" t="n">
        <v>0</v>
      </c>
      <c r="F1251" t="inlineStr">
        <is>
          <t>Fabrica de Bares (2025)</t>
        </is>
      </c>
      <c r="G1251" t="b">
        <v>1</v>
      </c>
      <c r="H1251" t="inlineStr">
        <is>
          <t>2/2026</t>
        </is>
      </c>
    </row>
    <row r="1252">
      <c r="A1252" t="inlineStr">
        <is>
          <t>Nuv Gastrobar</t>
        </is>
      </c>
      <c r="B1252" t="inlineStr">
        <is>
          <t>Mão de Obra - Encargos e Provisões</t>
        </is>
      </c>
      <c r="C1252" t="inlineStr">
        <is>
          <t xml:space="preserve">  -  INSS sobre Férias</t>
        </is>
      </c>
      <c r="D1252" t="inlineStr">
        <is>
          <t>01/03/2026</t>
        </is>
      </c>
      <c r="E1252" t="n">
        <v>0</v>
      </c>
      <c r="F1252" t="inlineStr">
        <is>
          <t>Fabrica de Bares (2025)</t>
        </is>
      </c>
      <c r="G1252" t="b">
        <v>1</v>
      </c>
      <c r="H1252" t="inlineStr">
        <is>
          <t>3/2026</t>
        </is>
      </c>
    </row>
    <row r="1253">
      <c r="A1253" t="inlineStr">
        <is>
          <t>Nuv Gastrobar</t>
        </is>
      </c>
      <c r="B1253" t="inlineStr">
        <is>
          <t>Mão de Obra - Encargos e Provisões</t>
        </is>
      </c>
      <c r="C1253" t="inlineStr">
        <is>
          <t xml:space="preserve">  -  INSS sobre Férias</t>
        </is>
      </c>
      <c r="D1253" t="inlineStr">
        <is>
          <t>01/04/2026</t>
        </is>
      </c>
      <c r="E1253" t="n">
        <v>0</v>
      </c>
      <c r="F1253" t="inlineStr">
        <is>
          <t>Fabrica de Bares (2025)</t>
        </is>
      </c>
      <c r="G1253" t="b">
        <v>1</v>
      </c>
      <c r="H1253" t="inlineStr">
        <is>
          <t>4/2026</t>
        </is>
      </c>
    </row>
    <row r="1254">
      <c r="A1254" t="inlineStr">
        <is>
          <t>Nuv Gastrobar</t>
        </is>
      </c>
      <c r="B1254" t="inlineStr">
        <is>
          <t>Mão de Obra - Encargos e Provisões</t>
        </is>
      </c>
      <c r="C1254" t="inlineStr">
        <is>
          <t xml:space="preserve">  -  INSS sobre Férias</t>
        </is>
      </c>
      <c r="D1254" t="inlineStr">
        <is>
          <t>01/05/2026</t>
        </is>
      </c>
      <c r="E1254" t="n">
        <v>0</v>
      </c>
      <c r="F1254" t="inlineStr">
        <is>
          <t>Fabrica de Bares (2025)</t>
        </is>
      </c>
      <c r="G1254" t="b">
        <v>1</v>
      </c>
      <c r="H1254" t="inlineStr">
        <is>
          <t>5/2026</t>
        </is>
      </c>
    </row>
    <row r="1255">
      <c r="A1255" t="inlineStr">
        <is>
          <t>Nuv Gastrobar</t>
        </is>
      </c>
      <c r="B1255" t="inlineStr">
        <is>
          <t>Mão de Obra - Encargos e Provisões</t>
        </is>
      </c>
      <c r="C1255" t="inlineStr">
        <is>
          <t xml:space="preserve">  -  INSS sobre Férias</t>
        </is>
      </c>
      <c r="D1255" t="inlineStr">
        <is>
          <t>01/06/2026</t>
        </is>
      </c>
      <c r="E1255" t="n">
        <v>0</v>
      </c>
      <c r="F1255" t="inlineStr">
        <is>
          <t>Fabrica de Bares (2025)</t>
        </is>
      </c>
      <c r="G1255" t="b">
        <v>1</v>
      </c>
      <c r="H1255" t="inlineStr">
        <is>
          <t>6/2026</t>
        </is>
      </c>
    </row>
    <row r="1256">
      <c r="A1256" t="inlineStr">
        <is>
          <t>Nuv Gastrobar</t>
        </is>
      </c>
      <c r="B1256" t="inlineStr">
        <is>
          <t>Mão de Obra - Encargos e Provisões</t>
        </is>
      </c>
      <c r="C1256" t="inlineStr">
        <is>
          <t xml:space="preserve">  -  INSS sobre Férias</t>
        </is>
      </c>
      <c r="D1256" t="inlineStr">
        <is>
          <t>01/07/2026</t>
        </is>
      </c>
      <c r="E1256" t="n">
        <v>0</v>
      </c>
      <c r="F1256" t="inlineStr">
        <is>
          <t>Fabrica de Bares (2025)</t>
        </is>
      </c>
      <c r="G1256" t="b">
        <v>1</v>
      </c>
      <c r="H1256" t="inlineStr">
        <is>
          <t>7/2026</t>
        </is>
      </c>
    </row>
    <row r="1257">
      <c r="A1257" t="inlineStr">
        <is>
          <t>Nuv Gastrobar</t>
        </is>
      </c>
      <c r="B1257" t="inlineStr">
        <is>
          <t>Mão de Obra - Encargos e Provisões</t>
        </is>
      </c>
      <c r="C1257" t="inlineStr">
        <is>
          <t xml:space="preserve">  -  INSS sobre Férias</t>
        </is>
      </c>
      <c r="D1257" t="inlineStr">
        <is>
          <t>01/08/2026</t>
        </is>
      </c>
      <c r="E1257" t="n">
        <v>747.2</v>
      </c>
      <c r="F1257" t="inlineStr">
        <is>
          <t>Fabrica de Bares (2025)</t>
        </is>
      </c>
      <c r="G1257" t="b">
        <v>1</v>
      </c>
      <c r="H1257" t="inlineStr">
        <is>
          <t>8/2026</t>
        </is>
      </c>
    </row>
    <row r="1258">
      <c r="A1258" t="inlineStr">
        <is>
          <t>Nuv Gastrobar</t>
        </is>
      </c>
      <c r="B1258" t="inlineStr">
        <is>
          <t>Mão de Obra - Encargos e Provisões</t>
        </is>
      </c>
      <c r="C1258" t="inlineStr">
        <is>
          <t xml:space="preserve">  -  INSS sobre Férias</t>
        </is>
      </c>
      <c r="D1258" t="inlineStr">
        <is>
          <t>01/09/2026</t>
        </is>
      </c>
      <c r="E1258" t="n">
        <v>0</v>
      </c>
      <c r="F1258" t="inlineStr">
        <is>
          <t>Fabrica de Bares (2025)</t>
        </is>
      </c>
      <c r="G1258" t="b">
        <v>1</v>
      </c>
      <c r="H1258" t="inlineStr">
        <is>
          <t>9/2026</t>
        </is>
      </c>
    </row>
    <row r="1259">
      <c r="A1259" t="inlineStr">
        <is>
          <t>Nuv Gastrobar</t>
        </is>
      </c>
      <c r="B1259" t="inlineStr">
        <is>
          <t>Mão de Obra - Encargos e Provisões</t>
        </is>
      </c>
      <c r="C1259" t="inlineStr">
        <is>
          <t xml:space="preserve">  -  INSS sobre Férias</t>
        </is>
      </c>
      <c r="D1259" t="inlineStr">
        <is>
          <t>01/10/2026</t>
        </is>
      </c>
      <c r="E1259" t="n">
        <v>0</v>
      </c>
      <c r="F1259" t="inlineStr">
        <is>
          <t>Fabrica de Bares (2025)</t>
        </is>
      </c>
      <c r="G1259" t="b">
        <v>1</v>
      </c>
      <c r="H1259" t="inlineStr">
        <is>
          <t>10/2026</t>
        </is>
      </c>
    </row>
    <row r="1260">
      <c r="A1260" t="inlineStr">
        <is>
          <t>Nuv Gastrobar</t>
        </is>
      </c>
      <c r="B1260" t="inlineStr">
        <is>
          <t>Mão de Obra - Encargos e Provisões</t>
        </is>
      </c>
      <c r="C1260" t="inlineStr">
        <is>
          <t xml:space="preserve">  -  INSS sobre Férias</t>
        </is>
      </c>
      <c r="D1260" t="inlineStr">
        <is>
          <t>01/11/2026</t>
        </is>
      </c>
      <c r="E1260" t="n">
        <v>0</v>
      </c>
      <c r="F1260" t="inlineStr">
        <is>
          <t>Fabrica de Bares (2025)</t>
        </is>
      </c>
      <c r="G1260" t="b">
        <v>1</v>
      </c>
      <c r="H1260" t="inlineStr">
        <is>
          <t>11/2026</t>
        </is>
      </c>
    </row>
    <row r="1261">
      <c r="A1261" t="inlineStr">
        <is>
          <t>Nuv Gastrobar</t>
        </is>
      </c>
      <c r="B1261" t="inlineStr">
        <is>
          <t>Mão de Obra - Encargos e Provisões</t>
        </is>
      </c>
      <c r="C1261" t="inlineStr">
        <is>
          <t xml:space="preserve">  -  INSS sobre Férias</t>
        </is>
      </c>
      <c r="D1261" t="inlineStr">
        <is>
          <t>01/12/2026</t>
        </is>
      </c>
      <c r="E1261" t="n">
        <v>0</v>
      </c>
      <c r="F1261" t="inlineStr">
        <is>
          <t>Fabrica de Bares (2025)</t>
        </is>
      </c>
      <c r="G1261" t="b">
        <v>1</v>
      </c>
      <c r="H1261" t="inlineStr">
        <is>
          <t>12/2026</t>
        </is>
      </c>
    </row>
    <row r="1262">
      <c r="A1262" t="inlineStr">
        <is>
          <t>Nuv Gastrobar</t>
        </is>
      </c>
      <c r="B1262" t="inlineStr">
        <is>
          <t>Mão de Obra - Encargos e Provisões</t>
        </is>
      </c>
      <c r="C1262" t="inlineStr">
        <is>
          <t xml:space="preserve">  -  Multa Rescisória</t>
        </is>
      </c>
      <c r="D1262" t="inlineStr">
        <is>
          <t>01/01/2026</t>
        </is>
      </c>
      <c r="E1262" t="n">
        <v>0</v>
      </c>
      <c r="F1262" t="inlineStr">
        <is>
          <t>Fabrica de Bares (2025)</t>
        </is>
      </c>
      <c r="G1262" t="b">
        <v>1</v>
      </c>
      <c r="H1262" t="inlineStr">
        <is>
          <t>1/2026</t>
        </is>
      </c>
    </row>
    <row r="1263">
      <c r="A1263" t="inlineStr">
        <is>
          <t>Nuv Gastrobar</t>
        </is>
      </c>
      <c r="B1263" t="inlineStr">
        <is>
          <t>Mão de Obra - Encargos e Provisões</t>
        </is>
      </c>
      <c r="C1263" t="inlineStr">
        <is>
          <t xml:space="preserve">  -  Multa Rescisória</t>
        </is>
      </c>
      <c r="D1263" t="inlineStr">
        <is>
          <t>01/02/2026</t>
        </is>
      </c>
      <c r="E1263" t="n">
        <v>0</v>
      </c>
      <c r="F1263" t="inlineStr">
        <is>
          <t>Fabrica de Bares (2025)</t>
        </is>
      </c>
      <c r="G1263" t="b">
        <v>1</v>
      </c>
      <c r="H1263" t="inlineStr">
        <is>
          <t>2/2026</t>
        </is>
      </c>
    </row>
    <row r="1264">
      <c r="A1264" t="inlineStr">
        <is>
          <t>Nuv Gastrobar</t>
        </is>
      </c>
      <c r="B1264" t="inlineStr">
        <is>
          <t>Mão de Obra - Encargos e Provisões</t>
        </is>
      </c>
      <c r="C1264" t="inlineStr">
        <is>
          <t xml:space="preserve">  -  Multa Rescisória</t>
        </is>
      </c>
      <c r="D1264" t="inlineStr">
        <is>
          <t>01/03/2026</t>
        </is>
      </c>
      <c r="E1264" t="n">
        <v>0</v>
      </c>
      <c r="F1264" t="inlineStr">
        <is>
          <t>Fabrica de Bares (2025)</t>
        </is>
      </c>
      <c r="G1264" t="b">
        <v>1</v>
      </c>
      <c r="H1264" t="inlineStr">
        <is>
          <t>3/2026</t>
        </is>
      </c>
    </row>
    <row r="1265">
      <c r="A1265" t="inlineStr">
        <is>
          <t>Nuv Gastrobar</t>
        </is>
      </c>
      <c r="B1265" t="inlineStr">
        <is>
          <t>Mão de Obra - Encargos e Provisões</t>
        </is>
      </c>
      <c r="C1265" t="inlineStr">
        <is>
          <t xml:space="preserve">  -  Multa Rescisória</t>
        </is>
      </c>
      <c r="D1265" t="inlineStr">
        <is>
          <t>01/04/2026</t>
        </is>
      </c>
      <c r="E1265" t="n">
        <v>0</v>
      </c>
      <c r="F1265" t="inlineStr">
        <is>
          <t>Fabrica de Bares (2025)</t>
        </is>
      </c>
      <c r="G1265" t="b">
        <v>1</v>
      </c>
      <c r="H1265" t="inlineStr">
        <is>
          <t>4/2026</t>
        </is>
      </c>
    </row>
    <row r="1266">
      <c r="A1266" t="inlineStr">
        <is>
          <t>Nuv Gastrobar</t>
        </is>
      </c>
      <c r="B1266" t="inlineStr">
        <is>
          <t>Mão de Obra - Encargos e Provisões</t>
        </is>
      </c>
      <c r="C1266" t="inlineStr">
        <is>
          <t xml:space="preserve">  -  Multa Rescisória</t>
        </is>
      </c>
      <c r="D1266" t="inlineStr">
        <is>
          <t>01/05/2026</t>
        </is>
      </c>
      <c r="E1266" t="n">
        <v>0</v>
      </c>
      <c r="F1266" t="inlineStr">
        <is>
          <t>Fabrica de Bares (2025)</t>
        </is>
      </c>
      <c r="G1266" t="b">
        <v>1</v>
      </c>
      <c r="H1266" t="inlineStr">
        <is>
          <t>5/2026</t>
        </is>
      </c>
    </row>
    <row r="1267">
      <c r="A1267" t="inlineStr">
        <is>
          <t>Nuv Gastrobar</t>
        </is>
      </c>
      <c r="B1267" t="inlineStr">
        <is>
          <t>Mão de Obra - Encargos e Provisões</t>
        </is>
      </c>
      <c r="C1267" t="inlineStr">
        <is>
          <t xml:space="preserve">  -  Multa Rescisória</t>
        </is>
      </c>
      <c r="D1267" t="inlineStr">
        <is>
          <t>01/06/2026</t>
        </is>
      </c>
      <c r="E1267" t="n">
        <v>0</v>
      </c>
      <c r="F1267" t="inlineStr">
        <is>
          <t>Fabrica de Bares (2025)</t>
        </is>
      </c>
      <c r="G1267" t="b">
        <v>1</v>
      </c>
      <c r="H1267" t="inlineStr">
        <is>
          <t>6/2026</t>
        </is>
      </c>
    </row>
    <row r="1268">
      <c r="A1268" t="inlineStr">
        <is>
          <t>Nuv Gastrobar</t>
        </is>
      </c>
      <c r="B1268" t="inlineStr">
        <is>
          <t>Mão de Obra - Encargos e Provisões</t>
        </is>
      </c>
      <c r="C1268" t="inlineStr">
        <is>
          <t xml:space="preserve">  -  Multa Rescisória</t>
        </is>
      </c>
      <c r="D1268" t="inlineStr">
        <is>
          <t>01/07/2026</t>
        </is>
      </c>
      <c r="E1268" t="n">
        <v>0</v>
      </c>
      <c r="F1268" t="inlineStr">
        <is>
          <t>Fabrica de Bares (2025)</t>
        </is>
      </c>
      <c r="G1268" t="b">
        <v>1</v>
      </c>
      <c r="H1268" t="inlineStr">
        <is>
          <t>7/2026</t>
        </is>
      </c>
    </row>
    <row r="1269">
      <c r="A1269" t="inlineStr">
        <is>
          <t>Nuv Gastrobar</t>
        </is>
      </c>
      <c r="B1269" t="inlineStr">
        <is>
          <t>Mão de Obra - Encargos e Provisões</t>
        </is>
      </c>
      <c r="C1269" t="inlineStr">
        <is>
          <t xml:space="preserve">  -  Multa Rescisória</t>
        </is>
      </c>
      <c r="D1269" t="inlineStr">
        <is>
          <t>01/08/2026</t>
        </is>
      </c>
      <c r="E1269" t="n">
        <v>0</v>
      </c>
      <c r="F1269" t="inlineStr">
        <is>
          <t>Fabrica de Bares (2025)</t>
        </is>
      </c>
      <c r="G1269" t="b">
        <v>1</v>
      </c>
      <c r="H1269" t="inlineStr">
        <is>
          <t>8/2026</t>
        </is>
      </c>
    </row>
    <row r="1270">
      <c r="A1270" t="inlineStr">
        <is>
          <t>Nuv Gastrobar</t>
        </is>
      </c>
      <c r="B1270" t="inlineStr">
        <is>
          <t>Mão de Obra - Encargos e Provisões</t>
        </is>
      </c>
      <c r="C1270" t="inlineStr">
        <is>
          <t xml:space="preserve">  -  Multa Rescisória</t>
        </is>
      </c>
      <c r="D1270" t="inlineStr">
        <is>
          <t>01/09/2026</t>
        </is>
      </c>
      <c r="E1270" t="n">
        <v>0</v>
      </c>
      <c r="F1270" t="inlineStr">
        <is>
          <t>Fabrica de Bares (2025)</t>
        </is>
      </c>
      <c r="G1270" t="b">
        <v>1</v>
      </c>
      <c r="H1270" t="inlineStr">
        <is>
          <t>9/2026</t>
        </is>
      </c>
    </row>
    <row r="1271">
      <c r="A1271" t="inlineStr">
        <is>
          <t>Nuv Gastrobar</t>
        </is>
      </c>
      <c r="B1271" t="inlineStr">
        <is>
          <t>Mão de Obra - Encargos e Provisões</t>
        </is>
      </c>
      <c r="C1271" t="inlineStr">
        <is>
          <t xml:space="preserve">  -  Multa Rescisória</t>
        </is>
      </c>
      <c r="D1271" t="inlineStr">
        <is>
          <t>01/10/2026</t>
        </is>
      </c>
      <c r="E1271" t="n">
        <v>0</v>
      </c>
      <c r="F1271" t="inlineStr">
        <is>
          <t>Fabrica de Bares (2025)</t>
        </is>
      </c>
      <c r="G1271" t="b">
        <v>1</v>
      </c>
      <c r="H1271" t="inlineStr">
        <is>
          <t>10/2026</t>
        </is>
      </c>
    </row>
    <row r="1272">
      <c r="A1272" t="inlineStr">
        <is>
          <t>Nuv Gastrobar</t>
        </is>
      </c>
      <c r="B1272" t="inlineStr">
        <is>
          <t>Mão de Obra - Encargos e Provisões</t>
        </is>
      </c>
      <c r="C1272" t="inlineStr">
        <is>
          <t xml:space="preserve">  -  Multa Rescisória</t>
        </is>
      </c>
      <c r="D1272" t="inlineStr">
        <is>
          <t>01/11/2026</t>
        </is>
      </c>
      <c r="E1272" t="n">
        <v>0</v>
      </c>
      <c r="F1272" t="inlineStr">
        <is>
          <t>Fabrica de Bares (2025)</t>
        </is>
      </c>
      <c r="G1272" t="b">
        <v>1</v>
      </c>
      <c r="H1272" t="inlineStr">
        <is>
          <t>11/2026</t>
        </is>
      </c>
    </row>
    <row r="1273">
      <c r="A1273" t="inlineStr">
        <is>
          <t>Nuv Gastrobar</t>
        </is>
      </c>
      <c r="B1273" t="inlineStr">
        <is>
          <t>Mão de Obra - Encargos e Provisões</t>
        </is>
      </c>
      <c r="C1273" t="inlineStr">
        <is>
          <t xml:space="preserve">  -  Multa Rescisória</t>
        </is>
      </c>
      <c r="D1273" t="inlineStr">
        <is>
          <t>01/12/2026</t>
        </is>
      </c>
      <c r="E1273" t="n">
        <v>0</v>
      </c>
      <c r="F1273" t="inlineStr">
        <is>
          <t>Fabrica de Bares (2025)</t>
        </is>
      </c>
      <c r="G1273" t="b">
        <v>1</v>
      </c>
      <c r="H1273" t="inlineStr">
        <is>
          <t>12/2026</t>
        </is>
      </c>
    </row>
    <row r="1274">
      <c r="A1274" t="inlineStr">
        <is>
          <t>Nuv Gastrobar</t>
        </is>
      </c>
      <c r="B1274" t="inlineStr">
        <is>
          <t>Mão de Obra - Encargos e Provisões</t>
        </is>
      </c>
      <c r="C1274" t="inlineStr">
        <is>
          <t xml:space="preserve">  -  Premiação</t>
        </is>
      </c>
      <c r="D1274" t="inlineStr">
        <is>
          <t>01/01/2026</t>
        </is>
      </c>
      <c r="E1274" t="n">
        <v>0</v>
      </c>
      <c r="F1274" t="inlineStr">
        <is>
          <t>Fabrica de Bares (2025)</t>
        </is>
      </c>
      <c r="G1274" t="b">
        <v>1</v>
      </c>
      <c r="H1274" t="inlineStr">
        <is>
          <t>1/2026</t>
        </is>
      </c>
    </row>
    <row r="1275">
      <c r="A1275" t="inlineStr">
        <is>
          <t>Nuv Gastrobar</t>
        </is>
      </c>
      <c r="B1275" t="inlineStr">
        <is>
          <t>Mão de Obra - Encargos e Provisões</t>
        </is>
      </c>
      <c r="C1275" t="inlineStr">
        <is>
          <t xml:space="preserve">  -  Premiação</t>
        </is>
      </c>
      <c r="D1275" t="inlineStr">
        <is>
          <t>01/02/2026</t>
        </is>
      </c>
      <c r="E1275" t="n">
        <v>0</v>
      </c>
      <c r="F1275" t="inlineStr">
        <is>
          <t>Fabrica de Bares (2025)</t>
        </is>
      </c>
      <c r="G1275" t="b">
        <v>1</v>
      </c>
      <c r="H1275" t="inlineStr">
        <is>
          <t>2/2026</t>
        </is>
      </c>
    </row>
    <row r="1276">
      <c r="A1276" t="inlineStr">
        <is>
          <t>Nuv Gastrobar</t>
        </is>
      </c>
      <c r="B1276" t="inlineStr">
        <is>
          <t>Mão de Obra - Encargos e Provisões</t>
        </is>
      </c>
      <c r="C1276" t="inlineStr">
        <is>
          <t xml:space="preserve">  -  Premiação</t>
        </is>
      </c>
      <c r="D1276" t="inlineStr">
        <is>
          <t>01/03/2026</t>
        </is>
      </c>
      <c r="E1276" t="n">
        <v>0</v>
      </c>
      <c r="F1276" t="inlineStr">
        <is>
          <t>Fabrica de Bares (2025)</t>
        </is>
      </c>
      <c r="G1276" t="b">
        <v>1</v>
      </c>
      <c r="H1276" t="inlineStr">
        <is>
          <t>3/2026</t>
        </is>
      </c>
    </row>
    <row r="1277">
      <c r="A1277" t="inlineStr">
        <is>
          <t>Nuv Gastrobar</t>
        </is>
      </c>
      <c r="B1277" t="inlineStr">
        <is>
          <t>Mão de Obra - Encargos e Provisões</t>
        </is>
      </c>
      <c r="C1277" t="inlineStr">
        <is>
          <t xml:space="preserve">  -  Premiação</t>
        </is>
      </c>
      <c r="D1277" t="inlineStr">
        <is>
          <t>01/04/2026</t>
        </is>
      </c>
      <c r="E1277" t="n">
        <v>0</v>
      </c>
      <c r="F1277" t="inlineStr">
        <is>
          <t>Fabrica de Bares (2025)</t>
        </is>
      </c>
      <c r="G1277" t="b">
        <v>1</v>
      </c>
      <c r="H1277" t="inlineStr">
        <is>
          <t>4/2026</t>
        </is>
      </c>
    </row>
    <row r="1278">
      <c r="A1278" t="inlineStr">
        <is>
          <t>Nuv Gastrobar</t>
        </is>
      </c>
      <c r="B1278" t="inlineStr">
        <is>
          <t>Mão de Obra - Encargos e Provisões</t>
        </is>
      </c>
      <c r="C1278" t="inlineStr">
        <is>
          <t xml:space="preserve">  -  Premiação</t>
        </is>
      </c>
      <c r="D1278" t="inlineStr">
        <is>
          <t>01/05/2026</t>
        </is>
      </c>
      <c r="E1278" t="n">
        <v>0</v>
      </c>
      <c r="F1278" t="inlineStr">
        <is>
          <t>Fabrica de Bares (2025)</t>
        </is>
      </c>
      <c r="G1278" t="b">
        <v>1</v>
      </c>
      <c r="H1278" t="inlineStr">
        <is>
          <t>5/2026</t>
        </is>
      </c>
    </row>
    <row r="1279">
      <c r="A1279" t="inlineStr">
        <is>
          <t>Nuv Gastrobar</t>
        </is>
      </c>
      <c r="B1279" t="inlineStr">
        <is>
          <t>Mão de Obra - Encargos e Provisões</t>
        </is>
      </c>
      <c r="C1279" t="inlineStr">
        <is>
          <t xml:space="preserve">  -  Premiação</t>
        </is>
      </c>
      <c r="D1279" t="inlineStr">
        <is>
          <t>01/06/2026</t>
        </is>
      </c>
      <c r="E1279" t="n">
        <v>0</v>
      </c>
      <c r="F1279" t="inlineStr">
        <is>
          <t>Fabrica de Bares (2025)</t>
        </is>
      </c>
      <c r="G1279" t="b">
        <v>1</v>
      </c>
      <c r="H1279" t="inlineStr">
        <is>
          <t>6/2026</t>
        </is>
      </c>
    </row>
    <row r="1280">
      <c r="A1280" t="inlineStr">
        <is>
          <t>Nuv Gastrobar</t>
        </is>
      </c>
      <c r="B1280" t="inlineStr">
        <is>
          <t>Mão de Obra - Encargos e Provisões</t>
        </is>
      </c>
      <c r="C1280" t="inlineStr">
        <is>
          <t xml:space="preserve">  -  Premiação</t>
        </is>
      </c>
      <c r="D1280" t="inlineStr">
        <is>
          <t>01/07/2026</t>
        </is>
      </c>
      <c r="E1280" t="n">
        <v>0</v>
      </c>
      <c r="F1280" t="inlineStr">
        <is>
          <t>Fabrica de Bares (2025)</t>
        </is>
      </c>
      <c r="G1280" t="b">
        <v>1</v>
      </c>
      <c r="H1280" t="inlineStr">
        <is>
          <t>7/2026</t>
        </is>
      </c>
    </row>
    <row r="1281">
      <c r="A1281" t="inlineStr">
        <is>
          <t>Nuv Gastrobar</t>
        </is>
      </c>
      <c r="B1281" t="inlineStr">
        <is>
          <t>Mão de Obra - Encargos e Provisões</t>
        </is>
      </c>
      <c r="C1281" t="inlineStr">
        <is>
          <t xml:space="preserve">  -  Premiação</t>
        </is>
      </c>
      <c r="D1281" t="inlineStr">
        <is>
          <t>01/08/2026</t>
        </is>
      </c>
      <c r="E1281" t="n">
        <v>0</v>
      </c>
      <c r="F1281" t="inlineStr">
        <is>
          <t>Fabrica de Bares (2025)</t>
        </is>
      </c>
      <c r="G1281" t="b">
        <v>1</v>
      </c>
      <c r="H1281" t="inlineStr">
        <is>
          <t>8/2026</t>
        </is>
      </c>
    </row>
    <row r="1282">
      <c r="A1282" t="inlineStr">
        <is>
          <t>Nuv Gastrobar</t>
        </is>
      </c>
      <c r="B1282" t="inlineStr">
        <is>
          <t>Mão de Obra - Encargos e Provisões</t>
        </is>
      </c>
      <c r="C1282" t="inlineStr">
        <is>
          <t xml:space="preserve">  -  Premiação</t>
        </is>
      </c>
      <c r="D1282" t="inlineStr">
        <is>
          <t>01/09/2026</t>
        </is>
      </c>
      <c r="E1282" t="n">
        <v>0</v>
      </c>
      <c r="F1282" t="inlineStr">
        <is>
          <t>Fabrica de Bares (2025)</t>
        </is>
      </c>
      <c r="G1282" t="b">
        <v>1</v>
      </c>
      <c r="H1282" t="inlineStr">
        <is>
          <t>9/2026</t>
        </is>
      </c>
    </row>
    <row r="1283">
      <c r="A1283" t="inlineStr">
        <is>
          <t>Nuv Gastrobar</t>
        </is>
      </c>
      <c r="B1283" t="inlineStr">
        <is>
          <t>Mão de Obra - Encargos e Provisões</t>
        </is>
      </c>
      <c r="C1283" t="inlineStr">
        <is>
          <t xml:space="preserve">  -  Premiação</t>
        </is>
      </c>
      <c r="D1283" t="inlineStr">
        <is>
          <t>01/10/2026</t>
        </is>
      </c>
      <c r="E1283" t="n">
        <v>0</v>
      </c>
      <c r="F1283" t="inlineStr">
        <is>
          <t>Fabrica de Bares (2025)</t>
        </is>
      </c>
      <c r="G1283" t="b">
        <v>1</v>
      </c>
      <c r="H1283" t="inlineStr">
        <is>
          <t>10/2026</t>
        </is>
      </c>
    </row>
    <row r="1284">
      <c r="A1284" t="inlineStr">
        <is>
          <t>Nuv Gastrobar</t>
        </is>
      </c>
      <c r="B1284" t="inlineStr">
        <is>
          <t>Mão de Obra - Encargos e Provisões</t>
        </is>
      </c>
      <c r="C1284" t="inlineStr">
        <is>
          <t xml:space="preserve">  -  Premiação</t>
        </is>
      </c>
      <c r="D1284" t="inlineStr">
        <is>
          <t>01/11/2026</t>
        </is>
      </c>
      <c r="E1284" t="n">
        <v>0</v>
      </c>
      <c r="F1284" t="inlineStr">
        <is>
          <t>Fabrica de Bares (2025)</t>
        </is>
      </c>
      <c r="G1284" t="b">
        <v>1</v>
      </c>
      <c r="H1284" t="inlineStr">
        <is>
          <t>11/2026</t>
        </is>
      </c>
    </row>
    <row r="1285">
      <c r="A1285" t="inlineStr">
        <is>
          <t>Nuv Gastrobar</t>
        </is>
      </c>
      <c r="B1285" t="inlineStr">
        <is>
          <t>Mão de Obra - Encargos e Provisões</t>
        </is>
      </c>
      <c r="C1285" t="inlineStr">
        <is>
          <t xml:space="preserve">  -  Premiação</t>
        </is>
      </c>
      <c r="D1285" t="inlineStr">
        <is>
          <t>01/12/2026</t>
        </is>
      </c>
      <c r="E1285" t="n">
        <v>0</v>
      </c>
      <c r="F1285" t="inlineStr">
        <is>
          <t>Fabrica de Bares (2025)</t>
        </is>
      </c>
      <c r="G1285" t="b">
        <v>1</v>
      </c>
      <c r="H1285" t="inlineStr">
        <is>
          <t>12/2026</t>
        </is>
      </c>
    </row>
    <row r="1286">
      <c r="A1286" t="inlineStr">
        <is>
          <t>Nuv Gastrobar</t>
        </is>
      </c>
      <c r="B1286" t="inlineStr">
        <is>
          <t>Mão de Obra - Encargos e Provisões</t>
        </is>
      </c>
      <c r="C1286" t="inlineStr">
        <is>
          <t xml:space="preserve">  -  Remuneração Variável</t>
        </is>
      </c>
      <c r="D1286" t="inlineStr">
        <is>
          <t>01/01/2026</t>
        </is>
      </c>
      <c r="E1286" t="n">
        <v>0</v>
      </c>
      <c r="F1286" t="inlineStr">
        <is>
          <t>Fabrica de Bares (2025)</t>
        </is>
      </c>
      <c r="G1286" t="b">
        <v>1</v>
      </c>
      <c r="H1286" t="inlineStr">
        <is>
          <t>1/2026</t>
        </is>
      </c>
    </row>
    <row r="1287">
      <c r="A1287" t="inlineStr">
        <is>
          <t>Nuv Gastrobar</t>
        </is>
      </c>
      <c r="B1287" t="inlineStr">
        <is>
          <t>Mão de Obra - Encargos e Provisões</t>
        </is>
      </c>
      <c r="C1287" t="inlineStr">
        <is>
          <t xml:space="preserve">  -  Remuneração Variável</t>
        </is>
      </c>
      <c r="D1287" t="inlineStr">
        <is>
          <t>01/02/2026</t>
        </is>
      </c>
      <c r="E1287" t="n">
        <v>0</v>
      </c>
      <c r="F1287" t="inlineStr">
        <is>
          <t>Fabrica de Bares (2025)</t>
        </is>
      </c>
      <c r="G1287" t="b">
        <v>1</v>
      </c>
      <c r="H1287" t="inlineStr">
        <is>
          <t>2/2026</t>
        </is>
      </c>
    </row>
    <row r="1288">
      <c r="A1288" t="inlineStr">
        <is>
          <t>Nuv Gastrobar</t>
        </is>
      </c>
      <c r="B1288" t="inlineStr">
        <is>
          <t>Mão de Obra - Encargos e Provisões</t>
        </is>
      </c>
      <c r="C1288" t="inlineStr">
        <is>
          <t xml:space="preserve">  -  Remuneração Variável</t>
        </is>
      </c>
      <c r="D1288" t="inlineStr">
        <is>
          <t>01/03/2026</t>
        </is>
      </c>
      <c r="E1288" t="n">
        <v>0</v>
      </c>
      <c r="F1288" t="inlineStr">
        <is>
          <t>Fabrica de Bares (2025)</t>
        </is>
      </c>
      <c r="G1288" t="b">
        <v>1</v>
      </c>
      <c r="H1288" t="inlineStr">
        <is>
          <t>3/2026</t>
        </is>
      </c>
    </row>
    <row r="1289">
      <c r="A1289" t="inlineStr">
        <is>
          <t>Nuv Gastrobar</t>
        </is>
      </c>
      <c r="B1289" t="inlineStr">
        <is>
          <t>Mão de Obra - Encargos e Provisões</t>
        </is>
      </c>
      <c r="C1289" t="inlineStr">
        <is>
          <t xml:space="preserve">  -  Remuneração Variável</t>
        </is>
      </c>
      <c r="D1289" t="inlineStr">
        <is>
          <t>01/04/2026</t>
        </is>
      </c>
      <c r="E1289" t="n">
        <v>0</v>
      </c>
      <c r="F1289" t="inlineStr">
        <is>
          <t>Fabrica de Bares (2025)</t>
        </is>
      </c>
      <c r="G1289" t="b">
        <v>1</v>
      </c>
      <c r="H1289" t="inlineStr">
        <is>
          <t>4/2026</t>
        </is>
      </c>
    </row>
    <row r="1290">
      <c r="A1290" t="inlineStr">
        <is>
          <t>Nuv Gastrobar</t>
        </is>
      </c>
      <c r="B1290" t="inlineStr">
        <is>
          <t>Mão de Obra - Encargos e Provisões</t>
        </is>
      </c>
      <c r="C1290" t="inlineStr">
        <is>
          <t xml:space="preserve">  -  Remuneração Variável</t>
        </is>
      </c>
      <c r="D1290" t="inlineStr">
        <is>
          <t>01/05/2026</t>
        </is>
      </c>
      <c r="E1290" t="n">
        <v>0</v>
      </c>
      <c r="F1290" t="inlineStr">
        <is>
          <t>Fabrica de Bares (2025)</t>
        </is>
      </c>
      <c r="G1290" t="b">
        <v>1</v>
      </c>
      <c r="H1290" t="inlineStr">
        <is>
          <t>5/2026</t>
        </is>
      </c>
    </row>
    <row r="1291">
      <c r="A1291" t="inlineStr">
        <is>
          <t>Nuv Gastrobar</t>
        </is>
      </c>
      <c r="B1291" t="inlineStr">
        <is>
          <t>Mão de Obra - Encargos e Provisões</t>
        </is>
      </c>
      <c r="C1291" t="inlineStr">
        <is>
          <t xml:space="preserve">  -  Remuneração Variável</t>
        </is>
      </c>
      <c r="D1291" t="inlineStr">
        <is>
          <t>01/06/2026</t>
        </is>
      </c>
      <c r="E1291" t="n">
        <v>0</v>
      </c>
      <c r="F1291" t="inlineStr">
        <is>
          <t>Fabrica de Bares (2025)</t>
        </is>
      </c>
      <c r="G1291" t="b">
        <v>1</v>
      </c>
      <c r="H1291" t="inlineStr">
        <is>
          <t>6/2026</t>
        </is>
      </c>
    </row>
    <row r="1292">
      <c r="A1292" t="inlineStr">
        <is>
          <t>Nuv Gastrobar</t>
        </is>
      </c>
      <c r="B1292" t="inlineStr">
        <is>
          <t>Mão de Obra - Encargos e Provisões</t>
        </is>
      </c>
      <c r="C1292" t="inlineStr">
        <is>
          <t xml:space="preserve">  -  Remuneração Variável</t>
        </is>
      </c>
      <c r="D1292" t="inlineStr">
        <is>
          <t>01/07/2026</t>
        </is>
      </c>
      <c r="E1292" t="n">
        <v>0</v>
      </c>
      <c r="F1292" t="inlineStr">
        <is>
          <t>Fabrica de Bares (2025)</t>
        </is>
      </c>
      <c r="G1292" t="b">
        <v>1</v>
      </c>
      <c r="H1292" t="inlineStr">
        <is>
          <t>7/2026</t>
        </is>
      </c>
    </row>
    <row r="1293">
      <c r="A1293" t="inlineStr">
        <is>
          <t>Nuv Gastrobar</t>
        </is>
      </c>
      <c r="B1293" t="inlineStr">
        <is>
          <t>Mão de Obra - Encargos e Provisões</t>
        </is>
      </c>
      <c r="C1293" t="inlineStr">
        <is>
          <t xml:space="preserve">  -  Remuneração Variável</t>
        </is>
      </c>
      <c r="D1293" t="inlineStr">
        <is>
          <t>01/08/2026</t>
        </is>
      </c>
      <c r="E1293" t="n">
        <v>0</v>
      </c>
      <c r="F1293" t="inlineStr">
        <is>
          <t>Fabrica de Bares (2025)</t>
        </is>
      </c>
      <c r="G1293" t="b">
        <v>1</v>
      </c>
      <c r="H1293" t="inlineStr">
        <is>
          <t>8/2026</t>
        </is>
      </c>
    </row>
    <row r="1294">
      <c r="A1294" t="inlineStr">
        <is>
          <t>Nuv Gastrobar</t>
        </is>
      </c>
      <c r="B1294" t="inlineStr">
        <is>
          <t>Mão de Obra - Encargos e Provisões</t>
        </is>
      </c>
      <c r="C1294" t="inlineStr">
        <is>
          <t xml:space="preserve">  -  Remuneração Variável</t>
        </is>
      </c>
      <c r="D1294" t="inlineStr">
        <is>
          <t>01/09/2026</t>
        </is>
      </c>
      <c r="E1294" t="n">
        <v>0</v>
      </c>
      <c r="F1294" t="inlineStr">
        <is>
          <t>Fabrica de Bares (2025)</t>
        </is>
      </c>
      <c r="G1294" t="b">
        <v>1</v>
      </c>
      <c r="H1294" t="inlineStr">
        <is>
          <t>9/2026</t>
        </is>
      </c>
    </row>
    <row r="1295">
      <c r="A1295" t="inlineStr">
        <is>
          <t>Nuv Gastrobar</t>
        </is>
      </c>
      <c r="B1295" t="inlineStr">
        <is>
          <t>Mão de Obra - Encargos e Provisões</t>
        </is>
      </c>
      <c r="C1295" t="inlineStr">
        <is>
          <t xml:space="preserve">  -  Remuneração Variável</t>
        </is>
      </c>
      <c r="D1295" t="inlineStr">
        <is>
          <t>01/10/2026</t>
        </is>
      </c>
      <c r="E1295" t="n">
        <v>0</v>
      </c>
      <c r="F1295" t="inlineStr">
        <is>
          <t>Fabrica de Bares (2025)</t>
        </is>
      </c>
      <c r="G1295" t="b">
        <v>1</v>
      </c>
      <c r="H1295" t="inlineStr">
        <is>
          <t>10/2026</t>
        </is>
      </c>
    </row>
    <row r="1296">
      <c r="A1296" t="inlineStr">
        <is>
          <t>Nuv Gastrobar</t>
        </is>
      </c>
      <c r="B1296" t="inlineStr">
        <is>
          <t>Mão de Obra - Encargos e Provisões</t>
        </is>
      </c>
      <c r="C1296" t="inlineStr">
        <is>
          <t xml:space="preserve">  -  Remuneração Variável</t>
        </is>
      </c>
      <c r="D1296" t="inlineStr">
        <is>
          <t>01/11/2026</t>
        </is>
      </c>
      <c r="E1296" t="n">
        <v>0</v>
      </c>
      <c r="F1296" t="inlineStr">
        <is>
          <t>Fabrica de Bares (2025)</t>
        </is>
      </c>
      <c r="G1296" t="b">
        <v>1</v>
      </c>
      <c r="H1296" t="inlineStr">
        <is>
          <t>11/2026</t>
        </is>
      </c>
    </row>
    <row r="1297">
      <c r="A1297" t="inlineStr">
        <is>
          <t>Nuv Gastrobar</t>
        </is>
      </c>
      <c r="B1297" t="inlineStr">
        <is>
          <t>Mão de Obra - Encargos e Provisões</t>
        </is>
      </c>
      <c r="C1297" t="inlineStr">
        <is>
          <t xml:space="preserve">  -  Remuneração Variável</t>
        </is>
      </c>
      <c r="D1297" t="inlineStr">
        <is>
          <t>01/12/2026</t>
        </is>
      </c>
      <c r="E1297" t="n">
        <v>0</v>
      </c>
      <c r="F1297" t="inlineStr">
        <is>
          <t>Fabrica de Bares (2025)</t>
        </is>
      </c>
      <c r="G1297" t="b">
        <v>1</v>
      </c>
      <c r="H1297" t="inlineStr">
        <is>
          <t>12/2026</t>
        </is>
      </c>
    </row>
    <row r="1298">
      <c r="A1298" t="inlineStr">
        <is>
          <t>Nuv Gastrobar</t>
        </is>
      </c>
      <c r="B1298" t="inlineStr">
        <is>
          <t>Mão de Obra - Encargos e Provisões</t>
        </is>
      </c>
      <c r="C1298" t="inlineStr">
        <is>
          <t xml:space="preserve">  -  Rescisão</t>
        </is>
      </c>
      <c r="D1298" t="inlineStr">
        <is>
          <t>01/01/2026</t>
        </is>
      </c>
      <c r="E1298" t="n">
        <v>0</v>
      </c>
      <c r="F1298" t="inlineStr">
        <is>
          <t>Fabrica de Bares (2025)</t>
        </is>
      </c>
      <c r="G1298" t="b">
        <v>1</v>
      </c>
      <c r="H1298" t="inlineStr">
        <is>
          <t>1/2026</t>
        </is>
      </c>
    </row>
    <row r="1299">
      <c r="A1299" t="inlineStr">
        <is>
          <t>Nuv Gastrobar</t>
        </is>
      </c>
      <c r="B1299" t="inlineStr">
        <is>
          <t>Mão de Obra - Encargos e Provisões</t>
        </is>
      </c>
      <c r="C1299" t="inlineStr">
        <is>
          <t xml:space="preserve">  -  Rescisão</t>
        </is>
      </c>
      <c r="D1299" t="inlineStr">
        <is>
          <t>01/02/2026</t>
        </is>
      </c>
      <c r="E1299" t="n">
        <v>0</v>
      </c>
      <c r="F1299" t="inlineStr">
        <is>
          <t>Fabrica de Bares (2025)</t>
        </is>
      </c>
      <c r="G1299" t="b">
        <v>1</v>
      </c>
      <c r="H1299" t="inlineStr">
        <is>
          <t>2/2026</t>
        </is>
      </c>
    </row>
    <row r="1300">
      <c r="A1300" t="inlineStr">
        <is>
          <t>Nuv Gastrobar</t>
        </is>
      </c>
      <c r="B1300" t="inlineStr">
        <is>
          <t>Mão de Obra - Encargos e Provisões</t>
        </is>
      </c>
      <c r="C1300" t="inlineStr">
        <is>
          <t xml:space="preserve">  -  Rescisão</t>
        </is>
      </c>
      <c r="D1300" t="inlineStr">
        <is>
          <t>01/03/2026</t>
        </is>
      </c>
      <c r="E1300" t="n">
        <v>0</v>
      </c>
      <c r="F1300" t="inlineStr">
        <is>
          <t>Fabrica de Bares (2025)</t>
        </is>
      </c>
      <c r="G1300" t="b">
        <v>1</v>
      </c>
      <c r="H1300" t="inlineStr">
        <is>
          <t>3/2026</t>
        </is>
      </c>
    </row>
    <row r="1301">
      <c r="A1301" t="inlineStr">
        <is>
          <t>Nuv Gastrobar</t>
        </is>
      </c>
      <c r="B1301" t="inlineStr">
        <is>
          <t>Mão de Obra - Encargos e Provisões</t>
        </is>
      </c>
      <c r="C1301" t="inlineStr">
        <is>
          <t xml:space="preserve">  -  Rescisão</t>
        </is>
      </c>
      <c r="D1301" t="inlineStr">
        <is>
          <t>01/04/2026</t>
        </is>
      </c>
      <c r="E1301" t="n">
        <v>0</v>
      </c>
      <c r="F1301" t="inlineStr">
        <is>
          <t>Fabrica de Bares (2025)</t>
        </is>
      </c>
      <c r="G1301" t="b">
        <v>1</v>
      </c>
      <c r="H1301" t="inlineStr">
        <is>
          <t>4/2026</t>
        </is>
      </c>
    </row>
    <row r="1302">
      <c r="A1302" t="inlineStr">
        <is>
          <t>Nuv Gastrobar</t>
        </is>
      </c>
      <c r="B1302" t="inlineStr">
        <is>
          <t>Mão de Obra - Encargos e Provisões</t>
        </is>
      </c>
      <c r="C1302" t="inlineStr">
        <is>
          <t xml:space="preserve">  -  Rescisão</t>
        </is>
      </c>
      <c r="D1302" t="inlineStr">
        <is>
          <t>01/05/2026</t>
        </is>
      </c>
      <c r="E1302" t="n">
        <v>0</v>
      </c>
      <c r="F1302" t="inlineStr">
        <is>
          <t>Fabrica de Bares (2025)</t>
        </is>
      </c>
      <c r="G1302" t="b">
        <v>1</v>
      </c>
      <c r="H1302" t="inlineStr">
        <is>
          <t>5/2026</t>
        </is>
      </c>
    </row>
    <row r="1303">
      <c r="A1303" t="inlineStr">
        <is>
          <t>Nuv Gastrobar</t>
        </is>
      </c>
      <c r="B1303" t="inlineStr">
        <is>
          <t>Mão de Obra - Encargos e Provisões</t>
        </is>
      </c>
      <c r="C1303" t="inlineStr">
        <is>
          <t xml:space="preserve">  -  Rescisão</t>
        </is>
      </c>
      <c r="D1303" t="inlineStr">
        <is>
          <t>01/06/2026</t>
        </is>
      </c>
      <c r="E1303" t="n">
        <v>0</v>
      </c>
      <c r="F1303" t="inlineStr">
        <is>
          <t>Fabrica de Bares (2025)</t>
        </is>
      </c>
      <c r="G1303" t="b">
        <v>1</v>
      </c>
      <c r="H1303" t="inlineStr">
        <is>
          <t>6/2026</t>
        </is>
      </c>
    </row>
    <row r="1304">
      <c r="A1304" t="inlineStr">
        <is>
          <t>Nuv Gastrobar</t>
        </is>
      </c>
      <c r="B1304" t="inlineStr">
        <is>
          <t>Mão de Obra - Encargos e Provisões</t>
        </is>
      </c>
      <c r="C1304" t="inlineStr">
        <is>
          <t xml:space="preserve">  -  Rescisão</t>
        </is>
      </c>
      <c r="D1304" t="inlineStr">
        <is>
          <t>01/07/2026</t>
        </is>
      </c>
      <c r="E1304" t="n">
        <v>0</v>
      </c>
      <c r="F1304" t="inlineStr">
        <is>
          <t>Fabrica de Bares (2025)</t>
        </is>
      </c>
      <c r="G1304" t="b">
        <v>1</v>
      </c>
      <c r="H1304" t="inlineStr">
        <is>
          <t>7/2026</t>
        </is>
      </c>
    </row>
    <row r="1305">
      <c r="A1305" t="inlineStr">
        <is>
          <t>Nuv Gastrobar</t>
        </is>
      </c>
      <c r="B1305" t="inlineStr">
        <is>
          <t>Mão de Obra - Encargos e Provisões</t>
        </is>
      </c>
      <c r="C1305" t="inlineStr">
        <is>
          <t xml:space="preserve">  -  Rescisão</t>
        </is>
      </c>
      <c r="D1305" t="inlineStr">
        <is>
          <t>01/08/2026</t>
        </is>
      </c>
      <c r="E1305" t="n">
        <v>0</v>
      </c>
      <c r="F1305" t="inlineStr">
        <is>
          <t>Fabrica de Bares (2025)</t>
        </is>
      </c>
      <c r="G1305" t="b">
        <v>1</v>
      </c>
      <c r="H1305" t="inlineStr">
        <is>
          <t>8/2026</t>
        </is>
      </c>
    </row>
    <row r="1306">
      <c r="A1306" t="inlineStr">
        <is>
          <t>Nuv Gastrobar</t>
        </is>
      </c>
      <c r="B1306" t="inlineStr">
        <is>
          <t>Mão de Obra - Encargos e Provisões</t>
        </is>
      </c>
      <c r="C1306" t="inlineStr">
        <is>
          <t xml:space="preserve">  -  Rescisão</t>
        </is>
      </c>
      <c r="D1306" t="inlineStr">
        <is>
          <t>01/09/2026</t>
        </is>
      </c>
      <c r="E1306" t="n">
        <v>0</v>
      </c>
      <c r="F1306" t="inlineStr">
        <is>
          <t>Fabrica de Bares (2025)</t>
        </is>
      </c>
      <c r="G1306" t="b">
        <v>1</v>
      </c>
      <c r="H1306" t="inlineStr">
        <is>
          <t>9/2026</t>
        </is>
      </c>
    </row>
    <row r="1307">
      <c r="A1307" t="inlineStr">
        <is>
          <t>Nuv Gastrobar</t>
        </is>
      </c>
      <c r="B1307" t="inlineStr">
        <is>
          <t>Mão de Obra - Encargos e Provisões</t>
        </is>
      </c>
      <c r="C1307" t="inlineStr">
        <is>
          <t xml:space="preserve">  -  Rescisão</t>
        </is>
      </c>
      <c r="D1307" t="inlineStr">
        <is>
          <t>01/10/2026</t>
        </is>
      </c>
      <c r="E1307" t="n">
        <v>0</v>
      </c>
      <c r="F1307" t="inlineStr">
        <is>
          <t>Fabrica de Bares (2025)</t>
        </is>
      </c>
      <c r="G1307" t="b">
        <v>1</v>
      </c>
      <c r="H1307" t="inlineStr">
        <is>
          <t>10/2026</t>
        </is>
      </c>
    </row>
    <row r="1308">
      <c r="A1308" t="inlineStr">
        <is>
          <t>Nuv Gastrobar</t>
        </is>
      </c>
      <c r="B1308" t="inlineStr">
        <is>
          <t>Mão de Obra - Encargos e Provisões</t>
        </is>
      </c>
      <c r="C1308" t="inlineStr">
        <is>
          <t xml:space="preserve">  -  Rescisão</t>
        </is>
      </c>
      <c r="D1308" t="inlineStr">
        <is>
          <t>01/11/2026</t>
        </is>
      </c>
      <c r="E1308" t="n">
        <v>0</v>
      </c>
      <c r="F1308" t="inlineStr">
        <is>
          <t>Fabrica de Bares (2025)</t>
        </is>
      </c>
      <c r="G1308" t="b">
        <v>1</v>
      </c>
      <c r="H1308" t="inlineStr">
        <is>
          <t>11/2026</t>
        </is>
      </c>
    </row>
    <row r="1309">
      <c r="A1309" t="inlineStr">
        <is>
          <t>Nuv Gastrobar</t>
        </is>
      </c>
      <c r="B1309" t="inlineStr">
        <is>
          <t>Mão de Obra - Encargos e Provisões</t>
        </is>
      </c>
      <c r="C1309" t="inlineStr">
        <is>
          <t xml:space="preserve">  -  Rescisão</t>
        </is>
      </c>
      <c r="D1309" t="inlineStr">
        <is>
          <t>01/12/2026</t>
        </is>
      </c>
      <c r="E1309" t="n">
        <v>0</v>
      </c>
      <c r="F1309" t="inlineStr">
        <is>
          <t>Fabrica de Bares (2025)</t>
        </is>
      </c>
      <c r="G1309" t="b">
        <v>1</v>
      </c>
      <c r="H1309" t="inlineStr">
        <is>
          <t>12/2026</t>
        </is>
      </c>
    </row>
    <row r="1310">
      <c r="A1310" t="inlineStr">
        <is>
          <t>Nuv Gastrobar</t>
        </is>
      </c>
      <c r="B1310" t="inlineStr">
        <is>
          <t>Mão de Obra - Extra</t>
        </is>
      </c>
      <c r="C1310" t="inlineStr">
        <is>
          <t>Mão de Obra Extra</t>
        </is>
      </c>
      <c r="D1310" t="inlineStr">
        <is>
          <t>01/01/2026</t>
        </is>
      </c>
      <c r="E1310" t="n">
        <v>0</v>
      </c>
      <c r="F1310" t="inlineStr">
        <is>
          <t>Fabrica de Bares (2025)</t>
        </is>
      </c>
      <c r="G1310" t="b">
        <v>1</v>
      </c>
      <c r="H1310" t="inlineStr">
        <is>
          <t>1/2026</t>
        </is>
      </c>
    </row>
    <row r="1311">
      <c r="A1311" t="inlineStr">
        <is>
          <t>Nuv Gastrobar</t>
        </is>
      </c>
      <c r="B1311" t="inlineStr">
        <is>
          <t>Mão de Obra - Extra</t>
        </is>
      </c>
      <c r="C1311" t="inlineStr">
        <is>
          <t>Mão de Obra Extra</t>
        </is>
      </c>
      <c r="D1311" t="inlineStr">
        <is>
          <t>01/02/2026</t>
        </is>
      </c>
      <c r="E1311" t="n">
        <v>0</v>
      </c>
      <c r="F1311" t="inlineStr">
        <is>
          <t>Fabrica de Bares (2025)</t>
        </is>
      </c>
      <c r="G1311" t="b">
        <v>1</v>
      </c>
      <c r="H1311" t="inlineStr">
        <is>
          <t>2/2026</t>
        </is>
      </c>
    </row>
    <row r="1312">
      <c r="A1312" t="inlineStr">
        <is>
          <t>Nuv Gastrobar</t>
        </is>
      </c>
      <c r="B1312" t="inlineStr">
        <is>
          <t>Mão de Obra - Extra</t>
        </is>
      </c>
      <c r="C1312" t="inlineStr">
        <is>
          <t>Mão de Obra Extra</t>
        </is>
      </c>
      <c r="D1312" t="inlineStr">
        <is>
          <t>01/03/2026</t>
        </is>
      </c>
      <c r="E1312" t="n">
        <v>0</v>
      </c>
      <c r="F1312" t="inlineStr">
        <is>
          <t>Fabrica de Bares (2025)</t>
        </is>
      </c>
      <c r="G1312" t="b">
        <v>1</v>
      </c>
      <c r="H1312" t="inlineStr">
        <is>
          <t>3/2026</t>
        </is>
      </c>
    </row>
    <row r="1313">
      <c r="A1313" t="inlineStr">
        <is>
          <t>Nuv Gastrobar</t>
        </is>
      </c>
      <c r="B1313" t="inlineStr">
        <is>
          <t>Mão de Obra - Extra</t>
        </is>
      </c>
      <c r="C1313" t="inlineStr">
        <is>
          <t>Mão de Obra Extra</t>
        </is>
      </c>
      <c r="D1313" t="inlineStr">
        <is>
          <t>01/04/2026</t>
        </is>
      </c>
      <c r="E1313" t="n">
        <v>0</v>
      </c>
      <c r="F1313" t="inlineStr">
        <is>
          <t>Fabrica de Bares (2025)</t>
        </is>
      </c>
      <c r="G1313" t="b">
        <v>1</v>
      </c>
      <c r="H1313" t="inlineStr">
        <is>
          <t>4/2026</t>
        </is>
      </c>
    </row>
    <row r="1314">
      <c r="A1314" t="inlineStr">
        <is>
          <t>Nuv Gastrobar</t>
        </is>
      </c>
      <c r="B1314" t="inlineStr">
        <is>
          <t>Mão de Obra - Extra</t>
        </is>
      </c>
      <c r="C1314" t="inlineStr">
        <is>
          <t>Mão de Obra Extra</t>
        </is>
      </c>
      <c r="D1314" t="inlineStr">
        <is>
          <t>01/05/2026</t>
        </is>
      </c>
      <c r="E1314" t="n">
        <v>0</v>
      </c>
      <c r="F1314" t="inlineStr">
        <is>
          <t>Fabrica de Bares (2025)</t>
        </is>
      </c>
      <c r="G1314" t="b">
        <v>1</v>
      </c>
      <c r="H1314" t="inlineStr">
        <is>
          <t>5/2026</t>
        </is>
      </c>
    </row>
    <row r="1315">
      <c r="A1315" t="inlineStr">
        <is>
          <t>Nuv Gastrobar</t>
        </is>
      </c>
      <c r="B1315" t="inlineStr">
        <is>
          <t>Mão de Obra - Extra</t>
        </is>
      </c>
      <c r="C1315" t="inlineStr">
        <is>
          <t>Mão de Obra Extra</t>
        </is>
      </c>
      <c r="D1315" t="inlineStr">
        <is>
          <t>01/06/2026</t>
        </is>
      </c>
      <c r="E1315" t="n">
        <v>0</v>
      </c>
      <c r="F1315" t="inlineStr">
        <is>
          <t>Fabrica de Bares (2025)</t>
        </is>
      </c>
      <c r="G1315" t="b">
        <v>1</v>
      </c>
      <c r="H1315" t="inlineStr">
        <is>
          <t>6/2026</t>
        </is>
      </c>
    </row>
    <row r="1316">
      <c r="A1316" t="inlineStr">
        <is>
          <t>Nuv Gastrobar</t>
        </is>
      </c>
      <c r="B1316" t="inlineStr">
        <is>
          <t>Mão de Obra - Extra</t>
        </is>
      </c>
      <c r="C1316" t="inlineStr">
        <is>
          <t>Mão de Obra Extra</t>
        </is>
      </c>
      <c r="D1316" t="inlineStr">
        <is>
          <t>01/07/2026</t>
        </is>
      </c>
      <c r="E1316" t="n">
        <v>0</v>
      </c>
      <c r="F1316" t="inlineStr">
        <is>
          <t>Fabrica de Bares (2025)</t>
        </is>
      </c>
      <c r="G1316" t="b">
        <v>1</v>
      </c>
      <c r="H1316" t="inlineStr">
        <is>
          <t>7/2026</t>
        </is>
      </c>
    </row>
    <row r="1317">
      <c r="A1317" t="inlineStr">
        <is>
          <t>Nuv Gastrobar</t>
        </is>
      </c>
      <c r="B1317" t="inlineStr">
        <is>
          <t>Mão de Obra - Extra</t>
        </is>
      </c>
      <c r="C1317" t="inlineStr">
        <is>
          <t>Mão de Obra Extra</t>
        </is>
      </c>
      <c r="D1317" t="inlineStr">
        <is>
          <t>01/08/2026</t>
        </is>
      </c>
      <c r="E1317" t="n">
        <v>7573.68</v>
      </c>
      <c r="F1317" t="inlineStr">
        <is>
          <t>Fabrica de Bares (2025)</t>
        </is>
      </c>
      <c r="G1317" t="b">
        <v>1</v>
      </c>
      <c r="H1317" t="inlineStr">
        <is>
          <t>8/2026</t>
        </is>
      </c>
    </row>
    <row r="1318">
      <c r="A1318" t="inlineStr">
        <is>
          <t>Nuv Gastrobar</t>
        </is>
      </c>
      <c r="B1318" t="inlineStr">
        <is>
          <t>Mão de Obra - Extra</t>
        </is>
      </c>
      <c r="C1318" t="inlineStr">
        <is>
          <t>Mão de Obra Extra</t>
        </is>
      </c>
      <c r="D1318" t="inlineStr">
        <is>
          <t>01/09/2026</t>
        </is>
      </c>
      <c r="E1318" t="n">
        <v>11788.64</v>
      </c>
      <c r="F1318" t="inlineStr">
        <is>
          <t>Fabrica de Bares (2025)</t>
        </is>
      </c>
      <c r="G1318" t="b">
        <v>1</v>
      </c>
      <c r="H1318" t="inlineStr">
        <is>
          <t>9/2026</t>
        </is>
      </c>
    </row>
    <row r="1319">
      <c r="A1319" t="inlineStr">
        <is>
          <t>Nuv Gastrobar</t>
        </is>
      </c>
      <c r="B1319" t="inlineStr">
        <is>
          <t>Mão de Obra - Extra</t>
        </is>
      </c>
      <c r="C1319" t="inlineStr">
        <is>
          <t>Mão de Obra Extra</t>
        </is>
      </c>
      <c r="D1319" t="inlineStr">
        <is>
          <t>01/10/2026</t>
        </is>
      </c>
      <c r="E1319" t="n">
        <v>13731.44</v>
      </c>
      <c r="F1319" t="inlineStr">
        <is>
          <t>Fabrica de Bares (2025)</t>
        </is>
      </c>
      <c r="G1319" t="b">
        <v>1</v>
      </c>
      <c r="H1319" t="inlineStr">
        <is>
          <t>10/2026</t>
        </is>
      </c>
    </row>
    <row r="1320">
      <c r="A1320" t="inlineStr">
        <is>
          <t>Nuv Gastrobar</t>
        </is>
      </c>
      <c r="B1320" t="inlineStr">
        <is>
          <t>Mão de Obra - Extra</t>
        </is>
      </c>
      <c r="C1320" t="inlineStr">
        <is>
          <t>Mão de Obra Extra</t>
        </is>
      </c>
      <c r="D1320" t="inlineStr">
        <is>
          <t>01/11/2026</t>
        </is>
      </c>
      <c r="E1320" t="n">
        <v>19885.6</v>
      </c>
      <c r="F1320" t="inlineStr">
        <is>
          <t>Fabrica de Bares (2025)</t>
        </is>
      </c>
      <c r="G1320" t="b">
        <v>1</v>
      </c>
      <c r="H1320" t="inlineStr">
        <is>
          <t>11/2026</t>
        </is>
      </c>
    </row>
    <row r="1321">
      <c r="A1321" t="inlineStr">
        <is>
          <t>Nuv Gastrobar</t>
        </is>
      </c>
      <c r="B1321" t="inlineStr">
        <is>
          <t>Mão de Obra - Extra</t>
        </is>
      </c>
      <c r="C1321" t="inlineStr">
        <is>
          <t>Mão de Obra Extra</t>
        </is>
      </c>
      <c r="D1321" t="inlineStr">
        <is>
          <t>01/12/2026</t>
        </is>
      </c>
      <c r="E1321" t="n">
        <v>19672.64</v>
      </c>
      <c r="F1321" t="inlineStr">
        <is>
          <t>Fabrica de Bares (2025)</t>
        </is>
      </c>
      <c r="G1321" t="b">
        <v>1</v>
      </c>
      <c r="H1321" t="inlineStr">
        <is>
          <t>12/2026</t>
        </is>
      </c>
    </row>
    <row r="1322">
      <c r="A1322" t="inlineStr">
        <is>
          <t>Nuv Gastrobar</t>
        </is>
      </c>
      <c r="B1322" t="inlineStr">
        <is>
          <t>Mão de Obra - PJ</t>
        </is>
      </c>
      <c r="C1322" t="inlineStr">
        <is>
          <t>MDO PJ Fixo</t>
        </is>
      </c>
      <c r="D1322" t="inlineStr">
        <is>
          <t>01/01/2026</t>
        </is>
      </c>
      <c r="E1322" t="n">
        <v>0</v>
      </c>
      <c r="F1322" t="inlineStr">
        <is>
          <t>Fabrica de Bares (2025)</t>
        </is>
      </c>
      <c r="G1322" t="b">
        <v>1</v>
      </c>
      <c r="H1322" t="inlineStr">
        <is>
          <t>1/2026</t>
        </is>
      </c>
    </row>
    <row r="1323">
      <c r="A1323" t="inlineStr">
        <is>
          <t>Nuv Gastrobar</t>
        </is>
      </c>
      <c r="B1323" t="inlineStr">
        <is>
          <t>Mão de Obra - PJ</t>
        </is>
      </c>
      <c r="C1323" t="inlineStr">
        <is>
          <t>MDO PJ Fixo</t>
        </is>
      </c>
      <c r="D1323" t="inlineStr">
        <is>
          <t>01/02/2026</t>
        </is>
      </c>
      <c r="E1323" t="n">
        <v>0</v>
      </c>
      <c r="F1323" t="inlineStr">
        <is>
          <t>Fabrica de Bares (2025)</t>
        </is>
      </c>
      <c r="G1323" t="b">
        <v>1</v>
      </c>
      <c r="H1323" t="inlineStr">
        <is>
          <t>2/2026</t>
        </is>
      </c>
    </row>
    <row r="1324">
      <c r="A1324" t="inlineStr">
        <is>
          <t>Nuv Gastrobar</t>
        </is>
      </c>
      <c r="B1324" t="inlineStr">
        <is>
          <t>Mão de Obra - PJ</t>
        </is>
      </c>
      <c r="C1324" t="inlineStr">
        <is>
          <t>MDO PJ Fixo</t>
        </is>
      </c>
      <c r="D1324" t="inlineStr">
        <is>
          <t>01/03/2026</t>
        </is>
      </c>
      <c r="E1324" t="n">
        <v>0</v>
      </c>
      <c r="F1324" t="inlineStr">
        <is>
          <t>Fabrica de Bares (2025)</t>
        </is>
      </c>
      <c r="G1324" t="b">
        <v>1</v>
      </c>
      <c r="H1324" t="inlineStr">
        <is>
          <t>3/2026</t>
        </is>
      </c>
    </row>
    <row r="1325">
      <c r="A1325" t="inlineStr">
        <is>
          <t>Nuv Gastrobar</t>
        </is>
      </c>
      <c r="B1325" t="inlineStr">
        <is>
          <t>Mão de Obra - PJ</t>
        </is>
      </c>
      <c r="C1325" t="inlineStr">
        <is>
          <t>MDO PJ Fixo</t>
        </is>
      </c>
      <c r="D1325" t="inlineStr">
        <is>
          <t>01/04/2026</t>
        </is>
      </c>
      <c r="E1325" t="n">
        <v>0</v>
      </c>
      <c r="F1325" t="inlineStr">
        <is>
          <t>Fabrica de Bares (2025)</t>
        </is>
      </c>
      <c r="G1325" t="b">
        <v>1</v>
      </c>
      <c r="H1325" t="inlineStr">
        <is>
          <t>4/2026</t>
        </is>
      </c>
    </row>
    <row r="1326">
      <c r="A1326" t="inlineStr">
        <is>
          <t>Nuv Gastrobar</t>
        </is>
      </c>
      <c r="B1326" t="inlineStr">
        <is>
          <t>Mão de Obra - PJ</t>
        </is>
      </c>
      <c r="C1326" t="inlineStr">
        <is>
          <t>MDO PJ Fixo</t>
        </is>
      </c>
      <c r="D1326" t="inlineStr">
        <is>
          <t>01/05/2026</t>
        </is>
      </c>
      <c r="E1326" t="n">
        <v>0</v>
      </c>
      <c r="F1326" t="inlineStr">
        <is>
          <t>Fabrica de Bares (2025)</t>
        </is>
      </c>
      <c r="G1326" t="b">
        <v>1</v>
      </c>
      <c r="H1326" t="inlineStr">
        <is>
          <t>5/2026</t>
        </is>
      </c>
    </row>
    <row r="1327">
      <c r="A1327" t="inlineStr">
        <is>
          <t>Nuv Gastrobar</t>
        </is>
      </c>
      <c r="B1327" t="inlineStr">
        <is>
          <t>Mão de Obra - PJ</t>
        </is>
      </c>
      <c r="C1327" t="inlineStr">
        <is>
          <t>MDO PJ Fixo</t>
        </is>
      </c>
      <c r="D1327" t="inlineStr">
        <is>
          <t>01/06/2026</t>
        </is>
      </c>
      <c r="E1327" t="n">
        <v>0</v>
      </c>
      <c r="F1327" t="inlineStr">
        <is>
          <t>Fabrica de Bares (2025)</t>
        </is>
      </c>
      <c r="G1327" t="b">
        <v>1</v>
      </c>
      <c r="H1327" t="inlineStr">
        <is>
          <t>6/2026</t>
        </is>
      </c>
    </row>
    <row r="1328">
      <c r="A1328" t="inlineStr">
        <is>
          <t>Nuv Gastrobar</t>
        </is>
      </c>
      <c r="B1328" t="inlineStr">
        <is>
          <t>Mão de Obra - PJ</t>
        </is>
      </c>
      <c r="C1328" t="inlineStr">
        <is>
          <t>MDO PJ Fixo</t>
        </is>
      </c>
      <c r="D1328" t="inlineStr">
        <is>
          <t>01/07/2026</t>
        </is>
      </c>
      <c r="E1328" t="n">
        <v>0</v>
      </c>
      <c r="F1328" t="inlineStr">
        <is>
          <t>Fabrica de Bares (2025)</t>
        </is>
      </c>
      <c r="G1328" t="b">
        <v>1</v>
      </c>
      <c r="H1328" t="inlineStr">
        <is>
          <t>7/2026</t>
        </is>
      </c>
    </row>
    <row r="1329">
      <c r="A1329" t="inlineStr">
        <is>
          <t>Nuv Gastrobar</t>
        </is>
      </c>
      <c r="B1329" t="inlineStr">
        <is>
          <t>Mão de Obra - PJ</t>
        </is>
      </c>
      <c r="C1329" t="inlineStr">
        <is>
          <t>MDO PJ Fixo</t>
        </is>
      </c>
      <c r="D1329" t="inlineStr">
        <is>
          <t>01/08/2026</t>
        </is>
      </c>
      <c r="E1329" t="n">
        <v>34710</v>
      </c>
      <c r="F1329" t="inlineStr">
        <is>
          <t>Fabrica de Bares (2025)</t>
        </is>
      </c>
      <c r="G1329" t="b">
        <v>1</v>
      </c>
      <c r="H1329" t="inlineStr">
        <is>
          <t>8/2026</t>
        </is>
      </c>
    </row>
    <row r="1330">
      <c r="A1330" t="inlineStr">
        <is>
          <t>Nuv Gastrobar</t>
        </is>
      </c>
      <c r="B1330" t="inlineStr">
        <is>
          <t>Mão de Obra - PJ</t>
        </is>
      </c>
      <c r="C1330" t="inlineStr">
        <is>
          <t>MDO PJ Fixo</t>
        </is>
      </c>
      <c r="D1330" t="inlineStr">
        <is>
          <t>01/09/2026</t>
        </is>
      </c>
      <c r="E1330" t="n">
        <v>34710</v>
      </c>
      <c r="F1330" t="inlineStr">
        <is>
          <t>Fabrica de Bares (2025)</t>
        </is>
      </c>
      <c r="G1330" t="b">
        <v>1</v>
      </c>
      <c r="H1330" t="inlineStr">
        <is>
          <t>9/2026</t>
        </is>
      </c>
    </row>
    <row r="1331">
      <c r="A1331" t="inlineStr">
        <is>
          <t>Nuv Gastrobar</t>
        </is>
      </c>
      <c r="B1331" t="inlineStr">
        <is>
          <t>Mão de Obra - PJ</t>
        </is>
      </c>
      <c r="C1331" t="inlineStr">
        <is>
          <t>MDO PJ Fixo</t>
        </is>
      </c>
      <c r="D1331" t="inlineStr">
        <is>
          <t>01/10/2026</t>
        </is>
      </c>
      <c r="E1331" t="n">
        <v>34710</v>
      </c>
      <c r="F1331" t="inlineStr">
        <is>
          <t>Fabrica de Bares (2025)</t>
        </is>
      </c>
      <c r="G1331" t="b">
        <v>1</v>
      </c>
      <c r="H1331" t="inlineStr">
        <is>
          <t>10/2026</t>
        </is>
      </c>
    </row>
    <row r="1332">
      <c r="A1332" t="inlineStr">
        <is>
          <t>Nuv Gastrobar</t>
        </is>
      </c>
      <c r="B1332" t="inlineStr">
        <is>
          <t>Mão de Obra - PJ</t>
        </is>
      </c>
      <c r="C1332" t="inlineStr">
        <is>
          <t>MDO PJ Fixo</t>
        </is>
      </c>
      <c r="D1332" t="inlineStr">
        <is>
          <t>01/11/2026</t>
        </is>
      </c>
      <c r="E1332" t="n">
        <v>34710</v>
      </c>
      <c r="F1332" t="inlineStr">
        <is>
          <t>Fabrica de Bares (2025)</t>
        </is>
      </c>
      <c r="G1332" t="b">
        <v>1</v>
      </c>
      <c r="H1332" t="inlineStr">
        <is>
          <t>11/2026</t>
        </is>
      </c>
    </row>
    <row r="1333">
      <c r="A1333" t="inlineStr">
        <is>
          <t>Nuv Gastrobar</t>
        </is>
      </c>
      <c r="B1333" t="inlineStr">
        <is>
          <t>Mão de Obra - PJ</t>
        </is>
      </c>
      <c r="C1333" t="inlineStr">
        <is>
          <t>MDO PJ Fixo</t>
        </is>
      </c>
      <c r="D1333" t="inlineStr">
        <is>
          <t>01/12/2026</t>
        </is>
      </c>
      <c r="E1333" t="n">
        <v>34710</v>
      </c>
      <c r="F1333" t="inlineStr">
        <is>
          <t>Fabrica de Bares (2025)</t>
        </is>
      </c>
      <c r="G1333" t="b">
        <v>1</v>
      </c>
      <c r="H1333" t="inlineStr">
        <is>
          <t>12/2026</t>
        </is>
      </c>
    </row>
    <row r="1334">
      <c r="A1334" t="inlineStr">
        <is>
          <t>Nuv Gastrobar</t>
        </is>
      </c>
      <c r="B1334" t="inlineStr">
        <is>
          <t>Mão de Obra - PJ</t>
        </is>
      </c>
      <c r="C1334" t="inlineStr">
        <is>
          <t>MDO Terceirizada - Artístico</t>
        </is>
      </c>
      <c r="D1334" t="inlineStr">
        <is>
          <t>01/01/2026</t>
        </is>
      </c>
      <c r="E1334" t="n">
        <v>0</v>
      </c>
      <c r="F1334" t="inlineStr">
        <is>
          <t>Fabrica de Bares (2025)</t>
        </is>
      </c>
      <c r="G1334" t="b">
        <v>1</v>
      </c>
      <c r="H1334" t="inlineStr">
        <is>
          <t>1/2026</t>
        </is>
      </c>
    </row>
    <row r="1335">
      <c r="A1335" t="inlineStr">
        <is>
          <t>Nuv Gastrobar</t>
        </is>
      </c>
      <c r="B1335" t="inlineStr">
        <is>
          <t>Mão de Obra - PJ</t>
        </is>
      </c>
      <c r="C1335" t="inlineStr">
        <is>
          <t>MDO Terceirizada - Artístico</t>
        </is>
      </c>
      <c r="D1335" t="inlineStr">
        <is>
          <t>01/02/2026</t>
        </is>
      </c>
      <c r="E1335" t="n">
        <v>0</v>
      </c>
      <c r="F1335" t="inlineStr">
        <is>
          <t>Fabrica de Bares (2025)</t>
        </is>
      </c>
      <c r="G1335" t="b">
        <v>1</v>
      </c>
      <c r="H1335" t="inlineStr">
        <is>
          <t>2/2026</t>
        </is>
      </c>
    </row>
    <row r="1336">
      <c r="A1336" t="inlineStr">
        <is>
          <t>Nuv Gastrobar</t>
        </is>
      </c>
      <c r="B1336" t="inlineStr">
        <is>
          <t>Mão de Obra - PJ</t>
        </is>
      </c>
      <c r="C1336" t="inlineStr">
        <is>
          <t>MDO Terceirizada - Artístico</t>
        </is>
      </c>
      <c r="D1336" t="inlineStr">
        <is>
          <t>01/03/2026</t>
        </is>
      </c>
      <c r="E1336" t="n">
        <v>0</v>
      </c>
      <c r="F1336" t="inlineStr">
        <is>
          <t>Fabrica de Bares (2025)</t>
        </is>
      </c>
      <c r="G1336" t="b">
        <v>1</v>
      </c>
      <c r="H1336" t="inlineStr">
        <is>
          <t>3/2026</t>
        </is>
      </c>
    </row>
    <row r="1337">
      <c r="A1337" t="inlineStr">
        <is>
          <t>Nuv Gastrobar</t>
        </is>
      </c>
      <c r="B1337" t="inlineStr">
        <is>
          <t>Mão de Obra - PJ</t>
        </is>
      </c>
      <c r="C1337" t="inlineStr">
        <is>
          <t>MDO Terceirizada - Artístico</t>
        </is>
      </c>
      <c r="D1337" t="inlineStr">
        <is>
          <t>01/04/2026</t>
        </is>
      </c>
      <c r="E1337" t="n">
        <v>0</v>
      </c>
      <c r="F1337" t="inlineStr">
        <is>
          <t>Fabrica de Bares (2025)</t>
        </is>
      </c>
      <c r="G1337" t="b">
        <v>1</v>
      </c>
      <c r="H1337" t="inlineStr">
        <is>
          <t>4/2026</t>
        </is>
      </c>
    </row>
    <row r="1338">
      <c r="A1338" t="inlineStr">
        <is>
          <t>Nuv Gastrobar</t>
        </is>
      </c>
      <c r="B1338" t="inlineStr">
        <is>
          <t>Mão de Obra - PJ</t>
        </is>
      </c>
      <c r="C1338" t="inlineStr">
        <is>
          <t>MDO Terceirizada - Artístico</t>
        </is>
      </c>
      <c r="D1338" t="inlineStr">
        <is>
          <t>01/05/2026</t>
        </is>
      </c>
      <c r="E1338" t="n">
        <v>0</v>
      </c>
      <c r="F1338" t="inlineStr">
        <is>
          <t>Fabrica de Bares (2025)</t>
        </is>
      </c>
      <c r="G1338" t="b">
        <v>1</v>
      </c>
      <c r="H1338" t="inlineStr">
        <is>
          <t>5/2026</t>
        </is>
      </c>
    </row>
    <row r="1339">
      <c r="A1339" t="inlineStr">
        <is>
          <t>Nuv Gastrobar</t>
        </is>
      </c>
      <c r="B1339" t="inlineStr">
        <is>
          <t>Mão de Obra - PJ</t>
        </is>
      </c>
      <c r="C1339" t="inlineStr">
        <is>
          <t>MDO Terceirizada - Artístico</t>
        </is>
      </c>
      <c r="D1339" t="inlineStr">
        <is>
          <t>01/06/2026</t>
        </is>
      </c>
      <c r="E1339" t="n">
        <v>0</v>
      </c>
      <c r="F1339" t="inlineStr">
        <is>
          <t>Fabrica de Bares (2025)</t>
        </is>
      </c>
      <c r="G1339" t="b">
        <v>1</v>
      </c>
      <c r="H1339" t="inlineStr">
        <is>
          <t>6/2026</t>
        </is>
      </c>
    </row>
    <row r="1340">
      <c r="A1340" t="inlineStr">
        <is>
          <t>Nuv Gastrobar</t>
        </is>
      </c>
      <c r="B1340" t="inlineStr">
        <is>
          <t>Mão de Obra - PJ</t>
        </is>
      </c>
      <c r="C1340" t="inlineStr">
        <is>
          <t>MDO Terceirizada - Artístico</t>
        </is>
      </c>
      <c r="D1340" t="inlineStr">
        <is>
          <t>01/07/2026</t>
        </is>
      </c>
      <c r="E1340" t="n">
        <v>0</v>
      </c>
      <c r="F1340" t="inlineStr">
        <is>
          <t>Fabrica de Bares (2025)</t>
        </is>
      </c>
      <c r="G1340" t="b">
        <v>1</v>
      </c>
      <c r="H1340" t="inlineStr">
        <is>
          <t>7/2026</t>
        </is>
      </c>
    </row>
    <row r="1341">
      <c r="A1341" t="inlineStr">
        <is>
          <t>Nuv Gastrobar</t>
        </is>
      </c>
      <c r="B1341" t="inlineStr">
        <is>
          <t>Mão de Obra - PJ</t>
        </is>
      </c>
      <c r="C1341" t="inlineStr">
        <is>
          <t>MDO Terceirizada - Artístico</t>
        </is>
      </c>
      <c r="D1341" t="inlineStr">
        <is>
          <t>01/08/2026</t>
        </is>
      </c>
      <c r="E1341" t="n">
        <v>0</v>
      </c>
      <c r="F1341" t="inlineStr">
        <is>
          <t>Fabrica de Bares (2025)</t>
        </is>
      </c>
      <c r="G1341" t="b">
        <v>1</v>
      </c>
      <c r="H1341" t="inlineStr">
        <is>
          <t>8/2026</t>
        </is>
      </c>
    </row>
    <row r="1342">
      <c r="A1342" t="inlineStr">
        <is>
          <t>Nuv Gastrobar</t>
        </is>
      </c>
      <c r="B1342" t="inlineStr">
        <is>
          <t>Mão de Obra - PJ</t>
        </is>
      </c>
      <c r="C1342" t="inlineStr">
        <is>
          <t>MDO Terceirizada - Artístico</t>
        </is>
      </c>
      <c r="D1342" t="inlineStr">
        <is>
          <t>01/09/2026</t>
        </is>
      </c>
      <c r="E1342" t="n">
        <v>0</v>
      </c>
      <c r="F1342" t="inlineStr">
        <is>
          <t>Fabrica de Bares (2025)</t>
        </is>
      </c>
      <c r="G1342" t="b">
        <v>1</v>
      </c>
      <c r="H1342" t="inlineStr">
        <is>
          <t>9/2026</t>
        </is>
      </c>
    </row>
    <row r="1343">
      <c r="A1343" t="inlineStr">
        <is>
          <t>Nuv Gastrobar</t>
        </is>
      </c>
      <c r="B1343" t="inlineStr">
        <is>
          <t>Mão de Obra - PJ</t>
        </is>
      </c>
      <c r="C1343" t="inlineStr">
        <is>
          <t>MDO Terceirizada - Artístico</t>
        </is>
      </c>
      <c r="D1343" t="inlineStr">
        <is>
          <t>01/10/2026</t>
        </is>
      </c>
      <c r="E1343" t="n">
        <v>0</v>
      </c>
      <c r="F1343" t="inlineStr">
        <is>
          <t>Fabrica de Bares (2025)</t>
        </is>
      </c>
      <c r="G1343" t="b">
        <v>1</v>
      </c>
      <c r="H1343" t="inlineStr">
        <is>
          <t>10/2026</t>
        </is>
      </c>
    </row>
    <row r="1344">
      <c r="A1344" t="inlineStr">
        <is>
          <t>Nuv Gastrobar</t>
        </is>
      </c>
      <c r="B1344" t="inlineStr">
        <is>
          <t>Mão de Obra - PJ</t>
        </is>
      </c>
      <c r="C1344" t="inlineStr">
        <is>
          <t>MDO Terceirizada - Artístico</t>
        </is>
      </c>
      <c r="D1344" t="inlineStr">
        <is>
          <t>01/11/2026</t>
        </is>
      </c>
      <c r="E1344" t="n">
        <v>0</v>
      </c>
      <c r="F1344" t="inlineStr">
        <is>
          <t>Fabrica de Bares (2025)</t>
        </is>
      </c>
      <c r="G1344" t="b">
        <v>1</v>
      </c>
      <c r="H1344" t="inlineStr">
        <is>
          <t>11/2026</t>
        </is>
      </c>
    </row>
    <row r="1345">
      <c r="A1345" t="inlineStr">
        <is>
          <t>Nuv Gastrobar</t>
        </is>
      </c>
      <c r="B1345" t="inlineStr">
        <is>
          <t>Mão de Obra - PJ</t>
        </is>
      </c>
      <c r="C1345" t="inlineStr">
        <is>
          <t>MDO Terceirizada - Artístico</t>
        </is>
      </c>
      <c r="D1345" t="inlineStr">
        <is>
          <t>01/12/2026</t>
        </is>
      </c>
      <c r="E1345" t="n">
        <v>0</v>
      </c>
      <c r="F1345" t="inlineStr">
        <is>
          <t>Fabrica de Bares (2025)</t>
        </is>
      </c>
      <c r="G1345" t="b">
        <v>1</v>
      </c>
      <c r="H1345" t="inlineStr">
        <is>
          <t>12/2026</t>
        </is>
      </c>
    </row>
    <row r="1346">
      <c r="A1346" t="inlineStr">
        <is>
          <t>Nuv Gastrobar</t>
        </is>
      </c>
      <c r="B1346" t="inlineStr">
        <is>
          <t>Mão de Obra - PJ</t>
        </is>
      </c>
      <c r="C1346" t="inlineStr">
        <is>
          <t>MDO Terceirizada - Eventos</t>
        </is>
      </c>
      <c r="D1346" t="inlineStr">
        <is>
          <t>01/01/2026</t>
        </is>
      </c>
      <c r="E1346" t="n">
        <v>0</v>
      </c>
      <c r="F1346" t="inlineStr">
        <is>
          <t>Fabrica de Bares (2025)</t>
        </is>
      </c>
      <c r="G1346" t="b">
        <v>1</v>
      </c>
      <c r="H1346" t="inlineStr">
        <is>
          <t>1/2026</t>
        </is>
      </c>
    </row>
    <row r="1347">
      <c r="A1347" t="inlineStr">
        <is>
          <t>Nuv Gastrobar</t>
        </is>
      </c>
      <c r="B1347" t="inlineStr">
        <is>
          <t>Mão de Obra - PJ</t>
        </is>
      </c>
      <c r="C1347" t="inlineStr">
        <is>
          <t>MDO Terceirizada - Eventos</t>
        </is>
      </c>
      <c r="D1347" t="inlineStr">
        <is>
          <t>01/02/2026</t>
        </is>
      </c>
      <c r="E1347" t="n">
        <v>0</v>
      </c>
      <c r="F1347" t="inlineStr">
        <is>
          <t>Fabrica de Bares (2025)</t>
        </is>
      </c>
      <c r="G1347" t="b">
        <v>1</v>
      </c>
      <c r="H1347" t="inlineStr">
        <is>
          <t>2/2026</t>
        </is>
      </c>
    </row>
    <row r="1348">
      <c r="A1348" t="inlineStr">
        <is>
          <t>Nuv Gastrobar</t>
        </is>
      </c>
      <c r="B1348" t="inlineStr">
        <is>
          <t>Mão de Obra - PJ</t>
        </is>
      </c>
      <c r="C1348" t="inlineStr">
        <is>
          <t>MDO Terceirizada - Eventos</t>
        </is>
      </c>
      <c r="D1348" t="inlineStr">
        <is>
          <t>01/03/2026</t>
        </is>
      </c>
      <c r="E1348" t="n">
        <v>0</v>
      </c>
      <c r="F1348" t="inlineStr">
        <is>
          <t>Fabrica de Bares (2025)</t>
        </is>
      </c>
      <c r="G1348" t="b">
        <v>1</v>
      </c>
      <c r="H1348" t="inlineStr">
        <is>
          <t>3/2026</t>
        </is>
      </c>
    </row>
    <row r="1349">
      <c r="A1349" t="inlineStr">
        <is>
          <t>Nuv Gastrobar</t>
        </is>
      </c>
      <c r="B1349" t="inlineStr">
        <is>
          <t>Mão de Obra - PJ</t>
        </is>
      </c>
      <c r="C1349" t="inlineStr">
        <is>
          <t>MDO Terceirizada - Eventos</t>
        </is>
      </c>
      <c r="D1349" t="inlineStr">
        <is>
          <t>01/04/2026</t>
        </is>
      </c>
      <c r="E1349" t="n">
        <v>0</v>
      </c>
      <c r="F1349" t="inlineStr">
        <is>
          <t>Fabrica de Bares (2025)</t>
        </is>
      </c>
      <c r="G1349" t="b">
        <v>1</v>
      </c>
      <c r="H1349" t="inlineStr">
        <is>
          <t>4/2026</t>
        </is>
      </c>
    </row>
    <row r="1350">
      <c r="A1350" t="inlineStr">
        <is>
          <t>Nuv Gastrobar</t>
        </is>
      </c>
      <c r="B1350" t="inlineStr">
        <is>
          <t>Mão de Obra - PJ</t>
        </is>
      </c>
      <c r="C1350" t="inlineStr">
        <is>
          <t>MDO Terceirizada - Eventos</t>
        </is>
      </c>
      <c r="D1350" t="inlineStr">
        <is>
          <t>01/05/2026</t>
        </is>
      </c>
      <c r="E1350" t="n">
        <v>0</v>
      </c>
      <c r="F1350" t="inlineStr">
        <is>
          <t>Fabrica de Bares (2025)</t>
        </is>
      </c>
      <c r="G1350" t="b">
        <v>1</v>
      </c>
      <c r="H1350" t="inlineStr">
        <is>
          <t>5/2026</t>
        </is>
      </c>
    </row>
    <row r="1351">
      <c r="A1351" t="inlineStr">
        <is>
          <t>Nuv Gastrobar</t>
        </is>
      </c>
      <c r="B1351" t="inlineStr">
        <is>
          <t>Mão de Obra - PJ</t>
        </is>
      </c>
      <c r="C1351" t="inlineStr">
        <is>
          <t>MDO Terceirizada - Eventos</t>
        </is>
      </c>
      <c r="D1351" t="inlineStr">
        <is>
          <t>01/06/2026</t>
        </is>
      </c>
      <c r="E1351" t="n">
        <v>0</v>
      </c>
      <c r="F1351" t="inlineStr">
        <is>
          <t>Fabrica de Bares (2025)</t>
        </is>
      </c>
      <c r="G1351" t="b">
        <v>1</v>
      </c>
      <c r="H1351" t="inlineStr">
        <is>
          <t>6/2026</t>
        </is>
      </c>
    </row>
    <row r="1352">
      <c r="A1352" t="inlineStr">
        <is>
          <t>Nuv Gastrobar</t>
        </is>
      </c>
      <c r="B1352" t="inlineStr">
        <is>
          <t>Mão de Obra - PJ</t>
        </is>
      </c>
      <c r="C1352" t="inlineStr">
        <is>
          <t>MDO Terceirizada - Eventos</t>
        </is>
      </c>
      <c r="D1352" t="inlineStr">
        <is>
          <t>01/07/2026</t>
        </is>
      </c>
      <c r="E1352" t="n">
        <v>0</v>
      </c>
      <c r="F1352" t="inlineStr">
        <is>
          <t>Fabrica de Bares (2025)</t>
        </is>
      </c>
      <c r="G1352" t="b">
        <v>1</v>
      </c>
      <c r="H1352" t="inlineStr">
        <is>
          <t>7/2026</t>
        </is>
      </c>
    </row>
    <row r="1353">
      <c r="A1353" t="inlineStr">
        <is>
          <t>Nuv Gastrobar</t>
        </is>
      </c>
      <c r="B1353" t="inlineStr">
        <is>
          <t>Mão de Obra - PJ</t>
        </is>
      </c>
      <c r="C1353" t="inlineStr">
        <is>
          <t>MDO Terceirizada - Eventos</t>
        </is>
      </c>
      <c r="D1353" t="inlineStr">
        <is>
          <t>01/08/2026</t>
        </is>
      </c>
      <c r="E1353" t="n">
        <v>4000</v>
      </c>
      <c r="F1353" t="inlineStr">
        <is>
          <t>Fabrica de Bares (2025)</t>
        </is>
      </c>
      <c r="G1353" t="b">
        <v>1</v>
      </c>
      <c r="H1353" t="inlineStr">
        <is>
          <t>8/2026</t>
        </is>
      </c>
    </row>
    <row r="1354">
      <c r="A1354" t="inlineStr">
        <is>
          <t>Nuv Gastrobar</t>
        </is>
      </c>
      <c r="B1354" t="inlineStr">
        <is>
          <t>Mão de Obra - PJ</t>
        </is>
      </c>
      <c r="C1354" t="inlineStr">
        <is>
          <t>MDO Terceirizada - Eventos</t>
        </is>
      </c>
      <c r="D1354" t="inlineStr">
        <is>
          <t>01/09/2026</t>
        </is>
      </c>
      <c r="E1354" t="n">
        <v>4000</v>
      </c>
      <c r="F1354" t="inlineStr">
        <is>
          <t>Fabrica de Bares (2025)</t>
        </is>
      </c>
      <c r="G1354" t="b">
        <v>1</v>
      </c>
      <c r="H1354" t="inlineStr">
        <is>
          <t>9/2026</t>
        </is>
      </c>
    </row>
    <row r="1355">
      <c r="A1355" t="inlineStr">
        <is>
          <t>Nuv Gastrobar</t>
        </is>
      </c>
      <c r="B1355" t="inlineStr">
        <is>
          <t>Mão de Obra - PJ</t>
        </is>
      </c>
      <c r="C1355" t="inlineStr">
        <is>
          <t>MDO Terceirizada - Eventos</t>
        </is>
      </c>
      <c r="D1355" t="inlineStr">
        <is>
          <t>01/10/2026</t>
        </is>
      </c>
      <c r="E1355" t="n">
        <v>4000</v>
      </c>
      <c r="F1355" t="inlineStr">
        <is>
          <t>Fabrica de Bares (2025)</t>
        </is>
      </c>
      <c r="G1355" t="b">
        <v>1</v>
      </c>
      <c r="H1355" t="inlineStr">
        <is>
          <t>10/2026</t>
        </is>
      </c>
    </row>
    <row r="1356">
      <c r="A1356" t="inlineStr">
        <is>
          <t>Nuv Gastrobar</t>
        </is>
      </c>
      <c r="B1356" t="inlineStr">
        <is>
          <t>Mão de Obra - PJ</t>
        </is>
      </c>
      <c r="C1356" t="inlineStr">
        <is>
          <t>MDO Terceirizada - Eventos</t>
        </is>
      </c>
      <c r="D1356" t="inlineStr">
        <is>
          <t>01/11/2026</t>
        </is>
      </c>
      <c r="E1356" t="n">
        <v>4000</v>
      </c>
      <c r="F1356" t="inlineStr">
        <is>
          <t>Fabrica de Bares (2025)</t>
        </is>
      </c>
      <c r="G1356" t="b">
        <v>1</v>
      </c>
      <c r="H1356" t="inlineStr">
        <is>
          <t>11/2026</t>
        </is>
      </c>
    </row>
    <row r="1357">
      <c r="A1357" t="inlineStr">
        <is>
          <t>Nuv Gastrobar</t>
        </is>
      </c>
      <c r="B1357" t="inlineStr">
        <is>
          <t>Mão de Obra - PJ</t>
        </is>
      </c>
      <c r="C1357" t="inlineStr">
        <is>
          <t>MDO Terceirizada - Eventos</t>
        </is>
      </c>
      <c r="D1357" t="inlineStr">
        <is>
          <t>01/12/2026</t>
        </is>
      </c>
      <c r="E1357" t="n">
        <v>4000</v>
      </c>
      <c r="F1357" t="inlineStr">
        <is>
          <t>Fabrica de Bares (2025)</t>
        </is>
      </c>
      <c r="G1357" t="b">
        <v>1</v>
      </c>
      <c r="H1357" t="inlineStr">
        <is>
          <t>12/2026</t>
        </is>
      </c>
    </row>
    <row r="1358">
      <c r="A1358" t="inlineStr">
        <is>
          <t>Nuv Gastrobar</t>
        </is>
      </c>
      <c r="B1358" t="inlineStr">
        <is>
          <t>Mão de Obra - Pro Labores</t>
        </is>
      </c>
      <c r="C1358" t="inlineStr">
        <is>
          <t xml:space="preserve">  -  Pro Labore</t>
        </is>
      </c>
      <c r="D1358" t="inlineStr">
        <is>
          <t>01/01/2026</t>
        </is>
      </c>
      <c r="E1358" t="n">
        <v>0</v>
      </c>
      <c r="F1358" t="inlineStr">
        <is>
          <t>Fabrica de Bares (2025)</t>
        </is>
      </c>
      <c r="G1358" t="b">
        <v>1</v>
      </c>
      <c r="H1358" t="inlineStr">
        <is>
          <t>1/2026</t>
        </is>
      </c>
    </row>
    <row r="1359">
      <c r="A1359" t="inlineStr">
        <is>
          <t>Nuv Gastrobar</t>
        </is>
      </c>
      <c r="B1359" t="inlineStr">
        <is>
          <t>Mão de Obra - Pro Labores</t>
        </is>
      </c>
      <c r="C1359" t="inlineStr">
        <is>
          <t xml:space="preserve">  -  Pro Labore</t>
        </is>
      </c>
      <c r="D1359" t="inlineStr">
        <is>
          <t>01/02/2026</t>
        </is>
      </c>
      <c r="E1359" t="n">
        <v>0</v>
      </c>
      <c r="F1359" t="inlineStr">
        <is>
          <t>Fabrica de Bares (2025)</t>
        </is>
      </c>
      <c r="G1359" t="b">
        <v>1</v>
      </c>
      <c r="H1359" t="inlineStr">
        <is>
          <t>2/2026</t>
        </is>
      </c>
    </row>
    <row r="1360">
      <c r="A1360" t="inlineStr">
        <is>
          <t>Nuv Gastrobar</t>
        </is>
      </c>
      <c r="B1360" t="inlineStr">
        <is>
          <t>Mão de Obra - Pro Labores</t>
        </is>
      </c>
      <c r="C1360" t="inlineStr">
        <is>
          <t xml:space="preserve">  -  Pro Labore</t>
        </is>
      </c>
      <c r="D1360" t="inlineStr">
        <is>
          <t>01/03/2026</t>
        </is>
      </c>
      <c r="E1360" t="n">
        <v>0</v>
      </c>
      <c r="F1360" t="inlineStr">
        <is>
          <t>Fabrica de Bares (2025)</t>
        </is>
      </c>
      <c r="G1360" t="b">
        <v>1</v>
      </c>
      <c r="H1360" t="inlineStr">
        <is>
          <t>3/2026</t>
        </is>
      </c>
    </row>
    <row r="1361">
      <c r="A1361" t="inlineStr">
        <is>
          <t>Nuv Gastrobar</t>
        </is>
      </c>
      <c r="B1361" t="inlineStr">
        <is>
          <t>Mão de Obra - Pro Labores</t>
        </is>
      </c>
      <c r="C1361" t="inlineStr">
        <is>
          <t xml:space="preserve">  -  Pro Labore</t>
        </is>
      </c>
      <c r="D1361" t="inlineStr">
        <is>
          <t>01/04/2026</t>
        </is>
      </c>
      <c r="E1361" t="n">
        <v>0</v>
      </c>
      <c r="F1361" t="inlineStr">
        <is>
          <t>Fabrica de Bares (2025)</t>
        </is>
      </c>
      <c r="G1361" t="b">
        <v>1</v>
      </c>
      <c r="H1361" t="inlineStr">
        <is>
          <t>4/2026</t>
        </is>
      </c>
    </row>
    <row r="1362">
      <c r="A1362" t="inlineStr">
        <is>
          <t>Nuv Gastrobar</t>
        </is>
      </c>
      <c r="B1362" t="inlineStr">
        <is>
          <t>Mão de Obra - Pro Labores</t>
        </is>
      </c>
      <c r="C1362" t="inlineStr">
        <is>
          <t xml:space="preserve">  -  Pro Labore</t>
        </is>
      </c>
      <c r="D1362" t="inlineStr">
        <is>
          <t>01/05/2026</t>
        </is>
      </c>
      <c r="E1362" t="n">
        <v>0</v>
      </c>
      <c r="F1362" t="inlineStr">
        <is>
          <t>Fabrica de Bares (2025)</t>
        </is>
      </c>
      <c r="G1362" t="b">
        <v>1</v>
      </c>
      <c r="H1362" t="inlineStr">
        <is>
          <t>5/2026</t>
        </is>
      </c>
    </row>
    <row r="1363">
      <c r="A1363" t="inlineStr">
        <is>
          <t>Nuv Gastrobar</t>
        </is>
      </c>
      <c r="B1363" t="inlineStr">
        <is>
          <t>Mão de Obra - Pro Labores</t>
        </is>
      </c>
      <c r="C1363" t="inlineStr">
        <is>
          <t xml:space="preserve">  -  Pro Labore</t>
        </is>
      </c>
      <c r="D1363" t="inlineStr">
        <is>
          <t>01/06/2026</t>
        </is>
      </c>
      <c r="E1363" t="n">
        <v>0</v>
      </c>
      <c r="F1363" t="inlineStr">
        <is>
          <t>Fabrica de Bares (2025)</t>
        </is>
      </c>
      <c r="G1363" t="b">
        <v>1</v>
      </c>
      <c r="H1363" t="inlineStr">
        <is>
          <t>6/2026</t>
        </is>
      </c>
    </row>
    <row r="1364">
      <c r="A1364" t="inlineStr">
        <is>
          <t>Nuv Gastrobar</t>
        </is>
      </c>
      <c r="B1364" t="inlineStr">
        <is>
          <t>Mão de Obra - Pro Labores</t>
        </is>
      </c>
      <c r="C1364" t="inlineStr">
        <is>
          <t xml:space="preserve">  -  Pro Labore</t>
        </is>
      </c>
      <c r="D1364" t="inlineStr">
        <is>
          <t>01/07/2026</t>
        </is>
      </c>
      <c r="E1364" t="n">
        <v>0</v>
      </c>
      <c r="F1364" t="inlineStr">
        <is>
          <t>Fabrica de Bares (2025)</t>
        </is>
      </c>
      <c r="G1364" t="b">
        <v>1</v>
      </c>
      <c r="H1364" t="inlineStr">
        <is>
          <t>7/2026</t>
        </is>
      </c>
    </row>
    <row r="1365">
      <c r="A1365" t="inlineStr">
        <is>
          <t>Nuv Gastrobar</t>
        </is>
      </c>
      <c r="B1365" t="inlineStr">
        <is>
          <t>Mão de Obra - Pro Labores</t>
        </is>
      </c>
      <c r="C1365" t="inlineStr">
        <is>
          <t xml:space="preserve">  -  Pro Labore</t>
        </is>
      </c>
      <c r="D1365" t="inlineStr">
        <is>
          <t>01/08/2026</t>
        </is>
      </c>
      <c r="E1365" t="n">
        <v>0</v>
      </c>
      <c r="F1365" t="inlineStr">
        <is>
          <t>Fabrica de Bares (2025)</t>
        </is>
      </c>
      <c r="G1365" t="b">
        <v>1</v>
      </c>
      <c r="H1365" t="inlineStr">
        <is>
          <t>8/2026</t>
        </is>
      </c>
    </row>
    <row r="1366">
      <c r="A1366" t="inlineStr">
        <is>
          <t>Nuv Gastrobar</t>
        </is>
      </c>
      <c r="B1366" t="inlineStr">
        <is>
          <t>Mão de Obra - Pro Labores</t>
        </is>
      </c>
      <c r="C1366" t="inlineStr">
        <is>
          <t xml:space="preserve">  -  Pro Labore</t>
        </is>
      </c>
      <c r="D1366" t="inlineStr">
        <is>
          <t>01/09/2026</t>
        </is>
      </c>
      <c r="E1366" t="n">
        <v>0</v>
      </c>
      <c r="F1366" t="inlineStr">
        <is>
          <t>Fabrica de Bares (2025)</t>
        </is>
      </c>
      <c r="G1366" t="b">
        <v>1</v>
      </c>
      <c r="H1366" t="inlineStr">
        <is>
          <t>9/2026</t>
        </is>
      </c>
    </row>
    <row r="1367">
      <c r="A1367" t="inlineStr">
        <is>
          <t>Nuv Gastrobar</t>
        </is>
      </c>
      <c r="B1367" t="inlineStr">
        <is>
          <t>Mão de Obra - Pro Labores</t>
        </is>
      </c>
      <c r="C1367" t="inlineStr">
        <is>
          <t xml:space="preserve">  -  Pro Labore</t>
        </is>
      </c>
      <c r="D1367" t="inlineStr">
        <is>
          <t>01/10/2026</t>
        </is>
      </c>
      <c r="E1367" t="n">
        <v>0</v>
      </c>
      <c r="F1367" t="inlineStr">
        <is>
          <t>Fabrica de Bares (2025)</t>
        </is>
      </c>
      <c r="G1367" t="b">
        <v>1</v>
      </c>
      <c r="H1367" t="inlineStr">
        <is>
          <t>10/2026</t>
        </is>
      </c>
    </row>
    <row r="1368">
      <c r="A1368" t="inlineStr">
        <is>
          <t>Nuv Gastrobar</t>
        </is>
      </c>
      <c r="B1368" t="inlineStr">
        <is>
          <t>Mão de Obra - Pro Labores</t>
        </is>
      </c>
      <c r="C1368" t="inlineStr">
        <is>
          <t xml:space="preserve">  -  Pro Labore</t>
        </is>
      </c>
      <c r="D1368" t="inlineStr">
        <is>
          <t>01/11/2026</t>
        </is>
      </c>
      <c r="E1368" t="n">
        <v>0</v>
      </c>
      <c r="F1368" t="inlineStr">
        <is>
          <t>Fabrica de Bares (2025)</t>
        </is>
      </c>
      <c r="G1368" t="b">
        <v>1</v>
      </c>
      <c r="H1368" t="inlineStr">
        <is>
          <t>11/2026</t>
        </is>
      </c>
    </row>
    <row r="1369">
      <c r="A1369" t="inlineStr">
        <is>
          <t>Nuv Gastrobar</t>
        </is>
      </c>
      <c r="B1369" t="inlineStr">
        <is>
          <t>Mão de Obra - Pro Labores</t>
        </is>
      </c>
      <c r="C1369" t="inlineStr">
        <is>
          <t xml:space="preserve">  -  Pro Labore</t>
        </is>
      </c>
      <c r="D1369" t="inlineStr">
        <is>
          <t>01/12/2026</t>
        </is>
      </c>
      <c r="E1369" t="n">
        <v>0</v>
      </c>
      <c r="F1369" t="inlineStr">
        <is>
          <t>Fabrica de Bares (2025)</t>
        </is>
      </c>
      <c r="G1369" t="b">
        <v>1</v>
      </c>
      <c r="H1369" t="inlineStr">
        <is>
          <t>12/2026</t>
        </is>
      </c>
    </row>
    <row r="1370">
      <c r="A1370" t="inlineStr">
        <is>
          <t>Nuv Gastrobar</t>
        </is>
      </c>
      <c r="B1370" t="inlineStr">
        <is>
          <t>Mão de Obra - Salários</t>
        </is>
      </c>
      <c r="C1370" t="inlineStr">
        <is>
          <t>MDO CLT - Salário</t>
        </is>
      </c>
      <c r="D1370" t="inlineStr">
        <is>
          <t>01/01/2026</t>
        </is>
      </c>
      <c r="E1370" t="n">
        <v>0</v>
      </c>
      <c r="F1370" t="inlineStr">
        <is>
          <t>Fabrica de Bares (2025)</t>
        </is>
      </c>
      <c r="G1370" t="b">
        <v>1</v>
      </c>
      <c r="H1370" t="inlineStr">
        <is>
          <t>1/2026</t>
        </is>
      </c>
    </row>
    <row r="1371">
      <c r="A1371" t="inlineStr">
        <is>
          <t>Nuv Gastrobar</t>
        </is>
      </c>
      <c r="B1371" t="inlineStr">
        <is>
          <t>Mão de Obra - Salários</t>
        </is>
      </c>
      <c r="C1371" t="inlineStr">
        <is>
          <t>MDO CLT - Salário</t>
        </is>
      </c>
      <c r="D1371" t="inlineStr">
        <is>
          <t>01/02/2026</t>
        </is>
      </c>
      <c r="E1371" t="n">
        <v>0</v>
      </c>
      <c r="F1371" t="inlineStr">
        <is>
          <t>Fabrica de Bares (2025)</t>
        </is>
      </c>
      <c r="G1371" t="b">
        <v>1</v>
      </c>
      <c r="H1371" t="inlineStr">
        <is>
          <t>2/2026</t>
        </is>
      </c>
    </row>
    <row r="1372">
      <c r="A1372" t="inlineStr">
        <is>
          <t>Nuv Gastrobar</t>
        </is>
      </c>
      <c r="B1372" t="inlineStr">
        <is>
          <t>Mão de Obra - Salários</t>
        </is>
      </c>
      <c r="C1372" t="inlineStr">
        <is>
          <t>MDO CLT - Salário</t>
        </is>
      </c>
      <c r="D1372" t="inlineStr">
        <is>
          <t>01/03/2026</t>
        </is>
      </c>
      <c r="E1372" t="n">
        <v>0</v>
      </c>
      <c r="F1372" t="inlineStr">
        <is>
          <t>Fabrica de Bares (2025)</t>
        </is>
      </c>
      <c r="G1372" t="b">
        <v>1</v>
      </c>
      <c r="H1372" t="inlineStr">
        <is>
          <t>3/2026</t>
        </is>
      </c>
    </row>
    <row r="1373">
      <c r="A1373" t="inlineStr">
        <is>
          <t>Nuv Gastrobar</t>
        </is>
      </c>
      <c r="B1373" t="inlineStr">
        <is>
          <t>Mão de Obra - Salários</t>
        </is>
      </c>
      <c r="C1373" t="inlineStr">
        <is>
          <t>MDO CLT - Salário</t>
        </is>
      </c>
      <c r="D1373" t="inlineStr">
        <is>
          <t>01/04/2026</t>
        </is>
      </c>
      <c r="E1373" t="n">
        <v>0</v>
      </c>
      <c r="F1373" t="inlineStr">
        <is>
          <t>Fabrica de Bares (2025)</t>
        </is>
      </c>
      <c r="G1373" t="b">
        <v>1</v>
      </c>
      <c r="H1373" t="inlineStr">
        <is>
          <t>4/2026</t>
        </is>
      </c>
    </row>
    <row r="1374">
      <c r="A1374" t="inlineStr">
        <is>
          <t>Nuv Gastrobar</t>
        </is>
      </c>
      <c r="B1374" t="inlineStr">
        <is>
          <t>Mão de Obra - Salários</t>
        </is>
      </c>
      <c r="C1374" t="inlineStr">
        <is>
          <t>MDO CLT - Salário</t>
        </is>
      </c>
      <c r="D1374" t="inlineStr">
        <is>
          <t>01/05/2026</t>
        </is>
      </c>
      <c r="E1374" t="n">
        <v>0</v>
      </c>
      <c r="F1374" t="inlineStr">
        <is>
          <t>Fabrica de Bares (2025)</t>
        </is>
      </c>
      <c r="G1374" t="b">
        <v>1</v>
      </c>
      <c r="H1374" t="inlineStr">
        <is>
          <t>5/2026</t>
        </is>
      </c>
    </row>
    <row r="1375">
      <c r="A1375" t="inlineStr">
        <is>
          <t>Nuv Gastrobar</t>
        </is>
      </c>
      <c r="B1375" t="inlineStr">
        <is>
          <t>Mão de Obra - Salários</t>
        </is>
      </c>
      <c r="C1375" t="inlineStr">
        <is>
          <t>MDO CLT - Salário</t>
        </is>
      </c>
      <c r="D1375" t="inlineStr">
        <is>
          <t>01/06/2026</t>
        </is>
      </c>
      <c r="E1375" t="n">
        <v>0</v>
      </c>
      <c r="F1375" t="inlineStr">
        <is>
          <t>Fabrica de Bares (2025)</t>
        </is>
      </c>
      <c r="G1375" t="b">
        <v>1</v>
      </c>
      <c r="H1375" t="inlineStr">
        <is>
          <t>6/2026</t>
        </is>
      </c>
    </row>
    <row r="1376">
      <c r="A1376" t="inlineStr">
        <is>
          <t>Nuv Gastrobar</t>
        </is>
      </c>
      <c r="B1376" t="inlineStr">
        <is>
          <t>Mão de Obra - Salários</t>
        </is>
      </c>
      <c r="C1376" t="inlineStr">
        <is>
          <t>MDO CLT - Salário</t>
        </is>
      </c>
      <c r="D1376" t="inlineStr">
        <is>
          <t>01/07/2026</t>
        </is>
      </c>
      <c r="E1376" t="n">
        <v>0</v>
      </c>
      <c r="F1376" t="inlineStr">
        <is>
          <t>Fabrica de Bares (2025)</t>
        </is>
      </c>
      <c r="G1376" t="b">
        <v>1</v>
      </c>
      <c r="H1376" t="inlineStr">
        <is>
          <t>7/2026</t>
        </is>
      </c>
    </row>
    <row r="1377">
      <c r="A1377" t="inlineStr">
        <is>
          <t>Nuv Gastrobar</t>
        </is>
      </c>
      <c r="B1377" t="inlineStr">
        <is>
          <t>Mão de Obra - Salários</t>
        </is>
      </c>
      <c r="C1377" t="inlineStr">
        <is>
          <t>MDO CLT - Salário</t>
        </is>
      </c>
      <c r="D1377" t="inlineStr">
        <is>
          <t>01/08/2026</t>
        </is>
      </c>
      <c r="E1377" t="n">
        <v>57980.96</v>
      </c>
      <c r="F1377" t="inlineStr">
        <is>
          <t>Fabrica de Bares (2025)</t>
        </is>
      </c>
      <c r="G1377" t="b">
        <v>1</v>
      </c>
      <c r="H1377" t="inlineStr">
        <is>
          <t>8/2026</t>
        </is>
      </c>
    </row>
    <row r="1378">
      <c r="A1378" t="inlineStr">
        <is>
          <t>Nuv Gastrobar</t>
        </is>
      </c>
      <c r="B1378" t="inlineStr">
        <is>
          <t>Mão de Obra - Salários</t>
        </is>
      </c>
      <c r="C1378" t="inlineStr">
        <is>
          <t>MDO CLT - Salário</t>
        </is>
      </c>
      <c r="D1378" t="inlineStr">
        <is>
          <t>01/09/2026</t>
        </is>
      </c>
      <c r="E1378" t="n">
        <v>57980.96</v>
      </c>
      <c r="F1378" t="inlineStr">
        <is>
          <t>Fabrica de Bares (2025)</t>
        </is>
      </c>
      <c r="G1378" t="b">
        <v>1</v>
      </c>
      <c r="H1378" t="inlineStr">
        <is>
          <t>9/2026</t>
        </is>
      </c>
    </row>
    <row r="1379">
      <c r="A1379" t="inlineStr">
        <is>
          <t>Nuv Gastrobar</t>
        </is>
      </c>
      <c r="B1379" t="inlineStr">
        <is>
          <t>Mão de Obra - Salários</t>
        </is>
      </c>
      <c r="C1379" t="inlineStr">
        <is>
          <t>MDO CLT - Salário</t>
        </is>
      </c>
      <c r="D1379" t="inlineStr">
        <is>
          <t>01/10/2026</t>
        </is>
      </c>
      <c r="E1379" t="n">
        <v>57980.96</v>
      </c>
      <c r="F1379" t="inlineStr">
        <is>
          <t>Fabrica de Bares (2025)</t>
        </is>
      </c>
      <c r="G1379" t="b">
        <v>1</v>
      </c>
      <c r="H1379" t="inlineStr">
        <is>
          <t>10/2026</t>
        </is>
      </c>
    </row>
    <row r="1380">
      <c r="A1380" t="inlineStr">
        <is>
          <t>Nuv Gastrobar</t>
        </is>
      </c>
      <c r="B1380" t="inlineStr">
        <is>
          <t>Mão de Obra - Salários</t>
        </is>
      </c>
      <c r="C1380" t="inlineStr">
        <is>
          <t>MDO CLT - Salário</t>
        </is>
      </c>
      <c r="D1380" t="inlineStr">
        <is>
          <t>01/11/2026</t>
        </is>
      </c>
      <c r="E1380" t="n">
        <v>57980.96</v>
      </c>
      <c r="F1380" t="inlineStr">
        <is>
          <t>Fabrica de Bares (2025)</t>
        </is>
      </c>
      <c r="G1380" t="b">
        <v>1</v>
      </c>
      <c r="H1380" t="inlineStr">
        <is>
          <t>11/2026</t>
        </is>
      </c>
    </row>
    <row r="1381">
      <c r="A1381" t="inlineStr">
        <is>
          <t>Nuv Gastrobar</t>
        </is>
      </c>
      <c r="B1381" t="inlineStr">
        <is>
          <t>Mão de Obra - Salários</t>
        </is>
      </c>
      <c r="C1381" t="inlineStr">
        <is>
          <t>MDO CLT - Salário</t>
        </is>
      </c>
      <c r="D1381" t="inlineStr">
        <is>
          <t>01/12/2026</t>
        </is>
      </c>
      <c r="E1381" t="n">
        <v>57980.96</v>
      </c>
      <c r="F1381" t="inlineStr">
        <is>
          <t>Fabrica de Bares (2025)</t>
        </is>
      </c>
      <c r="G1381" t="b">
        <v>1</v>
      </c>
      <c r="H1381" t="inlineStr">
        <is>
          <t>12/2026</t>
        </is>
      </c>
    </row>
    <row r="1382">
      <c r="A1382" t="inlineStr">
        <is>
          <t>Nuv Gastrobar</t>
        </is>
      </c>
      <c r="B1382" t="inlineStr">
        <is>
          <t>Marketing</t>
        </is>
      </c>
      <c r="C1382" t="inlineStr">
        <is>
          <t>Assessoria de Imprensa</t>
        </is>
      </c>
      <c r="D1382" t="inlineStr">
        <is>
          <t>01/01/2026</t>
        </is>
      </c>
      <c r="E1382" t="n">
        <v>0</v>
      </c>
      <c r="F1382" t="inlineStr">
        <is>
          <t>Fabrica de Bares (2025)</t>
        </is>
      </c>
      <c r="G1382" t="b">
        <v>1</v>
      </c>
      <c r="H1382" t="inlineStr">
        <is>
          <t>1/2026</t>
        </is>
      </c>
    </row>
    <row r="1383">
      <c r="A1383" t="inlineStr">
        <is>
          <t>Nuv Gastrobar</t>
        </is>
      </c>
      <c r="B1383" t="inlineStr">
        <is>
          <t>Marketing</t>
        </is>
      </c>
      <c r="C1383" t="inlineStr">
        <is>
          <t>Assessoria de Imprensa</t>
        </is>
      </c>
      <c r="D1383" t="inlineStr">
        <is>
          <t>01/02/2026</t>
        </is>
      </c>
      <c r="E1383" t="n">
        <v>0</v>
      </c>
      <c r="F1383" t="inlineStr">
        <is>
          <t>Fabrica de Bares (2025)</t>
        </is>
      </c>
      <c r="G1383" t="b">
        <v>1</v>
      </c>
      <c r="H1383" t="inlineStr">
        <is>
          <t>2/2026</t>
        </is>
      </c>
    </row>
    <row r="1384">
      <c r="A1384" t="inlineStr">
        <is>
          <t>Nuv Gastrobar</t>
        </is>
      </c>
      <c r="B1384" t="inlineStr">
        <is>
          <t>Marketing</t>
        </is>
      </c>
      <c r="C1384" t="inlineStr">
        <is>
          <t>Assessoria de Imprensa</t>
        </is>
      </c>
      <c r="D1384" t="inlineStr">
        <is>
          <t>01/03/2026</t>
        </is>
      </c>
      <c r="E1384" t="n">
        <v>0</v>
      </c>
      <c r="F1384" t="inlineStr">
        <is>
          <t>Fabrica de Bares (2025)</t>
        </is>
      </c>
      <c r="G1384" t="b">
        <v>1</v>
      </c>
      <c r="H1384" t="inlineStr">
        <is>
          <t>3/2026</t>
        </is>
      </c>
    </row>
    <row r="1385">
      <c r="A1385" t="inlineStr">
        <is>
          <t>Nuv Gastrobar</t>
        </is>
      </c>
      <c r="B1385" t="inlineStr">
        <is>
          <t>Marketing</t>
        </is>
      </c>
      <c r="C1385" t="inlineStr">
        <is>
          <t>Assessoria de Imprensa</t>
        </is>
      </c>
      <c r="D1385" t="inlineStr">
        <is>
          <t>01/04/2026</t>
        </is>
      </c>
      <c r="E1385" t="n">
        <v>0</v>
      </c>
      <c r="F1385" t="inlineStr">
        <is>
          <t>Fabrica de Bares (2025)</t>
        </is>
      </c>
      <c r="G1385" t="b">
        <v>1</v>
      </c>
      <c r="H1385" t="inlineStr">
        <is>
          <t>4/2026</t>
        </is>
      </c>
    </row>
    <row r="1386">
      <c r="A1386" t="inlineStr">
        <is>
          <t>Nuv Gastrobar</t>
        </is>
      </c>
      <c r="B1386" t="inlineStr">
        <is>
          <t>Marketing</t>
        </is>
      </c>
      <c r="C1386" t="inlineStr">
        <is>
          <t>Assessoria de Imprensa</t>
        </is>
      </c>
      <c r="D1386" t="inlineStr">
        <is>
          <t>01/05/2026</t>
        </is>
      </c>
      <c r="E1386" t="n">
        <v>0</v>
      </c>
      <c r="F1386" t="inlineStr">
        <is>
          <t>Fabrica de Bares (2025)</t>
        </is>
      </c>
      <c r="G1386" t="b">
        <v>1</v>
      </c>
      <c r="H1386" t="inlineStr">
        <is>
          <t>5/2026</t>
        </is>
      </c>
    </row>
    <row r="1387">
      <c r="A1387" t="inlineStr">
        <is>
          <t>Nuv Gastrobar</t>
        </is>
      </c>
      <c r="B1387" t="inlineStr">
        <is>
          <t>Marketing</t>
        </is>
      </c>
      <c r="C1387" t="inlineStr">
        <is>
          <t>Assessoria de Imprensa</t>
        </is>
      </c>
      <c r="D1387" t="inlineStr">
        <is>
          <t>01/06/2026</t>
        </is>
      </c>
      <c r="E1387" t="n">
        <v>0</v>
      </c>
      <c r="F1387" t="inlineStr">
        <is>
          <t>Fabrica de Bares (2025)</t>
        </is>
      </c>
      <c r="G1387" t="b">
        <v>1</v>
      </c>
      <c r="H1387" t="inlineStr">
        <is>
          <t>6/2026</t>
        </is>
      </c>
    </row>
    <row r="1388">
      <c r="A1388" t="inlineStr">
        <is>
          <t>Nuv Gastrobar</t>
        </is>
      </c>
      <c r="B1388" t="inlineStr">
        <is>
          <t>Marketing</t>
        </is>
      </c>
      <c r="C1388" t="inlineStr">
        <is>
          <t>Assessoria de Imprensa</t>
        </is>
      </c>
      <c r="D1388" t="inlineStr">
        <is>
          <t>01/07/2026</t>
        </is>
      </c>
      <c r="E1388" t="n">
        <v>0</v>
      </c>
      <c r="F1388" t="inlineStr">
        <is>
          <t>Fabrica de Bares (2025)</t>
        </is>
      </c>
      <c r="G1388" t="b">
        <v>1</v>
      </c>
      <c r="H1388" t="inlineStr">
        <is>
          <t>7/2026</t>
        </is>
      </c>
    </row>
    <row r="1389">
      <c r="A1389" t="inlineStr">
        <is>
          <t>Nuv Gastrobar</t>
        </is>
      </c>
      <c r="B1389" t="inlineStr">
        <is>
          <t>Marketing</t>
        </is>
      </c>
      <c r="C1389" t="inlineStr">
        <is>
          <t>Assessoria de Imprensa</t>
        </is>
      </c>
      <c r="D1389" t="inlineStr">
        <is>
          <t>01/08/2026</t>
        </is>
      </c>
      <c r="E1389" t="n">
        <v>0</v>
      </c>
      <c r="F1389" t="inlineStr">
        <is>
          <t>Fabrica de Bares (2025)</t>
        </is>
      </c>
      <c r="G1389" t="b">
        <v>1</v>
      </c>
      <c r="H1389" t="inlineStr">
        <is>
          <t>8/2026</t>
        </is>
      </c>
    </row>
    <row r="1390">
      <c r="A1390" t="inlineStr">
        <is>
          <t>Nuv Gastrobar</t>
        </is>
      </c>
      <c r="B1390" t="inlineStr">
        <is>
          <t>Marketing</t>
        </is>
      </c>
      <c r="C1390" t="inlineStr">
        <is>
          <t>Assessoria de Imprensa</t>
        </is>
      </c>
      <c r="D1390" t="inlineStr">
        <is>
          <t>01/09/2026</t>
        </is>
      </c>
      <c r="E1390" t="n">
        <v>0</v>
      </c>
      <c r="F1390" t="inlineStr">
        <is>
          <t>Fabrica de Bares (2025)</t>
        </is>
      </c>
      <c r="G1390" t="b">
        <v>1</v>
      </c>
      <c r="H1390" t="inlineStr">
        <is>
          <t>9/2026</t>
        </is>
      </c>
    </row>
    <row r="1391">
      <c r="A1391" t="inlineStr">
        <is>
          <t>Nuv Gastrobar</t>
        </is>
      </c>
      <c r="B1391" t="inlineStr">
        <is>
          <t>Marketing</t>
        </is>
      </c>
      <c r="C1391" t="inlineStr">
        <is>
          <t>Assessoria de Imprensa</t>
        </is>
      </c>
      <c r="D1391" t="inlineStr">
        <is>
          <t>01/10/2026</t>
        </is>
      </c>
      <c r="E1391" t="n">
        <v>0</v>
      </c>
      <c r="F1391" t="inlineStr">
        <is>
          <t>Fabrica de Bares (2025)</t>
        </is>
      </c>
      <c r="G1391" t="b">
        <v>1</v>
      </c>
      <c r="H1391" t="inlineStr">
        <is>
          <t>10/2026</t>
        </is>
      </c>
    </row>
    <row r="1392">
      <c r="A1392" t="inlineStr">
        <is>
          <t>Nuv Gastrobar</t>
        </is>
      </c>
      <c r="B1392" t="inlineStr">
        <is>
          <t>Marketing</t>
        </is>
      </c>
      <c r="C1392" t="inlineStr">
        <is>
          <t>Assessoria de Imprensa</t>
        </is>
      </c>
      <c r="D1392" t="inlineStr">
        <is>
          <t>01/11/2026</t>
        </is>
      </c>
      <c r="E1392" t="n">
        <v>0</v>
      </c>
      <c r="F1392" t="inlineStr">
        <is>
          <t>Fabrica de Bares (2025)</t>
        </is>
      </c>
      <c r="G1392" t="b">
        <v>1</v>
      </c>
      <c r="H1392" t="inlineStr">
        <is>
          <t>11/2026</t>
        </is>
      </c>
    </row>
    <row r="1393">
      <c r="A1393" t="inlineStr">
        <is>
          <t>Nuv Gastrobar</t>
        </is>
      </c>
      <c r="B1393" t="inlineStr">
        <is>
          <t>Marketing</t>
        </is>
      </c>
      <c r="C1393" t="inlineStr">
        <is>
          <t>Assessoria de Imprensa</t>
        </is>
      </c>
      <c r="D1393" t="inlineStr">
        <is>
          <t>01/12/2026</t>
        </is>
      </c>
      <c r="E1393" t="n">
        <v>0</v>
      </c>
      <c r="F1393" t="inlineStr">
        <is>
          <t>Fabrica de Bares (2025)</t>
        </is>
      </c>
      <c r="G1393" t="b">
        <v>1</v>
      </c>
      <c r="H1393" t="inlineStr">
        <is>
          <t>12/2026</t>
        </is>
      </c>
    </row>
    <row r="1394">
      <c r="A1394" t="inlineStr">
        <is>
          <t>Nuv Gastrobar</t>
        </is>
      </c>
      <c r="B1394" t="inlineStr">
        <is>
          <t>Marketing</t>
        </is>
      </c>
      <c r="C1394" t="inlineStr">
        <is>
          <t>Assessoria de Relações Públicas</t>
        </is>
      </c>
      <c r="D1394" t="inlineStr">
        <is>
          <t>01/01/2026</t>
        </is>
      </c>
      <c r="E1394" t="n">
        <v>0</v>
      </c>
      <c r="F1394" t="inlineStr">
        <is>
          <t>Fabrica de Bares (2025)</t>
        </is>
      </c>
      <c r="G1394" t="b">
        <v>1</v>
      </c>
      <c r="H1394" t="inlineStr">
        <is>
          <t>1/2026</t>
        </is>
      </c>
    </row>
    <row r="1395">
      <c r="A1395" t="inlineStr">
        <is>
          <t>Nuv Gastrobar</t>
        </is>
      </c>
      <c r="B1395" t="inlineStr">
        <is>
          <t>Marketing</t>
        </is>
      </c>
      <c r="C1395" t="inlineStr">
        <is>
          <t>Assessoria de Relações Públicas</t>
        </is>
      </c>
      <c r="D1395" t="inlineStr">
        <is>
          <t>01/02/2026</t>
        </is>
      </c>
      <c r="E1395" t="n">
        <v>0</v>
      </c>
      <c r="F1395" t="inlineStr">
        <is>
          <t>Fabrica de Bares (2025)</t>
        </is>
      </c>
      <c r="G1395" t="b">
        <v>1</v>
      </c>
      <c r="H1395" t="inlineStr">
        <is>
          <t>2/2026</t>
        </is>
      </c>
    </row>
    <row r="1396">
      <c r="A1396" t="inlineStr">
        <is>
          <t>Nuv Gastrobar</t>
        </is>
      </c>
      <c r="B1396" t="inlineStr">
        <is>
          <t>Marketing</t>
        </is>
      </c>
      <c r="C1396" t="inlineStr">
        <is>
          <t>Assessoria de Relações Públicas</t>
        </is>
      </c>
      <c r="D1396" t="inlineStr">
        <is>
          <t>01/03/2026</t>
        </is>
      </c>
      <c r="E1396" t="n">
        <v>0</v>
      </c>
      <c r="F1396" t="inlineStr">
        <is>
          <t>Fabrica de Bares (2025)</t>
        </is>
      </c>
      <c r="G1396" t="b">
        <v>1</v>
      </c>
      <c r="H1396" t="inlineStr">
        <is>
          <t>3/2026</t>
        </is>
      </c>
    </row>
    <row r="1397">
      <c r="A1397" t="inlineStr">
        <is>
          <t>Nuv Gastrobar</t>
        </is>
      </c>
      <c r="B1397" t="inlineStr">
        <is>
          <t>Marketing</t>
        </is>
      </c>
      <c r="C1397" t="inlineStr">
        <is>
          <t>Assessoria de Relações Públicas</t>
        </is>
      </c>
      <c r="D1397" t="inlineStr">
        <is>
          <t>01/04/2026</t>
        </is>
      </c>
      <c r="E1397" t="n">
        <v>0</v>
      </c>
      <c r="F1397" t="inlineStr">
        <is>
          <t>Fabrica de Bares (2025)</t>
        </is>
      </c>
      <c r="G1397" t="b">
        <v>1</v>
      </c>
      <c r="H1397" t="inlineStr">
        <is>
          <t>4/2026</t>
        </is>
      </c>
    </row>
    <row r="1398">
      <c r="A1398" t="inlineStr">
        <is>
          <t>Nuv Gastrobar</t>
        </is>
      </c>
      <c r="B1398" t="inlineStr">
        <is>
          <t>Marketing</t>
        </is>
      </c>
      <c r="C1398" t="inlineStr">
        <is>
          <t>Assessoria de Relações Públicas</t>
        </is>
      </c>
      <c r="D1398" t="inlineStr">
        <is>
          <t>01/05/2026</t>
        </is>
      </c>
      <c r="E1398" t="n">
        <v>0</v>
      </c>
      <c r="F1398" t="inlineStr">
        <is>
          <t>Fabrica de Bares (2025)</t>
        </is>
      </c>
      <c r="G1398" t="b">
        <v>1</v>
      </c>
      <c r="H1398" t="inlineStr">
        <is>
          <t>5/2026</t>
        </is>
      </c>
    </row>
    <row r="1399">
      <c r="A1399" t="inlineStr">
        <is>
          <t>Nuv Gastrobar</t>
        </is>
      </c>
      <c r="B1399" t="inlineStr">
        <is>
          <t>Marketing</t>
        </is>
      </c>
      <c r="C1399" t="inlineStr">
        <is>
          <t>Assessoria de Relações Públicas</t>
        </is>
      </c>
      <c r="D1399" t="inlineStr">
        <is>
          <t>01/06/2026</t>
        </is>
      </c>
      <c r="E1399" t="n">
        <v>0</v>
      </c>
      <c r="F1399" t="inlineStr">
        <is>
          <t>Fabrica de Bares (2025)</t>
        </is>
      </c>
      <c r="G1399" t="b">
        <v>1</v>
      </c>
      <c r="H1399" t="inlineStr">
        <is>
          <t>6/2026</t>
        </is>
      </c>
    </row>
    <row r="1400">
      <c r="A1400" t="inlineStr">
        <is>
          <t>Nuv Gastrobar</t>
        </is>
      </c>
      <c r="B1400" t="inlineStr">
        <is>
          <t>Marketing</t>
        </is>
      </c>
      <c r="C1400" t="inlineStr">
        <is>
          <t>Assessoria de Relações Públicas</t>
        </is>
      </c>
      <c r="D1400" t="inlineStr">
        <is>
          <t>01/07/2026</t>
        </is>
      </c>
      <c r="E1400" t="n">
        <v>0</v>
      </c>
      <c r="F1400" t="inlineStr">
        <is>
          <t>Fabrica de Bares (2025)</t>
        </is>
      </c>
      <c r="G1400" t="b">
        <v>1</v>
      </c>
      <c r="H1400" t="inlineStr">
        <is>
          <t>7/2026</t>
        </is>
      </c>
    </row>
    <row r="1401">
      <c r="A1401" t="inlineStr">
        <is>
          <t>Nuv Gastrobar</t>
        </is>
      </c>
      <c r="B1401" t="inlineStr">
        <is>
          <t>Marketing</t>
        </is>
      </c>
      <c r="C1401" t="inlineStr">
        <is>
          <t>Assessoria de Relações Públicas</t>
        </is>
      </c>
      <c r="D1401" t="inlineStr">
        <is>
          <t>01/08/2026</t>
        </is>
      </c>
      <c r="E1401" t="n">
        <v>0</v>
      </c>
      <c r="F1401" t="inlineStr">
        <is>
          <t>Fabrica de Bares (2025)</t>
        </is>
      </c>
      <c r="G1401" t="b">
        <v>1</v>
      </c>
      <c r="H1401" t="inlineStr">
        <is>
          <t>8/2026</t>
        </is>
      </c>
    </row>
    <row r="1402">
      <c r="A1402" t="inlineStr">
        <is>
          <t>Nuv Gastrobar</t>
        </is>
      </c>
      <c r="B1402" t="inlineStr">
        <is>
          <t>Marketing</t>
        </is>
      </c>
      <c r="C1402" t="inlineStr">
        <is>
          <t>Assessoria de Relações Públicas</t>
        </is>
      </c>
      <c r="D1402" t="inlineStr">
        <is>
          <t>01/09/2026</t>
        </is>
      </c>
      <c r="E1402" t="n">
        <v>0</v>
      </c>
      <c r="F1402" t="inlineStr">
        <is>
          <t>Fabrica de Bares (2025)</t>
        </is>
      </c>
      <c r="G1402" t="b">
        <v>1</v>
      </c>
      <c r="H1402" t="inlineStr">
        <is>
          <t>9/2026</t>
        </is>
      </c>
    </row>
    <row r="1403">
      <c r="A1403" t="inlineStr">
        <is>
          <t>Nuv Gastrobar</t>
        </is>
      </c>
      <c r="B1403" t="inlineStr">
        <is>
          <t>Marketing</t>
        </is>
      </c>
      <c r="C1403" t="inlineStr">
        <is>
          <t>Assessoria de Relações Públicas</t>
        </is>
      </c>
      <c r="D1403" t="inlineStr">
        <is>
          <t>01/10/2026</t>
        </is>
      </c>
      <c r="E1403" t="n">
        <v>0</v>
      </c>
      <c r="F1403" t="inlineStr">
        <is>
          <t>Fabrica de Bares (2025)</t>
        </is>
      </c>
      <c r="G1403" t="b">
        <v>1</v>
      </c>
      <c r="H1403" t="inlineStr">
        <is>
          <t>10/2026</t>
        </is>
      </c>
    </row>
    <row r="1404">
      <c r="A1404" t="inlineStr">
        <is>
          <t>Nuv Gastrobar</t>
        </is>
      </c>
      <c r="B1404" t="inlineStr">
        <is>
          <t>Marketing</t>
        </is>
      </c>
      <c r="C1404" t="inlineStr">
        <is>
          <t>Assessoria de Relações Públicas</t>
        </is>
      </c>
      <c r="D1404" t="inlineStr">
        <is>
          <t>01/11/2026</t>
        </is>
      </c>
      <c r="E1404" t="n">
        <v>0</v>
      </c>
      <c r="F1404" t="inlineStr">
        <is>
          <t>Fabrica de Bares (2025)</t>
        </is>
      </c>
      <c r="G1404" t="b">
        <v>1</v>
      </c>
      <c r="H1404" t="inlineStr">
        <is>
          <t>11/2026</t>
        </is>
      </c>
    </row>
    <row r="1405">
      <c r="A1405" t="inlineStr">
        <is>
          <t>Nuv Gastrobar</t>
        </is>
      </c>
      <c r="B1405" t="inlineStr">
        <is>
          <t>Marketing</t>
        </is>
      </c>
      <c r="C1405" t="inlineStr">
        <is>
          <t>Assessoria de Relações Públicas</t>
        </is>
      </c>
      <c r="D1405" t="inlineStr">
        <is>
          <t>01/12/2026</t>
        </is>
      </c>
      <c r="E1405" t="n">
        <v>0</v>
      </c>
      <c r="F1405" t="inlineStr">
        <is>
          <t>Fabrica de Bares (2025)</t>
        </is>
      </c>
      <c r="G1405" t="b">
        <v>1</v>
      </c>
      <c r="H1405" t="inlineStr">
        <is>
          <t>12/2026</t>
        </is>
      </c>
    </row>
    <row r="1406">
      <c r="A1406" t="inlineStr">
        <is>
          <t>Nuv Gastrobar</t>
        </is>
      </c>
      <c r="B1406" t="inlineStr">
        <is>
          <t>Marketing</t>
        </is>
      </c>
      <c r="C1406" t="inlineStr">
        <is>
          <t>Brindes e Confraternizações - Marketing</t>
        </is>
      </c>
      <c r="D1406" t="inlineStr">
        <is>
          <t>01/01/2026</t>
        </is>
      </c>
      <c r="E1406" t="n">
        <v>0</v>
      </c>
      <c r="F1406" t="inlineStr">
        <is>
          <t>Fabrica de Bares (2025)</t>
        </is>
      </c>
      <c r="G1406" t="b">
        <v>1</v>
      </c>
      <c r="H1406" t="inlineStr">
        <is>
          <t>1/2026</t>
        </is>
      </c>
    </row>
    <row r="1407">
      <c r="A1407" t="inlineStr">
        <is>
          <t>Nuv Gastrobar</t>
        </is>
      </c>
      <c r="B1407" t="inlineStr">
        <is>
          <t>Marketing</t>
        </is>
      </c>
      <c r="C1407" t="inlineStr">
        <is>
          <t>Brindes e Confraternizações - Marketing</t>
        </is>
      </c>
      <c r="D1407" t="inlineStr">
        <is>
          <t>01/02/2026</t>
        </is>
      </c>
      <c r="E1407" t="n">
        <v>0</v>
      </c>
      <c r="F1407" t="inlineStr">
        <is>
          <t>Fabrica de Bares (2025)</t>
        </is>
      </c>
      <c r="G1407" t="b">
        <v>1</v>
      </c>
      <c r="H1407" t="inlineStr">
        <is>
          <t>2/2026</t>
        </is>
      </c>
    </row>
    <row r="1408">
      <c r="A1408" t="inlineStr">
        <is>
          <t>Nuv Gastrobar</t>
        </is>
      </c>
      <c r="B1408" t="inlineStr">
        <is>
          <t>Marketing</t>
        </is>
      </c>
      <c r="C1408" t="inlineStr">
        <is>
          <t>Brindes e Confraternizações - Marketing</t>
        </is>
      </c>
      <c r="D1408" t="inlineStr">
        <is>
          <t>01/03/2026</t>
        </is>
      </c>
      <c r="E1408" t="n">
        <v>0</v>
      </c>
      <c r="F1408" t="inlineStr">
        <is>
          <t>Fabrica de Bares (2025)</t>
        </is>
      </c>
      <c r="G1408" t="b">
        <v>1</v>
      </c>
      <c r="H1408" t="inlineStr">
        <is>
          <t>3/2026</t>
        </is>
      </c>
    </row>
    <row r="1409">
      <c r="A1409" t="inlineStr">
        <is>
          <t>Nuv Gastrobar</t>
        </is>
      </c>
      <c r="B1409" t="inlineStr">
        <is>
          <t>Marketing</t>
        </is>
      </c>
      <c r="C1409" t="inlineStr">
        <is>
          <t>Brindes e Confraternizações - Marketing</t>
        </is>
      </c>
      <c r="D1409" t="inlineStr">
        <is>
          <t>01/04/2026</t>
        </is>
      </c>
      <c r="E1409" t="n">
        <v>0</v>
      </c>
      <c r="F1409" t="inlineStr">
        <is>
          <t>Fabrica de Bares (2025)</t>
        </is>
      </c>
      <c r="G1409" t="b">
        <v>1</v>
      </c>
      <c r="H1409" t="inlineStr">
        <is>
          <t>4/2026</t>
        </is>
      </c>
    </row>
    <row r="1410">
      <c r="A1410" t="inlineStr">
        <is>
          <t>Nuv Gastrobar</t>
        </is>
      </c>
      <c r="B1410" t="inlineStr">
        <is>
          <t>Marketing</t>
        </is>
      </c>
      <c r="C1410" t="inlineStr">
        <is>
          <t>Brindes e Confraternizações - Marketing</t>
        </is>
      </c>
      <c r="D1410" t="inlineStr">
        <is>
          <t>01/05/2026</t>
        </is>
      </c>
      <c r="E1410" t="n">
        <v>0</v>
      </c>
      <c r="F1410" t="inlineStr">
        <is>
          <t>Fabrica de Bares (2025)</t>
        </is>
      </c>
      <c r="G1410" t="b">
        <v>1</v>
      </c>
      <c r="H1410" t="inlineStr">
        <is>
          <t>5/2026</t>
        </is>
      </c>
    </row>
    <row r="1411">
      <c r="A1411" t="inlineStr">
        <is>
          <t>Nuv Gastrobar</t>
        </is>
      </c>
      <c r="B1411" t="inlineStr">
        <is>
          <t>Marketing</t>
        </is>
      </c>
      <c r="C1411" t="inlineStr">
        <is>
          <t>Brindes e Confraternizações - Marketing</t>
        </is>
      </c>
      <c r="D1411" t="inlineStr">
        <is>
          <t>01/06/2026</t>
        </is>
      </c>
      <c r="E1411" t="n">
        <v>0</v>
      </c>
      <c r="F1411" t="inlineStr">
        <is>
          <t>Fabrica de Bares (2025)</t>
        </is>
      </c>
      <c r="G1411" t="b">
        <v>1</v>
      </c>
      <c r="H1411" t="inlineStr">
        <is>
          <t>6/2026</t>
        </is>
      </c>
    </row>
    <row r="1412">
      <c r="A1412" t="inlineStr">
        <is>
          <t>Nuv Gastrobar</t>
        </is>
      </c>
      <c r="B1412" t="inlineStr">
        <is>
          <t>Marketing</t>
        </is>
      </c>
      <c r="C1412" t="inlineStr">
        <is>
          <t>Brindes e Confraternizações - Marketing</t>
        </is>
      </c>
      <c r="D1412" t="inlineStr">
        <is>
          <t>01/07/2026</t>
        </is>
      </c>
      <c r="E1412" t="n">
        <v>0</v>
      </c>
      <c r="F1412" t="inlineStr">
        <is>
          <t>Fabrica de Bares (2025)</t>
        </is>
      </c>
      <c r="G1412" t="b">
        <v>1</v>
      </c>
      <c r="H1412" t="inlineStr">
        <is>
          <t>7/2026</t>
        </is>
      </c>
    </row>
    <row r="1413">
      <c r="A1413" t="inlineStr">
        <is>
          <t>Nuv Gastrobar</t>
        </is>
      </c>
      <c r="B1413" t="inlineStr">
        <is>
          <t>Marketing</t>
        </is>
      </c>
      <c r="C1413" t="inlineStr">
        <is>
          <t>Brindes e Confraternizações - Marketing</t>
        </is>
      </c>
      <c r="D1413" t="inlineStr">
        <is>
          <t>01/08/2026</t>
        </is>
      </c>
      <c r="E1413" t="n">
        <v>1514.74</v>
      </c>
      <c r="F1413" t="inlineStr">
        <is>
          <t>Fabrica de Bares (2025)</t>
        </is>
      </c>
      <c r="G1413" t="b">
        <v>1</v>
      </c>
      <c r="H1413" t="inlineStr">
        <is>
          <t>8/2026</t>
        </is>
      </c>
    </row>
    <row r="1414">
      <c r="A1414" t="inlineStr">
        <is>
          <t>Nuv Gastrobar</t>
        </is>
      </c>
      <c r="B1414" t="inlineStr">
        <is>
          <t>Marketing</t>
        </is>
      </c>
      <c r="C1414" t="inlineStr">
        <is>
          <t>Brindes e Confraternizações - Marketing</t>
        </is>
      </c>
      <c r="D1414" t="inlineStr">
        <is>
          <t>01/09/2026</t>
        </is>
      </c>
      <c r="E1414" t="n">
        <v>2357.73</v>
      </c>
      <c r="F1414" t="inlineStr">
        <is>
          <t>Fabrica de Bares (2025)</t>
        </is>
      </c>
      <c r="G1414" t="b">
        <v>1</v>
      </c>
      <c r="H1414" t="inlineStr">
        <is>
          <t>9/2026</t>
        </is>
      </c>
    </row>
    <row r="1415">
      <c r="A1415" t="inlineStr">
        <is>
          <t>Nuv Gastrobar</t>
        </is>
      </c>
      <c r="B1415" t="inlineStr">
        <is>
          <t>Marketing</t>
        </is>
      </c>
      <c r="C1415" t="inlineStr">
        <is>
          <t>Brindes e Confraternizações - Marketing</t>
        </is>
      </c>
      <c r="D1415" t="inlineStr">
        <is>
          <t>01/10/2026</t>
        </is>
      </c>
      <c r="E1415" t="n">
        <v>2746.29</v>
      </c>
      <c r="F1415" t="inlineStr">
        <is>
          <t>Fabrica de Bares (2025)</t>
        </is>
      </c>
      <c r="G1415" t="b">
        <v>1</v>
      </c>
      <c r="H1415" t="inlineStr">
        <is>
          <t>10/2026</t>
        </is>
      </c>
    </row>
    <row r="1416">
      <c r="A1416" t="inlineStr">
        <is>
          <t>Nuv Gastrobar</t>
        </is>
      </c>
      <c r="B1416" t="inlineStr">
        <is>
          <t>Marketing</t>
        </is>
      </c>
      <c r="C1416" t="inlineStr">
        <is>
          <t>Brindes e Confraternizações - Marketing</t>
        </is>
      </c>
      <c r="D1416" t="inlineStr">
        <is>
          <t>01/11/2026</t>
        </is>
      </c>
      <c r="E1416" t="n">
        <v>3977.12</v>
      </c>
      <c r="F1416" t="inlineStr">
        <is>
          <t>Fabrica de Bares (2025)</t>
        </is>
      </c>
      <c r="G1416" t="b">
        <v>1</v>
      </c>
      <c r="H1416" t="inlineStr">
        <is>
          <t>11/2026</t>
        </is>
      </c>
    </row>
    <row r="1417">
      <c r="A1417" t="inlineStr">
        <is>
          <t>Nuv Gastrobar</t>
        </is>
      </c>
      <c r="B1417" t="inlineStr">
        <is>
          <t>Marketing</t>
        </is>
      </c>
      <c r="C1417" t="inlineStr">
        <is>
          <t>Brindes e Confraternizações - Marketing</t>
        </is>
      </c>
      <c r="D1417" t="inlineStr">
        <is>
          <t>01/12/2026</t>
        </is>
      </c>
      <c r="E1417" t="n">
        <v>3934.53</v>
      </c>
      <c r="F1417" t="inlineStr">
        <is>
          <t>Fabrica de Bares (2025)</t>
        </is>
      </c>
      <c r="G1417" t="b">
        <v>1</v>
      </c>
      <c r="H1417" t="inlineStr">
        <is>
          <t>12/2026</t>
        </is>
      </c>
    </row>
    <row r="1418">
      <c r="A1418" t="inlineStr">
        <is>
          <t>Nuv Gastrobar</t>
        </is>
      </c>
      <c r="B1418" t="inlineStr">
        <is>
          <t>Marketing</t>
        </is>
      </c>
      <c r="C1418" t="inlineStr">
        <is>
          <t>Eventos de Marketing</t>
        </is>
      </c>
      <c r="D1418" t="inlineStr">
        <is>
          <t>01/01/2026</t>
        </is>
      </c>
      <c r="E1418" t="n">
        <v>0</v>
      </c>
      <c r="F1418" t="inlineStr">
        <is>
          <t>Fabrica de Bares (2025)</t>
        </is>
      </c>
      <c r="G1418" t="b">
        <v>1</v>
      </c>
      <c r="H1418" t="inlineStr">
        <is>
          <t>1/2026</t>
        </is>
      </c>
    </row>
    <row r="1419">
      <c r="A1419" t="inlineStr">
        <is>
          <t>Nuv Gastrobar</t>
        </is>
      </c>
      <c r="B1419" t="inlineStr">
        <is>
          <t>Marketing</t>
        </is>
      </c>
      <c r="C1419" t="inlineStr">
        <is>
          <t>Eventos de Marketing</t>
        </is>
      </c>
      <c r="D1419" t="inlineStr">
        <is>
          <t>01/02/2026</t>
        </is>
      </c>
      <c r="E1419" t="n">
        <v>0</v>
      </c>
      <c r="F1419" t="inlineStr">
        <is>
          <t>Fabrica de Bares (2025)</t>
        </is>
      </c>
      <c r="G1419" t="b">
        <v>1</v>
      </c>
      <c r="H1419" t="inlineStr">
        <is>
          <t>2/2026</t>
        </is>
      </c>
    </row>
    <row r="1420">
      <c r="A1420" t="inlineStr">
        <is>
          <t>Nuv Gastrobar</t>
        </is>
      </c>
      <c r="B1420" t="inlineStr">
        <is>
          <t>Marketing</t>
        </is>
      </c>
      <c r="C1420" t="inlineStr">
        <is>
          <t>Eventos de Marketing</t>
        </is>
      </c>
      <c r="D1420" t="inlineStr">
        <is>
          <t>01/03/2026</t>
        </is>
      </c>
      <c r="E1420" t="n">
        <v>0</v>
      </c>
      <c r="F1420" t="inlineStr">
        <is>
          <t>Fabrica de Bares (2025)</t>
        </is>
      </c>
      <c r="G1420" t="b">
        <v>1</v>
      </c>
      <c r="H1420" t="inlineStr">
        <is>
          <t>3/2026</t>
        </is>
      </c>
    </row>
    <row r="1421">
      <c r="A1421" t="inlineStr">
        <is>
          <t>Nuv Gastrobar</t>
        </is>
      </c>
      <c r="B1421" t="inlineStr">
        <is>
          <t>Marketing</t>
        </is>
      </c>
      <c r="C1421" t="inlineStr">
        <is>
          <t>Eventos de Marketing</t>
        </is>
      </c>
      <c r="D1421" t="inlineStr">
        <is>
          <t>01/04/2026</t>
        </is>
      </c>
      <c r="E1421" t="n">
        <v>0</v>
      </c>
      <c r="F1421" t="inlineStr">
        <is>
          <t>Fabrica de Bares (2025)</t>
        </is>
      </c>
      <c r="G1421" t="b">
        <v>1</v>
      </c>
      <c r="H1421" t="inlineStr">
        <is>
          <t>4/2026</t>
        </is>
      </c>
    </row>
    <row r="1422">
      <c r="A1422" t="inlineStr">
        <is>
          <t>Nuv Gastrobar</t>
        </is>
      </c>
      <c r="B1422" t="inlineStr">
        <is>
          <t>Marketing</t>
        </is>
      </c>
      <c r="C1422" t="inlineStr">
        <is>
          <t>Eventos de Marketing</t>
        </is>
      </c>
      <c r="D1422" t="inlineStr">
        <is>
          <t>01/05/2026</t>
        </is>
      </c>
      <c r="E1422" t="n">
        <v>0</v>
      </c>
      <c r="F1422" t="inlineStr">
        <is>
          <t>Fabrica de Bares (2025)</t>
        </is>
      </c>
      <c r="G1422" t="b">
        <v>1</v>
      </c>
      <c r="H1422" t="inlineStr">
        <is>
          <t>5/2026</t>
        </is>
      </c>
    </row>
    <row r="1423">
      <c r="A1423" t="inlineStr">
        <is>
          <t>Nuv Gastrobar</t>
        </is>
      </c>
      <c r="B1423" t="inlineStr">
        <is>
          <t>Marketing</t>
        </is>
      </c>
      <c r="C1423" t="inlineStr">
        <is>
          <t>Eventos de Marketing</t>
        </is>
      </c>
      <c r="D1423" t="inlineStr">
        <is>
          <t>01/06/2026</t>
        </is>
      </c>
      <c r="E1423" t="n">
        <v>0</v>
      </c>
      <c r="F1423" t="inlineStr">
        <is>
          <t>Fabrica de Bares (2025)</t>
        </is>
      </c>
      <c r="G1423" t="b">
        <v>1</v>
      </c>
      <c r="H1423" t="inlineStr">
        <is>
          <t>6/2026</t>
        </is>
      </c>
    </row>
    <row r="1424">
      <c r="A1424" t="inlineStr">
        <is>
          <t>Nuv Gastrobar</t>
        </is>
      </c>
      <c r="B1424" t="inlineStr">
        <is>
          <t>Marketing</t>
        </is>
      </c>
      <c r="C1424" t="inlineStr">
        <is>
          <t>Eventos de Marketing</t>
        </is>
      </c>
      <c r="D1424" t="inlineStr">
        <is>
          <t>01/07/2026</t>
        </is>
      </c>
      <c r="E1424" t="n">
        <v>0</v>
      </c>
      <c r="F1424" t="inlineStr">
        <is>
          <t>Fabrica de Bares (2025)</t>
        </is>
      </c>
      <c r="G1424" t="b">
        <v>1</v>
      </c>
      <c r="H1424" t="inlineStr">
        <is>
          <t>7/2026</t>
        </is>
      </c>
    </row>
    <row r="1425">
      <c r="A1425" t="inlineStr">
        <is>
          <t>Nuv Gastrobar</t>
        </is>
      </c>
      <c r="B1425" t="inlineStr">
        <is>
          <t>Marketing</t>
        </is>
      </c>
      <c r="C1425" t="inlineStr">
        <is>
          <t>Eventos de Marketing</t>
        </is>
      </c>
      <c r="D1425" t="inlineStr">
        <is>
          <t>01/08/2026</t>
        </is>
      </c>
      <c r="E1425" t="n">
        <v>0</v>
      </c>
      <c r="F1425" t="inlineStr">
        <is>
          <t>Fabrica de Bares (2025)</t>
        </is>
      </c>
      <c r="G1425" t="b">
        <v>1</v>
      </c>
      <c r="H1425" t="inlineStr">
        <is>
          <t>8/2026</t>
        </is>
      </c>
    </row>
    <row r="1426">
      <c r="A1426" t="inlineStr">
        <is>
          <t>Nuv Gastrobar</t>
        </is>
      </c>
      <c r="B1426" t="inlineStr">
        <is>
          <t>Marketing</t>
        </is>
      </c>
      <c r="C1426" t="inlineStr">
        <is>
          <t>Eventos de Marketing</t>
        </is>
      </c>
      <c r="D1426" t="inlineStr">
        <is>
          <t>01/09/2026</t>
        </is>
      </c>
      <c r="E1426" t="n">
        <v>0</v>
      </c>
      <c r="F1426" t="inlineStr">
        <is>
          <t>Fabrica de Bares (2025)</t>
        </is>
      </c>
      <c r="G1426" t="b">
        <v>1</v>
      </c>
      <c r="H1426" t="inlineStr">
        <is>
          <t>9/2026</t>
        </is>
      </c>
    </row>
    <row r="1427">
      <c r="A1427" t="inlineStr">
        <is>
          <t>Nuv Gastrobar</t>
        </is>
      </c>
      <c r="B1427" t="inlineStr">
        <is>
          <t>Marketing</t>
        </is>
      </c>
      <c r="C1427" t="inlineStr">
        <is>
          <t>Eventos de Marketing</t>
        </is>
      </c>
      <c r="D1427" t="inlineStr">
        <is>
          <t>01/10/2026</t>
        </is>
      </c>
      <c r="E1427" t="n">
        <v>0</v>
      </c>
      <c r="F1427" t="inlineStr">
        <is>
          <t>Fabrica de Bares (2025)</t>
        </is>
      </c>
      <c r="G1427" t="b">
        <v>1</v>
      </c>
      <c r="H1427" t="inlineStr">
        <is>
          <t>10/2026</t>
        </is>
      </c>
    </row>
    <row r="1428">
      <c r="A1428" t="inlineStr">
        <is>
          <t>Nuv Gastrobar</t>
        </is>
      </c>
      <c r="B1428" t="inlineStr">
        <is>
          <t>Marketing</t>
        </is>
      </c>
      <c r="C1428" t="inlineStr">
        <is>
          <t>Eventos de Marketing</t>
        </is>
      </c>
      <c r="D1428" t="inlineStr">
        <is>
          <t>01/11/2026</t>
        </is>
      </c>
      <c r="E1428" t="n">
        <v>0</v>
      </c>
      <c r="F1428" t="inlineStr">
        <is>
          <t>Fabrica de Bares (2025)</t>
        </is>
      </c>
      <c r="G1428" t="b">
        <v>1</v>
      </c>
      <c r="H1428" t="inlineStr">
        <is>
          <t>11/2026</t>
        </is>
      </c>
    </row>
    <row r="1429">
      <c r="A1429" t="inlineStr">
        <is>
          <t>Nuv Gastrobar</t>
        </is>
      </c>
      <c r="B1429" t="inlineStr">
        <is>
          <t>Marketing</t>
        </is>
      </c>
      <c r="C1429" t="inlineStr">
        <is>
          <t>Eventos de Marketing</t>
        </is>
      </c>
      <c r="D1429" t="inlineStr">
        <is>
          <t>01/12/2026</t>
        </is>
      </c>
      <c r="E1429" t="n">
        <v>0</v>
      </c>
      <c r="F1429" t="inlineStr">
        <is>
          <t>Fabrica de Bares (2025)</t>
        </is>
      </c>
      <c r="G1429" t="b">
        <v>1</v>
      </c>
      <c r="H1429" t="inlineStr">
        <is>
          <t>12/2026</t>
        </is>
      </c>
    </row>
    <row r="1430">
      <c r="A1430" t="inlineStr">
        <is>
          <t>Nuv Gastrobar</t>
        </is>
      </c>
      <c r="B1430" t="inlineStr">
        <is>
          <t>Marketing</t>
        </is>
      </c>
      <c r="C1430" t="inlineStr">
        <is>
          <t>Ferramentas de Marketing</t>
        </is>
      </c>
      <c r="D1430" t="inlineStr">
        <is>
          <t>01/01/2026</t>
        </is>
      </c>
      <c r="E1430" t="n">
        <v>0</v>
      </c>
      <c r="F1430" t="inlineStr">
        <is>
          <t>Fabrica de Bares (2025)</t>
        </is>
      </c>
      <c r="G1430" t="b">
        <v>1</v>
      </c>
      <c r="H1430" t="inlineStr">
        <is>
          <t>1/2026</t>
        </is>
      </c>
    </row>
    <row r="1431">
      <c r="A1431" t="inlineStr">
        <is>
          <t>Nuv Gastrobar</t>
        </is>
      </c>
      <c r="B1431" t="inlineStr">
        <is>
          <t>Marketing</t>
        </is>
      </c>
      <c r="C1431" t="inlineStr">
        <is>
          <t>Ferramentas de Marketing</t>
        </is>
      </c>
      <c r="D1431" t="inlineStr">
        <is>
          <t>01/02/2026</t>
        </is>
      </c>
      <c r="E1431" t="n">
        <v>0</v>
      </c>
      <c r="F1431" t="inlineStr">
        <is>
          <t>Fabrica de Bares (2025)</t>
        </is>
      </c>
      <c r="G1431" t="b">
        <v>1</v>
      </c>
      <c r="H1431" t="inlineStr">
        <is>
          <t>2/2026</t>
        </is>
      </c>
    </row>
    <row r="1432">
      <c r="A1432" t="inlineStr">
        <is>
          <t>Nuv Gastrobar</t>
        </is>
      </c>
      <c r="B1432" t="inlineStr">
        <is>
          <t>Marketing</t>
        </is>
      </c>
      <c r="C1432" t="inlineStr">
        <is>
          <t>Ferramentas de Marketing</t>
        </is>
      </c>
      <c r="D1432" t="inlineStr">
        <is>
          <t>01/03/2026</t>
        </is>
      </c>
      <c r="E1432" t="n">
        <v>0</v>
      </c>
      <c r="F1432" t="inlineStr">
        <is>
          <t>Fabrica de Bares (2025)</t>
        </is>
      </c>
      <c r="G1432" t="b">
        <v>1</v>
      </c>
      <c r="H1432" t="inlineStr">
        <is>
          <t>3/2026</t>
        </is>
      </c>
    </row>
    <row r="1433">
      <c r="A1433" t="inlineStr">
        <is>
          <t>Nuv Gastrobar</t>
        </is>
      </c>
      <c r="B1433" t="inlineStr">
        <is>
          <t>Marketing</t>
        </is>
      </c>
      <c r="C1433" t="inlineStr">
        <is>
          <t>Ferramentas de Marketing</t>
        </is>
      </c>
      <c r="D1433" t="inlineStr">
        <is>
          <t>01/04/2026</t>
        </is>
      </c>
      <c r="E1433" t="n">
        <v>0</v>
      </c>
      <c r="F1433" t="inlineStr">
        <is>
          <t>Fabrica de Bares (2025)</t>
        </is>
      </c>
      <c r="G1433" t="b">
        <v>1</v>
      </c>
      <c r="H1433" t="inlineStr">
        <is>
          <t>4/2026</t>
        </is>
      </c>
    </row>
    <row r="1434">
      <c r="A1434" t="inlineStr">
        <is>
          <t>Nuv Gastrobar</t>
        </is>
      </c>
      <c r="B1434" t="inlineStr">
        <is>
          <t>Marketing</t>
        </is>
      </c>
      <c r="C1434" t="inlineStr">
        <is>
          <t>Ferramentas de Marketing</t>
        </is>
      </c>
      <c r="D1434" t="inlineStr">
        <is>
          <t>01/05/2026</t>
        </is>
      </c>
      <c r="E1434" t="n">
        <v>0</v>
      </c>
      <c r="F1434" t="inlineStr">
        <is>
          <t>Fabrica de Bares (2025)</t>
        </is>
      </c>
      <c r="G1434" t="b">
        <v>1</v>
      </c>
      <c r="H1434" t="inlineStr">
        <is>
          <t>5/2026</t>
        </is>
      </c>
    </row>
    <row r="1435">
      <c r="A1435" t="inlineStr">
        <is>
          <t>Nuv Gastrobar</t>
        </is>
      </c>
      <c r="B1435" t="inlineStr">
        <is>
          <t>Marketing</t>
        </is>
      </c>
      <c r="C1435" t="inlineStr">
        <is>
          <t>Ferramentas de Marketing</t>
        </is>
      </c>
      <c r="D1435" t="inlineStr">
        <is>
          <t>01/06/2026</t>
        </is>
      </c>
      <c r="E1435" t="n">
        <v>0</v>
      </c>
      <c r="F1435" t="inlineStr">
        <is>
          <t>Fabrica de Bares (2025)</t>
        </is>
      </c>
      <c r="G1435" t="b">
        <v>1</v>
      </c>
      <c r="H1435" t="inlineStr">
        <is>
          <t>6/2026</t>
        </is>
      </c>
    </row>
    <row r="1436">
      <c r="A1436" t="inlineStr">
        <is>
          <t>Nuv Gastrobar</t>
        </is>
      </c>
      <c r="B1436" t="inlineStr">
        <is>
          <t>Marketing</t>
        </is>
      </c>
      <c r="C1436" t="inlineStr">
        <is>
          <t>Ferramentas de Marketing</t>
        </is>
      </c>
      <c r="D1436" t="inlineStr">
        <is>
          <t>01/07/2026</t>
        </is>
      </c>
      <c r="E1436" t="n">
        <v>0</v>
      </c>
      <c r="F1436" t="inlineStr">
        <is>
          <t>Fabrica de Bares (2025)</t>
        </is>
      </c>
      <c r="G1436" t="b">
        <v>1</v>
      </c>
      <c r="H1436" t="inlineStr">
        <is>
          <t>7/2026</t>
        </is>
      </c>
    </row>
    <row r="1437">
      <c r="A1437" t="inlineStr">
        <is>
          <t>Nuv Gastrobar</t>
        </is>
      </c>
      <c r="B1437" t="inlineStr">
        <is>
          <t>Marketing</t>
        </is>
      </c>
      <c r="C1437" t="inlineStr">
        <is>
          <t>Ferramentas de Marketing</t>
        </is>
      </c>
      <c r="D1437" t="inlineStr">
        <is>
          <t>01/08/2026</t>
        </is>
      </c>
      <c r="E1437" t="n">
        <v>0</v>
      </c>
      <c r="F1437" t="inlineStr">
        <is>
          <t>Fabrica de Bares (2025)</t>
        </is>
      </c>
      <c r="G1437" t="b">
        <v>1</v>
      </c>
      <c r="H1437" t="inlineStr">
        <is>
          <t>8/2026</t>
        </is>
      </c>
    </row>
    <row r="1438">
      <c r="A1438" t="inlineStr">
        <is>
          <t>Nuv Gastrobar</t>
        </is>
      </c>
      <c r="B1438" t="inlineStr">
        <is>
          <t>Marketing</t>
        </is>
      </c>
      <c r="C1438" t="inlineStr">
        <is>
          <t>Ferramentas de Marketing</t>
        </is>
      </c>
      <c r="D1438" t="inlineStr">
        <is>
          <t>01/09/2026</t>
        </is>
      </c>
      <c r="E1438" t="n">
        <v>0</v>
      </c>
      <c r="F1438" t="inlineStr">
        <is>
          <t>Fabrica de Bares (2025)</t>
        </is>
      </c>
      <c r="G1438" t="b">
        <v>1</v>
      </c>
      <c r="H1438" t="inlineStr">
        <is>
          <t>9/2026</t>
        </is>
      </c>
    </row>
    <row r="1439">
      <c r="A1439" t="inlineStr">
        <is>
          <t>Nuv Gastrobar</t>
        </is>
      </c>
      <c r="B1439" t="inlineStr">
        <is>
          <t>Marketing</t>
        </is>
      </c>
      <c r="C1439" t="inlineStr">
        <is>
          <t>Ferramentas de Marketing</t>
        </is>
      </c>
      <c r="D1439" t="inlineStr">
        <is>
          <t>01/10/2026</t>
        </is>
      </c>
      <c r="E1439" t="n">
        <v>0</v>
      </c>
      <c r="F1439" t="inlineStr">
        <is>
          <t>Fabrica de Bares (2025)</t>
        </is>
      </c>
      <c r="G1439" t="b">
        <v>1</v>
      </c>
      <c r="H1439" t="inlineStr">
        <is>
          <t>10/2026</t>
        </is>
      </c>
    </row>
    <row r="1440">
      <c r="A1440" t="inlineStr">
        <is>
          <t>Nuv Gastrobar</t>
        </is>
      </c>
      <c r="B1440" t="inlineStr">
        <is>
          <t>Marketing</t>
        </is>
      </c>
      <c r="C1440" t="inlineStr">
        <is>
          <t>Ferramentas de Marketing</t>
        </is>
      </c>
      <c r="D1440" t="inlineStr">
        <is>
          <t>01/11/2026</t>
        </is>
      </c>
      <c r="E1440" t="n">
        <v>0</v>
      </c>
      <c r="F1440" t="inlineStr">
        <is>
          <t>Fabrica de Bares (2025)</t>
        </is>
      </c>
      <c r="G1440" t="b">
        <v>1</v>
      </c>
      <c r="H1440" t="inlineStr">
        <is>
          <t>11/2026</t>
        </is>
      </c>
    </row>
    <row r="1441">
      <c r="A1441" t="inlineStr">
        <is>
          <t>Nuv Gastrobar</t>
        </is>
      </c>
      <c r="B1441" t="inlineStr">
        <is>
          <t>Marketing</t>
        </is>
      </c>
      <c r="C1441" t="inlineStr">
        <is>
          <t>Ferramentas de Marketing</t>
        </is>
      </c>
      <c r="D1441" t="inlineStr">
        <is>
          <t>01/12/2026</t>
        </is>
      </c>
      <c r="E1441" t="n">
        <v>0</v>
      </c>
      <c r="F1441" t="inlineStr">
        <is>
          <t>Fabrica de Bares (2025)</t>
        </is>
      </c>
      <c r="G1441" t="b">
        <v>1</v>
      </c>
      <c r="H1441" t="inlineStr">
        <is>
          <t>12/2026</t>
        </is>
      </c>
    </row>
    <row r="1442">
      <c r="A1442" t="inlineStr">
        <is>
          <t>Nuv Gastrobar</t>
        </is>
      </c>
      <c r="B1442" t="inlineStr">
        <is>
          <t>Marketing</t>
        </is>
      </c>
      <c r="C1442" t="inlineStr">
        <is>
          <t>Influenciadores</t>
        </is>
      </c>
      <c r="D1442" t="inlineStr">
        <is>
          <t>01/01/2026</t>
        </is>
      </c>
      <c r="E1442" t="n">
        <v>0</v>
      </c>
      <c r="F1442" t="inlineStr">
        <is>
          <t>Fabrica de Bares (2025)</t>
        </is>
      </c>
      <c r="G1442" t="b">
        <v>1</v>
      </c>
      <c r="H1442" t="inlineStr">
        <is>
          <t>1/2026</t>
        </is>
      </c>
    </row>
    <row r="1443">
      <c r="A1443" t="inlineStr">
        <is>
          <t>Nuv Gastrobar</t>
        </is>
      </c>
      <c r="B1443" t="inlineStr">
        <is>
          <t>Marketing</t>
        </is>
      </c>
      <c r="C1443" t="inlineStr">
        <is>
          <t>Influenciadores</t>
        </is>
      </c>
      <c r="D1443" t="inlineStr">
        <is>
          <t>01/02/2026</t>
        </is>
      </c>
      <c r="E1443" t="n">
        <v>0</v>
      </c>
      <c r="F1443" t="inlineStr">
        <is>
          <t>Fabrica de Bares (2025)</t>
        </is>
      </c>
      <c r="G1443" t="b">
        <v>1</v>
      </c>
      <c r="H1443" t="inlineStr">
        <is>
          <t>2/2026</t>
        </is>
      </c>
    </row>
    <row r="1444">
      <c r="A1444" t="inlineStr">
        <is>
          <t>Nuv Gastrobar</t>
        </is>
      </c>
      <c r="B1444" t="inlineStr">
        <is>
          <t>Marketing</t>
        </is>
      </c>
      <c r="C1444" t="inlineStr">
        <is>
          <t>Influenciadores</t>
        </is>
      </c>
      <c r="D1444" t="inlineStr">
        <is>
          <t>01/03/2026</t>
        </is>
      </c>
      <c r="E1444" t="n">
        <v>0</v>
      </c>
      <c r="F1444" t="inlineStr">
        <is>
          <t>Fabrica de Bares (2025)</t>
        </is>
      </c>
      <c r="G1444" t="b">
        <v>1</v>
      </c>
      <c r="H1444" t="inlineStr">
        <is>
          <t>3/2026</t>
        </is>
      </c>
    </row>
    <row r="1445">
      <c r="A1445" t="inlineStr">
        <is>
          <t>Nuv Gastrobar</t>
        </is>
      </c>
      <c r="B1445" t="inlineStr">
        <is>
          <t>Marketing</t>
        </is>
      </c>
      <c r="C1445" t="inlineStr">
        <is>
          <t>Influenciadores</t>
        </is>
      </c>
      <c r="D1445" t="inlineStr">
        <is>
          <t>01/04/2026</t>
        </is>
      </c>
      <c r="E1445" t="n">
        <v>0</v>
      </c>
      <c r="F1445" t="inlineStr">
        <is>
          <t>Fabrica de Bares (2025)</t>
        </is>
      </c>
      <c r="G1445" t="b">
        <v>1</v>
      </c>
      <c r="H1445" t="inlineStr">
        <is>
          <t>4/2026</t>
        </is>
      </c>
    </row>
    <row r="1446">
      <c r="A1446" t="inlineStr">
        <is>
          <t>Nuv Gastrobar</t>
        </is>
      </c>
      <c r="B1446" t="inlineStr">
        <is>
          <t>Marketing</t>
        </is>
      </c>
      <c r="C1446" t="inlineStr">
        <is>
          <t>Influenciadores</t>
        </is>
      </c>
      <c r="D1446" t="inlineStr">
        <is>
          <t>01/05/2026</t>
        </is>
      </c>
      <c r="E1446" t="n">
        <v>0</v>
      </c>
      <c r="F1446" t="inlineStr">
        <is>
          <t>Fabrica de Bares (2025)</t>
        </is>
      </c>
      <c r="G1446" t="b">
        <v>1</v>
      </c>
      <c r="H1446" t="inlineStr">
        <is>
          <t>5/2026</t>
        </is>
      </c>
    </row>
    <row r="1447">
      <c r="A1447" t="inlineStr">
        <is>
          <t>Nuv Gastrobar</t>
        </is>
      </c>
      <c r="B1447" t="inlineStr">
        <is>
          <t>Marketing</t>
        </is>
      </c>
      <c r="C1447" t="inlineStr">
        <is>
          <t>Influenciadores</t>
        </is>
      </c>
      <c r="D1447" t="inlineStr">
        <is>
          <t>01/06/2026</t>
        </is>
      </c>
      <c r="E1447" t="n">
        <v>0</v>
      </c>
      <c r="F1447" t="inlineStr">
        <is>
          <t>Fabrica de Bares (2025)</t>
        </is>
      </c>
      <c r="G1447" t="b">
        <v>1</v>
      </c>
      <c r="H1447" t="inlineStr">
        <is>
          <t>6/2026</t>
        </is>
      </c>
    </row>
    <row r="1448">
      <c r="A1448" t="inlineStr">
        <is>
          <t>Nuv Gastrobar</t>
        </is>
      </c>
      <c r="B1448" t="inlineStr">
        <is>
          <t>Marketing</t>
        </is>
      </c>
      <c r="C1448" t="inlineStr">
        <is>
          <t>Influenciadores</t>
        </is>
      </c>
      <c r="D1448" t="inlineStr">
        <is>
          <t>01/07/2026</t>
        </is>
      </c>
      <c r="E1448" t="n">
        <v>0</v>
      </c>
      <c r="F1448" t="inlineStr">
        <is>
          <t>Fabrica de Bares (2025)</t>
        </is>
      </c>
      <c r="G1448" t="b">
        <v>1</v>
      </c>
      <c r="H1448" t="inlineStr">
        <is>
          <t>7/2026</t>
        </is>
      </c>
    </row>
    <row r="1449">
      <c r="A1449" t="inlineStr">
        <is>
          <t>Nuv Gastrobar</t>
        </is>
      </c>
      <c r="B1449" t="inlineStr">
        <is>
          <t>Marketing</t>
        </is>
      </c>
      <c r="C1449" t="inlineStr">
        <is>
          <t>Influenciadores</t>
        </is>
      </c>
      <c r="D1449" t="inlineStr">
        <is>
          <t>01/08/2026</t>
        </is>
      </c>
      <c r="E1449" t="n">
        <v>0</v>
      </c>
      <c r="F1449" t="inlineStr">
        <is>
          <t>Fabrica de Bares (2025)</t>
        </is>
      </c>
      <c r="G1449" t="b">
        <v>1</v>
      </c>
      <c r="H1449" t="inlineStr">
        <is>
          <t>8/2026</t>
        </is>
      </c>
    </row>
    <row r="1450">
      <c r="A1450" t="inlineStr">
        <is>
          <t>Nuv Gastrobar</t>
        </is>
      </c>
      <c r="B1450" t="inlineStr">
        <is>
          <t>Marketing</t>
        </is>
      </c>
      <c r="C1450" t="inlineStr">
        <is>
          <t>Influenciadores</t>
        </is>
      </c>
      <c r="D1450" t="inlineStr">
        <is>
          <t>01/09/2026</t>
        </is>
      </c>
      <c r="E1450" t="n">
        <v>0</v>
      </c>
      <c r="F1450" t="inlineStr">
        <is>
          <t>Fabrica de Bares (2025)</t>
        </is>
      </c>
      <c r="G1450" t="b">
        <v>1</v>
      </c>
      <c r="H1450" t="inlineStr">
        <is>
          <t>9/2026</t>
        </is>
      </c>
    </row>
    <row r="1451">
      <c r="A1451" t="inlineStr">
        <is>
          <t>Nuv Gastrobar</t>
        </is>
      </c>
      <c r="B1451" t="inlineStr">
        <is>
          <t>Marketing</t>
        </is>
      </c>
      <c r="C1451" t="inlineStr">
        <is>
          <t>Influenciadores</t>
        </is>
      </c>
      <c r="D1451" t="inlineStr">
        <is>
          <t>01/10/2026</t>
        </is>
      </c>
      <c r="E1451" t="n">
        <v>0</v>
      </c>
      <c r="F1451" t="inlineStr">
        <is>
          <t>Fabrica de Bares (2025)</t>
        </is>
      </c>
      <c r="G1451" t="b">
        <v>1</v>
      </c>
      <c r="H1451" t="inlineStr">
        <is>
          <t>10/2026</t>
        </is>
      </c>
    </row>
    <row r="1452">
      <c r="A1452" t="inlineStr">
        <is>
          <t>Nuv Gastrobar</t>
        </is>
      </c>
      <c r="B1452" t="inlineStr">
        <is>
          <t>Marketing</t>
        </is>
      </c>
      <c r="C1452" t="inlineStr">
        <is>
          <t>Influenciadores</t>
        </is>
      </c>
      <c r="D1452" t="inlineStr">
        <is>
          <t>01/11/2026</t>
        </is>
      </c>
      <c r="E1452" t="n">
        <v>0</v>
      </c>
      <c r="F1452" t="inlineStr">
        <is>
          <t>Fabrica de Bares (2025)</t>
        </is>
      </c>
      <c r="G1452" t="b">
        <v>1</v>
      </c>
      <c r="H1452" t="inlineStr">
        <is>
          <t>11/2026</t>
        </is>
      </c>
    </row>
    <row r="1453">
      <c r="A1453" t="inlineStr">
        <is>
          <t>Nuv Gastrobar</t>
        </is>
      </c>
      <c r="B1453" t="inlineStr">
        <is>
          <t>Marketing</t>
        </is>
      </c>
      <c r="C1453" t="inlineStr">
        <is>
          <t>Influenciadores</t>
        </is>
      </c>
      <c r="D1453" t="inlineStr">
        <is>
          <t>01/12/2026</t>
        </is>
      </c>
      <c r="E1453" t="n">
        <v>0</v>
      </c>
      <c r="F1453" t="inlineStr">
        <is>
          <t>Fabrica de Bares (2025)</t>
        </is>
      </c>
      <c r="G1453" t="b">
        <v>1</v>
      </c>
      <c r="H1453" t="inlineStr">
        <is>
          <t>12/2026</t>
        </is>
      </c>
    </row>
    <row r="1454">
      <c r="A1454" t="inlineStr">
        <is>
          <t>Nuv Gastrobar</t>
        </is>
      </c>
      <c r="B1454" t="inlineStr">
        <is>
          <t>Marketing</t>
        </is>
      </c>
      <c r="C1454" t="inlineStr">
        <is>
          <t>Pesquisa de Mercado</t>
        </is>
      </c>
      <c r="D1454" t="inlineStr">
        <is>
          <t>01/01/2026</t>
        </is>
      </c>
      <c r="E1454" t="n">
        <v>0</v>
      </c>
      <c r="F1454" t="inlineStr">
        <is>
          <t>Fabrica de Bares (2025)</t>
        </is>
      </c>
      <c r="G1454" t="b">
        <v>1</v>
      </c>
      <c r="H1454" t="inlineStr">
        <is>
          <t>1/2026</t>
        </is>
      </c>
    </row>
    <row r="1455">
      <c r="A1455" t="inlineStr">
        <is>
          <t>Nuv Gastrobar</t>
        </is>
      </c>
      <c r="B1455" t="inlineStr">
        <is>
          <t>Marketing</t>
        </is>
      </c>
      <c r="C1455" t="inlineStr">
        <is>
          <t>Pesquisa de Mercado</t>
        </is>
      </c>
      <c r="D1455" t="inlineStr">
        <is>
          <t>01/02/2026</t>
        </is>
      </c>
      <c r="E1455" t="n">
        <v>0</v>
      </c>
      <c r="F1455" t="inlineStr">
        <is>
          <t>Fabrica de Bares (2025)</t>
        </is>
      </c>
      <c r="G1455" t="b">
        <v>1</v>
      </c>
      <c r="H1455" t="inlineStr">
        <is>
          <t>2/2026</t>
        </is>
      </c>
    </row>
    <row r="1456">
      <c r="A1456" t="inlineStr">
        <is>
          <t>Nuv Gastrobar</t>
        </is>
      </c>
      <c r="B1456" t="inlineStr">
        <is>
          <t>Marketing</t>
        </is>
      </c>
      <c r="C1456" t="inlineStr">
        <is>
          <t>Pesquisa de Mercado</t>
        </is>
      </c>
      <c r="D1456" t="inlineStr">
        <is>
          <t>01/03/2026</t>
        </is>
      </c>
      <c r="E1456" t="n">
        <v>0</v>
      </c>
      <c r="F1456" t="inlineStr">
        <is>
          <t>Fabrica de Bares (2025)</t>
        </is>
      </c>
      <c r="G1456" t="b">
        <v>1</v>
      </c>
      <c r="H1456" t="inlineStr">
        <is>
          <t>3/2026</t>
        </is>
      </c>
    </row>
    <row r="1457">
      <c r="A1457" t="inlineStr">
        <is>
          <t>Nuv Gastrobar</t>
        </is>
      </c>
      <c r="B1457" t="inlineStr">
        <is>
          <t>Marketing</t>
        </is>
      </c>
      <c r="C1457" t="inlineStr">
        <is>
          <t>Pesquisa de Mercado</t>
        </is>
      </c>
      <c r="D1457" t="inlineStr">
        <is>
          <t>01/04/2026</t>
        </is>
      </c>
      <c r="E1457" t="n">
        <v>0</v>
      </c>
      <c r="F1457" t="inlineStr">
        <is>
          <t>Fabrica de Bares (2025)</t>
        </is>
      </c>
      <c r="G1457" t="b">
        <v>1</v>
      </c>
      <c r="H1457" t="inlineStr">
        <is>
          <t>4/2026</t>
        </is>
      </c>
    </row>
    <row r="1458">
      <c r="A1458" t="inlineStr">
        <is>
          <t>Nuv Gastrobar</t>
        </is>
      </c>
      <c r="B1458" t="inlineStr">
        <is>
          <t>Marketing</t>
        </is>
      </c>
      <c r="C1458" t="inlineStr">
        <is>
          <t>Pesquisa de Mercado</t>
        </is>
      </c>
      <c r="D1458" t="inlineStr">
        <is>
          <t>01/05/2026</t>
        </is>
      </c>
      <c r="E1458" t="n">
        <v>0</v>
      </c>
      <c r="F1458" t="inlineStr">
        <is>
          <t>Fabrica de Bares (2025)</t>
        </is>
      </c>
      <c r="G1458" t="b">
        <v>1</v>
      </c>
      <c r="H1458" t="inlineStr">
        <is>
          <t>5/2026</t>
        </is>
      </c>
    </row>
    <row r="1459">
      <c r="A1459" t="inlineStr">
        <is>
          <t>Nuv Gastrobar</t>
        </is>
      </c>
      <c r="B1459" t="inlineStr">
        <is>
          <t>Marketing</t>
        </is>
      </c>
      <c r="C1459" t="inlineStr">
        <is>
          <t>Pesquisa de Mercado</t>
        </is>
      </c>
      <c r="D1459" t="inlineStr">
        <is>
          <t>01/06/2026</t>
        </is>
      </c>
      <c r="E1459" t="n">
        <v>0</v>
      </c>
      <c r="F1459" t="inlineStr">
        <is>
          <t>Fabrica de Bares (2025)</t>
        </is>
      </c>
      <c r="G1459" t="b">
        <v>1</v>
      </c>
      <c r="H1459" t="inlineStr">
        <is>
          <t>6/2026</t>
        </is>
      </c>
    </row>
    <row r="1460">
      <c r="A1460" t="inlineStr">
        <is>
          <t>Nuv Gastrobar</t>
        </is>
      </c>
      <c r="B1460" t="inlineStr">
        <is>
          <t>Marketing</t>
        </is>
      </c>
      <c r="C1460" t="inlineStr">
        <is>
          <t>Pesquisa de Mercado</t>
        </is>
      </c>
      <c r="D1460" t="inlineStr">
        <is>
          <t>01/07/2026</t>
        </is>
      </c>
      <c r="E1460" t="n">
        <v>0</v>
      </c>
      <c r="F1460" t="inlineStr">
        <is>
          <t>Fabrica de Bares (2025)</t>
        </is>
      </c>
      <c r="G1460" t="b">
        <v>1</v>
      </c>
      <c r="H1460" t="inlineStr">
        <is>
          <t>7/2026</t>
        </is>
      </c>
    </row>
    <row r="1461">
      <c r="A1461" t="inlineStr">
        <is>
          <t>Nuv Gastrobar</t>
        </is>
      </c>
      <c r="B1461" t="inlineStr">
        <is>
          <t>Marketing</t>
        </is>
      </c>
      <c r="C1461" t="inlineStr">
        <is>
          <t>Pesquisa de Mercado</t>
        </is>
      </c>
      <c r="D1461" t="inlineStr">
        <is>
          <t>01/08/2026</t>
        </is>
      </c>
      <c r="E1461" t="n">
        <v>0</v>
      </c>
      <c r="F1461" t="inlineStr">
        <is>
          <t>Fabrica de Bares (2025)</t>
        </is>
      </c>
      <c r="G1461" t="b">
        <v>1</v>
      </c>
      <c r="H1461" t="inlineStr">
        <is>
          <t>8/2026</t>
        </is>
      </c>
    </row>
    <row r="1462">
      <c r="A1462" t="inlineStr">
        <is>
          <t>Nuv Gastrobar</t>
        </is>
      </c>
      <c r="B1462" t="inlineStr">
        <is>
          <t>Marketing</t>
        </is>
      </c>
      <c r="C1462" t="inlineStr">
        <is>
          <t>Pesquisa de Mercado</t>
        </is>
      </c>
      <c r="D1462" t="inlineStr">
        <is>
          <t>01/09/2026</t>
        </is>
      </c>
      <c r="E1462" t="n">
        <v>0</v>
      </c>
      <c r="F1462" t="inlineStr">
        <is>
          <t>Fabrica de Bares (2025)</t>
        </is>
      </c>
      <c r="G1462" t="b">
        <v>1</v>
      </c>
      <c r="H1462" t="inlineStr">
        <is>
          <t>9/2026</t>
        </is>
      </c>
    </row>
    <row r="1463">
      <c r="A1463" t="inlineStr">
        <is>
          <t>Nuv Gastrobar</t>
        </is>
      </c>
      <c r="B1463" t="inlineStr">
        <is>
          <t>Marketing</t>
        </is>
      </c>
      <c r="C1463" t="inlineStr">
        <is>
          <t>Pesquisa de Mercado</t>
        </is>
      </c>
      <c r="D1463" t="inlineStr">
        <is>
          <t>01/10/2026</t>
        </is>
      </c>
      <c r="E1463" t="n">
        <v>0</v>
      </c>
      <c r="F1463" t="inlineStr">
        <is>
          <t>Fabrica de Bares (2025)</t>
        </is>
      </c>
      <c r="G1463" t="b">
        <v>1</v>
      </c>
      <c r="H1463" t="inlineStr">
        <is>
          <t>10/2026</t>
        </is>
      </c>
    </row>
    <row r="1464">
      <c r="A1464" t="inlineStr">
        <is>
          <t>Nuv Gastrobar</t>
        </is>
      </c>
      <c r="B1464" t="inlineStr">
        <is>
          <t>Marketing</t>
        </is>
      </c>
      <c r="C1464" t="inlineStr">
        <is>
          <t>Pesquisa de Mercado</t>
        </is>
      </c>
      <c r="D1464" t="inlineStr">
        <is>
          <t>01/11/2026</t>
        </is>
      </c>
      <c r="E1464" t="n">
        <v>0</v>
      </c>
      <c r="F1464" t="inlineStr">
        <is>
          <t>Fabrica de Bares (2025)</t>
        </is>
      </c>
      <c r="G1464" t="b">
        <v>1</v>
      </c>
      <c r="H1464" t="inlineStr">
        <is>
          <t>11/2026</t>
        </is>
      </c>
    </row>
    <row r="1465">
      <c r="A1465" t="inlineStr">
        <is>
          <t>Nuv Gastrobar</t>
        </is>
      </c>
      <c r="B1465" t="inlineStr">
        <is>
          <t>Marketing</t>
        </is>
      </c>
      <c r="C1465" t="inlineStr">
        <is>
          <t>Pesquisa de Mercado</t>
        </is>
      </c>
      <c r="D1465" t="inlineStr">
        <is>
          <t>01/12/2026</t>
        </is>
      </c>
      <c r="E1465" t="n">
        <v>0</v>
      </c>
      <c r="F1465" t="inlineStr">
        <is>
          <t>Fabrica de Bares (2025)</t>
        </is>
      </c>
      <c r="G1465" t="b">
        <v>1</v>
      </c>
      <c r="H1465" t="inlineStr">
        <is>
          <t>12/2026</t>
        </is>
      </c>
    </row>
    <row r="1466">
      <c r="A1466" t="inlineStr">
        <is>
          <t>Nuv Gastrobar</t>
        </is>
      </c>
      <c r="B1466" t="inlineStr">
        <is>
          <t>Marketing</t>
        </is>
      </c>
      <c r="C1466" t="inlineStr">
        <is>
          <t>Produção Gráfica e Material Institucional</t>
        </is>
      </c>
      <c r="D1466" t="inlineStr">
        <is>
          <t>01/01/2026</t>
        </is>
      </c>
      <c r="E1466" t="n">
        <v>0</v>
      </c>
      <c r="F1466" t="inlineStr">
        <is>
          <t>Fabrica de Bares (2025)</t>
        </is>
      </c>
      <c r="G1466" t="b">
        <v>1</v>
      </c>
      <c r="H1466" t="inlineStr">
        <is>
          <t>1/2026</t>
        </is>
      </c>
    </row>
    <row r="1467">
      <c r="A1467" t="inlineStr">
        <is>
          <t>Nuv Gastrobar</t>
        </is>
      </c>
      <c r="B1467" t="inlineStr">
        <is>
          <t>Marketing</t>
        </is>
      </c>
      <c r="C1467" t="inlineStr">
        <is>
          <t>Produção Gráfica e Material Institucional</t>
        </is>
      </c>
      <c r="D1467" t="inlineStr">
        <is>
          <t>01/02/2026</t>
        </is>
      </c>
      <c r="E1467" t="n">
        <v>0</v>
      </c>
      <c r="F1467" t="inlineStr">
        <is>
          <t>Fabrica de Bares (2025)</t>
        </is>
      </c>
      <c r="G1467" t="b">
        <v>1</v>
      </c>
      <c r="H1467" t="inlineStr">
        <is>
          <t>2/2026</t>
        </is>
      </c>
    </row>
    <row r="1468">
      <c r="A1468" t="inlineStr">
        <is>
          <t>Nuv Gastrobar</t>
        </is>
      </c>
      <c r="B1468" t="inlineStr">
        <is>
          <t>Marketing</t>
        </is>
      </c>
      <c r="C1468" t="inlineStr">
        <is>
          <t>Produção Gráfica e Material Institucional</t>
        </is>
      </c>
      <c r="D1468" t="inlineStr">
        <is>
          <t>01/03/2026</t>
        </is>
      </c>
      <c r="E1468" t="n">
        <v>0</v>
      </c>
      <c r="F1468" t="inlineStr">
        <is>
          <t>Fabrica de Bares (2025)</t>
        </is>
      </c>
      <c r="G1468" t="b">
        <v>1</v>
      </c>
      <c r="H1468" t="inlineStr">
        <is>
          <t>3/2026</t>
        </is>
      </c>
    </row>
    <row r="1469">
      <c r="A1469" t="inlineStr">
        <is>
          <t>Nuv Gastrobar</t>
        </is>
      </c>
      <c r="B1469" t="inlineStr">
        <is>
          <t>Marketing</t>
        </is>
      </c>
      <c r="C1469" t="inlineStr">
        <is>
          <t>Produção Gráfica e Material Institucional</t>
        </is>
      </c>
      <c r="D1469" t="inlineStr">
        <is>
          <t>01/04/2026</t>
        </is>
      </c>
      <c r="E1469" t="n">
        <v>0</v>
      </c>
      <c r="F1469" t="inlineStr">
        <is>
          <t>Fabrica de Bares (2025)</t>
        </is>
      </c>
      <c r="G1469" t="b">
        <v>1</v>
      </c>
      <c r="H1469" t="inlineStr">
        <is>
          <t>4/2026</t>
        </is>
      </c>
    </row>
    <row r="1470">
      <c r="A1470" t="inlineStr">
        <is>
          <t>Nuv Gastrobar</t>
        </is>
      </c>
      <c r="B1470" t="inlineStr">
        <is>
          <t>Marketing</t>
        </is>
      </c>
      <c r="C1470" t="inlineStr">
        <is>
          <t>Produção Gráfica e Material Institucional</t>
        </is>
      </c>
      <c r="D1470" t="inlineStr">
        <is>
          <t>01/05/2026</t>
        </is>
      </c>
      <c r="E1470" t="n">
        <v>0</v>
      </c>
      <c r="F1470" t="inlineStr">
        <is>
          <t>Fabrica de Bares (2025)</t>
        </is>
      </c>
      <c r="G1470" t="b">
        <v>1</v>
      </c>
      <c r="H1470" t="inlineStr">
        <is>
          <t>5/2026</t>
        </is>
      </c>
    </row>
    <row r="1471">
      <c r="A1471" t="inlineStr">
        <is>
          <t>Nuv Gastrobar</t>
        </is>
      </c>
      <c r="B1471" t="inlineStr">
        <is>
          <t>Marketing</t>
        </is>
      </c>
      <c r="C1471" t="inlineStr">
        <is>
          <t>Produção Gráfica e Material Institucional</t>
        </is>
      </c>
      <c r="D1471" t="inlineStr">
        <is>
          <t>01/06/2026</t>
        </is>
      </c>
      <c r="E1471" t="n">
        <v>0</v>
      </c>
      <c r="F1471" t="inlineStr">
        <is>
          <t>Fabrica de Bares (2025)</t>
        </is>
      </c>
      <c r="G1471" t="b">
        <v>1</v>
      </c>
      <c r="H1471" t="inlineStr">
        <is>
          <t>6/2026</t>
        </is>
      </c>
    </row>
    <row r="1472">
      <c r="A1472" t="inlineStr">
        <is>
          <t>Nuv Gastrobar</t>
        </is>
      </c>
      <c r="B1472" t="inlineStr">
        <is>
          <t>Marketing</t>
        </is>
      </c>
      <c r="C1472" t="inlineStr">
        <is>
          <t>Produção Gráfica e Material Institucional</t>
        </is>
      </c>
      <c r="D1472" t="inlineStr">
        <is>
          <t>01/07/2026</t>
        </is>
      </c>
      <c r="E1472" t="n">
        <v>0</v>
      </c>
      <c r="F1472" t="inlineStr">
        <is>
          <t>Fabrica de Bares (2025)</t>
        </is>
      </c>
      <c r="G1472" t="b">
        <v>1</v>
      </c>
      <c r="H1472" t="inlineStr">
        <is>
          <t>7/2026</t>
        </is>
      </c>
    </row>
    <row r="1473">
      <c r="A1473" t="inlineStr">
        <is>
          <t>Nuv Gastrobar</t>
        </is>
      </c>
      <c r="B1473" t="inlineStr">
        <is>
          <t>Marketing</t>
        </is>
      </c>
      <c r="C1473" t="inlineStr">
        <is>
          <t>Produção Gráfica e Material Institucional</t>
        </is>
      </c>
      <c r="D1473" t="inlineStr">
        <is>
          <t>01/08/2026</t>
        </is>
      </c>
      <c r="E1473" t="n">
        <v>0</v>
      </c>
      <c r="F1473" t="inlineStr">
        <is>
          <t>Fabrica de Bares (2025)</t>
        </is>
      </c>
      <c r="G1473" t="b">
        <v>1</v>
      </c>
      <c r="H1473" t="inlineStr">
        <is>
          <t>8/2026</t>
        </is>
      </c>
    </row>
    <row r="1474">
      <c r="A1474" t="inlineStr">
        <is>
          <t>Nuv Gastrobar</t>
        </is>
      </c>
      <c r="B1474" t="inlineStr">
        <is>
          <t>Marketing</t>
        </is>
      </c>
      <c r="C1474" t="inlineStr">
        <is>
          <t>Produção Gráfica e Material Institucional</t>
        </is>
      </c>
      <c r="D1474" t="inlineStr">
        <is>
          <t>01/09/2026</t>
        </is>
      </c>
      <c r="E1474" t="n">
        <v>0</v>
      </c>
      <c r="F1474" t="inlineStr">
        <is>
          <t>Fabrica de Bares (2025)</t>
        </is>
      </c>
      <c r="G1474" t="b">
        <v>1</v>
      </c>
      <c r="H1474" t="inlineStr">
        <is>
          <t>9/2026</t>
        </is>
      </c>
    </row>
    <row r="1475">
      <c r="A1475" t="inlineStr">
        <is>
          <t>Nuv Gastrobar</t>
        </is>
      </c>
      <c r="B1475" t="inlineStr">
        <is>
          <t>Marketing</t>
        </is>
      </c>
      <c r="C1475" t="inlineStr">
        <is>
          <t>Produção Gráfica e Material Institucional</t>
        </is>
      </c>
      <c r="D1475" t="inlineStr">
        <is>
          <t>01/10/2026</t>
        </is>
      </c>
      <c r="E1475" t="n">
        <v>0</v>
      </c>
      <c r="F1475" t="inlineStr">
        <is>
          <t>Fabrica de Bares (2025)</t>
        </is>
      </c>
      <c r="G1475" t="b">
        <v>1</v>
      </c>
      <c r="H1475" t="inlineStr">
        <is>
          <t>10/2026</t>
        </is>
      </c>
    </row>
    <row r="1476">
      <c r="A1476" t="inlineStr">
        <is>
          <t>Nuv Gastrobar</t>
        </is>
      </c>
      <c r="B1476" t="inlineStr">
        <is>
          <t>Marketing</t>
        </is>
      </c>
      <c r="C1476" t="inlineStr">
        <is>
          <t>Produção Gráfica e Material Institucional</t>
        </is>
      </c>
      <c r="D1476" t="inlineStr">
        <is>
          <t>01/11/2026</t>
        </is>
      </c>
      <c r="E1476" t="n">
        <v>0</v>
      </c>
      <c r="F1476" t="inlineStr">
        <is>
          <t>Fabrica de Bares (2025)</t>
        </is>
      </c>
      <c r="G1476" t="b">
        <v>1</v>
      </c>
      <c r="H1476" t="inlineStr">
        <is>
          <t>11/2026</t>
        </is>
      </c>
    </row>
    <row r="1477">
      <c r="A1477" t="inlineStr">
        <is>
          <t>Nuv Gastrobar</t>
        </is>
      </c>
      <c r="B1477" t="inlineStr">
        <is>
          <t>Marketing</t>
        </is>
      </c>
      <c r="C1477" t="inlineStr">
        <is>
          <t>Produção Gráfica e Material Institucional</t>
        </is>
      </c>
      <c r="D1477" t="inlineStr">
        <is>
          <t>01/12/2026</t>
        </is>
      </c>
      <c r="E1477" t="n">
        <v>0</v>
      </c>
      <c r="F1477" t="inlineStr">
        <is>
          <t>Fabrica de Bares (2025)</t>
        </is>
      </c>
      <c r="G1477" t="b">
        <v>1</v>
      </c>
      <c r="H1477" t="inlineStr">
        <is>
          <t>12/2026</t>
        </is>
      </c>
    </row>
    <row r="1478">
      <c r="A1478" t="inlineStr">
        <is>
          <t>Nuv Gastrobar</t>
        </is>
      </c>
      <c r="B1478" t="inlineStr">
        <is>
          <t>Marketing</t>
        </is>
      </c>
      <c r="C1478" t="inlineStr">
        <is>
          <t>Publicidade e Propaganda</t>
        </is>
      </c>
      <c r="D1478" t="inlineStr">
        <is>
          <t>01/01/2026</t>
        </is>
      </c>
      <c r="E1478" t="n">
        <v>0</v>
      </c>
      <c r="F1478" t="inlineStr">
        <is>
          <t>Fabrica de Bares (2025)</t>
        </is>
      </c>
      <c r="G1478" t="b">
        <v>1</v>
      </c>
      <c r="H1478" t="inlineStr">
        <is>
          <t>1/2026</t>
        </is>
      </c>
    </row>
    <row r="1479">
      <c r="A1479" t="inlineStr">
        <is>
          <t>Nuv Gastrobar</t>
        </is>
      </c>
      <c r="B1479" t="inlineStr">
        <is>
          <t>Marketing</t>
        </is>
      </c>
      <c r="C1479" t="inlineStr">
        <is>
          <t>Publicidade e Propaganda</t>
        </is>
      </c>
      <c r="D1479" t="inlineStr">
        <is>
          <t>01/02/2026</t>
        </is>
      </c>
      <c r="E1479" t="n">
        <v>0</v>
      </c>
      <c r="F1479" t="inlineStr">
        <is>
          <t>Fabrica de Bares (2025)</t>
        </is>
      </c>
      <c r="G1479" t="b">
        <v>1</v>
      </c>
      <c r="H1479" t="inlineStr">
        <is>
          <t>2/2026</t>
        </is>
      </c>
    </row>
    <row r="1480">
      <c r="A1480" t="inlineStr">
        <is>
          <t>Nuv Gastrobar</t>
        </is>
      </c>
      <c r="B1480" t="inlineStr">
        <is>
          <t>Marketing</t>
        </is>
      </c>
      <c r="C1480" t="inlineStr">
        <is>
          <t>Publicidade e Propaganda</t>
        </is>
      </c>
      <c r="D1480" t="inlineStr">
        <is>
          <t>01/03/2026</t>
        </is>
      </c>
      <c r="E1480" t="n">
        <v>0</v>
      </c>
      <c r="F1480" t="inlineStr">
        <is>
          <t>Fabrica de Bares (2025)</t>
        </is>
      </c>
      <c r="G1480" t="b">
        <v>1</v>
      </c>
      <c r="H1480" t="inlineStr">
        <is>
          <t>3/2026</t>
        </is>
      </c>
    </row>
    <row r="1481">
      <c r="A1481" t="inlineStr">
        <is>
          <t>Nuv Gastrobar</t>
        </is>
      </c>
      <c r="B1481" t="inlineStr">
        <is>
          <t>Marketing</t>
        </is>
      </c>
      <c r="C1481" t="inlineStr">
        <is>
          <t>Publicidade e Propaganda</t>
        </is>
      </c>
      <c r="D1481" t="inlineStr">
        <is>
          <t>01/04/2026</t>
        </is>
      </c>
      <c r="E1481" t="n">
        <v>0</v>
      </c>
      <c r="F1481" t="inlineStr">
        <is>
          <t>Fabrica de Bares (2025)</t>
        </is>
      </c>
      <c r="G1481" t="b">
        <v>1</v>
      </c>
      <c r="H1481" t="inlineStr">
        <is>
          <t>4/2026</t>
        </is>
      </c>
    </row>
    <row r="1482">
      <c r="A1482" t="inlineStr">
        <is>
          <t>Nuv Gastrobar</t>
        </is>
      </c>
      <c r="B1482" t="inlineStr">
        <is>
          <t>Marketing</t>
        </is>
      </c>
      <c r="C1482" t="inlineStr">
        <is>
          <t>Publicidade e Propaganda</t>
        </is>
      </c>
      <c r="D1482" t="inlineStr">
        <is>
          <t>01/05/2026</t>
        </is>
      </c>
      <c r="E1482" t="n">
        <v>0</v>
      </c>
      <c r="F1482" t="inlineStr">
        <is>
          <t>Fabrica de Bares (2025)</t>
        </is>
      </c>
      <c r="G1482" t="b">
        <v>1</v>
      </c>
      <c r="H1482" t="inlineStr">
        <is>
          <t>5/2026</t>
        </is>
      </c>
    </row>
    <row r="1483">
      <c r="A1483" t="inlineStr">
        <is>
          <t>Nuv Gastrobar</t>
        </is>
      </c>
      <c r="B1483" t="inlineStr">
        <is>
          <t>Marketing</t>
        </is>
      </c>
      <c r="C1483" t="inlineStr">
        <is>
          <t>Publicidade e Propaganda</t>
        </is>
      </c>
      <c r="D1483" t="inlineStr">
        <is>
          <t>01/06/2026</t>
        </is>
      </c>
      <c r="E1483" t="n">
        <v>0</v>
      </c>
      <c r="F1483" t="inlineStr">
        <is>
          <t>Fabrica de Bares (2025)</t>
        </is>
      </c>
      <c r="G1483" t="b">
        <v>1</v>
      </c>
      <c r="H1483" t="inlineStr">
        <is>
          <t>6/2026</t>
        </is>
      </c>
    </row>
    <row r="1484">
      <c r="A1484" t="inlineStr">
        <is>
          <t>Nuv Gastrobar</t>
        </is>
      </c>
      <c r="B1484" t="inlineStr">
        <is>
          <t>Marketing</t>
        </is>
      </c>
      <c r="C1484" t="inlineStr">
        <is>
          <t>Publicidade e Propaganda</t>
        </is>
      </c>
      <c r="D1484" t="inlineStr">
        <is>
          <t>01/07/2026</t>
        </is>
      </c>
      <c r="E1484" t="n">
        <v>0</v>
      </c>
      <c r="F1484" t="inlineStr">
        <is>
          <t>Fabrica de Bares (2025)</t>
        </is>
      </c>
      <c r="G1484" t="b">
        <v>1</v>
      </c>
      <c r="H1484" t="inlineStr">
        <is>
          <t>7/2026</t>
        </is>
      </c>
    </row>
    <row r="1485">
      <c r="A1485" t="inlineStr">
        <is>
          <t>Nuv Gastrobar</t>
        </is>
      </c>
      <c r="B1485" t="inlineStr">
        <is>
          <t>Marketing</t>
        </is>
      </c>
      <c r="C1485" t="inlineStr">
        <is>
          <t>Publicidade e Propaganda</t>
        </is>
      </c>
      <c r="D1485" t="inlineStr">
        <is>
          <t>01/08/2026</t>
        </is>
      </c>
      <c r="E1485" t="n">
        <v>0</v>
      </c>
      <c r="F1485" t="inlineStr">
        <is>
          <t>Fabrica de Bares (2025)</t>
        </is>
      </c>
      <c r="G1485" t="b">
        <v>1</v>
      </c>
      <c r="H1485" t="inlineStr">
        <is>
          <t>8/2026</t>
        </is>
      </c>
    </row>
    <row r="1486">
      <c r="A1486" t="inlineStr">
        <is>
          <t>Nuv Gastrobar</t>
        </is>
      </c>
      <c r="B1486" t="inlineStr">
        <is>
          <t>Marketing</t>
        </is>
      </c>
      <c r="C1486" t="inlineStr">
        <is>
          <t>Publicidade e Propaganda</t>
        </is>
      </c>
      <c r="D1486" t="inlineStr">
        <is>
          <t>01/09/2026</t>
        </is>
      </c>
      <c r="E1486" t="n">
        <v>0</v>
      </c>
      <c r="F1486" t="inlineStr">
        <is>
          <t>Fabrica de Bares (2025)</t>
        </is>
      </c>
      <c r="G1486" t="b">
        <v>1</v>
      </c>
      <c r="H1486" t="inlineStr">
        <is>
          <t>9/2026</t>
        </is>
      </c>
    </row>
    <row r="1487">
      <c r="A1487" t="inlineStr">
        <is>
          <t>Nuv Gastrobar</t>
        </is>
      </c>
      <c r="B1487" t="inlineStr">
        <is>
          <t>Marketing</t>
        </is>
      </c>
      <c r="C1487" t="inlineStr">
        <is>
          <t>Publicidade e Propaganda</t>
        </is>
      </c>
      <c r="D1487" t="inlineStr">
        <is>
          <t>01/10/2026</t>
        </is>
      </c>
      <c r="E1487" t="n">
        <v>0</v>
      </c>
      <c r="F1487" t="inlineStr">
        <is>
          <t>Fabrica de Bares (2025)</t>
        </is>
      </c>
      <c r="G1487" t="b">
        <v>1</v>
      </c>
      <c r="H1487" t="inlineStr">
        <is>
          <t>10/2026</t>
        </is>
      </c>
    </row>
    <row r="1488">
      <c r="A1488" t="inlineStr">
        <is>
          <t>Nuv Gastrobar</t>
        </is>
      </c>
      <c r="B1488" t="inlineStr">
        <is>
          <t>Marketing</t>
        </is>
      </c>
      <c r="C1488" t="inlineStr">
        <is>
          <t>Publicidade e Propaganda</t>
        </is>
      </c>
      <c r="D1488" t="inlineStr">
        <is>
          <t>01/11/2026</t>
        </is>
      </c>
      <c r="E1488" t="n">
        <v>0</v>
      </c>
      <c r="F1488" t="inlineStr">
        <is>
          <t>Fabrica de Bares (2025)</t>
        </is>
      </c>
      <c r="G1488" t="b">
        <v>1</v>
      </c>
      <c r="H1488" t="inlineStr">
        <is>
          <t>11/2026</t>
        </is>
      </c>
    </row>
    <row r="1489">
      <c r="A1489" t="inlineStr">
        <is>
          <t>Nuv Gastrobar</t>
        </is>
      </c>
      <c r="B1489" t="inlineStr">
        <is>
          <t>Marketing</t>
        </is>
      </c>
      <c r="C1489" t="inlineStr">
        <is>
          <t>Publicidade e Propaganda</t>
        </is>
      </c>
      <c r="D1489" t="inlineStr">
        <is>
          <t>01/12/2026</t>
        </is>
      </c>
      <c r="E1489" t="n">
        <v>0</v>
      </c>
      <c r="F1489" t="inlineStr">
        <is>
          <t>Fabrica de Bares (2025)</t>
        </is>
      </c>
      <c r="G1489" t="b">
        <v>1</v>
      </c>
      <c r="H1489" t="inlineStr">
        <is>
          <t>12/2026</t>
        </is>
      </c>
    </row>
    <row r="1490">
      <c r="A1490" t="inlineStr">
        <is>
          <t>Nuv Gastrobar</t>
        </is>
      </c>
      <c r="B1490" t="inlineStr">
        <is>
          <t>Marketing</t>
        </is>
      </c>
      <c r="C1490" t="inlineStr">
        <is>
          <t>Sessão de Fotos/Captação de Vídeo</t>
        </is>
      </c>
      <c r="D1490" t="inlineStr">
        <is>
          <t>01/01/2026</t>
        </is>
      </c>
      <c r="E1490" t="n">
        <v>0</v>
      </c>
      <c r="F1490" t="inlineStr">
        <is>
          <t>Fabrica de Bares (2025)</t>
        </is>
      </c>
      <c r="G1490" t="b">
        <v>1</v>
      </c>
      <c r="H1490" t="inlineStr">
        <is>
          <t>1/2026</t>
        </is>
      </c>
    </row>
    <row r="1491">
      <c r="A1491" t="inlineStr">
        <is>
          <t>Nuv Gastrobar</t>
        </is>
      </c>
      <c r="B1491" t="inlineStr">
        <is>
          <t>Marketing</t>
        </is>
      </c>
      <c r="C1491" t="inlineStr">
        <is>
          <t>Sessão de Fotos/Captação de Vídeo</t>
        </is>
      </c>
      <c r="D1491" t="inlineStr">
        <is>
          <t>01/02/2026</t>
        </is>
      </c>
      <c r="E1491" t="n">
        <v>0</v>
      </c>
      <c r="F1491" t="inlineStr">
        <is>
          <t>Fabrica de Bares (2025)</t>
        </is>
      </c>
      <c r="G1491" t="b">
        <v>1</v>
      </c>
      <c r="H1491" t="inlineStr">
        <is>
          <t>2/2026</t>
        </is>
      </c>
    </row>
    <row r="1492">
      <c r="A1492" t="inlineStr">
        <is>
          <t>Nuv Gastrobar</t>
        </is>
      </c>
      <c r="B1492" t="inlineStr">
        <is>
          <t>Marketing</t>
        </is>
      </c>
      <c r="C1492" t="inlineStr">
        <is>
          <t>Sessão de Fotos/Captação de Vídeo</t>
        </is>
      </c>
      <c r="D1492" t="inlineStr">
        <is>
          <t>01/03/2026</t>
        </is>
      </c>
      <c r="E1492" t="n">
        <v>0</v>
      </c>
      <c r="F1492" t="inlineStr">
        <is>
          <t>Fabrica de Bares (2025)</t>
        </is>
      </c>
      <c r="G1492" t="b">
        <v>1</v>
      </c>
      <c r="H1492" t="inlineStr">
        <is>
          <t>3/2026</t>
        </is>
      </c>
    </row>
    <row r="1493">
      <c r="A1493" t="inlineStr">
        <is>
          <t>Nuv Gastrobar</t>
        </is>
      </c>
      <c r="B1493" t="inlineStr">
        <is>
          <t>Marketing</t>
        </is>
      </c>
      <c r="C1493" t="inlineStr">
        <is>
          <t>Sessão de Fotos/Captação de Vídeo</t>
        </is>
      </c>
      <c r="D1493" t="inlineStr">
        <is>
          <t>01/04/2026</t>
        </is>
      </c>
      <c r="E1493" t="n">
        <v>0</v>
      </c>
      <c r="F1493" t="inlineStr">
        <is>
          <t>Fabrica de Bares (2025)</t>
        </is>
      </c>
      <c r="G1493" t="b">
        <v>1</v>
      </c>
      <c r="H1493" t="inlineStr">
        <is>
          <t>4/2026</t>
        </is>
      </c>
    </row>
    <row r="1494">
      <c r="A1494" t="inlineStr">
        <is>
          <t>Nuv Gastrobar</t>
        </is>
      </c>
      <c r="B1494" t="inlineStr">
        <is>
          <t>Marketing</t>
        </is>
      </c>
      <c r="C1494" t="inlineStr">
        <is>
          <t>Sessão de Fotos/Captação de Vídeo</t>
        </is>
      </c>
      <c r="D1494" t="inlineStr">
        <is>
          <t>01/05/2026</t>
        </is>
      </c>
      <c r="E1494" t="n">
        <v>0</v>
      </c>
      <c r="F1494" t="inlineStr">
        <is>
          <t>Fabrica de Bares (2025)</t>
        </is>
      </c>
      <c r="G1494" t="b">
        <v>1</v>
      </c>
      <c r="H1494" t="inlineStr">
        <is>
          <t>5/2026</t>
        </is>
      </c>
    </row>
    <row r="1495">
      <c r="A1495" t="inlineStr">
        <is>
          <t>Nuv Gastrobar</t>
        </is>
      </c>
      <c r="B1495" t="inlineStr">
        <is>
          <t>Marketing</t>
        </is>
      </c>
      <c r="C1495" t="inlineStr">
        <is>
          <t>Sessão de Fotos/Captação de Vídeo</t>
        </is>
      </c>
      <c r="D1495" t="inlineStr">
        <is>
          <t>01/06/2026</t>
        </is>
      </c>
      <c r="E1495" t="n">
        <v>0</v>
      </c>
      <c r="F1495" t="inlineStr">
        <is>
          <t>Fabrica de Bares (2025)</t>
        </is>
      </c>
      <c r="G1495" t="b">
        <v>1</v>
      </c>
      <c r="H1495" t="inlineStr">
        <is>
          <t>6/2026</t>
        </is>
      </c>
    </row>
    <row r="1496">
      <c r="A1496" t="inlineStr">
        <is>
          <t>Nuv Gastrobar</t>
        </is>
      </c>
      <c r="B1496" t="inlineStr">
        <is>
          <t>Marketing</t>
        </is>
      </c>
      <c r="C1496" t="inlineStr">
        <is>
          <t>Sessão de Fotos/Captação de Vídeo</t>
        </is>
      </c>
      <c r="D1496" t="inlineStr">
        <is>
          <t>01/07/2026</t>
        </is>
      </c>
      <c r="E1496" t="n">
        <v>0</v>
      </c>
      <c r="F1496" t="inlineStr">
        <is>
          <t>Fabrica de Bares (2025)</t>
        </is>
      </c>
      <c r="G1496" t="b">
        <v>1</v>
      </c>
      <c r="H1496" t="inlineStr">
        <is>
          <t>7/2026</t>
        </is>
      </c>
    </row>
    <row r="1497">
      <c r="A1497" t="inlineStr">
        <is>
          <t>Nuv Gastrobar</t>
        </is>
      </c>
      <c r="B1497" t="inlineStr">
        <is>
          <t>Marketing</t>
        </is>
      </c>
      <c r="C1497" t="inlineStr">
        <is>
          <t>Sessão de Fotos/Captação de Vídeo</t>
        </is>
      </c>
      <c r="D1497" t="inlineStr">
        <is>
          <t>01/08/2026</t>
        </is>
      </c>
      <c r="E1497" t="n">
        <v>0</v>
      </c>
      <c r="F1497" t="inlineStr">
        <is>
          <t>Fabrica de Bares (2025)</t>
        </is>
      </c>
      <c r="G1497" t="b">
        <v>1</v>
      </c>
      <c r="H1497" t="inlineStr">
        <is>
          <t>8/2026</t>
        </is>
      </c>
    </row>
    <row r="1498">
      <c r="A1498" t="inlineStr">
        <is>
          <t>Nuv Gastrobar</t>
        </is>
      </c>
      <c r="B1498" t="inlineStr">
        <is>
          <t>Marketing</t>
        </is>
      </c>
      <c r="C1498" t="inlineStr">
        <is>
          <t>Sessão de Fotos/Captação de Vídeo</t>
        </is>
      </c>
      <c r="D1498" t="inlineStr">
        <is>
          <t>01/09/2026</t>
        </is>
      </c>
      <c r="E1498" t="n">
        <v>0</v>
      </c>
      <c r="F1498" t="inlineStr">
        <is>
          <t>Fabrica de Bares (2025)</t>
        </is>
      </c>
      <c r="G1498" t="b">
        <v>1</v>
      </c>
      <c r="H1498" t="inlineStr">
        <is>
          <t>9/2026</t>
        </is>
      </c>
    </row>
    <row r="1499">
      <c r="A1499" t="inlineStr">
        <is>
          <t>Nuv Gastrobar</t>
        </is>
      </c>
      <c r="B1499" t="inlineStr">
        <is>
          <t>Marketing</t>
        </is>
      </c>
      <c r="C1499" t="inlineStr">
        <is>
          <t>Sessão de Fotos/Captação de Vídeo</t>
        </is>
      </c>
      <c r="D1499" t="inlineStr">
        <is>
          <t>01/10/2026</t>
        </is>
      </c>
      <c r="E1499" t="n">
        <v>0</v>
      </c>
      <c r="F1499" t="inlineStr">
        <is>
          <t>Fabrica de Bares (2025)</t>
        </is>
      </c>
      <c r="G1499" t="b">
        <v>1</v>
      </c>
      <c r="H1499" t="inlineStr">
        <is>
          <t>10/2026</t>
        </is>
      </c>
    </row>
    <row r="1500">
      <c r="A1500" t="inlineStr">
        <is>
          <t>Nuv Gastrobar</t>
        </is>
      </c>
      <c r="B1500" t="inlineStr">
        <is>
          <t>Marketing</t>
        </is>
      </c>
      <c r="C1500" t="inlineStr">
        <is>
          <t>Sessão de Fotos/Captação de Vídeo</t>
        </is>
      </c>
      <c r="D1500" t="inlineStr">
        <is>
          <t>01/11/2026</t>
        </is>
      </c>
      <c r="E1500" t="n">
        <v>0</v>
      </c>
      <c r="F1500" t="inlineStr">
        <is>
          <t>Fabrica de Bares (2025)</t>
        </is>
      </c>
      <c r="G1500" t="b">
        <v>1</v>
      </c>
      <c r="H1500" t="inlineStr">
        <is>
          <t>11/2026</t>
        </is>
      </c>
    </row>
    <row r="1501">
      <c r="A1501" t="inlineStr">
        <is>
          <t>Nuv Gastrobar</t>
        </is>
      </c>
      <c r="B1501" t="inlineStr">
        <is>
          <t>Marketing</t>
        </is>
      </c>
      <c r="C1501" t="inlineStr">
        <is>
          <t>Sessão de Fotos/Captação de Vídeo</t>
        </is>
      </c>
      <c r="D1501" t="inlineStr">
        <is>
          <t>01/12/2026</t>
        </is>
      </c>
      <c r="E1501" t="n">
        <v>0</v>
      </c>
      <c r="F1501" t="inlineStr">
        <is>
          <t>Fabrica de Bares (2025)</t>
        </is>
      </c>
      <c r="G1501" t="b">
        <v>1</v>
      </c>
      <c r="H1501" t="inlineStr">
        <is>
          <t>12/2026</t>
        </is>
      </c>
    </row>
    <row r="1502">
      <c r="A1502" t="inlineStr">
        <is>
          <t>Nuv Gastrobar</t>
        </is>
      </c>
      <c r="B1502" t="inlineStr">
        <is>
          <t>Patrocínio</t>
        </is>
      </c>
      <c r="C1502" t="inlineStr">
        <is>
          <t>(-) Despesas de Patrocínio</t>
        </is>
      </c>
      <c r="D1502" t="inlineStr">
        <is>
          <t>01/01/2026</t>
        </is>
      </c>
      <c r="E1502" t="n">
        <v>0</v>
      </c>
      <c r="F1502" t="inlineStr">
        <is>
          <t>Fabrica de Bares (2025)</t>
        </is>
      </c>
      <c r="G1502" t="b">
        <v>1</v>
      </c>
      <c r="H1502" t="inlineStr">
        <is>
          <t>1/2026</t>
        </is>
      </c>
    </row>
    <row r="1503">
      <c r="A1503" t="inlineStr">
        <is>
          <t>Nuv Gastrobar</t>
        </is>
      </c>
      <c r="B1503" t="inlineStr">
        <is>
          <t>Patrocínio</t>
        </is>
      </c>
      <c r="C1503" t="inlineStr">
        <is>
          <t>(-) Despesas de Patrocínio</t>
        </is>
      </c>
      <c r="D1503" t="inlineStr">
        <is>
          <t>01/02/2026</t>
        </is>
      </c>
      <c r="E1503" t="n">
        <v>0</v>
      </c>
      <c r="F1503" t="inlineStr">
        <is>
          <t>Fabrica de Bares (2025)</t>
        </is>
      </c>
      <c r="G1503" t="b">
        <v>1</v>
      </c>
      <c r="H1503" t="inlineStr">
        <is>
          <t>2/2026</t>
        </is>
      </c>
    </row>
    <row r="1504">
      <c r="A1504" t="inlineStr">
        <is>
          <t>Nuv Gastrobar</t>
        </is>
      </c>
      <c r="B1504" t="inlineStr">
        <is>
          <t>Patrocínio</t>
        </is>
      </c>
      <c r="C1504" t="inlineStr">
        <is>
          <t>(-) Despesas de Patrocínio</t>
        </is>
      </c>
      <c r="D1504" t="inlineStr">
        <is>
          <t>01/03/2026</t>
        </is>
      </c>
      <c r="E1504" t="n">
        <v>0</v>
      </c>
      <c r="F1504" t="inlineStr">
        <is>
          <t>Fabrica de Bares (2025)</t>
        </is>
      </c>
      <c r="G1504" t="b">
        <v>1</v>
      </c>
      <c r="H1504" t="inlineStr">
        <is>
          <t>3/2026</t>
        </is>
      </c>
    </row>
    <row r="1505">
      <c r="A1505" t="inlineStr">
        <is>
          <t>Nuv Gastrobar</t>
        </is>
      </c>
      <c r="B1505" t="inlineStr">
        <is>
          <t>Patrocínio</t>
        </is>
      </c>
      <c r="C1505" t="inlineStr">
        <is>
          <t>(-) Despesas de Patrocínio</t>
        </is>
      </c>
      <c r="D1505" t="inlineStr">
        <is>
          <t>01/04/2026</t>
        </is>
      </c>
      <c r="E1505" t="n">
        <v>0</v>
      </c>
      <c r="F1505" t="inlineStr">
        <is>
          <t>Fabrica de Bares (2025)</t>
        </is>
      </c>
      <c r="G1505" t="b">
        <v>1</v>
      </c>
      <c r="H1505" t="inlineStr">
        <is>
          <t>4/2026</t>
        </is>
      </c>
    </row>
    <row r="1506">
      <c r="A1506" t="inlineStr">
        <is>
          <t>Nuv Gastrobar</t>
        </is>
      </c>
      <c r="B1506" t="inlineStr">
        <is>
          <t>Patrocínio</t>
        </is>
      </c>
      <c r="C1506" t="inlineStr">
        <is>
          <t>(-) Despesas de Patrocínio</t>
        </is>
      </c>
      <c r="D1506" t="inlineStr">
        <is>
          <t>01/05/2026</t>
        </is>
      </c>
      <c r="E1506" t="n">
        <v>0</v>
      </c>
      <c r="F1506" t="inlineStr">
        <is>
          <t>Fabrica de Bares (2025)</t>
        </is>
      </c>
      <c r="G1506" t="b">
        <v>1</v>
      </c>
      <c r="H1506" t="inlineStr">
        <is>
          <t>5/2026</t>
        </is>
      </c>
    </row>
    <row r="1507">
      <c r="A1507" t="inlineStr">
        <is>
          <t>Nuv Gastrobar</t>
        </is>
      </c>
      <c r="B1507" t="inlineStr">
        <is>
          <t>Patrocínio</t>
        </is>
      </c>
      <c r="C1507" t="inlineStr">
        <is>
          <t>(-) Despesas de Patrocínio</t>
        </is>
      </c>
      <c r="D1507" t="inlineStr">
        <is>
          <t>01/06/2026</t>
        </is>
      </c>
      <c r="E1507" t="n">
        <v>0</v>
      </c>
      <c r="F1507" t="inlineStr">
        <is>
          <t>Fabrica de Bares (2025)</t>
        </is>
      </c>
      <c r="G1507" t="b">
        <v>1</v>
      </c>
      <c r="H1507" t="inlineStr">
        <is>
          <t>6/2026</t>
        </is>
      </c>
    </row>
    <row r="1508">
      <c r="A1508" t="inlineStr">
        <is>
          <t>Nuv Gastrobar</t>
        </is>
      </c>
      <c r="B1508" t="inlineStr">
        <is>
          <t>Patrocínio</t>
        </is>
      </c>
      <c r="C1508" t="inlineStr">
        <is>
          <t>(-) Despesas de Patrocínio</t>
        </is>
      </c>
      <c r="D1508" t="inlineStr">
        <is>
          <t>01/07/2026</t>
        </is>
      </c>
      <c r="E1508" t="n">
        <v>0</v>
      </c>
      <c r="F1508" t="inlineStr">
        <is>
          <t>Fabrica de Bares (2025)</t>
        </is>
      </c>
      <c r="G1508" t="b">
        <v>1</v>
      </c>
      <c r="H1508" t="inlineStr">
        <is>
          <t>7/2026</t>
        </is>
      </c>
    </row>
    <row r="1509">
      <c r="A1509" t="inlineStr">
        <is>
          <t>Nuv Gastrobar</t>
        </is>
      </c>
      <c r="B1509" t="inlineStr">
        <is>
          <t>Patrocínio</t>
        </is>
      </c>
      <c r="C1509" t="inlineStr">
        <is>
          <t>(-) Despesas de Patrocínio</t>
        </is>
      </c>
      <c r="D1509" t="inlineStr">
        <is>
          <t>01/08/2026</t>
        </is>
      </c>
      <c r="E1509" t="n">
        <v>0</v>
      </c>
      <c r="F1509" t="inlineStr">
        <is>
          <t>Fabrica de Bares (2025)</t>
        </is>
      </c>
      <c r="G1509" t="b">
        <v>1</v>
      </c>
      <c r="H1509" t="inlineStr">
        <is>
          <t>8/2026</t>
        </is>
      </c>
    </row>
    <row r="1510">
      <c r="A1510" t="inlineStr">
        <is>
          <t>Nuv Gastrobar</t>
        </is>
      </c>
      <c r="B1510" t="inlineStr">
        <is>
          <t>Patrocínio</t>
        </is>
      </c>
      <c r="C1510" t="inlineStr">
        <is>
          <t>(-) Despesas de Patrocínio</t>
        </is>
      </c>
      <c r="D1510" t="inlineStr">
        <is>
          <t>01/09/2026</t>
        </is>
      </c>
      <c r="E1510" t="n">
        <v>0</v>
      </c>
      <c r="F1510" t="inlineStr">
        <is>
          <t>Fabrica de Bares (2025)</t>
        </is>
      </c>
      <c r="G1510" t="b">
        <v>1</v>
      </c>
      <c r="H1510" t="inlineStr">
        <is>
          <t>9/2026</t>
        </is>
      </c>
    </row>
    <row r="1511">
      <c r="A1511" t="inlineStr">
        <is>
          <t>Nuv Gastrobar</t>
        </is>
      </c>
      <c r="B1511" t="inlineStr">
        <is>
          <t>Patrocínio</t>
        </is>
      </c>
      <c r="C1511" t="inlineStr">
        <is>
          <t>(-) Despesas de Patrocínio</t>
        </is>
      </c>
      <c r="D1511" t="inlineStr">
        <is>
          <t>01/10/2026</t>
        </is>
      </c>
      <c r="E1511" t="n">
        <v>0</v>
      </c>
      <c r="F1511" t="inlineStr">
        <is>
          <t>Fabrica de Bares (2025)</t>
        </is>
      </c>
      <c r="G1511" t="b">
        <v>1</v>
      </c>
      <c r="H1511" t="inlineStr">
        <is>
          <t>10/2026</t>
        </is>
      </c>
    </row>
    <row r="1512">
      <c r="A1512" t="inlineStr">
        <is>
          <t>Nuv Gastrobar</t>
        </is>
      </c>
      <c r="B1512" t="inlineStr">
        <is>
          <t>Patrocínio</t>
        </is>
      </c>
      <c r="C1512" t="inlineStr">
        <is>
          <t>(-) Despesas de Patrocínio</t>
        </is>
      </c>
      <c r="D1512" t="inlineStr">
        <is>
          <t>01/11/2026</t>
        </is>
      </c>
      <c r="E1512" t="n">
        <v>0</v>
      </c>
      <c r="F1512" t="inlineStr">
        <is>
          <t>Fabrica de Bares (2025)</t>
        </is>
      </c>
      <c r="G1512" t="b">
        <v>1</v>
      </c>
      <c r="H1512" t="inlineStr">
        <is>
          <t>11/2026</t>
        </is>
      </c>
    </row>
    <row r="1513">
      <c r="A1513" t="inlineStr">
        <is>
          <t>Nuv Gastrobar</t>
        </is>
      </c>
      <c r="B1513" t="inlineStr">
        <is>
          <t>Patrocínio</t>
        </is>
      </c>
      <c r="C1513" t="inlineStr">
        <is>
          <t>(-) Despesas de Patrocínio</t>
        </is>
      </c>
      <c r="D1513" t="inlineStr">
        <is>
          <t>01/12/2026</t>
        </is>
      </c>
      <c r="E1513" t="n">
        <v>0</v>
      </c>
      <c r="F1513" t="inlineStr">
        <is>
          <t>Fabrica de Bares (2025)</t>
        </is>
      </c>
      <c r="G1513" t="b">
        <v>1</v>
      </c>
      <c r="H1513" t="inlineStr">
        <is>
          <t>12/2026</t>
        </is>
      </c>
    </row>
    <row r="1514">
      <c r="A1514" t="inlineStr">
        <is>
          <t>Nuv Gastrobar</t>
        </is>
      </c>
      <c r="B1514" t="inlineStr">
        <is>
          <t>Patrocínio</t>
        </is>
      </c>
      <c r="C1514" t="inlineStr">
        <is>
          <t>(+) Receitas de Patrocínio</t>
        </is>
      </c>
      <c r="D1514" t="inlineStr">
        <is>
          <t>01/01/2026</t>
        </is>
      </c>
      <c r="E1514" t="n">
        <v>0</v>
      </c>
      <c r="F1514" t="inlineStr">
        <is>
          <t>Fabrica de Bares (2025)</t>
        </is>
      </c>
      <c r="G1514" t="b">
        <v>1</v>
      </c>
      <c r="H1514" t="inlineStr">
        <is>
          <t>1/2026</t>
        </is>
      </c>
    </row>
    <row r="1515">
      <c r="A1515" t="inlineStr">
        <is>
          <t>Nuv Gastrobar</t>
        </is>
      </c>
      <c r="B1515" t="inlineStr">
        <is>
          <t>Patrocínio</t>
        </is>
      </c>
      <c r="C1515" t="inlineStr">
        <is>
          <t>(+) Receitas de Patrocínio</t>
        </is>
      </c>
      <c r="D1515" t="inlineStr">
        <is>
          <t>01/02/2026</t>
        </is>
      </c>
      <c r="E1515" t="n">
        <v>0</v>
      </c>
      <c r="F1515" t="inlineStr">
        <is>
          <t>Fabrica de Bares (2025)</t>
        </is>
      </c>
      <c r="G1515" t="b">
        <v>1</v>
      </c>
      <c r="H1515" t="inlineStr">
        <is>
          <t>2/2026</t>
        </is>
      </c>
    </row>
    <row r="1516">
      <c r="A1516" t="inlineStr">
        <is>
          <t>Nuv Gastrobar</t>
        </is>
      </c>
      <c r="B1516" t="inlineStr">
        <is>
          <t>Patrocínio</t>
        </is>
      </c>
      <c r="C1516" t="inlineStr">
        <is>
          <t>(+) Receitas de Patrocínio</t>
        </is>
      </c>
      <c r="D1516" t="inlineStr">
        <is>
          <t>01/03/2026</t>
        </is>
      </c>
      <c r="E1516" t="n">
        <v>0</v>
      </c>
      <c r="F1516" t="inlineStr">
        <is>
          <t>Fabrica de Bares (2025)</t>
        </is>
      </c>
      <c r="G1516" t="b">
        <v>1</v>
      </c>
      <c r="H1516" t="inlineStr">
        <is>
          <t>3/2026</t>
        </is>
      </c>
    </row>
    <row r="1517">
      <c r="A1517" t="inlineStr">
        <is>
          <t>Nuv Gastrobar</t>
        </is>
      </c>
      <c r="B1517" t="inlineStr">
        <is>
          <t>Patrocínio</t>
        </is>
      </c>
      <c r="C1517" t="inlineStr">
        <is>
          <t>(+) Receitas de Patrocínio</t>
        </is>
      </c>
      <c r="D1517" t="inlineStr">
        <is>
          <t>01/04/2026</t>
        </is>
      </c>
      <c r="E1517" t="n">
        <v>0</v>
      </c>
      <c r="F1517" t="inlineStr">
        <is>
          <t>Fabrica de Bares (2025)</t>
        </is>
      </c>
      <c r="G1517" t="b">
        <v>1</v>
      </c>
      <c r="H1517" t="inlineStr">
        <is>
          <t>4/2026</t>
        </is>
      </c>
    </row>
    <row r="1518">
      <c r="A1518" t="inlineStr">
        <is>
          <t>Nuv Gastrobar</t>
        </is>
      </c>
      <c r="B1518" t="inlineStr">
        <is>
          <t>Patrocínio</t>
        </is>
      </c>
      <c r="C1518" t="inlineStr">
        <is>
          <t>(+) Receitas de Patrocínio</t>
        </is>
      </c>
      <c r="D1518" t="inlineStr">
        <is>
          <t>01/05/2026</t>
        </is>
      </c>
      <c r="E1518" t="n">
        <v>0</v>
      </c>
      <c r="F1518" t="inlineStr">
        <is>
          <t>Fabrica de Bares (2025)</t>
        </is>
      </c>
      <c r="G1518" t="b">
        <v>1</v>
      </c>
      <c r="H1518" t="inlineStr">
        <is>
          <t>5/2026</t>
        </is>
      </c>
    </row>
    <row r="1519">
      <c r="A1519" t="inlineStr">
        <is>
          <t>Nuv Gastrobar</t>
        </is>
      </c>
      <c r="B1519" t="inlineStr">
        <is>
          <t>Patrocínio</t>
        </is>
      </c>
      <c r="C1519" t="inlineStr">
        <is>
          <t>(+) Receitas de Patrocínio</t>
        </is>
      </c>
      <c r="D1519" t="inlineStr">
        <is>
          <t>01/06/2026</t>
        </is>
      </c>
      <c r="E1519" t="n">
        <v>0</v>
      </c>
      <c r="F1519" t="inlineStr">
        <is>
          <t>Fabrica de Bares (2025)</t>
        </is>
      </c>
      <c r="G1519" t="b">
        <v>1</v>
      </c>
      <c r="H1519" t="inlineStr">
        <is>
          <t>6/2026</t>
        </is>
      </c>
    </row>
    <row r="1520">
      <c r="A1520" t="inlineStr">
        <is>
          <t>Nuv Gastrobar</t>
        </is>
      </c>
      <c r="B1520" t="inlineStr">
        <is>
          <t>Patrocínio</t>
        </is>
      </c>
      <c r="C1520" t="inlineStr">
        <is>
          <t>(+) Receitas de Patrocínio</t>
        </is>
      </c>
      <c r="D1520" t="inlineStr">
        <is>
          <t>01/07/2026</t>
        </is>
      </c>
      <c r="E1520" t="n">
        <v>0</v>
      </c>
      <c r="F1520" t="inlineStr">
        <is>
          <t>Fabrica de Bares (2025)</t>
        </is>
      </c>
      <c r="G1520" t="b">
        <v>1</v>
      </c>
      <c r="H1520" t="inlineStr">
        <is>
          <t>7/2026</t>
        </is>
      </c>
    </row>
    <row r="1521">
      <c r="A1521" t="inlineStr">
        <is>
          <t>Nuv Gastrobar</t>
        </is>
      </c>
      <c r="B1521" t="inlineStr">
        <is>
          <t>Patrocínio</t>
        </is>
      </c>
      <c r="C1521" t="inlineStr">
        <is>
          <t>(+) Receitas de Patrocínio</t>
        </is>
      </c>
      <c r="D1521" t="inlineStr">
        <is>
          <t>01/08/2026</t>
        </is>
      </c>
      <c r="E1521" t="n">
        <v>0</v>
      </c>
      <c r="F1521" t="inlineStr">
        <is>
          <t>Fabrica de Bares (2025)</t>
        </is>
      </c>
      <c r="G1521" t="b">
        <v>1</v>
      </c>
      <c r="H1521" t="inlineStr">
        <is>
          <t>8/2026</t>
        </is>
      </c>
    </row>
    <row r="1522">
      <c r="A1522" t="inlineStr">
        <is>
          <t>Nuv Gastrobar</t>
        </is>
      </c>
      <c r="B1522" t="inlineStr">
        <is>
          <t>Patrocínio</t>
        </is>
      </c>
      <c r="C1522" t="inlineStr">
        <is>
          <t>(+) Receitas de Patrocínio</t>
        </is>
      </c>
      <c r="D1522" t="inlineStr">
        <is>
          <t>01/09/2026</t>
        </is>
      </c>
      <c r="E1522" t="n">
        <v>0</v>
      </c>
      <c r="F1522" t="inlineStr">
        <is>
          <t>Fabrica de Bares (2025)</t>
        </is>
      </c>
      <c r="G1522" t="b">
        <v>1</v>
      </c>
      <c r="H1522" t="inlineStr">
        <is>
          <t>9/2026</t>
        </is>
      </c>
    </row>
    <row r="1523">
      <c r="A1523" t="inlineStr">
        <is>
          <t>Nuv Gastrobar</t>
        </is>
      </c>
      <c r="B1523" t="inlineStr">
        <is>
          <t>Patrocínio</t>
        </is>
      </c>
      <c r="C1523" t="inlineStr">
        <is>
          <t>(+) Receitas de Patrocínio</t>
        </is>
      </c>
      <c r="D1523" t="inlineStr">
        <is>
          <t>01/10/2026</t>
        </is>
      </c>
      <c r="E1523" t="n">
        <v>0</v>
      </c>
      <c r="F1523" t="inlineStr">
        <is>
          <t>Fabrica de Bares (2025)</t>
        </is>
      </c>
      <c r="G1523" t="b">
        <v>1</v>
      </c>
      <c r="H1523" t="inlineStr">
        <is>
          <t>10/2026</t>
        </is>
      </c>
    </row>
    <row r="1524">
      <c r="A1524" t="inlineStr">
        <is>
          <t>Nuv Gastrobar</t>
        </is>
      </c>
      <c r="B1524" t="inlineStr">
        <is>
          <t>Patrocínio</t>
        </is>
      </c>
      <c r="C1524" t="inlineStr">
        <is>
          <t>(+) Receitas de Patrocínio</t>
        </is>
      </c>
      <c r="D1524" t="inlineStr">
        <is>
          <t>01/11/2026</t>
        </is>
      </c>
      <c r="E1524" t="n">
        <v>0</v>
      </c>
      <c r="F1524" t="inlineStr">
        <is>
          <t>Fabrica de Bares (2025)</t>
        </is>
      </c>
      <c r="G1524" t="b">
        <v>1</v>
      </c>
      <c r="H1524" t="inlineStr">
        <is>
          <t>11/2026</t>
        </is>
      </c>
    </row>
    <row r="1525">
      <c r="A1525" t="inlineStr">
        <is>
          <t>Nuv Gastrobar</t>
        </is>
      </c>
      <c r="B1525" t="inlineStr">
        <is>
          <t>Patrocínio</t>
        </is>
      </c>
      <c r="C1525" t="inlineStr">
        <is>
          <t>(+) Receitas de Patrocínio</t>
        </is>
      </c>
      <c r="D1525" t="inlineStr">
        <is>
          <t>01/12/2026</t>
        </is>
      </c>
      <c r="E1525" t="n">
        <v>0</v>
      </c>
      <c r="F1525" t="inlineStr">
        <is>
          <t>Fabrica de Bares (2025)</t>
        </is>
      </c>
      <c r="G1525" t="b">
        <v>1</v>
      </c>
      <c r="H1525" t="inlineStr">
        <is>
          <t>12/2026</t>
        </is>
      </c>
    </row>
    <row r="1526">
      <c r="A1526" t="inlineStr">
        <is>
          <t>Nuv Gastrobar</t>
        </is>
      </c>
      <c r="B1526" t="inlineStr">
        <is>
          <t>Serviços de Terceiros</t>
        </is>
      </c>
      <c r="C1526" t="inlineStr">
        <is>
          <t>Assessoria Contabil</t>
        </is>
      </c>
      <c r="D1526" t="inlineStr">
        <is>
          <t>01/01/2026</t>
        </is>
      </c>
      <c r="E1526" t="n">
        <v>0</v>
      </c>
      <c r="F1526" t="inlineStr">
        <is>
          <t>Fabrica de Bares (2025)</t>
        </is>
      </c>
      <c r="G1526" t="b">
        <v>1</v>
      </c>
      <c r="H1526" t="inlineStr">
        <is>
          <t>1/2026</t>
        </is>
      </c>
    </row>
    <row r="1527">
      <c r="A1527" t="inlineStr">
        <is>
          <t>Nuv Gastrobar</t>
        </is>
      </c>
      <c r="B1527" t="inlineStr">
        <is>
          <t>Serviços de Terceiros</t>
        </is>
      </c>
      <c r="C1527" t="inlineStr">
        <is>
          <t>Assessoria Contabil</t>
        </is>
      </c>
      <c r="D1527" t="inlineStr">
        <is>
          <t>01/02/2026</t>
        </is>
      </c>
      <c r="E1527" t="n">
        <v>0</v>
      </c>
      <c r="F1527" t="inlineStr">
        <is>
          <t>Fabrica de Bares (2025)</t>
        </is>
      </c>
      <c r="G1527" t="b">
        <v>1</v>
      </c>
      <c r="H1527" t="inlineStr">
        <is>
          <t>2/2026</t>
        </is>
      </c>
    </row>
    <row r="1528">
      <c r="A1528" t="inlineStr">
        <is>
          <t>Nuv Gastrobar</t>
        </is>
      </c>
      <c r="B1528" t="inlineStr">
        <is>
          <t>Serviços de Terceiros</t>
        </is>
      </c>
      <c r="C1528" t="inlineStr">
        <is>
          <t>Assessoria Contabil</t>
        </is>
      </c>
      <c r="D1528" t="inlineStr">
        <is>
          <t>01/03/2026</t>
        </is>
      </c>
      <c r="E1528" t="n">
        <v>0</v>
      </c>
      <c r="F1528" t="inlineStr">
        <is>
          <t>Fabrica de Bares (2025)</t>
        </is>
      </c>
      <c r="G1528" t="b">
        <v>1</v>
      </c>
      <c r="H1528" t="inlineStr">
        <is>
          <t>3/2026</t>
        </is>
      </c>
    </row>
    <row r="1529">
      <c r="A1529" t="inlineStr">
        <is>
          <t>Nuv Gastrobar</t>
        </is>
      </c>
      <c r="B1529" t="inlineStr">
        <is>
          <t>Serviços de Terceiros</t>
        </is>
      </c>
      <c r="C1529" t="inlineStr">
        <is>
          <t>Assessoria Contabil</t>
        </is>
      </c>
      <c r="D1529" t="inlineStr">
        <is>
          <t>01/04/2026</t>
        </is>
      </c>
      <c r="E1529" t="n">
        <v>0</v>
      </c>
      <c r="F1529" t="inlineStr">
        <is>
          <t>Fabrica de Bares (2025)</t>
        </is>
      </c>
      <c r="G1529" t="b">
        <v>1</v>
      </c>
      <c r="H1529" t="inlineStr">
        <is>
          <t>4/2026</t>
        </is>
      </c>
    </row>
    <row r="1530">
      <c r="A1530" t="inlineStr">
        <is>
          <t>Nuv Gastrobar</t>
        </is>
      </c>
      <c r="B1530" t="inlineStr">
        <is>
          <t>Serviços de Terceiros</t>
        </is>
      </c>
      <c r="C1530" t="inlineStr">
        <is>
          <t>Assessoria Contabil</t>
        </is>
      </c>
      <c r="D1530" t="inlineStr">
        <is>
          <t>01/05/2026</t>
        </is>
      </c>
      <c r="E1530" t="n">
        <v>0</v>
      </c>
      <c r="F1530" t="inlineStr">
        <is>
          <t>Fabrica de Bares (2025)</t>
        </is>
      </c>
      <c r="G1530" t="b">
        <v>1</v>
      </c>
      <c r="H1530" t="inlineStr">
        <is>
          <t>5/2026</t>
        </is>
      </c>
    </row>
    <row r="1531">
      <c r="A1531" t="inlineStr">
        <is>
          <t>Nuv Gastrobar</t>
        </is>
      </c>
      <c r="B1531" t="inlineStr">
        <is>
          <t>Serviços de Terceiros</t>
        </is>
      </c>
      <c r="C1531" t="inlineStr">
        <is>
          <t>Assessoria Contabil</t>
        </is>
      </c>
      <c r="D1531" t="inlineStr">
        <is>
          <t>01/06/2026</t>
        </is>
      </c>
      <c r="E1531" t="n">
        <v>0</v>
      </c>
      <c r="F1531" t="inlineStr">
        <is>
          <t>Fabrica de Bares (2025)</t>
        </is>
      </c>
      <c r="G1531" t="b">
        <v>1</v>
      </c>
      <c r="H1531" t="inlineStr">
        <is>
          <t>6/2026</t>
        </is>
      </c>
    </row>
    <row r="1532">
      <c r="A1532" t="inlineStr">
        <is>
          <t>Nuv Gastrobar</t>
        </is>
      </c>
      <c r="B1532" t="inlineStr">
        <is>
          <t>Serviços de Terceiros</t>
        </is>
      </c>
      <c r="C1532" t="inlineStr">
        <is>
          <t>Assessoria Contabil</t>
        </is>
      </c>
      <c r="D1532" t="inlineStr">
        <is>
          <t>01/07/2026</t>
        </is>
      </c>
      <c r="E1532" t="n">
        <v>0</v>
      </c>
      <c r="F1532" t="inlineStr">
        <is>
          <t>Fabrica de Bares (2025)</t>
        </is>
      </c>
      <c r="G1532" t="b">
        <v>1</v>
      </c>
      <c r="H1532" t="inlineStr">
        <is>
          <t>7/2026</t>
        </is>
      </c>
    </row>
    <row r="1533">
      <c r="A1533" t="inlineStr">
        <is>
          <t>Nuv Gastrobar</t>
        </is>
      </c>
      <c r="B1533" t="inlineStr">
        <is>
          <t>Serviços de Terceiros</t>
        </is>
      </c>
      <c r="C1533" t="inlineStr">
        <is>
          <t>Assessoria Contabil</t>
        </is>
      </c>
      <c r="D1533" t="inlineStr">
        <is>
          <t>01/08/2026</t>
        </is>
      </c>
      <c r="E1533" t="n">
        <v>2065</v>
      </c>
      <c r="F1533" t="inlineStr">
        <is>
          <t>Fabrica de Bares (2025)</t>
        </is>
      </c>
      <c r="G1533" t="b">
        <v>1</v>
      </c>
      <c r="H1533" t="inlineStr">
        <is>
          <t>8/2026</t>
        </is>
      </c>
    </row>
    <row r="1534">
      <c r="A1534" t="inlineStr">
        <is>
          <t>Nuv Gastrobar</t>
        </is>
      </c>
      <c r="B1534" t="inlineStr">
        <is>
          <t>Serviços de Terceiros</t>
        </is>
      </c>
      <c r="C1534" t="inlineStr">
        <is>
          <t>Assessoria Contabil</t>
        </is>
      </c>
      <c r="D1534" t="inlineStr">
        <is>
          <t>01/09/2026</t>
        </is>
      </c>
      <c r="E1534" t="n">
        <v>2065</v>
      </c>
      <c r="F1534" t="inlineStr">
        <is>
          <t>Fabrica de Bares (2025)</t>
        </is>
      </c>
      <c r="G1534" t="b">
        <v>1</v>
      </c>
      <c r="H1534" t="inlineStr">
        <is>
          <t>9/2026</t>
        </is>
      </c>
    </row>
    <row r="1535">
      <c r="A1535" t="inlineStr">
        <is>
          <t>Nuv Gastrobar</t>
        </is>
      </c>
      <c r="B1535" t="inlineStr">
        <is>
          <t>Serviços de Terceiros</t>
        </is>
      </c>
      <c r="C1535" t="inlineStr">
        <is>
          <t>Assessoria Contabil</t>
        </is>
      </c>
      <c r="D1535" t="inlineStr">
        <is>
          <t>01/10/2026</t>
        </is>
      </c>
      <c r="E1535" t="n">
        <v>2065</v>
      </c>
      <c r="F1535" t="inlineStr">
        <is>
          <t>Fabrica de Bares (2025)</t>
        </is>
      </c>
      <c r="G1535" t="b">
        <v>1</v>
      </c>
      <c r="H1535" t="inlineStr">
        <is>
          <t>10/2026</t>
        </is>
      </c>
    </row>
    <row r="1536">
      <c r="A1536" t="inlineStr">
        <is>
          <t>Nuv Gastrobar</t>
        </is>
      </c>
      <c r="B1536" t="inlineStr">
        <is>
          <t>Serviços de Terceiros</t>
        </is>
      </c>
      <c r="C1536" t="inlineStr">
        <is>
          <t>Assessoria Contabil</t>
        </is>
      </c>
      <c r="D1536" t="inlineStr">
        <is>
          <t>01/11/2026</t>
        </is>
      </c>
      <c r="E1536" t="n">
        <v>2065</v>
      </c>
      <c r="F1536" t="inlineStr">
        <is>
          <t>Fabrica de Bares (2025)</t>
        </is>
      </c>
      <c r="G1536" t="b">
        <v>1</v>
      </c>
      <c r="H1536" t="inlineStr">
        <is>
          <t>11/2026</t>
        </is>
      </c>
    </row>
    <row r="1537">
      <c r="A1537" t="inlineStr">
        <is>
          <t>Nuv Gastrobar</t>
        </is>
      </c>
      <c r="B1537" t="inlineStr">
        <is>
          <t>Serviços de Terceiros</t>
        </is>
      </c>
      <c r="C1537" t="inlineStr">
        <is>
          <t>Assessoria Contabil</t>
        </is>
      </c>
      <c r="D1537" t="inlineStr">
        <is>
          <t>01/12/2026</t>
        </is>
      </c>
      <c r="E1537" t="n">
        <v>2065</v>
      </c>
      <c r="F1537" t="inlineStr">
        <is>
          <t>Fabrica de Bares (2025)</t>
        </is>
      </c>
      <c r="G1537" t="b">
        <v>1</v>
      </c>
      <c r="H1537" t="inlineStr">
        <is>
          <t>12/2026</t>
        </is>
      </c>
    </row>
    <row r="1538">
      <c r="A1538" t="inlineStr">
        <is>
          <t>Nuv Gastrobar</t>
        </is>
      </c>
      <c r="B1538" t="inlineStr">
        <is>
          <t>Serviços de Terceiros</t>
        </is>
      </c>
      <c r="C1538" t="inlineStr">
        <is>
          <t>Assessoria de Alimentos e Bebidas</t>
        </is>
      </c>
      <c r="D1538" t="inlineStr">
        <is>
          <t>01/01/2026</t>
        </is>
      </c>
      <c r="E1538" t="n">
        <v>0</v>
      </c>
      <c r="F1538" t="inlineStr">
        <is>
          <t>Fabrica de Bares (2025)</t>
        </is>
      </c>
      <c r="G1538" t="b">
        <v>1</v>
      </c>
      <c r="H1538" t="inlineStr">
        <is>
          <t>1/2026</t>
        </is>
      </c>
    </row>
    <row r="1539">
      <c r="A1539" t="inlineStr">
        <is>
          <t>Nuv Gastrobar</t>
        </is>
      </c>
      <c r="B1539" t="inlineStr">
        <is>
          <t>Serviços de Terceiros</t>
        </is>
      </c>
      <c r="C1539" t="inlineStr">
        <is>
          <t>Assessoria de Alimentos e Bebidas</t>
        </is>
      </c>
      <c r="D1539" t="inlineStr">
        <is>
          <t>01/02/2026</t>
        </is>
      </c>
      <c r="E1539" t="n">
        <v>0</v>
      </c>
      <c r="F1539" t="inlineStr">
        <is>
          <t>Fabrica de Bares (2025)</t>
        </is>
      </c>
      <c r="G1539" t="b">
        <v>1</v>
      </c>
      <c r="H1539" t="inlineStr">
        <is>
          <t>2/2026</t>
        </is>
      </c>
    </row>
    <row r="1540">
      <c r="A1540" t="inlineStr">
        <is>
          <t>Nuv Gastrobar</t>
        </is>
      </c>
      <c r="B1540" t="inlineStr">
        <is>
          <t>Serviços de Terceiros</t>
        </is>
      </c>
      <c r="C1540" t="inlineStr">
        <is>
          <t>Assessoria de Alimentos e Bebidas</t>
        </is>
      </c>
      <c r="D1540" t="inlineStr">
        <is>
          <t>01/03/2026</t>
        </is>
      </c>
      <c r="E1540" t="n">
        <v>0</v>
      </c>
      <c r="F1540" t="inlineStr">
        <is>
          <t>Fabrica de Bares (2025)</t>
        </is>
      </c>
      <c r="G1540" t="b">
        <v>1</v>
      </c>
      <c r="H1540" t="inlineStr">
        <is>
          <t>3/2026</t>
        </is>
      </c>
    </row>
    <row r="1541">
      <c r="A1541" t="inlineStr">
        <is>
          <t>Nuv Gastrobar</t>
        </is>
      </c>
      <c r="B1541" t="inlineStr">
        <is>
          <t>Serviços de Terceiros</t>
        </is>
      </c>
      <c r="C1541" t="inlineStr">
        <is>
          <t>Assessoria de Alimentos e Bebidas</t>
        </is>
      </c>
      <c r="D1541" t="inlineStr">
        <is>
          <t>01/04/2026</t>
        </is>
      </c>
      <c r="E1541" t="n">
        <v>0</v>
      </c>
      <c r="F1541" t="inlineStr">
        <is>
          <t>Fabrica de Bares (2025)</t>
        </is>
      </c>
      <c r="G1541" t="b">
        <v>1</v>
      </c>
      <c r="H1541" t="inlineStr">
        <is>
          <t>4/2026</t>
        </is>
      </c>
    </row>
    <row r="1542">
      <c r="A1542" t="inlineStr">
        <is>
          <t>Nuv Gastrobar</t>
        </is>
      </c>
      <c r="B1542" t="inlineStr">
        <is>
          <t>Serviços de Terceiros</t>
        </is>
      </c>
      <c r="C1542" t="inlineStr">
        <is>
          <t>Assessoria de Alimentos e Bebidas</t>
        </is>
      </c>
      <c r="D1542" t="inlineStr">
        <is>
          <t>01/05/2026</t>
        </is>
      </c>
      <c r="E1542" t="n">
        <v>0</v>
      </c>
      <c r="F1542" t="inlineStr">
        <is>
          <t>Fabrica de Bares (2025)</t>
        </is>
      </c>
      <c r="G1542" t="b">
        <v>1</v>
      </c>
      <c r="H1542" t="inlineStr">
        <is>
          <t>5/2026</t>
        </is>
      </c>
    </row>
    <row r="1543">
      <c r="A1543" t="inlineStr">
        <is>
          <t>Nuv Gastrobar</t>
        </is>
      </c>
      <c r="B1543" t="inlineStr">
        <is>
          <t>Serviços de Terceiros</t>
        </is>
      </c>
      <c r="C1543" t="inlineStr">
        <is>
          <t>Assessoria de Alimentos e Bebidas</t>
        </is>
      </c>
      <c r="D1543" t="inlineStr">
        <is>
          <t>01/06/2026</t>
        </is>
      </c>
      <c r="E1543" t="n">
        <v>0</v>
      </c>
      <c r="F1543" t="inlineStr">
        <is>
          <t>Fabrica de Bares (2025)</t>
        </is>
      </c>
      <c r="G1543" t="b">
        <v>1</v>
      </c>
      <c r="H1543" t="inlineStr">
        <is>
          <t>6/2026</t>
        </is>
      </c>
    </row>
    <row r="1544">
      <c r="A1544" t="inlineStr">
        <is>
          <t>Nuv Gastrobar</t>
        </is>
      </c>
      <c r="B1544" t="inlineStr">
        <is>
          <t>Serviços de Terceiros</t>
        </is>
      </c>
      <c r="C1544" t="inlineStr">
        <is>
          <t>Assessoria de Alimentos e Bebidas</t>
        </is>
      </c>
      <c r="D1544" t="inlineStr">
        <is>
          <t>01/07/2026</t>
        </is>
      </c>
      <c r="E1544" t="n">
        <v>0</v>
      </c>
      <c r="F1544" t="inlineStr">
        <is>
          <t>Fabrica de Bares (2025)</t>
        </is>
      </c>
      <c r="G1544" t="b">
        <v>1</v>
      </c>
      <c r="H1544" t="inlineStr">
        <is>
          <t>7/2026</t>
        </is>
      </c>
    </row>
    <row r="1545">
      <c r="A1545" t="inlineStr">
        <is>
          <t>Nuv Gastrobar</t>
        </is>
      </c>
      <c r="B1545" t="inlineStr">
        <is>
          <t>Serviços de Terceiros</t>
        </is>
      </c>
      <c r="C1545" t="inlineStr">
        <is>
          <t>Assessoria de Alimentos e Bebidas</t>
        </is>
      </c>
      <c r="D1545" t="inlineStr">
        <is>
          <t>01/08/2026</t>
        </is>
      </c>
      <c r="E1545" t="n">
        <v>2500</v>
      </c>
      <c r="F1545" t="inlineStr">
        <is>
          <t>Fabrica de Bares (2025)</t>
        </is>
      </c>
      <c r="G1545" t="b">
        <v>1</v>
      </c>
      <c r="H1545" t="inlineStr">
        <is>
          <t>8/2026</t>
        </is>
      </c>
    </row>
    <row r="1546">
      <c r="A1546" t="inlineStr">
        <is>
          <t>Nuv Gastrobar</t>
        </is>
      </c>
      <c r="B1546" t="inlineStr">
        <is>
          <t>Serviços de Terceiros</t>
        </is>
      </c>
      <c r="C1546" t="inlineStr">
        <is>
          <t>Assessoria de Alimentos e Bebidas</t>
        </is>
      </c>
      <c r="D1546" t="inlineStr">
        <is>
          <t>01/09/2026</t>
        </is>
      </c>
      <c r="E1546" t="n">
        <v>2500</v>
      </c>
      <c r="F1546" t="inlineStr">
        <is>
          <t>Fabrica de Bares (2025)</t>
        </is>
      </c>
      <c r="G1546" t="b">
        <v>1</v>
      </c>
      <c r="H1546" t="inlineStr">
        <is>
          <t>9/2026</t>
        </is>
      </c>
    </row>
    <row r="1547">
      <c r="A1547" t="inlineStr">
        <is>
          <t>Nuv Gastrobar</t>
        </is>
      </c>
      <c r="B1547" t="inlineStr">
        <is>
          <t>Serviços de Terceiros</t>
        </is>
      </c>
      <c r="C1547" t="inlineStr">
        <is>
          <t>Assessoria de Alimentos e Bebidas</t>
        </is>
      </c>
      <c r="D1547" t="inlineStr">
        <is>
          <t>01/10/2026</t>
        </is>
      </c>
      <c r="E1547" t="n">
        <v>2500</v>
      </c>
      <c r="F1547" t="inlineStr">
        <is>
          <t>Fabrica de Bares (2025)</t>
        </is>
      </c>
      <c r="G1547" t="b">
        <v>1</v>
      </c>
      <c r="H1547" t="inlineStr">
        <is>
          <t>10/2026</t>
        </is>
      </c>
    </row>
    <row r="1548">
      <c r="A1548" t="inlineStr">
        <is>
          <t>Nuv Gastrobar</t>
        </is>
      </c>
      <c r="B1548" t="inlineStr">
        <is>
          <t>Serviços de Terceiros</t>
        </is>
      </c>
      <c r="C1548" t="inlineStr">
        <is>
          <t>Assessoria de Alimentos e Bebidas</t>
        </is>
      </c>
      <c r="D1548" t="inlineStr">
        <is>
          <t>01/11/2026</t>
        </is>
      </c>
      <c r="E1548" t="n">
        <v>2500</v>
      </c>
      <c r="F1548" t="inlineStr">
        <is>
          <t>Fabrica de Bares (2025)</t>
        </is>
      </c>
      <c r="G1548" t="b">
        <v>1</v>
      </c>
      <c r="H1548" t="inlineStr">
        <is>
          <t>11/2026</t>
        </is>
      </c>
    </row>
    <row r="1549">
      <c r="A1549" t="inlineStr">
        <is>
          <t>Nuv Gastrobar</t>
        </is>
      </c>
      <c r="B1549" t="inlineStr">
        <is>
          <t>Serviços de Terceiros</t>
        </is>
      </c>
      <c r="C1549" t="inlineStr">
        <is>
          <t>Assessoria de Alimentos e Bebidas</t>
        </is>
      </c>
      <c r="D1549" t="inlineStr">
        <is>
          <t>01/12/2026</t>
        </is>
      </c>
      <c r="E1549" t="n">
        <v>2500</v>
      </c>
      <c r="F1549" t="inlineStr">
        <is>
          <t>Fabrica de Bares (2025)</t>
        </is>
      </c>
      <c r="G1549" t="b">
        <v>1</v>
      </c>
      <c r="H1549" t="inlineStr">
        <is>
          <t>12/2026</t>
        </is>
      </c>
    </row>
    <row r="1550">
      <c r="A1550" t="inlineStr">
        <is>
          <t>Nuv Gastrobar</t>
        </is>
      </c>
      <c r="B1550" t="inlineStr">
        <is>
          <t>Serviços de Terceiros</t>
        </is>
      </c>
      <c r="C1550" t="inlineStr">
        <is>
          <t>Assessoria de Projetos</t>
        </is>
      </c>
      <c r="D1550" t="inlineStr">
        <is>
          <t>01/01/2026</t>
        </is>
      </c>
      <c r="E1550" t="n">
        <v>0</v>
      </c>
      <c r="F1550" t="inlineStr">
        <is>
          <t>Fabrica de Bares (2025)</t>
        </is>
      </c>
      <c r="G1550" t="b">
        <v>1</v>
      </c>
      <c r="H1550" t="inlineStr">
        <is>
          <t>1/2026</t>
        </is>
      </c>
    </row>
    <row r="1551">
      <c r="A1551" t="inlineStr">
        <is>
          <t>Nuv Gastrobar</t>
        </is>
      </c>
      <c r="B1551" t="inlineStr">
        <is>
          <t>Serviços de Terceiros</t>
        </is>
      </c>
      <c r="C1551" t="inlineStr">
        <is>
          <t>Assessoria de Projetos</t>
        </is>
      </c>
      <c r="D1551" t="inlineStr">
        <is>
          <t>01/02/2026</t>
        </is>
      </c>
      <c r="E1551" t="n">
        <v>0</v>
      </c>
      <c r="F1551" t="inlineStr">
        <is>
          <t>Fabrica de Bares (2025)</t>
        </is>
      </c>
      <c r="G1551" t="b">
        <v>1</v>
      </c>
      <c r="H1551" t="inlineStr">
        <is>
          <t>2/2026</t>
        </is>
      </c>
    </row>
    <row r="1552">
      <c r="A1552" t="inlineStr">
        <is>
          <t>Nuv Gastrobar</t>
        </is>
      </c>
      <c r="B1552" t="inlineStr">
        <is>
          <t>Serviços de Terceiros</t>
        </is>
      </c>
      <c r="C1552" t="inlineStr">
        <is>
          <t>Assessoria de Projetos</t>
        </is>
      </c>
      <c r="D1552" t="inlineStr">
        <is>
          <t>01/03/2026</t>
        </is>
      </c>
      <c r="E1552" t="n">
        <v>0</v>
      </c>
      <c r="F1552" t="inlineStr">
        <is>
          <t>Fabrica de Bares (2025)</t>
        </is>
      </c>
      <c r="G1552" t="b">
        <v>1</v>
      </c>
      <c r="H1552" t="inlineStr">
        <is>
          <t>3/2026</t>
        </is>
      </c>
    </row>
    <row r="1553">
      <c r="A1553" t="inlineStr">
        <is>
          <t>Nuv Gastrobar</t>
        </is>
      </c>
      <c r="B1553" t="inlineStr">
        <is>
          <t>Serviços de Terceiros</t>
        </is>
      </c>
      <c r="C1553" t="inlineStr">
        <is>
          <t>Assessoria de Projetos</t>
        </is>
      </c>
      <c r="D1553" t="inlineStr">
        <is>
          <t>01/04/2026</t>
        </is>
      </c>
      <c r="E1553" t="n">
        <v>0</v>
      </c>
      <c r="F1553" t="inlineStr">
        <is>
          <t>Fabrica de Bares (2025)</t>
        </is>
      </c>
      <c r="G1553" t="b">
        <v>1</v>
      </c>
      <c r="H1553" t="inlineStr">
        <is>
          <t>4/2026</t>
        </is>
      </c>
    </row>
    <row r="1554">
      <c r="A1554" t="inlineStr">
        <is>
          <t>Nuv Gastrobar</t>
        </is>
      </c>
      <c r="B1554" t="inlineStr">
        <is>
          <t>Serviços de Terceiros</t>
        </is>
      </c>
      <c r="C1554" t="inlineStr">
        <is>
          <t>Assessoria de Projetos</t>
        </is>
      </c>
      <c r="D1554" t="inlineStr">
        <is>
          <t>01/05/2026</t>
        </is>
      </c>
      <c r="E1554" t="n">
        <v>0</v>
      </c>
      <c r="F1554" t="inlineStr">
        <is>
          <t>Fabrica de Bares (2025)</t>
        </is>
      </c>
      <c r="G1554" t="b">
        <v>1</v>
      </c>
      <c r="H1554" t="inlineStr">
        <is>
          <t>5/2026</t>
        </is>
      </c>
    </row>
    <row r="1555">
      <c r="A1555" t="inlineStr">
        <is>
          <t>Nuv Gastrobar</t>
        </is>
      </c>
      <c r="B1555" t="inlineStr">
        <is>
          <t>Serviços de Terceiros</t>
        </is>
      </c>
      <c r="C1555" t="inlineStr">
        <is>
          <t>Assessoria de Projetos</t>
        </is>
      </c>
      <c r="D1555" t="inlineStr">
        <is>
          <t>01/06/2026</t>
        </is>
      </c>
      <c r="E1555" t="n">
        <v>0</v>
      </c>
      <c r="F1555" t="inlineStr">
        <is>
          <t>Fabrica de Bares (2025)</t>
        </is>
      </c>
      <c r="G1555" t="b">
        <v>1</v>
      </c>
      <c r="H1555" t="inlineStr">
        <is>
          <t>6/2026</t>
        </is>
      </c>
    </row>
    <row r="1556">
      <c r="A1556" t="inlineStr">
        <is>
          <t>Nuv Gastrobar</t>
        </is>
      </c>
      <c r="B1556" t="inlineStr">
        <is>
          <t>Serviços de Terceiros</t>
        </is>
      </c>
      <c r="C1556" t="inlineStr">
        <is>
          <t>Assessoria de Projetos</t>
        </is>
      </c>
      <c r="D1556" t="inlineStr">
        <is>
          <t>01/07/2026</t>
        </is>
      </c>
      <c r="E1556" t="n">
        <v>0</v>
      </c>
      <c r="F1556" t="inlineStr">
        <is>
          <t>Fabrica de Bares (2025)</t>
        </is>
      </c>
      <c r="G1556" t="b">
        <v>1</v>
      </c>
      <c r="H1556" t="inlineStr">
        <is>
          <t>7/2026</t>
        </is>
      </c>
    </row>
    <row r="1557">
      <c r="A1557" t="inlineStr">
        <is>
          <t>Nuv Gastrobar</t>
        </is>
      </c>
      <c r="B1557" t="inlineStr">
        <is>
          <t>Serviços de Terceiros</t>
        </is>
      </c>
      <c r="C1557" t="inlineStr">
        <is>
          <t>Assessoria de Projetos</t>
        </is>
      </c>
      <c r="D1557" t="inlineStr">
        <is>
          <t>01/08/2026</t>
        </is>
      </c>
      <c r="E1557" t="n">
        <v>0</v>
      </c>
      <c r="F1557" t="inlineStr">
        <is>
          <t>Fabrica de Bares (2025)</t>
        </is>
      </c>
      <c r="G1557" t="b">
        <v>1</v>
      </c>
      <c r="H1557" t="inlineStr">
        <is>
          <t>8/2026</t>
        </is>
      </c>
    </row>
    <row r="1558">
      <c r="A1558" t="inlineStr">
        <is>
          <t>Nuv Gastrobar</t>
        </is>
      </c>
      <c r="B1558" t="inlineStr">
        <is>
          <t>Serviços de Terceiros</t>
        </is>
      </c>
      <c r="C1558" t="inlineStr">
        <is>
          <t>Assessoria de Projetos</t>
        </is>
      </c>
      <c r="D1558" t="inlineStr">
        <is>
          <t>01/09/2026</t>
        </is>
      </c>
      <c r="E1558" t="n">
        <v>0</v>
      </c>
      <c r="F1558" t="inlineStr">
        <is>
          <t>Fabrica de Bares (2025)</t>
        </is>
      </c>
      <c r="G1558" t="b">
        <v>1</v>
      </c>
      <c r="H1558" t="inlineStr">
        <is>
          <t>9/2026</t>
        </is>
      </c>
    </row>
    <row r="1559">
      <c r="A1559" t="inlineStr">
        <is>
          <t>Nuv Gastrobar</t>
        </is>
      </c>
      <c r="B1559" t="inlineStr">
        <is>
          <t>Serviços de Terceiros</t>
        </is>
      </c>
      <c r="C1559" t="inlineStr">
        <is>
          <t>Assessoria de Projetos</t>
        </is>
      </c>
      <c r="D1559" t="inlineStr">
        <is>
          <t>01/10/2026</t>
        </is>
      </c>
      <c r="E1559" t="n">
        <v>0</v>
      </c>
      <c r="F1559" t="inlineStr">
        <is>
          <t>Fabrica de Bares (2025)</t>
        </is>
      </c>
      <c r="G1559" t="b">
        <v>1</v>
      </c>
      <c r="H1559" t="inlineStr">
        <is>
          <t>10/2026</t>
        </is>
      </c>
    </row>
    <row r="1560">
      <c r="A1560" t="inlineStr">
        <is>
          <t>Nuv Gastrobar</t>
        </is>
      </c>
      <c r="B1560" t="inlineStr">
        <is>
          <t>Serviços de Terceiros</t>
        </is>
      </c>
      <c r="C1560" t="inlineStr">
        <is>
          <t>Assessoria de Projetos</t>
        </is>
      </c>
      <c r="D1560" t="inlineStr">
        <is>
          <t>01/11/2026</t>
        </is>
      </c>
      <c r="E1560" t="n">
        <v>0</v>
      </c>
      <c r="F1560" t="inlineStr">
        <is>
          <t>Fabrica de Bares (2025)</t>
        </is>
      </c>
      <c r="G1560" t="b">
        <v>1</v>
      </c>
      <c r="H1560" t="inlineStr">
        <is>
          <t>11/2026</t>
        </is>
      </c>
    </row>
    <row r="1561">
      <c r="A1561" t="inlineStr">
        <is>
          <t>Nuv Gastrobar</t>
        </is>
      </c>
      <c r="B1561" t="inlineStr">
        <is>
          <t>Serviços de Terceiros</t>
        </is>
      </c>
      <c r="C1561" t="inlineStr">
        <is>
          <t>Assessoria de Projetos</t>
        </is>
      </c>
      <c r="D1561" t="inlineStr">
        <is>
          <t>01/12/2026</t>
        </is>
      </c>
      <c r="E1561" t="n">
        <v>0</v>
      </c>
      <c r="F1561" t="inlineStr">
        <is>
          <t>Fabrica de Bares (2025)</t>
        </is>
      </c>
      <c r="G1561" t="b">
        <v>1</v>
      </c>
      <c r="H1561" t="inlineStr">
        <is>
          <t>12/2026</t>
        </is>
      </c>
    </row>
    <row r="1562">
      <c r="A1562" t="inlineStr">
        <is>
          <t>Nuv Gastrobar</t>
        </is>
      </c>
      <c r="B1562" t="inlineStr">
        <is>
          <t>Serviços de Terceiros</t>
        </is>
      </c>
      <c r="C1562" t="inlineStr">
        <is>
          <t>Assessoria em Geral</t>
        </is>
      </c>
      <c r="D1562" t="inlineStr">
        <is>
          <t>01/01/2026</t>
        </is>
      </c>
      <c r="E1562" t="n">
        <v>0</v>
      </c>
      <c r="F1562" t="inlineStr">
        <is>
          <t>Fabrica de Bares (2025)</t>
        </is>
      </c>
      <c r="G1562" t="b">
        <v>1</v>
      </c>
      <c r="H1562" t="inlineStr">
        <is>
          <t>1/2026</t>
        </is>
      </c>
    </row>
    <row r="1563">
      <c r="A1563" t="inlineStr">
        <is>
          <t>Nuv Gastrobar</t>
        </is>
      </c>
      <c r="B1563" t="inlineStr">
        <is>
          <t>Serviços de Terceiros</t>
        </is>
      </c>
      <c r="C1563" t="inlineStr">
        <is>
          <t>Assessoria em Geral</t>
        </is>
      </c>
      <c r="D1563" t="inlineStr">
        <is>
          <t>01/02/2026</t>
        </is>
      </c>
      <c r="E1563" t="n">
        <v>0</v>
      </c>
      <c r="F1563" t="inlineStr">
        <is>
          <t>Fabrica de Bares (2025)</t>
        </is>
      </c>
      <c r="G1563" t="b">
        <v>1</v>
      </c>
      <c r="H1563" t="inlineStr">
        <is>
          <t>2/2026</t>
        </is>
      </c>
    </row>
    <row r="1564">
      <c r="A1564" t="inlineStr">
        <is>
          <t>Nuv Gastrobar</t>
        </is>
      </c>
      <c r="B1564" t="inlineStr">
        <is>
          <t>Serviços de Terceiros</t>
        </is>
      </c>
      <c r="C1564" t="inlineStr">
        <is>
          <t>Assessoria em Geral</t>
        </is>
      </c>
      <c r="D1564" t="inlineStr">
        <is>
          <t>01/03/2026</t>
        </is>
      </c>
      <c r="E1564" t="n">
        <v>0</v>
      </c>
      <c r="F1564" t="inlineStr">
        <is>
          <t>Fabrica de Bares (2025)</t>
        </is>
      </c>
      <c r="G1564" t="b">
        <v>1</v>
      </c>
      <c r="H1564" t="inlineStr">
        <is>
          <t>3/2026</t>
        </is>
      </c>
    </row>
    <row r="1565">
      <c r="A1565" t="inlineStr">
        <is>
          <t>Nuv Gastrobar</t>
        </is>
      </c>
      <c r="B1565" t="inlineStr">
        <is>
          <t>Serviços de Terceiros</t>
        </is>
      </c>
      <c r="C1565" t="inlineStr">
        <is>
          <t>Assessoria em Geral</t>
        </is>
      </c>
      <c r="D1565" t="inlineStr">
        <is>
          <t>01/04/2026</t>
        </is>
      </c>
      <c r="E1565" t="n">
        <v>0</v>
      </c>
      <c r="F1565" t="inlineStr">
        <is>
          <t>Fabrica de Bares (2025)</t>
        </is>
      </c>
      <c r="G1565" t="b">
        <v>1</v>
      </c>
      <c r="H1565" t="inlineStr">
        <is>
          <t>4/2026</t>
        </is>
      </c>
    </row>
    <row r="1566">
      <c r="A1566" t="inlineStr">
        <is>
          <t>Nuv Gastrobar</t>
        </is>
      </c>
      <c r="B1566" t="inlineStr">
        <is>
          <t>Serviços de Terceiros</t>
        </is>
      </c>
      <c r="C1566" t="inlineStr">
        <is>
          <t>Assessoria em Geral</t>
        </is>
      </c>
      <c r="D1566" t="inlineStr">
        <is>
          <t>01/05/2026</t>
        </is>
      </c>
      <c r="E1566" t="n">
        <v>0</v>
      </c>
      <c r="F1566" t="inlineStr">
        <is>
          <t>Fabrica de Bares (2025)</t>
        </is>
      </c>
      <c r="G1566" t="b">
        <v>1</v>
      </c>
      <c r="H1566" t="inlineStr">
        <is>
          <t>5/2026</t>
        </is>
      </c>
    </row>
    <row r="1567">
      <c r="A1567" t="inlineStr">
        <is>
          <t>Nuv Gastrobar</t>
        </is>
      </c>
      <c r="B1567" t="inlineStr">
        <is>
          <t>Serviços de Terceiros</t>
        </is>
      </c>
      <c r="C1567" t="inlineStr">
        <is>
          <t>Assessoria em Geral</t>
        </is>
      </c>
      <c r="D1567" t="inlineStr">
        <is>
          <t>01/06/2026</t>
        </is>
      </c>
      <c r="E1567" t="n">
        <v>0</v>
      </c>
      <c r="F1567" t="inlineStr">
        <is>
          <t>Fabrica de Bares (2025)</t>
        </is>
      </c>
      <c r="G1567" t="b">
        <v>1</v>
      </c>
      <c r="H1567" t="inlineStr">
        <is>
          <t>6/2026</t>
        </is>
      </c>
    </row>
    <row r="1568">
      <c r="A1568" t="inlineStr">
        <is>
          <t>Nuv Gastrobar</t>
        </is>
      </c>
      <c r="B1568" t="inlineStr">
        <is>
          <t>Serviços de Terceiros</t>
        </is>
      </c>
      <c r="C1568" t="inlineStr">
        <is>
          <t>Assessoria em Geral</t>
        </is>
      </c>
      <c r="D1568" t="inlineStr">
        <is>
          <t>01/07/2026</t>
        </is>
      </c>
      <c r="E1568" t="n">
        <v>0</v>
      </c>
      <c r="F1568" t="inlineStr">
        <is>
          <t>Fabrica de Bares (2025)</t>
        </is>
      </c>
      <c r="G1568" t="b">
        <v>1</v>
      </c>
      <c r="H1568" t="inlineStr">
        <is>
          <t>7/2026</t>
        </is>
      </c>
    </row>
    <row r="1569">
      <c r="A1569" t="inlineStr">
        <is>
          <t>Nuv Gastrobar</t>
        </is>
      </c>
      <c r="B1569" t="inlineStr">
        <is>
          <t>Serviços de Terceiros</t>
        </is>
      </c>
      <c r="C1569" t="inlineStr">
        <is>
          <t>Assessoria em Geral</t>
        </is>
      </c>
      <c r="D1569" t="inlineStr">
        <is>
          <t>01/08/2026</t>
        </is>
      </c>
      <c r="E1569" t="n">
        <v>0</v>
      </c>
      <c r="F1569" t="inlineStr">
        <is>
          <t>Fabrica de Bares (2025)</t>
        </is>
      </c>
      <c r="G1569" t="b">
        <v>1</v>
      </c>
      <c r="H1569" t="inlineStr">
        <is>
          <t>8/2026</t>
        </is>
      </c>
    </row>
    <row r="1570">
      <c r="A1570" t="inlineStr">
        <is>
          <t>Nuv Gastrobar</t>
        </is>
      </c>
      <c r="B1570" t="inlineStr">
        <is>
          <t>Serviços de Terceiros</t>
        </is>
      </c>
      <c r="C1570" t="inlineStr">
        <is>
          <t>Assessoria em Geral</t>
        </is>
      </c>
      <c r="D1570" t="inlineStr">
        <is>
          <t>01/09/2026</t>
        </is>
      </c>
      <c r="E1570" t="n">
        <v>0</v>
      </c>
      <c r="F1570" t="inlineStr">
        <is>
          <t>Fabrica de Bares (2025)</t>
        </is>
      </c>
      <c r="G1570" t="b">
        <v>1</v>
      </c>
      <c r="H1570" t="inlineStr">
        <is>
          <t>9/2026</t>
        </is>
      </c>
    </row>
    <row r="1571">
      <c r="A1571" t="inlineStr">
        <is>
          <t>Nuv Gastrobar</t>
        </is>
      </c>
      <c r="B1571" t="inlineStr">
        <is>
          <t>Serviços de Terceiros</t>
        </is>
      </c>
      <c r="C1571" t="inlineStr">
        <is>
          <t>Assessoria em Geral</t>
        </is>
      </c>
      <c r="D1571" t="inlineStr">
        <is>
          <t>01/10/2026</t>
        </is>
      </c>
      <c r="E1571" t="n">
        <v>0</v>
      </c>
      <c r="F1571" t="inlineStr">
        <is>
          <t>Fabrica de Bares (2025)</t>
        </is>
      </c>
      <c r="G1571" t="b">
        <v>1</v>
      </c>
      <c r="H1571" t="inlineStr">
        <is>
          <t>10/2026</t>
        </is>
      </c>
    </row>
    <row r="1572">
      <c r="A1572" t="inlineStr">
        <is>
          <t>Nuv Gastrobar</t>
        </is>
      </c>
      <c r="B1572" t="inlineStr">
        <is>
          <t>Serviços de Terceiros</t>
        </is>
      </c>
      <c r="C1572" t="inlineStr">
        <is>
          <t>Assessoria em Geral</t>
        </is>
      </c>
      <c r="D1572" t="inlineStr">
        <is>
          <t>01/11/2026</t>
        </is>
      </c>
      <c r="E1572" t="n">
        <v>0</v>
      </c>
      <c r="F1572" t="inlineStr">
        <is>
          <t>Fabrica de Bares (2025)</t>
        </is>
      </c>
      <c r="G1572" t="b">
        <v>1</v>
      </c>
      <c r="H1572" t="inlineStr">
        <is>
          <t>11/2026</t>
        </is>
      </c>
    </row>
    <row r="1573">
      <c r="A1573" t="inlineStr">
        <is>
          <t>Nuv Gastrobar</t>
        </is>
      </c>
      <c r="B1573" t="inlineStr">
        <is>
          <t>Serviços de Terceiros</t>
        </is>
      </c>
      <c r="C1573" t="inlineStr">
        <is>
          <t>Assessoria em Geral</t>
        </is>
      </c>
      <c r="D1573" t="inlineStr">
        <is>
          <t>01/12/2026</t>
        </is>
      </c>
      <c r="E1573" t="n">
        <v>0</v>
      </c>
      <c r="F1573" t="inlineStr">
        <is>
          <t>Fabrica de Bares (2025)</t>
        </is>
      </c>
      <c r="G1573" t="b">
        <v>1</v>
      </c>
      <c r="H1573" t="inlineStr">
        <is>
          <t>12/2026</t>
        </is>
      </c>
    </row>
    <row r="1574">
      <c r="A1574" t="inlineStr">
        <is>
          <t>Nuv Gastrobar</t>
        </is>
      </c>
      <c r="B1574" t="inlineStr">
        <is>
          <t>Serviços de Terceiros</t>
        </is>
      </c>
      <c r="C1574" t="inlineStr">
        <is>
          <t>Assessoria Financeira</t>
        </is>
      </c>
      <c r="D1574" t="inlineStr">
        <is>
          <t>01/01/2026</t>
        </is>
      </c>
      <c r="E1574" t="n">
        <v>0</v>
      </c>
      <c r="F1574" t="inlineStr">
        <is>
          <t>Fabrica de Bares (2025)</t>
        </is>
      </c>
      <c r="G1574" t="b">
        <v>1</v>
      </c>
      <c r="H1574" t="inlineStr">
        <is>
          <t>1/2026</t>
        </is>
      </c>
    </row>
    <row r="1575">
      <c r="A1575" t="inlineStr">
        <is>
          <t>Nuv Gastrobar</t>
        </is>
      </c>
      <c r="B1575" t="inlineStr">
        <is>
          <t>Serviços de Terceiros</t>
        </is>
      </c>
      <c r="C1575" t="inlineStr">
        <is>
          <t>Assessoria Financeira</t>
        </is>
      </c>
      <c r="D1575" t="inlineStr">
        <is>
          <t>01/02/2026</t>
        </is>
      </c>
      <c r="E1575" t="n">
        <v>0</v>
      </c>
      <c r="F1575" t="inlineStr">
        <is>
          <t>Fabrica de Bares (2025)</t>
        </is>
      </c>
      <c r="G1575" t="b">
        <v>1</v>
      </c>
      <c r="H1575" t="inlineStr">
        <is>
          <t>2/2026</t>
        </is>
      </c>
    </row>
    <row r="1576">
      <c r="A1576" t="inlineStr">
        <is>
          <t>Nuv Gastrobar</t>
        </is>
      </c>
      <c r="B1576" t="inlineStr">
        <is>
          <t>Serviços de Terceiros</t>
        </is>
      </c>
      <c r="C1576" t="inlineStr">
        <is>
          <t>Assessoria Financeira</t>
        </is>
      </c>
      <c r="D1576" t="inlineStr">
        <is>
          <t>01/03/2026</t>
        </is>
      </c>
      <c r="E1576" t="n">
        <v>0</v>
      </c>
      <c r="F1576" t="inlineStr">
        <is>
          <t>Fabrica de Bares (2025)</t>
        </is>
      </c>
      <c r="G1576" t="b">
        <v>1</v>
      </c>
      <c r="H1576" t="inlineStr">
        <is>
          <t>3/2026</t>
        </is>
      </c>
    </row>
    <row r="1577">
      <c r="A1577" t="inlineStr">
        <is>
          <t>Nuv Gastrobar</t>
        </is>
      </c>
      <c r="B1577" t="inlineStr">
        <is>
          <t>Serviços de Terceiros</t>
        </is>
      </c>
      <c r="C1577" t="inlineStr">
        <is>
          <t>Assessoria Financeira</t>
        </is>
      </c>
      <c r="D1577" t="inlineStr">
        <is>
          <t>01/04/2026</t>
        </is>
      </c>
      <c r="E1577" t="n">
        <v>0</v>
      </c>
      <c r="F1577" t="inlineStr">
        <is>
          <t>Fabrica de Bares (2025)</t>
        </is>
      </c>
      <c r="G1577" t="b">
        <v>1</v>
      </c>
      <c r="H1577" t="inlineStr">
        <is>
          <t>4/2026</t>
        </is>
      </c>
    </row>
    <row r="1578">
      <c r="A1578" t="inlineStr">
        <is>
          <t>Nuv Gastrobar</t>
        </is>
      </c>
      <c r="B1578" t="inlineStr">
        <is>
          <t>Serviços de Terceiros</t>
        </is>
      </c>
      <c r="C1578" t="inlineStr">
        <is>
          <t>Assessoria Financeira</t>
        </is>
      </c>
      <c r="D1578" t="inlineStr">
        <is>
          <t>01/05/2026</t>
        </is>
      </c>
      <c r="E1578" t="n">
        <v>0</v>
      </c>
      <c r="F1578" t="inlineStr">
        <is>
          <t>Fabrica de Bares (2025)</t>
        </is>
      </c>
      <c r="G1578" t="b">
        <v>1</v>
      </c>
      <c r="H1578" t="inlineStr">
        <is>
          <t>5/2026</t>
        </is>
      </c>
    </row>
    <row r="1579">
      <c r="A1579" t="inlineStr">
        <is>
          <t>Nuv Gastrobar</t>
        </is>
      </c>
      <c r="B1579" t="inlineStr">
        <is>
          <t>Serviços de Terceiros</t>
        </is>
      </c>
      <c r="C1579" t="inlineStr">
        <is>
          <t>Assessoria Financeira</t>
        </is>
      </c>
      <c r="D1579" t="inlineStr">
        <is>
          <t>01/06/2026</t>
        </is>
      </c>
      <c r="E1579" t="n">
        <v>0</v>
      </c>
      <c r="F1579" t="inlineStr">
        <is>
          <t>Fabrica de Bares (2025)</t>
        </is>
      </c>
      <c r="G1579" t="b">
        <v>1</v>
      </c>
      <c r="H1579" t="inlineStr">
        <is>
          <t>6/2026</t>
        </is>
      </c>
    </row>
    <row r="1580">
      <c r="A1580" t="inlineStr">
        <is>
          <t>Nuv Gastrobar</t>
        </is>
      </c>
      <c r="B1580" t="inlineStr">
        <is>
          <t>Serviços de Terceiros</t>
        </is>
      </c>
      <c r="C1580" t="inlineStr">
        <is>
          <t>Assessoria Financeira</t>
        </is>
      </c>
      <c r="D1580" t="inlineStr">
        <is>
          <t>01/07/2026</t>
        </is>
      </c>
      <c r="E1580" t="n">
        <v>0</v>
      </c>
      <c r="F1580" t="inlineStr">
        <is>
          <t>Fabrica de Bares (2025)</t>
        </is>
      </c>
      <c r="G1580" t="b">
        <v>1</v>
      </c>
      <c r="H1580" t="inlineStr">
        <is>
          <t>7/2026</t>
        </is>
      </c>
    </row>
    <row r="1581">
      <c r="A1581" t="inlineStr">
        <is>
          <t>Nuv Gastrobar</t>
        </is>
      </c>
      <c r="B1581" t="inlineStr">
        <is>
          <t>Serviços de Terceiros</t>
        </is>
      </c>
      <c r="C1581" t="inlineStr">
        <is>
          <t>Assessoria Financeira</t>
        </is>
      </c>
      <c r="D1581" t="inlineStr">
        <is>
          <t>01/08/2026</t>
        </is>
      </c>
      <c r="E1581" t="n">
        <v>0</v>
      </c>
      <c r="F1581" t="inlineStr">
        <is>
          <t>Fabrica de Bares (2025)</t>
        </is>
      </c>
      <c r="G1581" t="b">
        <v>1</v>
      </c>
      <c r="H1581" t="inlineStr">
        <is>
          <t>8/2026</t>
        </is>
      </c>
    </row>
    <row r="1582">
      <c r="A1582" t="inlineStr">
        <is>
          <t>Nuv Gastrobar</t>
        </is>
      </c>
      <c r="B1582" t="inlineStr">
        <is>
          <t>Serviços de Terceiros</t>
        </is>
      </c>
      <c r="C1582" t="inlineStr">
        <is>
          <t>Assessoria Financeira</t>
        </is>
      </c>
      <c r="D1582" t="inlineStr">
        <is>
          <t>01/09/2026</t>
        </is>
      </c>
      <c r="E1582" t="n">
        <v>0</v>
      </c>
      <c r="F1582" t="inlineStr">
        <is>
          <t>Fabrica de Bares (2025)</t>
        </is>
      </c>
      <c r="G1582" t="b">
        <v>1</v>
      </c>
      <c r="H1582" t="inlineStr">
        <is>
          <t>9/2026</t>
        </is>
      </c>
    </row>
    <row r="1583">
      <c r="A1583" t="inlineStr">
        <is>
          <t>Nuv Gastrobar</t>
        </is>
      </c>
      <c r="B1583" t="inlineStr">
        <is>
          <t>Serviços de Terceiros</t>
        </is>
      </c>
      <c r="C1583" t="inlineStr">
        <is>
          <t>Assessoria Financeira</t>
        </is>
      </c>
      <c r="D1583" t="inlineStr">
        <is>
          <t>01/10/2026</t>
        </is>
      </c>
      <c r="E1583" t="n">
        <v>0</v>
      </c>
      <c r="F1583" t="inlineStr">
        <is>
          <t>Fabrica de Bares (2025)</t>
        </is>
      </c>
      <c r="G1583" t="b">
        <v>1</v>
      </c>
      <c r="H1583" t="inlineStr">
        <is>
          <t>10/2026</t>
        </is>
      </c>
    </row>
    <row r="1584">
      <c r="A1584" t="inlineStr">
        <is>
          <t>Nuv Gastrobar</t>
        </is>
      </c>
      <c r="B1584" t="inlineStr">
        <is>
          <t>Serviços de Terceiros</t>
        </is>
      </c>
      <c r="C1584" t="inlineStr">
        <is>
          <t>Assessoria Financeira</t>
        </is>
      </c>
      <c r="D1584" t="inlineStr">
        <is>
          <t>01/11/2026</t>
        </is>
      </c>
      <c r="E1584" t="n">
        <v>0</v>
      </c>
      <c r="F1584" t="inlineStr">
        <is>
          <t>Fabrica de Bares (2025)</t>
        </is>
      </c>
      <c r="G1584" t="b">
        <v>1</v>
      </c>
      <c r="H1584" t="inlineStr">
        <is>
          <t>11/2026</t>
        </is>
      </c>
    </row>
    <row r="1585">
      <c r="A1585" t="inlineStr">
        <is>
          <t>Nuv Gastrobar</t>
        </is>
      </c>
      <c r="B1585" t="inlineStr">
        <is>
          <t>Serviços de Terceiros</t>
        </is>
      </c>
      <c r="C1585" t="inlineStr">
        <is>
          <t>Assessoria Financeira</t>
        </is>
      </c>
      <c r="D1585" t="inlineStr">
        <is>
          <t>01/12/2026</t>
        </is>
      </c>
      <c r="E1585" t="n">
        <v>0</v>
      </c>
      <c r="F1585" t="inlineStr">
        <is>
          <t>Fabrica de Bares (2025)</t>
        </is>
      </c>
      <c r="G1585" t="b">
        <v>1</v>
      </c>
      <c r="H1585" t="inlineStr">
        <is>
          <t>12/2026</t>
        </is>
      </c>
    </row>
    <row r="1586">
      <c r="A1586" t="inlineStr">
        <is>
          <t>Nuv Gastrobar</t>
        </is>
      </c>
      <c r="B1586" t="inlineStr">
        <is>
          <t>Serviços de Terceiros</t>
        </is>
      </c>
      <c r="C1586" t="inlineStr">
        <is>
          <t>Assessoria Jurídica</t>
        </is>
      </c>
      <c r="D1586" t="inlineStr">
        <is>
          <t>01/01/2026</t>
        </is>
      </c>
      <c r="E1586" t="n">
        <v>0</v>
      </c>
      <c r="F1586" t="inlineStr">
        <is>
          <t>Fabrica de Bares (2025)</t>
        </is>
      </c>
      <c r="G1586" t="b">
        <v>1</v>
      </c>
      <c r="H1586" t="inlineStr">
        <is>
          <t>1/2026</t>
        </is>
      </c>
    </row>
    <row r="1587">
      <c r="A1587" t="inlineStr">
        <is>
          <t>Nuv Gastrobar</t>
        </is>
      </c>
      <c r="B1587" t="inlineStr">
        <is>
          <t>Serviços de Terceiros</t>
        </is>
      </c>
      <c r="C1587" t="inlineStr">
        <is>
          <t>Assessoria Jurídica</t>
        </is>
      </c>
      <c r="D1587" t="inlineStr">
        <is>
          <t>01/02/2026</t>
        </is>
      </c>
      <c r="E1587" t="n">
        <v>0</v>
      </c>
      <c r="F1587" t="inlineStr">
        <is>
          <t>Fabrica de Bares (2025)</t>
        </is>
      </c>
      <c r="G1587" t="b">
        <v>1</v>
      </c>
      <c r="H1587" t="inlineStr">
        <is>
          <t>2/2026</t>
        </is>
      </c>
    </row>
    <row r="1588">
      <c r="A1588" t="inlineStr">
        <is>
          <t>Nuv Gastrobar</t>
        </is>
      </c>
      <c r="B1588" t="inlineStr">
        <is>
          <t>Serviços de Terceiros</t>
        </is>
      </c>
      <c r="C1588" t="inlineStr">
        <is>
          <t>Assessoria Jurídica</t>
        </is>
      </c>
      <c r="D1588" t="inlineStr">
        <is>
          <t>01/03/2026</t>
        </is>
      </c>
      <c r="E1588" t="n">
        <v>0</v>
      </c>
      <c r="F1588" t="inlineStr">
        <is>
          <t>Fabrica de Bares (2025)</t>
        </is>
      </c>
      <c r="G1588" t="b">
        <v>1</v>
      </c>
      <c r="H1588" t="inlineStr">
        <is>
          <t>3/2026</t>
        </is>
      </c>
    </row>
    <row r="1589">
      <c r="A1589" t="inlineStr">
        <is>
          <t>Nuv Gastrobar</t>
        </is>
      </c>
      <c r="B1589" t="inlineStr">
        <is>
          <t>Serviços de Terceiros</t>
        </is>
      </c>
      <c r="C1589" t="inlineStr">
        <is>
          <t>Assessoria Jurídica</t>
        </is>
      </c>
      <c r="D1589" t="inlineStr">
        <is>
          <t>01/04/2026</t>
        </is>
      </c>
      <c r="E1589" t="n">
        <v>0</v>
      </c>
      <c r="F1589" t="inlineStr">
        <is>
          <t>Fabrica de Bares (2025)</t>
        </is>
      </c>
      <c r="G1589" t="b">
        <v>1</v>
      </c>
      <c r="H1589" t="inlineStr">
        <is>
          <t>4/2026</t>
        </is>
      </c>
    </row>
    <row r="1590">
      <c r="A1590" t="inlineStr">
        <is>
          <t>Nuv Gastrobar</t>
        </is>
      </c>
      <c r="B1590" t="inlineStr">
        <is>
          <t>Serviços de Terceiros</t>
        </is>
      </c>
      <c r="C1590" t="inlineStr">
        <is>
          <t>Assessoria Jurídica</t>
        </is>
      </c>
      <c r="D1590" t="inlineStr">
        <is>
          <t>01/05/2026</t>
        </is>
      </c>
      <c r="E1590" t="n">
        <v>0</v>
      </c>
      <c r="F1590" t="inlineStr">
        <is>
          <t>Fabrica de Bares (2025)</t>
        </is>
      </c>
      <c r="G1590" t="b">
        <v>1</v>
      </c>
      <c r="H1590" t="inlineStr">
        <is>
          <t>5/2026</t>
        </is>
      </c>
    </row>
    <row r="1591">
      <c r="A1591" t="inlineStr">
        <is>
          <t>Nuv Gastrobar</t>
        </is>
      </c>
      <c r="B1591" t="inlineStr">
        <is>
          <t>Serviços de Terceiros</t>
        </is>
      </c>
      <c r="C1591" t="inlineStr">
        <is>
          <t>Assessoria Jurídica</t>
        </is>
      </c>
      <c r="D1591" t="inlineStr">
        <is>
          <t>01/06/2026</t>
        </is>
      </c>
      <c r="E1591" t="n">
        <v>0</v>
      </c>
      <c r="F1591" t="inlineStr">
        <is>
          <t>Fabrica de Bares (2025)</t>
        </is>
      </c>
      <c r="G1591" t="b">
        <v>1</v>
      </c>
      <c r="H1591" t="inlineStr">
        <is>
          <t>6/2026</t>
        </is>
      </c>
    </row>
    <row r="1592">
      <c r="A1592" t="inlineStr">
        <is>
          <t>Nuv Gastrobar</t>
        </is>
      </c>
      <c r="B1592" t="inlineStr">
        <is>
          <t>Serviços de Terceiros</t>
        </is>
      </c>
      <c r="C1592" t="inlineStr">
        <is>
          <t>Assessoria Jurídica</t>
        </is>
      </c>
      <c r="D1592" t="inlineStr">
        <is>
          <t>01/07/2026</t>
        </is>
      </c>
      <c r="E1592" t="n">
        <v>0</v>
      </c>
      <c r="F1592" t="inlineStr">
        <is>
          <t>Fabrica de Bares (2025)</t>
        </is>
      </c>
      <c r="G1592" t="b">
        <v>1</v>
      </c>
      <c r="H1592" t="inlineStr">
        <is>
          <t>7/2026</t>
        </is>
      </c>
    </row>
    <row r="1593">
      <c r="A1593" t="inlineStr">
        <is>
          <t>Nuv Gastrobar</t>
        </is>
      </c>
      <c r="B1593" t="inlineStr">
        <is>
          <t>Serviços de Terceiros</t>
        </is>
      </c>
      <c r="C1593" t="inlineStr">
        <is>
          <t>Assessoria Jurídica</t>
        </is>
      </c>
      <c r="D1593" t="inlineStr">
        <is>
          <t>01/08/2026</t>
        </is>
      </c>
      <c r="E1593" t="n">
        <v>0</v>
      </c>
      <c r="F1593" t="inlineStr">
        <is>
          <t>Fabrica de Bares (2025)</t>
        </is>
      </c>
      <c r="G1593" t="b">
        <v>1</v>
      </c>
      <c r="H1593" t="inlineStr">
        <is>
          <t>8/2026</t>
        </is>
      </c>
    </row>
    <row r="1594">
      <c r="A1594" t="inlineStr">
        <is>
          <t>Nuv Gastrobar</t>
        </is>
      </c>
      <c r="B1594" t="inlineStr">
        <is>
          <t>Serviços de Terceiros</t>
        </is>
      </c>
      <c r="C1594" t="inlineStr">
        <is>
          <t>Assessoria Jurídica</t>
        </is>
      </c>
      <c r="D1594" t="inlineStr">
        <is>
          <t>01/09/2026</t>
        </is>
      </c>
      <c r="E1594" t="n">
        <v>0</v>
      </c>
      <c r="F1594" t="inlineStr">
        <is>
          <t>Fabrica de Bares (2025)</t>
        </is>
      </c>
      <c r="G1594" t="b">
        <v>1</v>
      </c>
      <c r="H1594" t="inlineStr">
        <is>
          <t>9/2026</t>
        </is>
      </c>
    </row>
    <row r="1595">
      <c r="A1595" t="inlineStr">
        <is>
          <t>Nuv Gastrobar</t>
        </is>
      </c>
      <c r="B1595" t="inlineStr">
        <is>
          <t>Serviços de Terceiros</t>
        </is>
      </c>
      <c r="C1595" t="inlineStr">
        <is>
          <t>Assessoria Jurídica</t>
        </is>
      </c>
      <c r="D1595" t="inlineStr">
        <is>
          <t>01/10/2026</t>
        </is>
      </c>
      <c r="E1595" t="n">
        <v>0</v>
      </c>
      <c r="F1595" t="inlineStr">
        <is>
          <t>Fabrica de Bares (2025)</t>
        </is>
      </c>
      <c r="G1595" t="b">
        <v>1</v>
      </c>
      <c r="H1595" t="inlineStr">
        <is>
          <t>10/2026</t>
        </is>
      </c>
    </row>
    <row r="1596">
      <c r="A1596" t="inlineStr">
        <is>
          <t>Nuv Gastrobar</t>
        </is>
      </c>
      <c r="B1596" t="inlineStr">
        <is>
          <t>Serviços de Terceiros</t>
        </is>
      </c>
      <c r="C1596" t="inlineStr">
        <is>
          <t>Assessoria Jurídica</t>
        </is>
      </c>
      <c r="D1596" t="inlineStr">
        <is>
          <t>01/11/2026</t>
        </is>
      </c>
      <c r="E1596" t="n">
        <v>0</v>
      </c>
      <c r="F1596" t="inlineStr">
        <is>
          <t>Fabrica de Bares (2025)</t>
        </is>
      </c>
      <c r="G1596" t="b">
        <v>1</v>
      </c>
      <c r="H1596" t="inlineStr">
        <is>
          <t>11/2026</t>
        </is>
      </c>
    </row>
    <row r="1597">
      <c r="A1597" t="inlineStr">
        <is>
          <t>Nuv Gastrobar</t>
        </is>
      </c>
      <c r="B1597" t="inlineStr">
        <is>
          <t>Serviços de Terceiros</t>
        </is>
      </c>
      <c r="C1597" t="inlineStr">
        <is>
          <t>Assessoria Jurídica</t>
        </is>
      </c>
      <c r="D1597" t="inlineStr">
        <is>
          <t>01/12/2026</t>
        </is>
      </c>
      <c r="E1597" t="n">
        <v>0</v>
      </c>
      <c r="F1597" t="inlineStr">
        <is>
          <t>Fabrica de Bares (2025)</t>
        </is>
      </c>
      <c r="G1597" t="b">
        <v>1</v>
      </c>
      <c r="H1597" t="inlineStr">
        <is>
          <t>12/2026</t>
        </is>
      </c>
    </row>
    <row r="1598">
      <c r="A1598" t="inlineStr">
        <is>
          <t>Nuv Gastrobar</t>
        </is>
      </c>
      <c r="B1598" t="inlineStr">
        <is>
          <t>Serviços de Terceiros</t>
        </is>
      </c>
      <c r="C1598" t="inlineStr">
        <is>
          <t>Assessoria RH</t>
        </is>
      </c>
      <c r="D1598" t="inlineStr">
        <is>
          <t>01/01/2026</t>
        </is>
      </c>
      <c r="E1598" t="n">
        <v>0</v>
      </c>
      <c r="F1598" t="inlineStr">
        <is>
          <t>Fabrica de Bares (2025)</t>
        </is>
      </c>
      <c r="G1598" t="b">
        <v>1</v>
      </c>
      <c r="H1598" t="inlineStr">
        <is>
          <t>1/2026</t>
        </is>
      </c>
    </row>
    <row r="1599">
      <c r="A1599" t="inlineStr">
        <is>
          <t>Nuv Gastrobar</t>
        </is>
      </c>
      <c r="B1599" t="inlineStr">
        <is>
          <t>Serviços de Terceiros</t>
        </is>
      </c>
      <c r="C1599" t="inlineStr">
        <is>
          <t>Assessoria RH</t>
        </is>
      </c>
      <c r="D1599" t="inlineStr">
        <is>
          <t>01/02/2026</t>
        </is>
      </c>
      <c r="E1599" t="n">
        <v>0</v>
      </c>
      <c r="F1599" t="inlineStr">
        <is>
          <t>Fabrica de Bares (2025)</t>
        </is>
      </c>
      <c r="G1599" t="b">
        <v>1</v>
      </c>
      <c r="H1599" t="inlineStr">
        <is>
          <t>2/2026</t>
        </is>
      </c>
    </row>
    <row r="1600">
      <c r="A1600" t="inlineStr">
        <is>
          <t>Nuv Gastrobar</t>
        </is>
      </c>
      <c r="B1600" t="inlineStr">
        <is>
          <t>Serviços de Terceiros</t>
        </is>
      </c>
      <c r="C1600" t="inlineStr">
        <is>
          <t>Assessoria RH</t>
        </is>
      </c>
      <c r="D1600" t="inlineStr">
        <is>
          <t>01/03/2026</t>
        </is>
      </c>
      <c r="E1600" t="n">
        <v>0</v>
      </c>
      <c r="F1600" t="inlineStr">
        <is>
          <t>Fabrica de Bares (2025)</t>
        </is>
      </c>
      <c r="G1600" t="b">
        <v>1</v>
      </c>
      <c r="H1600" t="inlineStr">
        <is>
          <t>3/2026</t>
        </is>
      </c>
    </row>
    <row r="1601">
      <c r="A1601" t="inlineStr">
        <is>
          <t>Nuv Gastrobar</t>
        </is>
      </c>
      <c r="B1601" t="inlineStr">
        <is>
          <t>Serviços de Terceiros</t>
        </is>
      </c>
      <c r="C1601" t="inlineStr">
        <is>
          <t>Assessoria RH</t>
        </is>
      </c>
      <c r="D1601" t="inlineStr">
        <is>
          <t>01/04/2026</t>
        </is>
      </c>
      <c r="E1601" t="n">
        <v>0</v>
      </c>
      <c r="F1601" t="inlineStr">
        <is>
          <t>Fabrica de Bares (2025)</t>
        </is>
      </c>
      <c r="G1601" t="b">
        <v>1</v>
      </c>
      <c r="H1601" t="inlineStr">
        <is>
          <t>4/2026</t>
        </is>
      </c>
    </row>
    <row r="1602">
      <c r="A1602" t="inlineStr">
        <is>
          <t>Nuv Gastrobar</t>
        </is>
      </c>
      <c r="B1602" t="inlineStr">
        <is>
          <t>Serviços de Terceiros</t>
        </is>
      </c>
      <c r="C1602" t="inlineStr">
        <is>
          <t>Assessoria RH</t>
        </is>
      </c>
      <c r="D1602" t="inlineStr">
        <is>
          <t>01/05/2026</t>
        </is>
      </c>
      <c r="E1602" t="n">
        <v>0</v>
      </c>
      <c r="F1602" t="inlineStr">
        <is>
          <t>Fabrica de Bares (2025)</t>
        </is>
      </c>
      <c r="G1602" t="b">
        <v>1</v>
      </c>
      <c r="H1602" t="inlineStr">
        <is>
          <t>5/2026</t>
        </is>
      </c>
    </row>
    <row r="1603">
      <c r="A1603" t="inlineStr">
        <is>
          <t>Nuv Gastrobar</t>
        </is>
      </c>
      <c r="B1603" t="inlineStr">
        <is>
          <t>Serviços de Terceiros</t>
        </is>
      </c>
      <c r="C1603" t="inlineStr">
        <is>
          <t>Assessoria RH</t>
        </is>
      </c>
      <c r="D1603" t="inlineStr">
        <is>
          <t>01/06/2026</t>
        </is>
      </c>
      <c r="E1603" t="n">
        <v>0</v>
      </c>
      <c r="F1603" t="inlineStr">
        <is>
          <t>Fabrica de Bares (2025)</t>
        </is>
      </c>
      <c r="G1603" t="b">
        <v>1</v>
      </c>
      <c r="H1603" t="inlineStr">
        <is>
          <t>6/2026</t>
        </is>
      </c>
    </row>
    <row r="1604">
      <c r="A1604" t="inlineStr">
        <is>
          <t>Nuv Gastrobar</t>
        </is>
      </c>
      <c r="B1604" t="inlineStr">
        <is>
          <t>Serviços de Terceiros</t>
        </is>
      </c>
      <c r="C1604" t="inlineStr">
        <is>
          <t>Assessoria RH</t>
        </is>
      </c>
      <c r="D1604" t="inlineStr">
        <is>
          <t>01/07/2026</t>
        </is>
      </c>
      <c r="E1604" t="n">
        <v>0</v>
      </c>
      <c r="F1604" t="inlineStr">
        <is>
          <t>Fabrica de Bares (2025)</t>
        </is>
      </c>
      <c r="G1604" t="b">
        <v>1</v>
      </c>
      <c r="H1604" t="inlineStr">
        <is>
          <t>7/2026</t>
        </is>
      </c>
    </row>
    <row r="1605">
      <c r="A1605" t="inlineStr">
        <is>
          <t>Nuv Gastrobar</t>
        </is>
      </c>
      <c r="B1605" t="inlineStr">
        <is>
          <t>Serviços de Terceiros</t>
        </is>
      </c>
      <c r="C1605" t="inlineStr">
        <is>
          <t>Assessoria RH</t>
        </is>
      </c>
      <c r="D1605" t="inlineStr">
        <is>
          <t>01/08/2026</t>
        </is>
      </c>
      <c r="E1605" t="n">
        <v>0</v>
      </c>
      <c r="F1605" t="inlineStr">
        <is>
          <t>Fabrica de Bares (2025)</t>
        </is>
      </c>
      <c r="G1605" t="b">
        <v>1</v>
      </c>
      <c r="H1605" t="inlineStr">
        <is>
          <t>8/2026</t>
        </is>
      </c>
    </row>
    <row r="1606">
      <c r="A1606" t="inlineStr">
        <is>
          <t>Nuv Gastrobar</t>
        </is>
      </c>
      <c r="B1606" t="inlineStr">
        <is>
          <t>Serviços de Terceiros</t>
        </is>
      </c>
      <c r="C1606" t="inlineStr">
        <is>
          <t>Assessoria RH</t>
        </is>
      </c>
      <c r="D1606" t="inlineStr">
        <is>
          <t>01/09/2026</t>
        </is>
      </c>
      <c r="E1606" t="n">
        <v>0</v>
      </c>
      <c r="F1606" t="inlineStr">
        <is>
          <t>Fabrica de Bares (2025)</t>
        </is>
      </c>
      <c r="G1606" t="b">
        <v>1</v>
      </c>
      <c r="H1606" t="inlineStr">
        <is>
          <t>9/2026</t>
        </is>
      </c>
    </row>
    <row r="1607">
      <c r="A1607" t="inlineStr">
        <is>
          <t>Nuv Gastrobar</t>
        </is>
      </c>
      <c r="B1607" t="inlineStr">
        <is>
          <t>Serviços de Terceiros</t>
        </is>
      </c>
      <c r="C1607" t="inlineStr">
        <is>
          <t>Assessoria RH</t>
        </is>
      </c>
      <c r="D1607" t="inlineStr">
        <is>
          <t>01/10/2026</t>
        </is>
      </c>
      <c r="E1607" t="n">
        <v>0</v>
      </c>
      <c r="F1607" t="inlineStr">
        <is>
          <t>Fabrica de Bares (2025)</t>
        </is>
      </c>
      <c r="G1607" t="b">
        <v>1</v>
      </c>
      <c r="H1607" t="inlineStr">
        <is>
          <t>10/2026</t>
        </is>
      </c>
    </row>
    <row r="1608">
      <c r="A1608" t="inlineStr">
        <is>
          <t>Nuv Gastrobar</t>
        </is>
      </c>
      <c r="B1608" t="inlineStr">
        <is>
          <t>Serviços de Terceiros</t>
        </is>
      </c>
      <c r="C1608" t="inlineStr">
        <is>
          <t>Assessoria RH</t>
        </is>
      </c>
      <c r="D1608" t="inlineStr">
        <is>
          <t>01/11/2026</t>
        </is>
      </c>
      <c r="E1608" t="n">
        <v>0</v>
      </c>
      <c r="F1608" t="inlineStr">
        <is>
          <t>Fabrica de Bares (2025)</t>
        </is>
      </c>
      <c r="G1608" t="b">
        <v>1</v>
      </c>
      <c r="H1608" t="inlineStr">
        <is>
          <t>11/2026</t>
        </is>
      </c>
    </row>
    <row r="1609">
      <c r="A1609" t="inlineStr">
        <is>
          <t>Nuv Gastrobar</t>
        </is>
      </c>
      <c r="B1609" t="inlineStr">
        <is>
          <t>Serviços de Terceiros</t>
        </is>
      </c>
      <c r="C1609" t="inlineStr">
        <is>
          <t>Assessoria RH</t>
        </is>
      </c>
      <c r="D1609" t="inlineStr">
        <is>
          <t>01/12/2026</t>
        </is>
      </c>
      <c r="E1609" t="n">
        <v>0</v>
      </c>
      <c r="F1609" t="inlineStr">
        <is>
          <t>Fabrica de Bares (2025)</t>
        </is>
      </c>
      <c r="G1609" t="b">
        <v>1</v>
      </c>
      <c r="H1609" t="inlineStr">
        <is>
          <t>12/2026</t>
        </is>
      </c>
    </row>
    <row r="1610">
      <c r="A1610" t="inlineStr">
        <is>
          <t>Nuv Gastrobar</t>
        </is>
      </c>
      <c r="B1610" t="inlineStr">
        <is>
          <t>Serviços de Terceiros</t>
        </is>
      </c>
      <c r="C1610" t="inlineStr">
        <is>
          <t>Serviços de Segurança</t>
        </is>
      </c>
      <c r="D1610" t="inlineStr">
        <is>
          <t>01/01/2026</t>
        </is>
      </c>
      <c r="E1610" t="n">
        <v>0</v>
      </c>
      <c r="F1610" t="inlineStr">
        <is>
          <t>Fabrica de Bares (2025)</t>
        </is>
      </c>
      <c r="G1610" t="b">
        <v>1</v>
      </c>
      <c r="H1610" t="inlineStr">
        <is>
          <t>1/2026</t>
        </is>
      </c>
    </row>
    <row r="1611">
      <c r="A1611" t="inlineStr">
        <is>
          <t>Nuv Gastrobar</t>
        </is>
      </c>
      <c r="B1611" t="inlineStr">
        <is>
          <t>Serviços de Terceiros</t>
        </is>
      </c>
      <c r="C1611" t="inlineStr">
        <is>
          <t>Serviços de Segurança</t>
        </is>
      </c>
      <c r="D1611" t="inlineStr">
        <is>
          <t>01/02/2026</t>
        </is>
      </c>
      <c r="E1611" t="n">
        <v>0</v>
      </c>
      <c r="F1611" t="inlineStr">
        <is>
          <t>Fabrica de Bares (2025)</t>
        </is>
      </c>
      <c r="G1611" t="b">
        <v>1</v>
      </c>
      <c r="H1611" t="inlineStr">
        <is>
          <t>2/2026</t>
        </is>
      </c>
    </row>
    <row r="1612">
      <c r="A1612" t="inlineStr">
        <is>
          <t>Nuv Gastrobar</t>
        </is>
      </c>
      <c r="B1612" t="inlineStr">
        <is>
          <t>Serviços de Terceiros</t>
        </is>
      </c>
      <c r="C1612" t="inlineStr">
        <is>
          <t>Serviços de Segurança</t>
        </is>
      </c>
      <c r="D1612" t="inlineStr">
        <is>
          <t>01/03/2026</t>
        </is>
      </c>
      <c r="E1612" t="n">
        <v>0</v>
      </c>
      <c r="F1612" t="inlineStr">
        <is>
          <t>Fabrica de Bares (2025)</t>
        </is>
      </c>
      <c r="G1612" t="b">
        <v>1</v>
      </c>
      <c r="H1612" t="inlineStr">
        <is>
          <t>3/2026</t>
        </is>
      </c>
    </row>
    <row r="1613">
      <c r="A1613" t="inlineStr">
        <is>
          <t>Nuv Gastrobar</t>
        </is>
      </c>
      <c r="B1613" t="inlineStr">
        <is>
          <t>Serviços de Terceiros</t>
        </is>
      </c>
      <c r="C1613" t="inlineStr">
        <is>
          <t>Serviços de Segurança</t>
        </is>
      </c>
      <c r="D1613" t="inlineStr">
        <is>
          <t>01/04/2026</t>
        </is>
      </c>
      <c r="E1613" t="n">
        <v>0</v>
      </c>
      <c r="F1613" t="inlineStr">
        <is>
          <t>Fabrica de Bares (2025)</t>
        </is>
      </c>
      <c r="G1613" t="b">
        <v>1</v>
      </c>
      <c r="H1613" t="inlineStr">
        <is>
          <t>4/2026</t>
        </is>
      </c>
    </row>
    <row r="1614">
      <c r="A1614" t="inlineStr">
        <is>
          <t>Nuv Gastrobar</t>
        </is>
      </c>
      <c r="B1614" t="inlineStr">
        <is>
          <t>Serviços de Terceiros</t>
        </is>
      </c>
      <c r="C1614" t="inlineStr">
        <is>
          <t>Serviços de Segurança</t>
        </is>
      </c>
      <c r="D1614" t="inlineStr">
        <is>
          <t>01/05/2026</t>
        </is>
      </c>
      <c r="E1614" t="n">
        <v>0</v>
      </c>
      <c r="F1614" t="inlineStr">
        <is>
          <t>Fabrica de Bares (2025)</t>
        </is>
      </c>
      <c r="G1614" t="b">
        <v>1</v>
      </c>
      <c r="H1614" t="inlineStr">
        <is>
          <t>5/2026</t>
        </is>
      </c>
    </row>
    <row r="1615">
      <c r="A1615" t="inlineStr">
        <is>
          <t>Nuv Gastrobar</t>
        </is>
      </c>
      <c r="B1615" t="inlineStr">
        <is>
          <t>Serviços de Terceiros</t>
        </is>
      </c>
      <c r="C1615" t="inlineStr">
        <is>
          <t>Serviços de Segurança</t>
        </is>
      </c>
      <c r="D1615" t="inlineStr">
        <is>
          <t>01/06/2026</t>
        </is>
      </c>
      <c r="E1615" t="n">
        <v>0</v>
      </c>
      <c r="F1615" t="inlineStr">
        <is>
          <t>Fabrica de Bares (2025)</t>
        </is>
      </c>
      <c r="G1615" t="b">
        <v>1</v>
      </c>
      <c r="H1615" t="inlineStr">
        <is>
          <t>6/2026</t>
        </is>
      </c>
    </row>
    <row r="1616">
      <c r="A1616" t="inlineStr">
        <is>
          <t>Nuv Gastrobar</t>
        </is>
      </c>
      <c r="B1616" t="inlineStr">
        <is>
          <t>Serviços de Terceiros</t>
        </is>
      </c>
      <c r="C1616" t="inlineStr">
        <is>
          <t>Serviços de Segurança</t>
        </is>
      </c>
      <c r="D1616" t="inlineStr">
        <is>
          <t>01/07/2026</t>
        </is>
      </c>
      <c r="E1616" t="n">
        <v>0</v>
      </c>
      <c r="F1616" t="inlineStr">
        <is>
          <t>Fabrica de Bares (2025)</t>
        </is>
      </c>
      <c r="G1616" t="b">
        <v>1</v>
      </c>
      <c r="H1616" t="inlineStr">
        <is>
          <t>7/2026</t>
        </is>
      </c>
    </row>
    <row r="1617">
      <c r="A1617" t="inlineStr">
        <is>
          <t>Nuv Gastrobar</t>
        </is>
      </c>
      <c r="B1617" t="inlineStr">
        <is>
          <t>Serviços de Terceiros</t>
        </is>
      </c>
      <c r="C1617" t="inlineStr">
        <is>
          <t>Serviços de Segurança</t>
        </is>
      </c>
      <c r="D1617" t="inlineStr">
        <is>
          <t>01/08/2026</t>
        </is>
      </c>
      <c r="E1617" t="n">
        <v>0</v>
      </c>
      <c r="F1617" t="inlineStr">
        <is>
          <t>Fabrica de Bares (2025)</t>
        </is>
      </c>
      <c r="G1617" t="b">
        <v>1</v>
      </c>
      <c r="H1617" t="inlineStr">
        <is>
          <t>8/2026</t>
        </is>
      </c>
    </row>
    <row r="1618">
      <c r="A1618" t="inlineStr">
        <is>
          <t>Nuv Gastrobar</t>
        </is>
      </c>
      <c r="B1618" t="inlineStr">
        <is>
          <t>Serviços de Terceiros</t>
        </is>
      </c>
      <c r="C1618" t="inlineStr">
        <is>
          <t>Serviços de Segurança</t>
        </is>
      </c>
      <c r="D1618" t="inlineStr">
        <is>
          <t>01/09/2026</t>
        </is>
      </c>
      <c r="E1618" t="n">
        <v>0</v>
      </c>
      <c r="F1618" t="inlineStr">
        <is>
          <t>Fabrica de Bares (2025)</t>
        </is>
      </c>
      <c r="G1618" t="b">
        <v>1</v>
      </c>
      <c r="H1618" t="inlineStr">
        <is>
          <t>9/2026</t>
        </is>
      </c>
    </row>
    <row r="1619">
      <c r="A1619" t="inlineStr">
        <is>
          <t>Nuv Gastrobar</t>
        </is>
      </c>
      <c r="B1619" t="inlineStr">
        <is>
          <t>Serviços de Terceiros</t>
        </is>
      </c>
      <c r="C1619" t="inlineStr">
        <is>
          <t>Serviços de Segurança</t>
        </is>
      </c>
      <c r="D1619" t="inlineStr">
        <is>
          <t>01/10/2026</t>
        </is>
      </c>
      <c r="E1619" t="n">
        <v>0</v>
      </c>
      <c r="F1619" t="inlineStr">
        <is>
          <t>Fabrica de Bares (2025)</t>
        </is>
      </c>
      <c r="G1619" t="b">
        <v>1</v>
      </c>
      <c r="H1619" t="inlineStr">
        <is>
          <t>10/2026</t>
        </is>
      </c>
    </row>
    <row r="1620">
      <c r="A1620" t="inlineStr">
        <is>
          <t>Nuv Gastrobar</t>
        </is>
      </c>
      <c r="B1620" t="inlineStr">
        <is>
          <t>Serviços de Terceiros</t>
        </is>
      </c>
      <c r="C1620" t="inlineStr">
        <is>
          <t>Serviços de Segurança</t>
        </is>
      </c>
      <c r="D1620" t="inlineStr">
        <is>
          <t>01/11/2026</t>
        </is>
      </c>
      <c r="E1620" t="n">
        <v>0</v>
      </c>
      <c r="F1620" t="inlineStr">
        <is>
          <t>Fabrica de Bares (2025)</t>
        </is>
      </c>
      <c r="G1620" t="b">
        <v>1</v>
      </c>
      <c r="H1620" t="inlineStr">
        <is>
          <t>11/2026</t>
        </is>
      </c>
    </row>
    <row r="1621">
      <c r="A1621" t="inlineStr">
        <is>
          <t>Nuv Gastrobar</t>
        </is>
      </c>
      <c r="B1621" t="inlineStr">
        <is>
          <t>Serviços de Terceiros</t>
        </is>
      </c>
      <c r="C1621" t="inlineStr">
        <is>
          <t>Serviços de Segurança</t>
        </is>
      </c>
      <c r="D1621" t="inlineStr">
        <is>
          <t>01/12/2026</t>
        </is>
      </c>
      <c r="E1621" t="n">
        <v>0</v>
      </c>
      <c r="F1621" t="inlineStr">
        <is>
          <t>Fabrica de Bares (2025)</t>
        </is>
      </c>
      <c r="G1621" t="b">
        <v>1</v>
      </c>
      <c r="H1621" t="inlineStr">
        <is>
          <t>12/2026</t>
        </is>
      </c>
    </row>
    <row r="1622">
      <c r="A1622" t="inlineStr">
        <is>
          <t>Nuv Gastrobar</t>
        </is>
      </c>
      <c r="B1622" t="inlineStr">
        <is>
          <t>Serviços de Terceiros</t>
        </is>
      </c>
      <c r="C1622" t="inlineStr">
        <is>
          <t>Valet/Motoboy</t>
        </is>
      </c>
      <c r="D1622" t="inlineStr">
        <is>
          <t>01/01/2026</t>
        </is>
      </c>
      <c r="E1622" t="n">
        <v>0</v>
      </c>
      <c r="F1622" t="inlineStr">
        <is>
          <t>Fabrica de Bares (2025)</t>
        </is>
      </c>
      <c r="G1622" t="b">
        <v>1</v>
      </c>
      <c r="H1622" t="inlineStr">
        <is>
          <t>1/2026</t>
        </is>
      </c>
    </row>
    <row r="1623">
      <c r="A1623" t="inlineStr">
        <is>
          <t>Nuv Gastrobar</t>
        </is>
      </c>
      <c r="B1623" t="inlineStr">
        <is>
          <t>Serviços de Terceiros</t>
        </is>
      </c>
      <c r="C1623" t="inlineStr">
        <is>
          <t>Valet/Motoboy</t>
        </is>
      </c>
      <c r="D1623" t="inlineStr">
        <is>
          <t>01/02/2026</t>
        </is>
      </c>
      <c r="E1623" t="n">
        <v>0</v>
      </c>
      <c r="F1623" t="inlineStr">
        <is>
          <t>Fabrica de Bares (2025)</t>
        </is>
      </c>
      <c r="G1623" t="b">
        <v>1</v>
      </c>
      <c r="H1623" t="inlineStr">
        <is>
          <t>2/2026</t>
        </is>
      </c>
    </row>
    <row r="1624">
      <c r="A1624" t="inlineStr">
        <is>
          <t>Nuv Gastrobar</t>
        </is>
      </c>
      <c r="B1624" t="inlineStr">
        <is>
          <t>Serviços de Terceiros</t>
        </is>
      </c>
      <c r="C1624" t="inlineStr">
        <is>
          <t>Valet/Motoboy</t>
        </is>
      </c>
      <c r="D1624" t="inlineStr">
        <is>
          <t>01/03/2026</t>
        </is>
      </c>
      <c r="E1624" t="n">
        <v>0</v>
      </c>
      <c r="F1624" t="inlineStr">
        <is>
          <t>Fabrica de Bares (2025)</t>
        </is>
      </c>
      <c r="G1624" t="b">
        <v>1</v>
      </c>
      <c r="H1624" t="inlineStr">
        <is>
          <t>3/2026</t>
        </is>
      </c>
    </row>
    <row r="1625">
      <c r="A1625" t="inlineStr">
        <is>
          <t>Nuv Gastrobar</t>
        </is>
      </c>
      <c r="B1625" t="inlineStr">
        <is>
          <t>Serviços de Terceiros</t>
        </is>
      </c>
      <c r="C1625" t="inlineStr">
        <is>
          <t>Valet/Motoboy</t>
        </is>
      </c>
      <c r="D1625" t="inlineStr">
        <is>
          <t>01/04/2026</t>
        </is>
      </c>
      <c r="E1625" t="n">
        <v>0</v>
      </c>
      <c r="F1625" t="inlineStr">
        <is>
          <t>Fabrica de Bares (2025)</t>
        </is>
      </c>
      <c r="G1625" t="b">
        <v>1</v>
      </c>
      <c r="H1625" t="inlineStr">
        <is>
          <t>4/2026</t>
        </is>
      </c>
    </row>
    <row r="1626">
      <c r="A1626" t="inlineStr">
        <is>
          <t>Nuv Gastrobar</t>
        </is>
      </c>
      <c r="B1626" t="inlineStr">
        <is>
          <t>Serviços de Terceiros</t>
        </is>
      </c>
      <c r="C1626" t="inlineStr">
        <is>
          <t>Valet/Motoboy</t>
        </is>
      </c>
      <c r="D1626" t="inlineStr">
        <is>
          <t>01/05/2026</t>
        </is>
      </c>
      <c r="E1626" t="n">
        <v>0</v>
      </c>
      <c r="F1626" t="inlineStr">
        <is>
          <t>Fabrica de Bares (2025)</t>
        </is>
      </c>
      <c r="G1626" t="b">
        <v>1</v>
      </c>
      <c r="H1626" t="inlineStr">
        <is>
          <t>5/2026</t>
        </is>
      </c>
    </row>
    <row r="1627">
      <c r="A1627" t="inlineStr">
        <is>
          <t>Nuv Gastrobar</t>
        </is>
      </c>
      <c r="B1627" t="inlineStr">
        <is>
          <t>Serviços de Terceiros</t>
        </is>
      </c>
      <c r="C1627" t="inlineStr">
        <is>
          <t>Valet/Motoboy</t>
        </is>
      </c>
      <c r="D1627" t="inlineStr">
        <is>
          <t>01/06/2026</t>
        </is>
      </c>
      <c r="E1627" t="n">
        <v>0</v>
      </c>
      <c r="F1627" t="inlineStr">
        <is>
          <t>Fabrica de Bares (2025)</t>
        </is>
      </c>
      <c r="G1627" t="b">
        <v>1</v>
      </c>
      <c r="H1627" t="inlineStr">
        <is>
          <t>6/2026</t>
        </is>
      </c>
    </row>
    <row r="1628">
      <c r="A1628" t="inlineStr">
        <is>
          <t>Nuv Gastrobar</t>
        </is>
      </c>
      <c r="B1628" t="inlineStr">
        <is>
          <t>Serviços de Terceiros</t>
        </is>
      </c>
      <c r="C1628" t="inlineStr">
        <is>
          <t>Valet/Motoboy</t>
        </is>
      </c>
      <c r="D1628" t="inlineStr">
        <is>
          <t>01/07/2026</t>
        </is>
      </c>
      <c r="E1628" t="n">
        <v>0</v>
      </c>
      <c r="F1628" t="inlineStr">
        <is>
          <t>Fabrica de Bares (2025)</t>
        </is>
      </c>
      <c r="G1628" t="b">
        <v>1</v>
      </c>
      <c r="H1628" t="inlineStr">
        <is>
          <t>7/2026</t>
        </is>
      </c>
    </row>
    <row r="1629">
      <c r="A1629" t="inlineStr">
        <is>
          <t>Nuv Gastrobar</t>
        </is>
      </c>
      <c r="B1629" t="inlineStr">
        <is>
          <t>Serviços de Terceiros</t>
        </is>
      </c>
      <c r="C1629" t="inlineStr">
        <is>
          <t>Valet/Motoboy</t>
        </is>
      </c>
      <c r="D1629" t="inlineStr">
        <is>
          <t>01/08/2026</t>
        </is>
      </c>
      <c r="E1629" t="n">
        <v>0</v>
      </c>
      <c r="F1629" t="inlineStr">
        <is>
          <t>Fabrica de Bares (2025)</t>
        </is>
      </c>
      <c r="G1629" t="b">
        <v>1</v>
      </c>
      <c r="H1629" t="inlineStr">
        <is>
          <t>8/2026</t>
        </is>
      </c>
    </row>
    <row r="1630">
      <c r="A1630" t="inlineStr">
        <is>
          <t>Nuv Gastrobar</t>
        </is>
      </c>
      <c r="B1630" t="inlineStr">
        <is>
          <t>Serviços de Terceiros</t>
        </is>
      </c>
      <c r="C1630" t="inlineStr">
        <is>
          <t>Valet/Motoboy</t>
        </is>
      </c>
      <c r="D1630" t="inlineStr">
        <is>
          <t>01/09/2026</t>
        </is>
      </c>
      <c r="E1630" t="n">
        <v>0</v>
      </c>
      <c r="F1630" t="inlineStr">
        <is>
          <t>Fabrica de Bares (2025)</t>
        </is>
      </c>
      <c r="G1630" t="b">
        <v>1</v>
      </c>
      <c r="H1630" t="inlineStr">
        <is>
          <t>9/2026</t>
        </is>
      </c>
    </row>
    <row r="1631">
      <c r="A1631" t="inlineStr">
        <is>
          <t>Nuv Gastrobar</t>
        </is>
      </c>
      <c r="B1631" t="inlineStr">
        <is>
          <t>Serviços de Terceiros</t>
        </is>
      </c>
      <c r="C1631" t="inlineStr">
        <is>
          <t>Valet/Motoboy</t>
        </is>
      </c>
      <c r="D1631" t="inlineStr">
        <is>
          <t>01/10/2026</t>
        </is>
      </c>
      <c r="E1631" t="n">
        <v>0</v>
      </c>
      <c r="F1631" t="inlineStr">
        <is>
          <t>Fabrica de Bares (2025)</t>
        </is>
      </c>
      <c r="G1631" t="b">
        <v>1</v>
      </c>
      <c r="H1631" t="inlineStr">
        <is>
          <t>10/2026</t>
        </is>
      </c>
    </row>
    <row r="1632">
      <c r="A1632" t="inlineStr">
        <is>
          <t>Nuv Gastrobar</t>
        </is>
      </c>
      <c r="B1632" t="inlineStr">
        <is>
          <t>Serviços de Terceiros</t>
        </is>
      </c>
      <c r="C1632" t="inlineStr">
        <is>
          <t>Valet/Motoboy</t>
        </is>
      </c>
      <c r="D1632" t="inlineStr">
        <is>
          <t>01/11/2026</t>
        </is>
      </c>
      <c r="E1632" t="n">
        <v>0</v>
      </c>
      <c r="F1632" t="inlineStr">
        <is>
          <t>Fabrica de Bares (2025)</t>
        </is>
      </c>
      <c r="G1632" t="b">
        <v>1</v>
      </c>
      <c r="H1632" t="inlineStr">
        <is>
          <t>11/2026</t>
        </is>
      </c>
    </row>
    <row r="1633">
      <c r="A1633" t="inlineStr">
        <is>
          <t>Nuv Gastrobar</t>
        </is>
      </c>
      <c r="B1633" t="inlineStr">
        <is>
          <t>Serviços de Terceiros</t>
        </is>
      </c>
      <c r="C1633" t="inlineStr">
        <is>
          <t>Valet/Motoboy</t>
        </is>
      </c>
      <c r="D1633" t="inlineStr">
        <is>
          <t>01/12/2026</t>
        </is>
      </c>
      <c r="E1633" t="n">
        <v>0</v>
      </c>
      <c r="F1633" t="inlineStr">
        <is>
          <t>Fabrica de Bares (2025)</t>
        </is>
      </c>
      <c r="G1633" t="b">
        <v>1</v>
      </c>
      <c r="H1633" t="inlineStr">
        <is>
          <t>12/2026</t>
        </is>
      </c>
    </row>
    <row r="1634">
      <c r="A1634" t="inlineStr">
        <is>
          <t>Nuv Gastrobar</t>
        </is>
      </c>
      <c r="B1634" t="inlineStr">
        <is>
          <t>Sistema de Franquias</t>
        </is>
      </c>
      <c r="C1634" t="inlineStr">
        <is>
          <t>Fee Gestão FB</t>
        </is>
      </c>
      <c r="D1634" t="inlineStr">
        <is>
          <t>01/01/2026</t>
        </is>
      </c>
      <c r="E1634" t="n">
        <v>0</v>
      </c>
      <c r="F1634" t="inlineStr">
        <is>
          <t>Fabrica de Bares (2025)</t>
        </is>
      </c>
      <c r="G1634" t="b">
        <v>1</v>
      </c>
      <c r="H1634" t="inlineStr">
        <is>
          <t>1/2026</t>
        </is>
      </c>
    </row>
    <row r="1635">
      <c r="A1635" t="inlineStr">
        <is>
          <t>Nuv Gastrobar</t>
        </is>
      </c>
      <c r="B1635" t="inlineStr">
        <is>
          <t>Sistema de Franquias</t>
        </is>
      </c>
      <c r="C1635" t="inlineStr">
        <is>
          <t>Fee Gestão FB</t>
        </is>
      </c>
      <c r="D1635" t="inlineStr">
        <is>
          <t>01/02/2026</t>
        </is>
      </c>
      <c r="E1635" t="n">
        <v>0</v>
      </c>
      <c r="F1635" t="inlineStr">
        <is>
          <t>Fabrica de Bares (2025)</t>
        </is>
      </c>
      <c r="G1635" t="b">
        <v>1</v>
      </c>
      <c r="H1635" t="inlineStr">
        <is>
          <t>2/2026</t>
        </is>
      </c>
    </row>
    <row r="1636">
      <c r="A1636" t="inlineStr">
        <is>
          <t>Nuv Gastrobar</t>
        </is>
      </c>
      <c r="B1636" t="inlineStr">
        <is>
          <t>Sistema de Franquias</t>
        </is>
      </c>
      <c r="C1636" t="inlineStr">
        <is>
          <t>Fee Gestão FB</t>
        </is>
      </c>
      <c r="D1636" t="inlineStr">
        <is>
          <t>01/03/2026</t>
        </is>
      </c>
      <c r="E1636" t="n">
        <v>0</v>
      </c>
      <c r="F1636" t="inlineStr">
        <is>
          <t>Fabrica de Bares (2025)</t>
        </is>
      </c>
      <c r="G1636" t="b">
        <v>1</v>
      </c>
      <c r="H1636" t="inlineStr">
        <is>
          <t>3/2026</t>
        </is>
      </c>
    </row>
    <row r="1637">
      <c r="A1637" t="inlineStr">
        <is>
          <t>Nuv Gastrobar</t>
        </is>
      </c>
      <c r="B1637" t="inlineStr">
        <is>
          <t>Sistema de Franquias</t>
        </is>
      </c>
      <c r="C1637" t="inlineStr">
        <is>
          <t>Fee Gestão FB</t>
        </is>
      </c>
      <c r="D1637" t="inlineStr">
        <is>
          <t>01/04/2026</t>
        </is>
      </c>
      <c r="E1637" t="n">
        <v>0</v>
      </c>
      <c r="F1637" t="inlineStr">
        <is>
          <t>Fabrica de Bares (2025)</t>
        </is>
      </c>
      <c r="G1637" t="b">
        <v>1</v>
      </c>
      <c r="H1637" t="inlineStr">
        <is>
          <t>4/2026</t>
        </is>
      </c>
    </row>
    <row r="1638">
      <c r="A1638" t="inlineStr">
        <is>
          <t>Nuv Gastrobar</t>
        </is>
      </c>
      <c r="B1638" t="inlineStr">
        <is>
          <t>Sistema de Franquias</t>
        </is>
      </c>
      <c r="C1638" t="inlineStr">
        <is>
          <t>Fee Gestão FB</t>
        </is>
      </c>
      <c r="D1638" t="inlineStr">
        <is>
          <t>01/05/2026</t>
        </is>
      </c>
      <c r="E1638" t="n">
        <v>0</v>
      </c>
      <c r="F1638" t="inlineStr">
        <is>
          <t>Fabrica de Bares (2025)</t>
        </is>
      </c>
      <c r="G1638" t="b">
        <v>1</v>
      </c>
      <c r="H1638" t="inlineStr">
        <is>
          <t>5/2026</t>
        </is>
      </c>
    </row>
    <row r="1639">
      <c r="A1639" t="inlineStr">
        <is>
          <t>Nuv Gastrobar</t>
        </is>
      </c>
      <c r="B1639" t="inlineStr">
        <is>
          <t>Sistema de Franquias</t>
        </is>
      </c>
      <c r="C1639" t="inlineStr">
        <is>
          <t>Fee Gestão FB</t>
        </is>
      </c>
      <c r="D1639" t="inlineStr">
        <is>
          <t>01/06/2026</t>
        </is>
      </c>
      <c r="E1639" t="n">
        <v>0</v>
      </c>
      <c r="F1639" t="inlineStr">
        <is>
          <t>Fabrica de Bares (2025)</t>
        </is>
      </c>
      <c r="G1639" t="b">
        <v>1</v>
      </c>
      <c r="H1639" t="inlineStr">
        <is>
          <t>6/2026</t>
        </is>
      </c>
    </row>
    <row r="1640">
      <c r="A1640" t="inlineStr">
        <is>
          <t>Nuv Gastrobar</t>
        </is>
      </c>
      <c r="B1640" t="inlineStr">
        <is>
          <t>Sistema de Franquias</t>
        </is>
      </c>
      <c r="C1640" t="inlineStr">
        <is>
          <t>Fee Gestão FB</t>
        </is>
      </c>
      <c r="D1640" t="inlineStr">
        <is>
          <t>01/07/2026</t>
        </is>
      </c>
      <c r="E1640" t="n">
        <v>0</v>
      </c>
      <c r="F1640" t="inlineStr">
        <is>
          <t>Fabrica de Bares (2025)</t>
        </is>
      </c>
      <c r="G1640" t="b">
        <v>1</v>
      </c>
      <c r="H1640" t="inlineStr">
        <is>
          <t>7/2026</t>
        </is>
      </c>
    </row>
    <row r="1641">
      <c r="A1641" t="inlineStr">
        <is>
          <t>Nuv Gastrobar</t>
        </is>
      </c>
      <c r="B1641" t="inlineStr">
        <is>
          <t>Sistema de Franquias</t>
        </is>
      </c>
      <c r="C1641" t="inlineStr">
        <is>
          <t>Fee Gestão FB</t>
        </is>
      </c>
      <c r="D1641" t="inlineStr">
        <is>
          <t>01/08/2026</t>
        </is>
      </c>
      <c r="E1641" t="n">
        <v>18934.2</v>
      </c>
      <c r="F1641" t="inlineStr">
        <is>
          <t>Fabrica de Bares (2025)</t>
        </is>
      </c>
      <c r="G1641" t="b">
        <v>1</v>
      </c>
      <c r="H1641" t="inlineStr">
        <is>
          <t>8/2026</t>
        </is>
      </c>
    </row>
    <row r="1642">
      <c r="A1642" t="inlineStr">
        <is>
          <t>Nuv Gastrobar</t>
        </is>
      </c>
      <c r="B1642" t="inlineStr">
        <is>
          <t>Sistema de Franquias</t>
        </is>
      </c>
      <c r="C1642" t="inlineStr">
        <is>
          <t>Fee Gestão FB</t>
        </is>
      </c>
      <c r="D1642" t="inlineStr">
        <is>
          <t>01/09/2026</t>
        </is>
      </c>
      <c r="E1642" t="n">
        <v>29471.6</v>
      </c>
      <c r="F1642" t="inlineStr">
        <is>
          <t>Fabrica de Bares (2025)</t>
        </is>
      </c>
      <c r="G1642" t="b">
        <v>1</v>
      </c>
      <c r="H1642" t="inlineStr">
        <is>
          <t>9/2026</t>
        </is>
      </c>
    </row>
    <row r="1643">
      <c r="A1643" t="inlineStr">
        <is>
          <t>Nuv Gastrobar</t>
        </is>
      </c>
      <c r="B1643" t="inlineStr">
        <is>
          <t>Sistema de Franquias</t>
        </is>
      </c>
      <c r="C1643" t="inlineStr">
        <is>
          <t>Fee Gestão FB</t>
        </is>
      </c>
      <c r="D1643" t="inlineStr">
        <is>
          <t>01/10/2026</t>
        </is>
      </c>
      <c r="E1643" t="n">
        <v>34328.6</v>
      </c>
      <c r="F1643" t="inlineStr">
        <is>
          <t>Fabrica de Bares (2025)</t>
        </is>
      </c>
      <c r="G1643" t="b">
        <v>1</v>
      </c>
      <c r="H1643" t="inlineStr">
        <is>
          <t>10/2026</t>
        </is>
      </c>
    </row>
    <row r="1644">
      <c r="A1644" t="inlineStr">
        <is>
          <t>Nuv Gastrobar</t>
        </is>
      </c>
      <c r="B1644" t="inlineStr">
        <is>
          <t>Sistema de Franquias</t>
        </is>
      </c>
      <c r="C1644" t="inlineStr">
        <is>
          <t>Fee Gestão FB</t>
        </is>
      </c>
      <c r="D1644" t="inlineStr">
        <is>
          <t>01/11/2026</t>
        </is>
      </c>
      <c r="E1644" t="n">
        <v>49714</v>
      </c>
      <c r="F1644" t="inlineStr">
        <is>
          <t>Fabrica de Bares (2025)</t>
        </is>
      </c>
      <c r="G1644" t="b">
        <v>1</v>
      </c>
      <c r="H1644" t="inlineStr">
        <is>
          <t>11/2026</t>
        </is>
      </c>
    </row>
    <row r="1645">
      <c r="A1645" t="inlineStr">
        <is>
          <t>Nuv Gastrobar</t>
        </is>
      </c>
      <c r="B1645" t="inlineStr">
        <is>
          <t>Sistema de Franquias</t>
        </is>
      </c>
      <c r="C1645" t="inlineStr">
        <is>
          <t>Fee Gestão FB</t>
        </is>
      </c>
      <c r="D1645" t="inlineStr">
        <is>
          <t>01/12/2026</t>
        </is>
      </c>
      <c r="E1645" t="n">
        <v>49181.6</v>
      </c>
      <c r="F1645" t="inlineStr">
        <is>
          <t>Fabrica de Bares (2025)</t>
        </is>
      </c>
      <c r="G1645" t="b">
        <v>1</v>
      </c>
      <c r="H1645" t="inlineStr">
        <is>
          <t>12/2026</t>
        </is>
      </c>
    </row>
    <row r="1646">
      <c r="A1646" t="inlineStr">
        <is>
          <t>Nuv Gastrobar</t>
        </is>
      </c>
      <c r="B1646" t="inlineStr">
        <is>
          <t>Sistema de Franquias</t>
        </is>
      </c>
      <c r="C1646" t="inlineStr">
        <is>
          <t>Fundo de Propaganda</t>
        </is>
      </c>
      <c r="D1646" t="inlineStr">
        <is>
          <t>01/01/2026</t>
        </is>
      </c>
      <c r="E1646" t="n">
        <v>0</v>
      </c>
      <c r="F1646" t="inlineStr">
        <is>
          <t>Fabrica de Bares (2025)</t>
        </is>
      </c>
      <c r="G1646" t="b">
        <v>1</v>
      </c>
      <c r="H1646" t="inlineStr">
        <is>
          <t>1/2026</t>
        </is>
      </c>
    </row>
    <row r="1647">
      <c r="A1647" t="inlineStr">
        <is>
          <t>Nuv Gastrobar</t>
        </is>
      </c>
      <c r="B1647" t="inlineStr">
        <is>
          <t>Sistema de Franquias</t>
        </is>
      </c>
      <c r="C1647" t="inlineStr">
        <is>
          <t>Fundo de Propaganda</t>
        </is>
      </c>
      <c r="D1647" t="inlineStr">
        <is>
          <t>01/02/2026</t>
        </is>
      </c>
      <c r="E1647" t="n">
        <v>0</v>
      </c>
      <c r="F1647" t="inlineStr">
        <is>
          <t>Fabrica de Bares (2025)</t>
        </is>
      </c>
      <c r="G1647" t="b">
        <v>1</v>
      </c>
      <c r="H1647" t="inlineStr">
        <is>
          <t>2/2026</t>
        </is>
      </c>
    </row>
    <row r="1648">
      <c r="A1648" t="inlineStr">
        <is>
          <t>Nuv Gastrobar</t>
        </is>
      </c>
      <c r="B1648" t="inlineStr">
        <is>
          <t>Sistema de Franquias</t>
        </is>
      </c>
      <c r="C1648" t="inlineStr">
        <is>
          <t>Fundo de Propaganda</t>
        </is>
      </c>
      <c r="D1648" t="inlineStr">
        <is>
          <t>01/03/2026</t>
        </is>
      </c>
      <c r="E1648" t="n">
        <v>0</v>
      </c>
      <c r="F1648" t="inlineStr">
        <is>
          <t>Fabrica de Bares (2025)</t>
        </is>
      </c>
      <c r="G1648" t="b">
        <v>1</v>
      </c>
      <c r="H1648" t="inlineStr">
        <is>
          <t>3/2026</t>
        </is>
      </c>
    </row>
    <row r="1649">
      <c r="A1649" t="inlineStr">
        <is>
          <t>Nuv Gastrobar</t>
        </is>
      </c>
      <c r="B1649" t="inlineStr">
        <is>
          <t>Sistema de Franquias</t>
        </is>
      </c>
      <c r="C1649" t="inlineStr">
        <is>
          <t>Fundo de Propaganda</t>
        </is>
      </c>
      <c r="D1649" t="inlineStr">
        <is>
          <t>01/04/2026</t>
        </is>
      </c>
      <c r="E1649" t="n">
        <v>0</v>
      </c>
      <c r="F1649" t="inlineStr">
        <is>
          <t>Fabrica de Bares (2025)</t>
        </is>
      </c>
      <c r="G1649" t="b">
        <v>1</v>
      </c>
      <c r="H1649" t="inlineStr">
        <is>
          <t>4/2026</t>
        </is>
      </c>
    </row>
    <row r="1650">
      <c r="A1650" t="inlineStr">
        <is>
          <t>Nuv Gastrobar</t>
        </is>
      </c>
      <c r="B1650" t="inlineStr">
        <is>
          <t>Sistema de Franquias</t>
        </is>
      </c>
      <c r="C1650" t="inlineStr">
        <is>
          <t>Fundo de Propaganda</t>
        </is>
      </c>
      <c r="D1650" t="inlineStr">
        <is>
          <t>01/05/2026</t>
        </is>
      </c>
      <c r="E1650" t="n">
        <v>0</v>
      </c>
      <c r="F1650" t="inlineStr">
        <is>
          <t>Fabrica de Bares (2025)</t>
        </is>
      </c>
      <c r="G1650" t="b">
        <v>1</v>
      </c>
      <c r="H1650" t="inlineStr">
        <is>
          <t>5/2026</t>
        </is>
      </c>
    </row>
    <row r="1651">
      <c r="A1651" t="inlineStr">
        <is>
          <t>Nuv Gastrobar</t>
        </is>
      </c>
      <c r="B1651" t="inlineStr">
        <is>
          <t>Sistema de Franquias</t>
        </is>
      </c>
      <c r="C1651" t="inlineStr">
        <is>
          <t>Fundo de Propaganda</t>
        </is>
      </c>
      <c r="D1651" t="inlineStr">
        <is>
          <t>01/06/2026</t>
        </is>
      </c>
      <c r="E1651" t="n">
        <v>0</v>
      </c>
      <c r="F1651" t="inlineStr">
        <is>
          <t>Fabrica de Bares (2025)</t>
        </is>
      </c>
      <c r="G1651" t="b">
        <v>1</v>
      </c>
      <c r="H1651" t="inlineStr">
        <is>
          <t>6/2026</t>
        </is>
      </c>
    </row>
    <row r="1652">
      <c r="A1652" t="inlineStr">
        <is>
          <t>Nuv Gastrobar</t>
        </is>
      </c>
      <c r="B1652" t="inlineStr">
        <is>
          <t>Sistema de Franquias</t>
        </is>
      </c>
      <c r="C1652" t="inlineStr">
        <is>
          <t>Fundo de Propaganda</t>
        </is>
      </c>
      <c r="D1652" t="inlineStr">
        <is>
          <t>01/07/2026</t>
        </is>
      </c>
      <c r="E1652" t="n">
        <v>0</v>
      </c>
      <c r="F1652" t="inlineStr">
        <is>
          <t>Fabrica de Bares (2025)</t>
        </is>
      </c>
      <c r="G1652" t="b">
        <v>1</v>
      </c>
      <c r="H1652" t="inlineStr">
        <is>
          <t>7/2026</t>
        </is>
      </c>
    </row>
    <row r="1653">
      <c r="A1653" t="inlineStr">
        <is>
          <t>Nuv Gastrobar</t>
        </is>
      </c>
      <c r="B1653" t="inlineStr">
        <is>
          <t>Sistema de Franquias</t>
        </is>
      </c>
      <c r="C1653" t="inlineStr">
        <is>
          <t>Fundo de Propaganda</t>
        </is>
      </c>
      <c r="D1653" t="inlineStr">
        <is>
          <t>01/08/2026</t>
        </is>
      </c>
      <c r="E1653" t="n">
        <v>0</v>
      </c>
      <c r="F1653" t="inlineStr">
        <is>
          <t>Fabrica de Bares (2025)</t>
        </is>
      </c>
      <c r="G1653" t="b">
        <v>1</v>
      </c>
      <c r="H1653" t="inlineStr">
        <is>
          <t>8/2026</t>
        </is>
      </c>
    </row>
    <row r="1654">
      <c r="A1654" t="inlineStr">
        <is>
          <t>Nuv Gastrobar</t>
        </is>
      </c>
      <c r="B1654" t="inlineStr">
        <is>
          <t>Sistema de Franquias</t>
        </is>
      </c>
      <c r="C1654" t="inlineStr">
        <is>
          <t>Fundo de Propaganda</t>
        </is>
      </c>
      <c r="D1654" t="inlineStr">
        <is>
          <t>01/09/2026</t>
        </is>
      </c>
      <c r="E1654" t="n">
        <v>0</v>
      </c>
      <c r="F1654" t="inlineStr">
        <is>
          <t>Fabrica de Bares (2025)</t>
        </is>
      </c>
      <c r="G1654" t="b">
        <v>1</v>
      </c>
      <c r="H1654" t="inlineStr">
        <is>
          <t>9/2026</t>
        </is>
      </c>
    </row>
    <row r="1655">
      <c r="A1655" t="inlineStr">
        <is>
          <t>Nuv Gastrobar</t>
        </is>
      </c>
      <c r="B1655" t="inlineStr">
        <is>
          <t>Sistema de Franquias</t>
        </is>
      </c>
      <c r="C1655" t="inlineStr">
        <is>
          <t>Fundo de Propaganda</t>
        </is>
      </c>
      <c r="D1655" t="inlineStr">
        <is>
          <t>01/10/2026</t>
        </is>
      </c>
      <c r="E1655" t="n">
        <v>0</v>
      </c>
      <c r="F1655" t="inlineStr">
        <is>
          <t>Fabrica de Bares (2025)</t>
        </is>
      </c>
      <c r="G1655" t="b">
        <v>1</v>
      </c>
      <c r="H1655" t="inlineStr">
        <is>
          <t>10/2026</t>
        </is>
      </c>
    </row>
    <row r="1656">
      <c r="A1656" t="inlineStr">
        <is>
          <t>Nuv Gastrobar</t>
        </is>
      </c>
      <c r="B1656" t="inlineStr">
        <is>
          <t>Sistema de Franquias</t>
        </is>
      </c>
      <c r="C1656" t="inlineStr">
        <is>
          <t>Fundo de Propaganda</t>
        </is>
      </c>
      <c r="D1656" t="inlineStr">
        <is>
          <t>01/11/2026</t>
        </is>
      </c>
      <c r="E1656" t="n">
        <v>0</v>
      </c>
      <c r="F1656" t="inlineStr">
        <is>
          <t>Fabrica de Bares (2025)</t>
        </is>
      </c>
      <c r="G1656" t="b">
        <v>1</v>
      </c>
      <c r="H1656" t="inlineStr">
        <is>
          <t>11/2026</t>
        </is>
      </c>
    </row>
    <row r="1657">
      <c r="A1657" t="inlineStr">
        <is>
          <t>Nuv Gastrobar</t>
        </is>
      </c>
      <c r="B1657" t="inlineStr">
        <is>
          <t>Sistema de Franquias</t>
        </is>
      </c>
      <c r="C1657" t="inlineStr">
        <is>
          <t>Fundo de Propaganda</t>
        </is>
      </c>
      <c r="D1657" t="inlineStr">
        <is>
          <t>01/12/2026</t>
        </is>
      </c>
      <c r="E1657" t="n">
        <v>0</v>
      </c>
      <c r="F1657" t="inlineStr">
        <is>
          <t>Fabrica de Bares (2025)</t>
        </is>
      </c>
      <c r="G1657" t="b">
        <v>1</v>
      </c>
      <c r="H1657" t="inlineStr">
        <is>
          <t>12/2026</t>
        </is>
      </c>
    </row>
    <row r="1658">
      <c r="A1658" t="inlineStr">
        <is>
          <t>Nuv Gastrobar</t>
        </is>
      </c>
      <c r="B1658" t="inlineStr">
        <is>
          <t>Sistema de Franquias</t>
        </is>
      </c>
      <c r="C1658" t="inlineStr">
        <is>
          <t>Royalties</t>
        </is>
      </c>
      <c r="D1658" t="inlineStr">
        <is>
          <t>01/01/2026</t>
        </is>
      </c>
      <c r="E1658" t="n">
        <v>0</v>
      </c>
      <c r="F1658" t="inlineStr">
        <is>
          <t>Fabrica de Bares (2025)</t>
        </is>
      </c>
      <c r="G1658" t="b">
        <v>1</v>
      </c>
      <c r="H1658" t="inlineStr">
        <is>
          <t>1/2026</t>
        </is>
      </c>
    </row>
    <row r="1659">
      <c r="A1659" t="inlineStr">
        <is>
          <t>Nuv Gastrobar</t>
        </is>
      </c>
      <c r="B1659" t="inlineStr">
        <is>
          <t>Sistema de Franquias</t>
        </is>
      </c>
      <c r="C1659" t="inlineStr">
        <is>
          <t>Royalties</t>
        </is>
      </c>
      <c r="D1659" t="inlineStr">
        <is>
          <t>01/02/2026</t>
        </is>
      </c>
      <c r="E1659" t="n">
        <v>0</v>
      </c>
      <c r="F1659" t="inlineStr">
        <is>
          <t>Fabrica de Bares (2025)</t>
        </is>
      </c>
      <c r="G1659" t="b">
        <v>1</v>
      </c>
      <c r="H1659" t="inlineStr">
        <is>
          <t>2/2026</t>
        </is>
      </c>
    </row>
    <row r="1660">
      <c r="A1660" t="inlineStr">
        <is>
          <t>Nuv Gastrobar</t>
        </is>
      </c>
      <c r="B1660" t="inlineStr">
        <is>
          <t>Sistema de Franquias</t>
        </is>
      </c>
      <c r="C1660" t="inlineStr">
        <is>
          <t>Royalties</t>
        </is>
      </c>
      <c r="D1660" t="inlineStr">
        <is>
          <t>01/03/2026</t>
        </is>
      </c>
      <c r="E1660" t="n">
        <v>0</v>
      </c>
      <c r="F1660" t="inlineStr">
        <is>
          <t>Fabrica de Bares (2025)</t>
        </is>
      </c>
      <c r="G1660" t="b">
        <v>1</v>
      </c>
      <c r="H1660" t="inlineStr">
        <is>
          <t>3/2026</t>
        </is>
      </c>
    </row>
    <row r="1661">
      <c r="A1661" t="inlineStr">
        <is>
          <t>Nuv Gastrobar</t>
        </is>
      </c>
      <c r="B1661" t="inlineStr">
        <is>
          <t>Sistema de Franquias</t>
        </is>
      </c>
      <c r="C1661" t="inlineStr">
        <is>
          <t>Royalties</t>
        </is>
      </c>
      <c r="D1661" t="inlineStr">
        <is>
          <t>01/04/2026</t>
        </is>
      </c>
      <c r="E1661" t="n">
        <v>0</v>
      </c>
      <c r="F1661" t="inlineStr">
        <is>
          <t>Fabrica de Bares (2025)</t>
        </is>
      </c>
      <c r="G1661" t="b">
        <v>1</v>
      </c>
      <c r="H1661" t="inlineStr">
        <is>
          <t>4/2026</t>
        </is>
      </c>
    </row>
    <row r="1662">
      <c r="A1662" t="inlineStr">
        <is>
          <t>Nuv Gastrobar</t>
        </is>
      </c>
      <c r="B1662" t="inlineStr">
        <is>
          <t>Sistema de Franquias</t>
        </is>
      </c>
      <c r="C1662" t="inlineStr">
        <is>
          <t>Royalties</t>
        </is>
      </c>
      <c r="D1662" t="inlineStr">
        <is>
          <t>01/05/2026</t>
        </is>
      </c>
      <c r="E1662" t="n">
        <v>0</v>
      </c>
      <c r="F1662" t="inlineStr">
        <is>
          <t>Fabrica de Bares (2025)</t>
        </is>
      </c>
      <c r="G1662" t="b">
        <v>1</v>
      </c>
      <c r="H1662" t="inlineStr">
        <is>
          <t>5/2026</t>
        </is>
      </c>
    </row>
    <row r="1663">
      <c r="A1663" t="inlineStr">
        <is>
          <t>Nuv Gastrobar</t>
        </is>
      </c>
      <c r="B1663" t="inlineStr">
        <is>
          <t>Sistema de Franquias</t>
        </is>
      </c>
      <c r="C1663" t="inlineStr">
        <is>
          <t>Royalties</t>
        </is>
      </c>
      <c r="D1663" t="inlineStr">
        <is>
          <t>01/06/2026</t>
        </is>
      </c>
      <c r="E1663" t="n">
        <v>0</v>
      </c>
      <c r="F1663" t="inlineStr">
        <is>
          <t>Fabrica de Bares (2025)</t>
        </is>
      </c>
      <c r="G1663" t="b">
        <v>1</v>
      </c>
      <c r="H1663" t="inlineStr">
        <is>
          <t>6/2026</t>
        </is>
      </c>
    </row>
    <row r="1664">
      <c r="A1664" t="inlineStr">
        <is>
          <t>Nuv Gastrobar</t>
        </is>
      </c>
      <c r="B1664" t="inlineStr">
        <is>
          <t>Sistema de Franquias</t>
        </is>
      </c>
      <c r="C1664" t="inlineStr">
        <is>
          <t>Royalties</t>
        </is>
      </c>
      <c r="D1664" t="inlineStr">
        <is>
          <t>01/07/2026</t>
        </is>
      </c>
      <c r="E1664" t="n">
        <v>0</v>
      </c>
      <c r="F1664" t="inlineStr">
        <is>
          <t>Fabrica de Bares (2025)</t>
        </is>
      </c>
      <c r="G1664" t="b">
        <v>1</v>
      </c>
      <c r="H1664" t="inlineStr">
        <is>
          <t>7/2026</t>
        </is>
      </c>
    </row>
    <row r="1665">
      <c r="A1665" t="inlineStr">
        <is>
          <t>Nuv Gastrobar</t>
        </is>
      </c>
      <c r="B1665" t="inlineStr">
        <is>
          <t>Sistema de Franquias</t>
        </is>
      </c>
      <c r="C1665" t="inlineStr">
        <is>
          <t>Royalties</t>
        </is>
      </c>
      <c r="D1665" t="inlineStr">
        <is>
          <t>01/08/2026</t>
        </is>
      </c>
      <c r="E1665" t="n">
        <v>0</v>
      </c>
      <c r="F1665" t="inlineStr">
        <is>
          <t>Fabrica de Bares (2025)</t>
        </is>
      </c>
      <c r="G1665" t="b">
        <v>1</v>
      </c>
      <c r="H1665" t="inlineStr">
        <is>
          <t>8/2026</t>
        </is>
      </c>
    </row>
    <row r="1666">
      <c r="A1666" t="inlineStr">
        <is>
          <t>Nuv Gastrobar</t>
        </is>
      </c>
      <c r="B1666" t="inlineStr">
        <is>
          <t>Sistema de Franquias</t>
        </is>
      </c>
      <c r="C1666" t="inlineStr">
        <is>
          <t>Royalties</t>
        </is>
      </c>
      <c r="D1666" t="inlineStr">
        <is>
          <t>01/09/2026</t>
        </is>
      </c>
      <c r="E1666" t="n">
        <v>0</v>
      </c>
      <c r="F1666" t="inlineStr">
        <is>
          <t>Fabrica de Bares (2025)</t>
        </is>
      </c>
      <c r="G1666" t="b">
        <v>1</v>
      </c>
      <c r="H1666" t="inlineStr">
        <is>
          <t>9/2026</t>
        </is>
      </c>
    </row>
    <row r="1667">
      <c r="A1667" t="inlineStr">
        <is>
          <t>Nuv Gastrobar</t>
        </is>
      </c>
      <c r="B1667" t="inlineStr">
        <is>
          <t>Sistema de Franquias</t>
        </is>
      </c>
      <c r="C1667" t="inlineStr">
        <is>
          <t>Royalties</t>
        </is>
      </c>
      <c r="D1667" t="inlineStr">
        <is>
          <t>01/10/2026</t>
        </is>
      </c>
      <c r="E1667" t="n">
        <v>0</v>
      </c>
      <c r="F1667" t="inlineStr">
        <is>
          <t>Fabrica de Bares (2025)</t>
        </is>
      </c>
      <c r="G1667" t="b">
        <v>1</v>
      </c>
      <c r="H1667" t="inlineStr">
        <is>
          <t>10/2026</t>
        </is>
      </c>
    </row>
    <row r="1668">
      <c r="A1668" t="inlineStr">
        <is>
          <t>Nuv Gastrobar</t>
        </is>
      </c>
      <c r="B1668" t="inlineStr">
        <is>
          <t>Sistema de Franquias</t>
        </is>
      </c>
      <c r="C1668" t="inlineStr">
        <is>
          <t>Royalties</t>
        </is>
      </c>
      <c r="D1668" t="inlineStr">
        <is>
          <t>01/11/2026</t>
        </is>
      </c>
      <c r="E1668" t="n">
        <v>0</v>
      </c>
      <c r="F1668" t="inlineStr">
        <is>
          <t>Fabrica de Bares (2025)</t>
        </is>
      </c>
      <c r="G1668" t="b">
        <v>1</v>
      </c>
      <c r="H1668" t="inlineStr">
        <is>
          <t>11/2026</t>
        </is>
      </c>
    </row>
    <row r="1669">
      <c r="A1669" t="inlineStr">
        <is>
          <t>Nuv Gastrobar</t>
        </is>
      </c>
      <c r="B1669" t="inlineStr">
        <is>
          <t>Sistema de Franquias</t>
        </is>
      </c>
      <c r="C1669" t="inlineStr">
        <is>
          <t>Royalties</t>
        </is>
      </c>
      <c r="D1669" t="inlineStr">
        <is>
          <t>01/12/2026</t>
        </is>
      </c>
      <c r="E1669" t="n">
        <v>0</v>
      </c>
      <c r="F1669" t="inlineStr">
        <is>
          <t>Fabrica de Bares (2025)</t>
        </is>
      </c>
      <c r="G1669" t="b">
        <v>1</v>
      </c>
      <c r="H1669" t="inlineStr">
        <is>
          <t>12/2026</t>
        </is>
      </c>
    </row>
    <row r="1670">
      <c r="A1670" t="inlineStr">
        <is>
          <t>Nuv Gastrobar</t>
        </is>
      </c>
      <c r="B1670" t="inlineStr">
        <is>
          <t>Utilidades</t>
        </is>
      </c>
      <c r="C1670" t="inlineStr">
        <is>
          <t>Agua/Esgoto</t>
        </is>
      </c>
      <c r="D1670" t="inlineStr">
        <is>
          <t>01/01/2026</t>
        </is>
      </c>
      <c r="E1670" t="n">
        <v>0</v>
      </c>
      <c r="F1670" t="inlineStr">
        <is>
          <t>Fabrica de Bares (2025)</t>
        </is>
      </c>
      <c r="G1670" t="b">
        <v>1</v>
      </c>
      <c r="H1670" t="inlineStr">
        <is>
          <t>1/2026</t>
        </is>
      </c>
    </row>
    <row r="1671">
      <c r="A1671" t="inlineStr">
        <is>
          <t>Nuv Gastrobar</t>
        </is>
      </c>
      <c r="B1671" t="inlineStr">
        <is>
          <t>Utilidades</t>
        </is>
      </c>
      <c r="C1671" t="inlineStr">
        <is>
          <t>Agua/Esgoto</t>
        </is>
      </c>
      <c r="D1671" t="inlineStr">
        <is>
          <t>01/02/2026</t>
        </is>
      </c>
      <c r="E1671" t="n">
        <v>0</v>
      </c>
      <c r="F1671" t="inlineStr">
        <is>
          <t>Fabrica de Bares (2025)</t>
        </is>
      </c>
      <c r="G1671" t="b">
        <v>1</v>
      </c>
      <c r="H1671" t="inlineStr">
        <is>
          <t>2/2026</t>
        </is>
      </c>
    </row>
    <row r="1672">
      <c r="A1672" t="inlineStr">
        <is>
          <t>Nuv Gastrobar</t>
        </is>
      </c>
      <c r="B1672" t="inlineStr">
        <is>
          <t>Utilidades</t>
        </is>
      </c>
      <c r="C1672" t="inlineStr">
        <is>
          <t>Agua/Esgoto</t>
        </is>
      </c>
      <c r="D1672" t="inlineStr">
        <is>
          <t>01/03/2026</t>
        </is>
      </c>
      <c r="E1672" t="n">
        <v>0</v>
      </c>
      <c r="F1672" t="inlineStr">
        <is>
          <t>Fabrica de Bares (2025)</t>
        </is>
      </c>
      <c r="G1672" t="b">
        <v>1</v>
      </c>
      <c r="H1672" t="inlineStr">
        <is>
          <t>3/2026</t>
        </is>
      </c>
    </row>
    <row r="1673">
      <c r="A1673" t="inlineStr">
        <is>
          <t>Nuv Gastrobar</t>
        </is>
      </c>
      <c r="B1673" t="inlineStr">
        <is>
          <t>Utilidades</t>
        </is>
      </c>
      <c r="C1673" t="inlineStr">
        <is>
          <t>Agua/Esgoto</t>
        </is>
      </c>
      <c r="D1673" t="inlineStr">
        <is>
          <t>01/04/2026</t>
        </is>
      </c>
      <c r="E1673" t="n">
        <v>0</v>
      </c>
      <c r="F1673" t="inlineStr">
        <is>
          <t>Fabrica de Bares (2025)</t>
        </is>
      </c>
      <c r="G1673" t="b">
        <v>1</v>
      </c>
      <c r="H1673" t="inlineStr">
        <is>
          <t>4/2026</t>
        </is>
      </c>
    </row>
    <row r="1674">
      <c r="A1674" t="inlineStr">
        <is>
          <t>Nuv Gastrobar</t>
        </is>
      </c>
      <c r="B1674" t="inlineStr">
        <is>
          <t>Utilidades</t>
        </is>
      </c>
      <c r="C1674" t="inlineStr">
        <is>
          <t>Agua/Esgoto</t>
        </is>
      </c>
      <c r="D1674" t="inlineStr">
        <is>
          <t>01/05/2026</t>
        </is>
      </c>
      <c r="E1674" t="n">
        <v>0</v>
      </c>
      <c r="F1674" t="inlineStr">
        <is>
          <t>Fabrica de Bares (2025)</t>
        </is>
      </c>
      <c r="G1674" t="b">
        <v>1</v>
      </c>
      <c r="H1674" t="inlineStr">
        <is>
          <t>5/2026</t>
        </is>
      </c>
    </row>
    <row r="1675">
      <c r="A1675" t="inlineStr">
        <is>
          <t>Nuv Gastrobar</t>
        </is>
      </c>
      <c r="B1675" t="inlineStr">
        <is>
          <t>Utilidades</t>
        </is>
      </c>
      <c r="C1675" t="inlineStr">
        <is>
          <t>Agua/Esgoto</t>
        </is>
      </c>
      <c r="D1675" t="inlineStr">
        <is>
          <t>01/06/2026</t>
        </is>
      </c>
      <c r="E1675" t="n">
        <v>0</v>
      </c>
      <c r="F1675" t="inlineStr">
        <is>
          <t>Fabrica de Bares (2025)</t>
        </is>
      </c>
      <c r="G1675" t="b">
        <v>1</v>
      </c>
      <c r="H1675" t="inlineStr">
        <is>
          <t>6/2026</t>
        </is>
      </c>
    </row>
    <row r="1676">
      <c r="A1676" t="inlineStr">
        <is>
          <t>Nuv Gastrobar</t>
        </is>
      </c>
      <c r="B1676" t="inlineStr">
        <is>
          <t>Utilidades</t>
        </is>
      </c>
      <c r="C1676" t="inlineStr">
        <is>
          <t>Agua/Esgoto</t>
        </is>
      </c>
      <c r="D1676" t="inlineStr">
        <is>
          <t>01/07/2026</t>
        </is>
      </c>
      <c r="E1676" t="n">
        <v>0</v>
      </c>
      <c r="F1676" t="inlineStr">
        <is>
          <t>Fabrica de Bares (2025)</t>
        </is>
      </c>
      <c r="G1676" t="b">
        <v>1</v>
      </c>
      <c r="H1676" t="inlineStr">
        <is>
          <t>7/2026</t>
        </is>
      </c>
    </row>
    <row r="1677">
      <c r="A1677" t="inlineStr">
        <is>
          <t>Nuv Gastrobar</t>
        </is>
      </c>
      <c r="B1677" t="inlineStr">
        <is>
          <t>Utilidades</t>
        </is>
      </c>
      <c r="C1677" t="inlineStr">
        <is>
          <t>Agua/Esgoto</t>
        </is>
      </c>
      <c r="D1677" t="inlineStr">
        <is>
          <t>01/08/2026</t>
        </is>
      </c>
      <c r="E1677" t="n">
        <v>0</v>
      </c>
      <c r="F1677" t="inlineStr">
        <is>
          <t>Fabrica de Bares (2025)</t>
        </is>
      </c>
      <c r="G1677" t="b">
        <v>1</v>
      </c>
      <c r="H1677" t="inlineStr">
        <is>
          <t>8/2026</t>
        </is>
      </c>
    </row>
    <row r="1678">
      <c r="A1678" t="inlineStr">
        <is>
          <t>Nuv Gastrobar</t>
        </is>
      </c>
      <c r="B1678" t="inlineStr">
        <is>
          <t>Utilidades</t>
        </is>
      </c>
      <c r="C1678" t="inlineStr">
        <is>
          <t>Agua/Esgoto</t>
        </is>
      </c>
      <c r="D1678" t="inlineStr">
        <is>
          <t>01/09/2026</t>
        </is>
      </c>
      <c r="E1678" t="n">
        <v>0</v>
      </c>
      <c r="F1678" t="inlineStr">
        <is>
          <t>Fabrica de Bares (2025)</t>
        </is>
      </c>
      <c r="G1678" t="b">
        <v>1</v>
      </c>
      <c r="H1678" t="inlineStr">
        <is>
          <t>9/2026</t>
        </is>
      </c>
    </row>
    <row r="1679">
      <c r="A1679" t="inlineStr">
        <is>
          <t>Nuv Gastrobar</t>
        </is>
      </c>
      <c r="B1679" t="inlineStr">
        <is>
          <t>Utilidades</t>
        </is>
      </c>
      <c r="C1679" t="inlineStr">
        <is>
          <t>Agua/Esgoto</t>
        </is>
      </c>
      <c r="D1679" t="inlineStr">
        <is>
          <t>01/10/2026</t>
        </is>
      </c>
      <c r="E1679" t="n">
        <v>0</v>
      </c>
      <c r="F1679" t="inlineStr">
        <is>
          <t>Fabrica de Bares (2025)</t>
        </is>
      </c>
      <c r="G1679" t="b">
        <v>1</v>
      </c>
      <c r="H1679" t="inlineStr">
        <is>
          <t>10/2026</t>
        </is>
      </c>
    </row>
    <row r="1680">
      <c r="A1680" t="inlineStr">
        <is>
          <t>Nuv Gastrobar</t>
        </is>
      </c>
      <c r="B1680" t="inlineStr">
        <is>
          <t>Utilidades</t>
        </is>
      </c>
      <c r="C1680" t="inlineStr">
        <is>
          <t>Agua/Esgoto</t>
        </is>
      </c>
      <c r="D1680" t="inlineStr">
        <is>
          <t>01/11/2026</t>
        </is>
      </c>
      <c r="E1680" t="n">
        <v>0</v>
      </c>
      <c r="F1680" t="inlineStr">
        <is>
          <t>Fabrica de Bares (2025)</t>
        </is>
      </c>
      <c r="G1680" t="b">
        <v>1</v>
      </c>
      <c r="H1680" t="inlineStr">
        <is>
          <t>11/2026</t>
        </is>
      </c>
    </row>
    <row r="1681">
      <c r="A1681" t="inlineStr">
        <is>
          <t>Nuv Gastrobar</t>
        </is>
      </c>
      <c r="B1681" t="inlineStr">
        <is>
          <t>Utilidades</t>
        </is>
      </c>
      <c r="C1681" t="inlineStr">
        <is>
          <t>Agua/Esgoto</t>
        </is>
      </c>
      <c r="D1681" t="inlineStr">
        <is>
          <t>01/12/2026</t>
        </is>
      </c>
      <c r="E1681" t="n">
        <v>0</v>
      </c>
      <c r="F1681" t="inlineStr">
        <is>
          <t>Fabrica de Bares (2025)</t>
        </is>
      </c>
      <c r="G1681" t="b">
        <v>1</v>
      </c>
      <c r="H1681" t="inlineStr">
        <is>
          <t>12/2026</t>
        </is>
      </c>
    </row>
    <row r="1682">
      <c r="A1682" t="inlineStr">
        <is>
          <t>Nuv Gastrobar</t>
        </is>
      </c>
      <c r="B1682" t="inlineStr">
        <is>
          <t>Utilidades</t>
        </is>
      </c>
      <c r="C1682" t="inlineStr">
        <is>
          <t>Coleta de lixo</t>
        </is>
      </c>
      <c r="D1682" t="inlineStr">
        <is>
          <t>01/01/2026</t>
        </is>
      </c>
      <c r="E1682" t="n">
        <v>0</v>
      </c>
      <c r="F1682" t="inlineStr">
        <is>
          <t>Fabrica de Bares (2025)</t>
        </is>
      </c>
      <c r="G1682" t="b">
        <v>1</v>
      </c>
      <c r="H1682" t="inlineStr">
        <is>
          <t>1/2026</t>
        </is>
      </c>
    </row>
    <row r="1683">
      <c r="A1683" t="inlineStr">
        <is>
          <t>Nuv Gastrobar</t>
        </is>
      </c>
      <c r="B1683" t="inlineStr">
        <is>
          <t>Utilidades</t>
        </is>
      </c>
      <c r="C1683" t="inlineStr">
        <is>
          <t>Coleta de lixo</t>
        </is>
      </c>
      <c r="D1683" t="inlineStr">
        <is>
          <t>01/02/2026</t>
        </is>
      </c>
      <c r="E1683" t="n">
        <v>0</v>
      </c>
      <c r="F1683" t="inlineStr">
        <is>
          <t>Fabrica de Bares (2025)</t>
        </is>
      </c>
      <c r="G1683" t="b">
        <v>1</v>
      </c>
      <c r="H1683" t="inlineStr">
        <is>
          <t>2/2026</t>
        </is>
      </c>
    </row>
    <row r="1684">
      <c r="A1684" t="inlineStr">
        <is>
          <t>Nuv Gastrobar</t>
        </is>
      </c>
      <c r="B1684" t="inlineStr">
        <is>
          <t>Utilidades</t>
        </is>
      </c>
      <c r="C1684" t="inlineStr">
        <is>
          <t>Coleta de lixo</t>
        </is>
      </c>
      <c r="D1684" t="inlineStr">
        <is>
          <t>01/03/2026</t>
        </is>
      </c>
      <c r="E1684" t="n">
        <v>0</v>
      </c>
      <c r="F1684" t="inlineStr">
        <is>
          <t>Fabrica de Bares (2025)</t>
        </is>
      </c>
      <c r="G1684" t="b">
        <v>1</v>
      </c>
      <c r="H1684" t="inlineStr">
        <is>
          <t>3/2026</t>
        </is>
      </c>
    </row>
    <row r="1685">
      <c r="A1685" t="inlineStr">
        <is>
          <t>Nuv Gastrobar</t>
        </is>
      </c>
      <c r="B1685" t="inlineStr">
        <is>
          <t>Utilidades</t>
        </is>
      </c>
      <c r="C1685" t="inlineStr">
        <is>
          <t>Coleta de lixo</t>
        </is>
      </c>
      <c r="D1685" t="inlineStr">
        <is>
          <t>01/04/2026</t>
        </is>
      </c>
      <c r="E1685" t="n">
        <v>0</v>
      </c>
      <c r="F1685" t="inlineStr">
        <is>
          <t>Fabrica de Bares (2025)</t>
        </is>
      </c>
      <c r="G1685" t="b">
        <v>1</v>
      </c>
      <c r="H1685" t="inlineStr">
        <is>
          <t>4/2026</t>
        </is>
      </c>
    </row>
    <row r="1686">
      <c r="A1686" t="inlineStr">
        <is>
          <t>Nuv Gastrobar</t>
        </is>
      </c>
      <c r="B1686" t="inlineStr">
        <is>
          <t>Utilidades</t>
        </is>
      </c>
      <c r="C1686" t="inlineStr">
        <is>
          <t>Coleta de lixo</t>
        </is>
      </c>
      <c r="D1686" t="inlineStr">
        <is>
          <t>01/05/2026</t>
        </is>
      </c>
      <c r="E1686" t="n">
        <v>0</v>
      </c>
      <c r="F1686" t="inlineStr">
        <is>
          <t>Fabrica de Bares (2025)</t>
        </is>
      </c>
      <c r="G1686" t="b">
        <v>1</v>
      </c>
      <c r="H1686" t="inlineStr">
        <is>
          <t>5/2026</t>
        </is>
      </c>
    </row>
    <row r="1687">
      <c r="A1687" t="inlineStr">
        <is>
          <t>Nuv Gastrobar</t>
        </is>
      </c>
      <c r="B1687" t="inlineStr">
        <is>
          <t>Utilidades</t>
        </is>
      </c>
      <c r="C1687" t="inlineStr">
        <is>
          <t>Coleta de lixo</t>
        </is>
      </c>
      <c r="D1687" t="inlineStr">
        <is>
          <t>01/06/2026</t>
        </is>
      </c>
      <c r="E1687" t="n">
        <v>0</v>
      </c>
      <c r="F1687" t="inlineStr">
        <is>
          <t>Fabrica de Bares (2025)</t>
        </is>
      </c>
      <c r="G1687" t="b">
        <v>1</v>
      </c>
      <c r="H1687" t="inlineStr">
        <is>
          <t>6/2026</t>
        </is>
      </c>
    </row>
    <row r="1688">
      <c r="A1688" t="inlineStr">
        <is>
          <t>Nuv Gastrobar</t>
        </is>
      </c>
      <c r="B1688" t="inlineStr">
        <is>
          <t>Utilidades</t>
        </is>
      </c>
      <c r="C1688" t="inlineStr">
        <is>
          <t>Coleta de lixo</t>
        </is>
      </c>
      <c r="D1688" t="inlineStr">
        <is>
          <t>01/07/2026</t>
        </is>
      </c>
      <c r="E1688" t="n">
        <v>0</v>
      </c>
      <c r="F1688" t="inlineStr">
        <is>
          <t>Fabrica de Bares (2025)</t>
        </is>
      </c>
      <c r="G1688" t="b">
        <v>1</v>
      </c>
      <c r="H1688" t="inlineStr">
        <is>
          <t>7/2026</t>
        </is>
      </c>
    </row>
    <row r="1689">
      <c r="A1689" t="inlineStr">
        <is>
          <t>Nuv Gastrobar</t>
        </is>
      </c>
      <c r="B1689" t="inlineStr">
        <is>
          <t>Utilidades</t>
        </is>
      </c>
      <c r="C1689" t="inlineStr">
        <is>
          <t>Coleta de lixo</t>
        </is>
      </c>
      <c r="D1689" t="inlineStr">
        <is>
          <t>01/08/2026</t>
        </is>
      </c>
      <c r="E1689" t="n">
        <v>1224.03</v>
      </c>
      <c r="F1689" t="inlineStr">
        <is>
          <t>Fabrica de Bares (2025)</t>
        </is>
      </c>
      <c r="G1689" t="b">
        <v>1</v>
      </c>
      <c r="H1689" t="inlineStr">
        <is>
          <t>8/2026</t>
        </is>
      </c>
    </row>
    <row r="1690">
      <c r="A1690" t="inlineStr">
        <is>
          <t>Nuv Gastrobar</t>
        </is>
      </c>
      <c r="B1690" t="inlineStr">
        <is>
          <t>Utilidades</t>
        </is>
      </c>
      <c r="C1690" t="inlineStr">
        <is>
          <t>Coleta de lixo</t>
        </is>
      </c>
      <c r="D1690" t="inlineStr">
        <is>
          <t>01/09/2026</t>
        </is>
      </c>
      <c r="E1690" t="n">
        <v>1905.23</v>
      </c>
      <c r="F1690" t="inlineStr">
        <is>
          <t>Fabrica de Bares (2025)</t>
        </is>
      </c>
      <c r="G1690" t="b">
        <v>1</v>
      </c>
      <c r="H1690" t="inlineStr">
        <is>
          <t>9/2026</t>
        </is>
      </c>
    </row>
    <row r="1691">
      <c r="A1691" t="inlineStr">
        <is>
          <t>Nuv Gastrobar</t>
        </is>
      </c>
      <c r="B1691" t="inlineStr">
        <is>
          <t>Utilidades</t>
        </is>
      </c>
      <c r="C1691" t="inlineStr">
        <is>
          <t>Coleta de lixo</t>
        </is>
      </c>
      <c r="D1691" t="inlineStr">
        <is>
          <t>01/10/2026</t>
        </is>
      </c>
      <c r="E1691" t="n">
        <v>2219.22</v>
      </c>
      <c r="F1691" t="inlineStr">
        <is>
          <t>Fabrica de Bares (2025)</t>
        </is>
      </c>
      <c r="G1691" t="b">
        <v>1</v>
      </c>
      <c r="H1691" t="inlineStr">
        <is>
          <t>10/2026</t>
        </is>
      </c>
    </row>
    <row r="1692">
      <c r="A1692" t="inlineStr">
        <is>
          <t>Nuv Gastrobar</t>
        </is>
      </c>
      <c r="B1692" t="inlineStr">
        <is>
          <t>Utilidades</t>
        </is>
      </c>
      <c r="C1692" t="inlineStr">
        <is>
          <t>Coleta de lixo</t>
        </is>
      </c>
      <c r="D1692" t="inlineStr">
        <is>
          <t>01/11/2026</t>
        </is>
      </c>
      <c r="E1692" t="n">
        <v>3213.83</v>
      </c>
      <c r="F1692" t="inlineStr">
        <is>
          <t>Fabrica de Bares (2025)</t>
        </is>
      </c>
      <c r="G1692" t="b">
        <v>1</v>
      </c>
      <c r="H1692" t="inlineStr">
        <is>
          <t>11/2026</t>
        </is>
      </c>
    </row>
    <row r="1693">
      <c r="A1693" t="inlineStr">
        <is>
          <t>Nuv Gastrobar</t>
        </is>
      </c>
      <c r="B1693" t="inlineStr">
        <is>
          <t>Utilidades</t>
        </is>
      </c>
      <c r="C1693" t="inlineStr">
        <is>
          <t>Coleta de lixo</t>
        </is>
      </c>
      <c r="D1693" t="inlineStr">
        <is>
          <t>01/12/2026</t>
        </is>
      </c>
      <c r="E1693" t="n">
        <v>3179.42</v>
      </c>
      <c r="F1693" t="inlineStr">
        <is>
          <t>Fabrica de Bares (2025)</t>
        </is>
      </c>
      <c r="G1693" t="b">
        <v>1</v>
      </c>
      <c r="H1693" t="inlineStr">
        <is>
          <t>12/2026</t>
        </is>
      </c>
    </row>
    <row r="1694">
      <c r="A1694" t="inlineStr">
        <is>
          <t>Nuv Gastrobar</t>
        </is>
      </c>
      <c r="B1694" t="inlineStr">
        <is>
          <t>Utilidades</t>
        </is>
      </c>
      <c r="C1694" t="inlineStr">
        <is>
          <t>Controle de Pragas</t>
        </is>
      </c>
      <c r="D1694" t="inlineStr">
        <is>
          <t>01/01/2026</t>
        </is>
      </c>
      <c r="E1694" t="n">
        <v>0</v>
      </c>
      <c r="F1694" t="inlineStr">
        <is>
          <t>Fabrica de Bares (2025)</t>
        </is>
      </c>
      <c r="G1694" t="b">
        <v>1</v>
      </c>
      <c r="H1694" t="inlineStr">
        <is>
          <t>1/2026</t>
        </is>
      </c>
    </row>
    <row r="1695">
      <c r="A1695" t="inlineStr">
        <is>
          <t>Nuv Gastrobar</t>
        </is>
      </c>
      <c r="B1695" t="inlineStr">
        <is>
          <t>Utilidades</t>
        </is>
      </c>
      <c r="C1695" t="inlineStr">
        <is>
          <t>Controle de Pragas</t>
        </is>
      </c>
      <c r="D1695" t="inlineStr">
        <is>
          <t>01/02/2026</t>
        </is>
      </c>
      <c r="E1695" t="n">
        <v>0</v>
      </c>
      <c r="F1695" t="inlineStr">
        <is>
          <t>Fabrica de Bares (2025)</t>
        </is>
      </c>
      <c r="G1695" t="b">
        <v>1</v>
      </c>
      <c r="H1695" t="inlineStr">
        <is>
          <t>2/2026</t>
        </is>
      </c>
    </row>
    <row r="1696">
      <c r="A1696" t="inlineStr">
        <is>
          <t>Nuv Gastrobar</t>
        </is>
      </c>
      <c r="B1696" t="inlineStr">
        <is>
          <t>Utilidades</t>
        </is>
      </c>
      <c r="C1696" t="inlineStr">
        <is>
          <t>Controle de Pragas</t>
        </is>
      </c>
      <c r="D1696" t="inlineStr">
        <is>
          <t>01/03/2026</t>
        </is>
      </c>
      <c r="E1696" t="n">
        <v>0</v>
      </c>
      <c r="F1696" t="inlineStr">
        <is>
          <t>Fabrica de Bares (2025)</t>
        </is>
      </c>
      <c r="G1696" t="b">
        <v>1</v>
      </c>
      <c r="H1696" t="inlineStr">
        <is>
          <t>3/2026</t>
        </is>
      </c>
    </row>
    <row r="1697">
      <c r="A1697" t="inlineStr">
        <is>
          <t>Nuv Gastrobar</t>
        </is>
      </c>
      <c r="B1697" t="inlineStr">
        <is>
          <t>Utilidades</t>
        </is>
      </c>
      <c r="C1697" t="inlineStr">
        <is>
          <t>Controle de Pragas</t>
        </is>
      </c>
      <c r="D1697" t="inlineStr">
        <is>
          <t>01/04/2026</t>
        </is>
      </c>
      <c r="E1697" t="n">
        <v>0</v>
      </c>
      <c r="F1697" t="inlineStr">
        <is>
          <t>Fabrica de Bares (2025)</t>
        </is>
      </c>
      <c r="G1697" t="b">
        <v>1</v>
      </c>
      <c r="H1697" t="inlineStr">
        <is>
          <t>4/2026</t>
        </is>
      </c>
    </row>
    <row r="1698">
      <c r="A1698" t="inlineStr">
        <is>
          <t>Nuv Gastrobar</t>
        </is>
      </c>
      <c r="B1698" t="inlineStr">
        <is>
          <t>Utilidades</t>
        </is>
      </c>
      <c r="C1698" t="inlineStr">
        <is>
          <t>Controle de Pragas</t>
        </is>
      </c>
      <c r="D1698" t="inlineStr">
        <is>
          <t>01/05/2026</t>
        </is>
      </c>
      <c r="E1698" t="n">
        <v>0</v>
      </c>
      <c r="F1698" t="inlineStr">
        <is>
          <t>Fabrica de Bares (2025)</t>
        </is>
      </c>
      <c r="G1698" t="b">
        <v>1</v>
      </c>
      <c r="H1698" t="inlineStr">
        <is>
          <t>5/2026</t>
        </is>
      </c>
    </row>
    <row r="1699">
      <c r="A1699" t="inlineStr">
        <is>
          <t>Nuv Gastrobar</t>
        </is>
      </c>
      <c r="B1699" t="inlineStr">
        <is>
          <t>Utilidades</t>
        </is>
      </c>
      <c r="C1699" t="inlineStr">
        <is>
          <t>Controle de Pragas</t>
        </is>
      </c>
      <c r="D1699" t="inlineStr">
        <is>
          <t>01/06/2026</t>
        </is>
      </c>
      <c r="E1699" t="n">
        <v>0</v>
      </c>
      <c r="F1699" t="inlineStr">
        <is>
          <t>Fabrica de Bares (2025)</t>
        </is>
      </c>
      <c r="G1699" t="b">
        <v>1</v>
      </c>
      <c r="H1699" t="inlineStr">
        <is>
          <t>6/2026</t>
        </is>
      </c>
    </row>
    <row r="1700">
      <c r="A1700" t="inlineStr">
        <is>
          <t>Nuv Gastrobar</t>
        </is>
      </c>
      <c r="B1700" t="inlineStr">
        <is>
          <t>Utilidades</t>
        </is>
      </c>
      <c r="C1700" t="inlineStr">
        <is>
          <t>Controle de Pragas</t>
        </is>
      </c>
      <c r="D1700" t="inlineStr">
        <is>
          <t>01/07/2026</t>
        </is>
      </c>
      <c r="E1700" t="n">
        <v>0</v>
      </c>
      <c r="F1700" t="inlineStr">
        <is>
          <t>Fabrica de Bares (2025)</t>
        </is>
      </c>
      <c r="G1700" t="b">
        <v>1</v>
      </c>
      <c r="H1700" t="inlineStr">
        <is>
          <t>7/2026</t>
        </is>
      </c>
    </row>
    <row r="1701">
      <c r="A1701" t="inlineStr">
        <is>
          <t>Nuv Gastrobar</t>
        </is>
      </c>
      <c r="B1701" t="inlineStr">
        <is>
          <t>Utilidades</t>
        </is>
      </c>
      <c r="C1701" t="inlineStr">
        <is>
          <t>Controle de Pragas</t>
        </is>
      </c>
      <c r="D1701" t="inlineStr">
        <is>
          <t>01/08/2026</t>
        </is>
      </c>
      <c r="E1701" t="n">
        <v>0</v>
      </c>
      <c r="F1701" t="inlineStr">
        <is>
          <t>Fabrica de Bares (2025)</t>
        </is>
      </c>
      <c r="G1701" t="b">
        <v>1</v>
      </c>
      <c r="H1701" t="inlineStr">
        <is>
          <t>8/2026</t>
        </is>
      </c>
    </row>
    <row r="1702">
      <c r="A1702" t="inlineStr">
        <is>
          <t>Nuv Gastrobar</t>
        </is>
      </c>
      <c r="B1702" t="inlineStr">
        <is>
          <t>Utilidades</t>
        </is>
      </c>
      <c r="C1702" t="inlineStr">
        <is>
          <t>Controle de Pragas</t>
        </is>
      </c>
      <c r="D1702" t="inlineStr">
        <is>
          <t>01/09/2026</t>
        </is>
      </c>
      <c r="E1702" t="n">
        <v>0</v>
      </c>
      <c r="F1702" t="inlineStr">
        <is>
          <t>Fabrica de Bares (2025)</t>
        </is>
      </c>
      <c r="G1702" t="b">
        <v>1</v>
      </c>
      <c r="H1702" t="inlineStr">
        <is>
          <t>9/2026</t>
        </is>
      </c>
    </row>
    <row r="1703">
      <c r="A1703" t="inlineStr">
        <is>
          <t>Nuv Gastrobar</t>
        </is>
      </c>
      <c r="B1703" t="inlineStr">
        <is>
          <t>Utilidades</t>
        </is>
      </c>
      <c r="C1703" t="inlineStr">
        <is>
          <t>Controle de Pragas</t>
        </is>
      </c>
      <c r="D1703" t="inlineStr">
        <is>
          <t>01/10/2026</t>
        </is>
      </c>
      <c r="E1703" t="n">
        <v>0</v>
      </c>
      <c r="F1703" t="inlineStr">
        <is>
          <t>Fabrica de Bares (2025)</t>
        </is>
      </c>
      <c r="G1703" t="b">
        <v>1</v>
      </c>
      <c r="H1703" t="inlineStr">
        <is>
          <t>10/2026</t>
        </is>
      </c>
    </row>
    <row r="1704">
      <c r="A1704" t="inlineStr">
        <is>
          <t>Nuv Gastrobar</t>
        </is>
      </c>
      <c r="B1704" t="inlineStr">
        <is>
          <t>Utilidades</t>
        </is>
      </c>
      <c r="C1704" t="inlineStr">
        <is>
          <t>Controle de Pragas</t>
        </is>
      </c>
      <c r="D1704" t="inlineStr">
        <is>
          <t>01/11/2026</t>
        </is>
      </c>
      <c r="E1704" t="n">
        <v>0</v>
      </c>
      <c r="F1704" t="inlineStr">
        <is>
          <t>Fabrica de Bares (2025)</t>
        </is>
      </c>
      <c r="G1704" t="b">
        <v>1</v>
      </c>
      <c r="H1704" t="inlineStr">
        <is>
          <t>11/2026</t>
        </is>
      </c>
    </row>
    <row r="1705">
      <c r="A1705" t="inlineStr">
        <is>
          <t>Nuv Gastrobar</t>
        </is>
      </c>
      <c r="B1705" t="inlineStr">
        <is>
          <t>Utilidades</t>
        </is>
      </c>
      <c r="C1705" t="inlineStr">
        <is>
          <t>Controle de Pragas</t>
        </is>
      </c>
      <c r="D1705" t="inlineStr">
        <is>
          <t>01/12/2026</t>
        </is>
      </c>
      <c r="E1705" t="n">
        <v>0</v>
      </c>
      <c r="F1705" t="inlineStr">
        <is>
          <t>Fabrica de Bares (2025)</t>
        </is>
      </c>
      <c r="G1705" t="b">
        <v>1</v>
      </c>
      <c r="H1705" t="inlineStr">
        <is>
          <t>12/2026</t>
        </is>
      </c>
    </row>
    <row r="1706">
      <c r="A1706" t="inlineStr">
        <is>
          <t>Nuv Gastrobar</t>
        </is>
      </c>
      <c r="B1706" t="inlineStr">
        <is>
          <t>Utilidades</t>
        </is>
      </c>
      <c r="C1706" t="inlineStr">
        <is>
          <t>Custas Cartório / Operação</t>
        </is>
      </c>
      <c r="D1706" t="inlineStr">
        <is>
          <t>01/01/2026</t>
        </is>
      </c>
      <c r="E1706" t="n">
        <v>0</v>
      </c>
      <c r="F1706" t="inlineStr">
        <is>
          <t>Fabrica de Bares (2025)</t>
        </is>
      </c>
      <c r="G1706" t="b">
        <v>1</v>
      </c>
      <c r="H1706" t="inlineStr">
        <is>
          <t>1/2026</t>
        </is>
      </c>
    </row>
    <row r="1707">
      <c r="A1707" t="inlineStr">
        <is>
          <t>Nuv Gastrobar</t>
        </is>
      </c>
      <c r="B1707" t="inlineStr">
        <is>
          <t>Utilidades</t>
        </is>
      </c>
      <c r="C1707" t="inlineStr">
        <is>
          <t>Custas Cartório / Operação</t>
        </is>
      </c>
      <c r="D1707" t="inlineStr">
        <is>
          <t>01/02/2026</t>
        </is>
      </c>
      <c r="E1707" t="n">
        <v>0</v>
      </c>
      <c r="F1707" t="inlineStr">
        <is>
          <t>Fabrica de Bares (2025)</t>
        </is>
      </c>
      <c r="G1707" t="b">
        <v>1</v>
      </c>
      <c r="H1707" t="inlineStr">
        <is>
          <t>2/2026</t>
        </is>
      </c>
    </row>
    <row r="1708">
      <c r="A1708" t="inlineStr">
        <is>
          <t>Nuv Gastrobar</t>
        </is>
      </c>
      <c r="B1708" t="inlineStr">
        <is>
          <t>Utilidades</t>
        </is>
      </c>
      <c r="C1708" t="inlineStr">
        <is>
          <t>Custas Cartório / Operação</t>
        </is>
      </c>
      <c r="D1708" t="inlineStr">
        <is>
          <t>01/03/2026</t>
        </is>
      </c>
      <c r="E1708" t="n">
        <v>0</v>
      </c>
      <c r="F1708" t="inlineStr">
        <is>
          <t>Fabrica de Bares (2025)</t>
        </is>
      </c>
      <c r="G1708" t="b">
        <v>1</v>
      </c>
      <c r="H1708" t="inlineStr">
        <is>
          <t>3/2026</t>
        </is>
      </c>
    </row>
    <row r="1709">
      <c r="A1709" t="inlineStr">
        <is>
          <t>Nuv Gastrobar</t>
        </is>
      </c>
      <c r="B1709" t="inlineStr">
        <is>
          <t>Utilidades</t>
        </is>
      </c>
      <c r="C1709" t="inlineStr">
        <is>
          <t>Custas Cartório / Operação</t>
        </is>
      </c>
      <c r="D1709" t="inlineStr">
        <is>
          <t>01/04/2026</t>
        </is>
      </c>
      <c r="E1709" t="n">
        <v>0</v>
      </c>
      <c r="F1709" t="inlineStr">
        <is>
          <t>Fabrica de Bares (2025)</t>
        </is>
      </c>
      <c r="G1709" t="b">
        <v>1</v>
      </c>
      <c r="H1709" t="inlineStr">
        <is>
          <t>4/2026</t>
        </is>
      </c>
    </row>
    <row r="1710">
      <c r="A1710" t="inlineStr">
        <is>
          <t>Nuv Gastrobar</t>
        </is>
      </c>
      <c r="B1710" t="inlineStr">
        <is>
          <t>Utilidades</t>
        </is>
      </c>
      <c r="C1710" t="inlineStr">
        <is>
          <t>Custas Cartório / Operação</t>
        </is>
      </c>
      <c r="D1710" t="inlineStr">
        <is>
          <t>01/05/2026</t>
        </is>
      </c>
      <c r="E1710" t="n">
        <v>0</v>
      </c>
      <c r="F1710" t="inlineStr">
        <is>
          <t>Fabrica de Bares (2025)</t>
        </is>
      </c>
      <c r="G1710" t="b">
        <v>1</v>
      </c>
      <c r="H1710" t="inlineStr">
        <is>
          <t>5/2026</t>
        </is>
      </c>
    </row>
    <row r="1711">
      <c r="A1711" t="inlineStr">
        <is>
          <t>Nuv Gastrobar</t>
        </is>
      </c>
      <c r="B1711" t="inlineStr">
        <is>
          <t>Utilidades</t>
        </is>
      </c>
      <c r="C1711" t="inlineStr">
        <is>
          <t>Custas Cartório / Operação</t>
        </is>
      </c>
      <c r="D1711" t="inlineStr">
        <is>
          <t>01/06/2026</t>
        </is>
      </c>
      <c r="E1711" t="n">
        <v>0</v>
      </c>
      <c r="F1711" t="inlineStr">
        <is>
          <t>Fabrica de Bares (2025)</t>
        </is>
      </c>
      <c r="G1711" t="b">
        <v>1</v>
      </c>
      <c r="H1711" t="inlineStr">
        <is>
          <t>6/2026</t>
        </is>
      </c>
    </row>
    <row r="1712">
      <c r="A1712" t="inlineStr">
        <is>
          <t>Nuv Gastrobar</t>
        </is>
      </c>
      <c r="B1712" t="inlineStr">
        <is>
          <t>Utilidades</t>
        </is>
      </c>
      <c r="C1712" t="inlineStr">
        <is>
          <t>Custas Cartório / Operação</t>
        </is>
      </c>
      <c r="D1712" t="inlineStr">
        <is>
          <t>01/07/2026</t>
        </is>
      </c>
      <c r="E1712" t="n">
        <v>0</v>
      </c>
      <c r="F1712" t="inlineStr">
        <is>
          <t>Fabrica de Bares (2025)</t>
        </is>
      </c>
      <c r="G1712" t="b">
        <v>1</v>
      </c>
      <c r="H1712" t="inlineStr">
        <is>
          <t>7/2026</t>
        </is>
      </c>
    </row>
    <row r="1713">
      <c r="A1713" t="inlineStr">
        <is>
          <t>Nuv Gastrobar</t>
        </is>
      </c>
      <c r="B1713" t="inlineStr">
        <is>
          <t>Utilidades</t>
        </is>
      </c>
      <c r="C1713" t="inlineStr">
        <is>
          <t>Custas Cartório / Operação</t>
        </is>
      </c>
      <c r="D1713" t="inlineStr">
        <is>
          <t>01/08/2026</t>
        </is>
      </c>
      <c r="E1713" t="n">
        <v>0</v>
      </c>
      <c r="F1713" t="inlineStr">
        <is>
          <t>Fabrica de Bares (2025)</t>
        </is>
      </c>
      <c r="G1713" t="b">
        <v>1</v>
      </c>
      <c r="H1713" t="inlineStr">
        <is>
          <t>8/2026</t>
        </is>
      </c>
    </row>
    <row r="1714">
      <c r="A1714" t="inlineStr">
        <is>
          <t>Nuv Gastrobar</t>
        </is>
      </c>
      <c r="B1714" t="inlineStr">
        <is>
          <t>Utilidades</t>
        </is>
      </c>
      <c r="C1714" t="inlineStr">
        <is>
          <t>Custas Cartório / Operação</t>
        </is>
      </c>
      <c r="D1714" t="inlineStr">
        <is>
          <t>01/09/2026</t>
        </is>
      </c>
      <c r="E1714" t="n">
        <v>0</v>
      </c>
      <c r="F1714" t="inlineStr">
        <is>
          <t>Fabrica de Bares (2025)</t>
        </is>
      </c>
      <c r="G1714" t="b">
        <v>1</v>
      </c>
      <c r="H1714" t="inlineStr">
        <is>
          <t>9/2026</t>
        </is>
      </c>
    </row>
    <row r="1715">
      <c r="A1715" t="inlineStr">
        <is>
          <t>Nuv Gastrobar</t>
        </is>
      </c>
      <c r="B1715" t="inlineStr">
        <is>
          <t>Utilidades</t>
        </is>
      </c>
      <c r="C1715" t="inlineStr">
        <is>
          <t>Custas Cartório / Operação</t>
        </is>
      </c>
      <c r="D1715" t="inlineStr">
        <is>
          <t>01/10/2026</t>
        </is>
      </c>
      <c r="E1715" t="n">
        <v>0</v>
      </c>
      <c r="F1715" t="inlineStr">
        <is>
          <t>Fabrica de Bares (2025)</t>
        </is>
      </c>
      <c r="G1715" t="b">
        <v>1</v>
      </c>
      <c r="H1715" t="inlineStr">
        <is>
          <t>10/2026</t>
        </is>
      </c>
    </row>
    <row r="1716">
      <c r="A1716" t="inlineStr">
        <is>
          <t>Nuv Gastrobar</t>
        </is>
      </c>
      <c r="B1716" t="inlineStr">
        <is>
          <t>Utilidades</t>
        </is>
      </c>
      <c r="C1716" t="inlineStr">
        <is>
          <t>Custas Cartório / Operação</t>
        </is>
      </c>
      <c r="D1716" t="inlineStr">
        <is>
          <t>01/11/2026</t>
        </is>
      </c>
      <c r="E1716" t="n">
        <v>0</v>
      </c>
      <c r="F1716" t="inlineStr">
        <is>
          <t>Fabrica de Bares (2025)</t>
        </is>
      </c>
      <c r="G1716" t="b">
        <v>1</v>
      </c>
      <c r="H1716" t="inlineStr">
        <is>
          <t>11/2026</t>
        </is>
      </c>
    </row>
    <row r="1717">
      <c r="A1717" t="inlineStr">
        <is>
          <t>Nuv Gastrobar</t>
        </is>
      </c>
      <c r="B1717" t="inlineStr">
        <is>
          <t>Utilidades</t>
        </is>
      </c>
      <c r="C1717" t="inlineStr">
        <is>
          <t>Custas Cartório / Operação</t>
        </is>
      </c>
      <c r="D1717" t="inlineStr">
        <is>
          <t>01/12/2026</t>
        </is>
      </c>
      <c r="E1717" t="n">
        <v>0</v>
      </c>
      <c r="F1717" t="inlineStr">
        <is>
          <t>Fabrica de Bares (2025)</t>
        </is>
      </c>
      <c r="G1717" t="b">
        <v>1</v>
      </c>
      <c r="H1717" t="inlineStr">
        <is>
          <t>12/2026</t>
        </is>
      </c>
    </row>
    <row r="1718">
      <c r="A1718" t="inlineStr">
        <is>
          <t>Nuv Gastrobar</t>
        </is>
      </c>
      <c r="B1718" t="inlineStr">
        <is>
          <t>Utilidades</t>
        </is>
      </c>
      <c r="C1718" t="inlineStr">
        <is>
          <t>Descartaveis</t>
        </is>
      </c>
      <c r="D1718" t="inlineStr">
        <is>
          <t>01/01/2026</t>
        </is>
      </c>
      <c r="E1718" t="n">
        <v>0</v>
      </c>
      <c r="F1718" t="inlineStr">
        <is>
          <t>Fabrica de Bares (2025)</t>
        </is>
      </c>
      <c r="G1718" t="b">
        <v>1</v>
      </c>
      <c r="H1718" t="inlineStr">
        <is>
          <t>1/2026</t>
        </is>
      </c>
    </row>
    <row r="1719">
      <c r="A1719" t="inlineStr">
        <is>
          <t>Nuv Gastrobar</t>
        </is>
      </c>
      <c r="B1719" t="inlineStr">
        <is>
          <t>Utilidades</t>
        </is>
      </c>
      <c r="C1719" t="inlineStr">
        <is>
          <t>Descartaveis</t>
        </is>
      </c>
      <c r="D1719" t="inlineStr">
        <is>
          <t>01/02/2026</t>
        </is>
      </c>
      <c r="E1719" t="n">
        <v>0</v>
      </c>
      <c r="F1719" t="inlineStr">
        <is>
          <t>Fabrica de Bares (2025)</t>
        </is>
      </c>
      <c r="G1719" t="b">
        <v>1</v>
      </c>
      <c r="H1719" t="inlineStr">
        <is>
          <t>2/2026</t>
        </is>
      </c>
    </row>
    <row r="1720">
      <c r="A1720" t="inlineStr">
        <is>
          <t>Nuv Gastrobar</t>
        </is>
      </c>
      <c r="B1720" t="inlineStr">
        <is>
          <t>Utilidades</t>
        </is>
      </c>
      <c r="C1720" t="inlineStr">
        <is>
          <t>Descartaveis</t>
        </is>
      </c>
      <c r="D1720" t="inlineStr">
        <is>
          <t>01/03/2026</t>
        </is>
      </c>
      <c r="E1720" t="n">
        <v>0</v>
      </c>
      <c r="F1720" t="inlineStr">
        <is>
          <t>Fabrica de Bares (2025)</t>
        </is>
      </c>
      <c r="G1720" t="b">
        <v>1</v>
      </c>
      <c r="H1720" t="inlineStr">
        <is>
          <t>3/2026</t>
        </is>
      </c>
    </row>
    <row r="1721">
      <c r="A1721" t="inlineStr">
        <is>
          <t>Nuv Gastrobar</t>
        </is>
      </c>
      <c r="B1721" t="inlineStr">
        <is>
          <t>Utilidades</t>
        </is>
      </c>
      <c r="C1721" t="inlineStr">
        <is>
          <t>Descartaveis</t>
        </is>
      </c>
      <c r="D1721" t="inlineStr">
        <is>
          <t>01/04/2026</t>
        </is>
      </c>
      <c r="E1721" t="n">
        <v>0</v>
      </c>
      <c r="F1721" t="inlineStr">
        <is>
          <t>Fabrica de Bares (2025)</t>
        </is>
      </c>
      <c r="G1721" t="b">
        <v>1</v>
      </c>
      <c r="H1721" t="inlineStr">
        <is>
          <t>4/2026</t>
        </is>
      </c>
    </row>
    <row r="1722">
      <c r="A1722" t="inlineStr">
        <is>
          <t>Nuv Gastrobar</t>
        </is>
      </c>
      <c r="B1722" t="inlineStr">
        <is>
          <t>Utilidades</t>
        </is>
      </c>
      <c r="C1722" t="inlineStr">
        <is>
          <t>Descartaveis</t>
        </is>
      </c>
      <c r="D1722" t="inlineStr">
        <is>
          <t>01/05/2026</t>
        </is>
      </c>
      <c r="E1722" t="n">
        <v>0</v>
      </c>
      <c r="F1722" t="inlineStr">
        <is>
          <t>Fabrica de Bares (2025)</t>
        </is>
      </c>
      <c r="G1722" t="b">
        <v>1</v>
      </c>
      <c r="H1722" t="inlineStr">
        <is>
          <t>5/2026</t>
        </is>
      </c>
    </row>
    <row r="1723">
      <c r="A1723" t="inlineStr">
        <is>
          <t>Nuv Gastrobar</t>
        </is>
      </c>
      <c r="B1723" t="inlineStr">
        <is>
          <t>Utilidades</t>
        </is>
      </c>
      <c r="C1723" t="inlineStr">
        <is>
          <t>Descartaveis</t>
        </is>
      </c>
      <c r="D1723" t="inlineStr">
        <is>
          <t>01/06/2026</t>
        </is>
      </c>
      <c r="E1723" t="n">
        <v>0</v>
      </c>
      <c r="F1723" t="inlineStr">
        <is>
          <t>Fabrica de Bares (2025)</t>
        </is>
      </c>
      <c r="G1723" t="b">
        <v>1</v>
      </c>
      <c r="H1723" t="inlineStr">
        <is>
          <t>6/2026</t>
        </is>
      </c>
    </row>
    <row r="1724">
      <c r="A1724" t="inlineStr">
        <is>
          <t>Nuv Gastrobar</t>
        </is>
      </c>
      <c r="B1724" t="inlineStr">
        <is>
          <t>Utilidades</t>
        </is>
      </c>
      <c r="C1724" t="inlineStr">
        <is>
          <t>Descartaveis</t>
        </is>
      </c>
      <c r="D1724" t="inlineStr">
        <is>
          <t>01/07/2026</t>
        </is>
      </c>
      <c r="E1724" t="n">
        <v>0</v>
      </c>
      <c r="F1724" t="inlineStr">
        <is>
          <t>Fabrica de Bares (2025)</t>
        </is>
      </c>
      <c r="G1724" t="b">
        <v>1</v>
      </c>
      <c r="H1724" t="inlineStr">
        <is>
          <t>7/2026</t>
        </is>
      </c>
    </row>
    <row r="1725">
      <c r="A1725" t="inlineStr">
        <is>
          <t>Nuv Gastrobar</t>
        </is>
      </c>
      <c r="B1725" t="inlineStr">
        <is>
          <t>Utilidades</t>
        </is>
      </c>
      <c r="C1725" t="inlineStr">
        <is>
          <t>Descartaveis</t>
        </is>
      </c>
      <c r="D1725" t="inlineStr">
        <is>
          <t>01/08/2026</t>
        </is>
      </c>
      <c r="E1725" t="n">
        <v>302.95</v>
      </c>
      <c r="F1725" t="inlineStr">
        <is>
          <t>Fabrica de Bares (2025)</t>
        </is>
      </c>
      <c r="G1725" t="b">
        <v>1</v>
      </c>
      <c r="H1725" t="inlineStr">
        <is>
          <t>8/2026</t>
        </is>
      </c>
    </row>
    <row r="1726">
      <c r="A1726" t="inlineStr">
        <is>
          <t>Nuv Gastrobar</t>
        </is>
      </c>
      <c r="B1726" t="inlineStr">
        <is>
          <t>Utilidades</t>
        </is>
      </c>
      <c r="C1726" t="inlineStr">
        <is>
          <t>Descartaveis</t>
        </is>
      </c>
      <c r="D1726" t="inlineStr">
        <is>
          <t>01/09/2026</t>
        </is>
      </c>
      <c r="E1726" t="n">
        <v>471.55</v>
      </c>
      <c r="F1726" t="inlineStr">
        <is>
          <t>Fabrica de Bares (2025)</t>
        </is>
      </c>
      <c r="G1726" t="b">
        <v>1</v>
      </c>
      <c r="H1726" t="inlineStr">
        <is>
          <t>9/2026</t>
        </is>
      </c>
    </row>
    <row r="1727">
      <c r="A1727" t="inlineStr">
        <is>
          <t>Nuv Gastrobar</t>
        </is>
      </c>
      <c r="B1727" t="inlineStr">
        <is>
          <t>Utilidades</t>
        </is>
      </c>
      <c r="C1727" t="inlineStr">
        <is>
          <t>Descartaveis</t>
        </is>
      </c>
      <c r="D1727" t="inlineStr">
        <is>
          <t>01/10/2026</t>
        </is>
      </c>
      <c r="E1727" t="n">
        <v>549.26</v>
      </c>
      <c r="F1727" t="inlineStr">
        <is>
          <t>Fabrica de Bares (2025)</t>
        </is>
      </c>
      <c r="G1727" t="b">
        <v>1</v>
      </c>
      <c r="H1727" t="inlineStr">
        <is>
          <t>10/2026</t>
        </is>
      </c>
    </row>
    <row r="1728">
      <c r="A1728" t="inlineStr">
        <is>
          <t>Nuv Gastrobar</t>
        </is>
      </c>
      <c r="B1728" t="inlineStr">
        <is>
          <t>Utilidades</t>
        </is>
      </c>
      <c r="C1728" t="inlineStr">
        <is>
          <t>Descartaveis</t>
        </is>
      </c>
      <c r="D1728" t="inlineStr">
        <is>
          <t>01/11/2026</t>
        </is>
      </c>
      <c r="E1728" t="n">
        <v>795.42</v>
      </c>
      <c r="F1728" t="inlineStr">
        <is>
          <t>Fabrica de Bares (2025)</t>
        </is>
      </c>
      <c r="G1728" t="b">
        <v>1</v>
      </c>
      <c r="H1728" t="inlineStr">
        <is>
          <t>11/2026</t>
        </is>
      </c>
    </row>
    <row r="1729">
      <c r="A1729" t="inlineStr">
        <is>
          <t>Nuv Gastrobar</t>
        </is>
      </c>
      <c r="B1729" t="inlineStr">
        <is>
          <t>Utilidades</t>
        </is>
      </c>
      <c r="C1729" t="inlineStr">
        <is>
          <t>Descartaveis</t>
        </is>
      </c>
      <c r="D1729" t="inlineStr">
        <is>
          <t>01/12/2026</t>
        </is>
      </c>
      <c r="E1729" t="n">
        <v>786.91</v>
      </c>
      <c r="F1729" t="inlineStr">
        <is>
          <t>Fabrica de Bares (2025)</t>
        </is>
      </c>
      <c r="G1729" t="b">
        <v>1</v>
      </c>
      <c r="H1729" t="inlineStr">
        <is>
          <t>12/2026</t>
        </is>
      </c>
    </row>
    <row r="1730">
      <c r="A1730" t="inlineStr">
        <is>
          <t>Nuv Gastrobar</t>
        </is>
      </c>
      <c r="B1730" t="inlineStr">
        <is>
          <t>Utilidades</t>
        </is>
      </c>
      <c r="C1730" t="inlineStr">
        <is>
          <t>Energia Eletrica</t>
        </is>
      </c>
      <c r="D1730" t="inlineStr">
        <is>
          <t>01/01/2026</t>
        </is>
      </c>
      <c r="E1730" t="n">
        <v>0</v>
      </c>
      <c r="F1730" t="inlineStr">
        <is>
          <t>Fabrica de Bares (2025)</t>
        </is>
      </c>
      <c r="G1730" t="b">
        <v>1</v>
      </c>
      <c r="H1730" t="inlineStr">
        <is>
          <t>1/2026</t>
        </is>
      </c>
    </row>
    <row r="1731">
      <c r="A1731" t="inlineStr">
        <is>
          <t>Nuv Gastrobar</t>
        </is>
      </c>
      <c r="B1731" t="inlineStr">
        <is>
          <t>Utilidades</t>
        </is>
      </c>
      <c r="C1731" t="inlineStr">
        <is>
          <t>Energia Eletrica</t>
        </is>
      </c>
      <c r="D1731" t="inlineStr">
        <is>
          <t>01/02/2026</t>
        </is>
      </c>
      <c r="E1731" t="n">
        <v>0</v>
      </c>
      <c r="F1731" t="inlineStr">
        <is>
          <t>Fabrica de Bares (2025)</t>
        </is>
      </c>
      <c r="G1731" t="b">
        <v>1</v>
      </c>
      <c r="H1731" t="inlineStr">
        <is>
          <t>2/2026</t>
        </is>
      </c>
    </row>
    <row r="1732">
      <c r="A1732" t="inlineStr">
        <is>
          <t>Nuv Gastrobar</t>
        </is>
      </c>
      <c r="B1732" t="inlineStr">
        <is>
          <t>Utilidades</t>
        </is>
      </c>
      <c r="C1732" t="inlineStr">
        <is>
          <t>Energia Eletrica</t>
        </is>
      </c>
      <c r="D1732" t="inlineStr">
        <is>
          <t>01/03/2026</t>
        </is>
      </c>
      <c r="E1732" t="n">
        <v>0</v>
      </c>
      <c r="F1732" t="inlineStr">
        <is>
          <t>Fabrica de Bares (2025)</t>
        </is>
      </c>
      <c r="G1732" t="b">
        <v>1</v>
      </c>
      <c r="H1732" t="inlineStr">
        <is>
          <t>3/2026</t>
        </is>
      </c>
    </row>
    <row r="1733">
      <c r="A1733" t="inlineStr">
        <is>
          <t>Nuv Gastrobar</t>
        </is>
      </c>
      <c r="B1733" t="inlineStr">
        <is>
          <t>Utilidades</t>
        </is>
      </c>
      <c r="C1733" t="inlineStr">
        <is>
          <t>Energia Eletrica</t>
        </is>
      </c>
      <c r="D1733" t="inlineStr">
        <is>
          <t>01/04/2026</t>
        </is>
      </c>
      <c r="E1733" t="n">
        <v>0</v>
      </c>
      <c r="F1733" t="inlineStr">
        <is>
          <t>Fabrica de Bares (2025)</t>
        </is>
      </c>
      <c r="G1733" t="b">
        <v>1</v>
      </c>
      <c r="H1733" t="inlineStr">
        <is>
          <t>4/2026</t>
        </is>
      </c>
    </row>
    <row r="1734">
      <c r="A1734" t="inlineStr">
        <is>
          <t>Nuv Gastrobar</t>
        </is>
      </c>
      <c r="B1734" t="inlineStr">
        <is>
          <t>Utilidades</t>
        </is>
      </c>
      <c r="C1734" t="inlineStr">
        <is>
          <t>Energia Eletrica</t>
        </is>
      </c>
      <c r="D1734" t="inlineStr">
        <is>
          <t>01/05/2026</t>
        </is>
      </c>
      <c r="E1734" t="n">
        <v>0</v>
      </c>
      <c r="F1734" t="inlineStr">
        <is>
          <t>Fabrica de Bares (2025)</t>
        </is>
      </c>
      <c r="G1734" t="b">
        <v>1</v>
      </c>
      <c r="H1734" t="inlineStr">
        <is>
          <t>5/2026</t>
        </is>
      </c>
    </row>
    <row r="1735">
      <c r="A1735" t="inlineStr">
        <is>
          <t>Nuv Gastrobar</t>
        </is>
      </c>
      <c r="B1735" t="inlineStr">
        <is>
          <t>Utilidades</t>
        </is>
      </c>
      <c r="C1735" t="inlineStr">
        <is>
          <t>Energia Eletrica</t>
        </is>
      </c>
      <c r="D1735" t="inlineStr">
        <is>
          <t>01/06/2026</t>
        </is>
      </c>
      <c r="E1735" t="n">
        <v>0</v>
      </c>
      <c r="F1735" t="inlineStr">
        <is>
          <t>Fabrica de Bares (2025)</t>
        </is>
      </c>
      <c r="G1735" t="b">
        <v>1</v>
      </c>
      <c r="H1735" t="inlineStr">
        <is>
          <t>6/2026</t>
        </is>
      </c>
    </row>
    <row r="1736">
      <c r="A1736" t="inlineStr">
        <is>
          <t>Nuv Gastrobar</t>
        </is>
      </c>
      <c r="B1736" t="inlineStr">
        <is>
          <t>Utilidades</t>
        </is>
      </c>
      <c r="C1736" t="inlineStr">
        <is>
          <t>Energia Eletrica</t>
        </is>
      </c>
      <c r="D1736" t="inlineStr">
        <is>
          <t>01/07/2026</t>
        </is>
      </c>
      <c r="E1736" t="n">
        <v>0</v>
      </c>
      <c r="F1736" t="inlineStr">
        <is>
          <t>Fabrica de Bares (2025)</t>
        </is>
      </c>
      <c r="G1736" t="b">
        <v>1</v>
      </c>
      <c r="H1736" t="inlineStr">
        <is>
          <t>7/2026</t>
        </is>
      </c>
    </row>
    <row r="1737">
      <c r="A1737" t="inlineStr">
        <is>
          <t>Nuv Gastrobar</t>
        </is>
      </c>
      <c r="B1737" t="inlineStr">
        <is>
          <t>Utilidades</t>
        </is>
      </c>
      <c r="C1737" t="inlineStr">
        <is>
          <t>Energia Eletrica</t>
        </is>
      </c>
      <c r="D1737" t="inlineStr">
        <is>
          <t>01/08/2026</t>
        </is>
      </c>
      <c r="E1737" t="n">
        <v>8541</v>
      </c>
      <c r="F1737" t="inlineStr">
        <is>
          <t>Fabrica de Bares (2025)</t>
        </is>
      </c>
      <c r="G1737" t="b">
        <v>1</v>
      </c>
      <c r="H1737" t="inlineStr">
        <is>
          <t>8/2026</t>
        </is>
      </c>
    </row>
    <row r="1738">
      <c r="A1738" t="inlineStr">
        <is>
          <t>Nuv Gastrobar</t>
        </is>
      </c>
      <c r="B1738" t="inlineStr">
        <is>
          <t>Utilidades</t>
        </is>
      </c>
      <c r="C1738" t="inlineStr">
        <is>
          <t>Energia Eletrica</t>
        </is>
      </c>
      <c r="D1738" t="inlineStr">
        <is>
          <t>01/09/2026</t>
        </is>
      </c>
      <c r="E1738" t="n">
        <v>14735.8</v>
      </c>
      <c r="F1738" t="inlineStr">
        <is>
          <t>Fabrica de Bares (2025)</t>
        </is>
      </c>
      <c r="G1738" t="b">
        <v>1</v>
      </c>
      <c r="H1738" t="inlineStr">
        <is>
          <t>9/2026</t>
        </is>
      </c>
    </row>
    <row r="1739">
      <c r="A1739" t="inlineStr">
        <is>
          <t>Nuv Gastrobar</t>
        </is>
      </c>
      <c r="B1739" t="inlineStr">
        <is>
          <t>Utilidades</t>
        </is>
      </c>
      <c r="C1739" t="inlineStr">
        <is>
          <t>Energia Eletrica</t>
        </is>
      </c>
      <c r="D1739" t="inlineStr">
        <is>
          <t>01/10/2026</t>
        </is>
      </c>
      <c r="E1739" t="n">
        <v>17164.3</v>
      </c>
      <c r="F1739" t="inlineStr">
        <is>
          <t>Fabrica de Bares (2025)</t>
        </is>
      </c>
      <c r="G1739" t="b">
        <v>1</v>
      </c>
      <c r="H1739" t="inlineStr">
        <is>
          <t>10/2026</t>
        </is>
      </c>
    </row>
    <row r="1740">
      <c r="A1740" t="inlineStr">
        <is>
          <t>Nuv Gastrobar</t>
        </is>
      </c>
      <c r="B1740" t="inlineStr">
        <is>
          <t>Utilidades</t>
        </is>
      </c>
      <c r="C1740" t="inlineStr">
        <is>
          <t>Energia Eletrica</t>
        </is>
      </c>
      <c r="D1740" t="inlineStr">
        <is>
          <t>01/11/2026</t>
        </is>
      </c>
      <c r="E1740" t="n">
        <v>24857</v>
      </c>
      <c r="F1740" t="inlineStr">
        <is>
          <t>Fabrica de Bares (2025)</t>
        </is>
      </c>
      <c r="G1740" t="b">
        <v>1</v>
      </c>
      <c r="H1740" t="inlineStr">
        <is>
          <t>11/2026</t>
        </is>
      </c>
    </row>
    <row r="1741">
      <c r="A1741" t="inlineStr">
        <is>
          <t>Nuv Gastrobar</t>
        </is>
      </c>
      <c r="B1741" t="inlineStr">
        <is>
          <t>Utilidades</t>
        </is>
      </c>
      <c r="C1741" t="inlineStr">
        <is>
          <t>Energia Eletrica</t>
        </is>
      </c>
      <c r="D1741" t="inlineStr">
        <is>
          <t>01/12/2026</t>
        </is>
      </c>
      <c r="E1741" t="n">
        <v>24590.8</v>
      </c>
      <c r="F1741" t="inlineStr">
        <is>
          <t>Fabrica de Bares (2025)</t>
        </is>
      </c>
      <c r="G1741" t="b">
        <v>1</v>
      </c>
      <c r="H1741" t="inlineStr">
        <is>
          <t>12/2026</t>
        </is>
      </c>
    </row>
    <row r="1742">
      <c r="A1742" t="inlineStr">
        <is>
          <t>Nuv Gastrobar</t>
        </is>
      </c>
      <c r="B1742" t="inlineStr">
        <is>
          <t>Utilidades</t>
        </is>
      </c>
      <c r="C1742" t="inlineStr">
        <is>
          <t>Gas de Cozinha</t>
        </is>
      </c>
      <c r="D1742" t="inlineStr">
        <is>
          <t>01/01/2026</t>
        </is>
      </c>
      <c r="E1742" t="n">
        <v>0</v>
      </c>
      <c r="F1742" t="inlineStr">
        <is>
          <t>Fabrica de Bares (2025)</t>
        </is>
      </c>
      <c r="G1742" t="b">
        <v>1</v>
      </c>
      <c r="H1742" t="inlineStr">
        <is>
          <t>1/2026</t>
        </is>
      </c>
    </row>
    <row r="1743">
      <c r="A1743" t="inlineStr">
        <is>
          <t>Nuv Gastrobar</t>
        </is>
      </c>
      <c r="B1743" t="inlineStr">
        <is>
          <t>Utilidades</t>
        </is>
      </c>
      <c r="C1743" t="inlineStr">
        <is>
          <t>Gas de Cozinha</t>
        </is>
      </c>
      <c r="D1743" t="inlineStr">
        <is>
          <t>01/02/2026</t>
        </is>
      </c>
      <c r="E1743" t="n">
        <v>0</v>
      </c>
      <c r="F1743" t="inlineStr">
        <is>
          <t>Fabrica de Bares (2025)</t>
        </is>
      </c>
      <c r="G1743" t="b">
        <v>1</v>
      </c>
      <c r="H1743" t="inlineStr">
        <is>
          <t>2/2026</t>
        </is>
      </c>
    </row>
    <row r="1744">
      <c r="A1744" t="inlineStr">
        <is>
          <t>Nuv Gastrobar</t>
        </is>
      </c>
      <c r="B1744" t="inlineStr">
        <is>
          <t>Utilidades</t>
        </is>
      </c>
      <c r="C1744" t="inlineStr">
        <is>
          <t>Gas de Cozinha</t>
        </is>
      </c>
      <c r="D1744" t="inlineStr">
        <is>
          <t>01/03/2026</t>
        </is>
      </c>
      <c r="E1744" t="n">
        <v>0</v>
      </c>
      <c r="F1744" t="inlineStr">
        <is>
          <t>Fabrica de Bares (2025)</t>
        </is>
      </c>
      <c r="G1744" t="b">
        <v>1</v>
      </c>
      <c r="H1744" t="inlineStr">
        <is>
          <t>3/2026</t>
        </is>
      </c>
    </row>
    <row r="1745">
      <c r="A1745" t="inlineStr">
        <is>
          <t>Nuv Gastrobar</t>
        </is>
      </c>
      <c r="B1745" t="inlineStr">
        <is>
          <t>Utilidades</t>
        </is>
      </c>
      <c r="C1745" t="inlineStr">
        <is>
          <t>Gas de Cozinha</t>
        </is>
      </c>
      <c r="D1745" t="inlineStr">
        <is>
          <t>01/04/2026</t>
        </is>
      </c>
      <c r="E1745" t="n">
        <v>0</v>
      </c>
      <c r="F1745" t="inlineStr">
        <is>
          <t>Fabrica de Bares (2025)</t>
        </is>
      </c>
      <c r="G1745" t="b">
        <v>1</v>
      </c>
      <c r="H1745" t="inlineStr">
        <is>
          <t>4/2026</t>
        </is>
      </c>
    </row>
    <row r="1746">
      <c r="A1746" t="inlineStr">
        <is>
          <t>Nuv Gastrobar</t>
        </is>
      </c>
      <c r="B1746" t="inlineStr">
        <is>
          <t>Utilidades</t>
        </is>
      </c>
      <c r="C1746" t="inlineStr">
        <is>
          <t>Gas de Cozinha</t>
        </is>
      </c>
      <c r="D1746" t="inlineStr">
        <is>
          <t>01/05/2026</t>
        </is>
      </c>
      <c r="E1746" t="n">
        <v>0</v>
      </c>
      <c r="F1746" t="inlineStr">
        <is>
          <t>Fabrica de Bares (2025)</t>
        </is>
      </c>
      <c r="G1746" t="b">
        <v>1</v>
      </c>
      <c r="H1746" t="inlineStr">
        <is>
          <t>5/2026</t>
        </is>
      </c>
    </row>
    <row r="1747">
      <c r="A1747" t="inlineStr">
        <is>
          <t>Nuv Gastrobar</t>
        </is>
      </c>
      <c r="B1747" t="inlineStr">
        <is>
          <t>Utilidades</t>
        </is>
      </c>
      <c r="C1747" t="inlineStr">
        <is>
          <t>Gas de Cozinha</t>
        </is>
      </c>
      <c r="D1747" t="inlineStr">
        <is>
          <t>01/06/2026</t>
        </is>
      </c>
      <c r="E1747" t="n">
        <v>0</v>
      </c>
      <c r="F1747" t="inlineStr">
        <is>
          <t>Fabrica de Bares (2025)</t>
        </is>
      </c>
      <c r="G1747" t="b">
        <v>1</v>
      </c>
      <c r="H1747" t="inlineStr">
        <is>
          <t>6/2026</t>
        </is>
      </c>
    </row>
    <row r="1748">
      <c r="A1748" t="inlineStr">
        <is>
          <t>Nuv Gastrobar</t>
        </is>
      </c>
      <c r="B1748" t="inlineStr">
        <is>
          <t>Utilidades</t>
        </is>
      </c>
      <c r="C1748" t="inlineStr">
        <is>
          <t>Gas de Cozinha</t>
        </is>
      </c>
      <c r="D1748" t="inlineStr">
        <is>
          <t>01/07/2026</t>
        </is>
      </c>
      <c r="E1748" t="n">
        <v>0</v>
      </c>
      <c r="F1748" t="inlineStr">
        <is>
          <t>Fabrica de Bares (2025)</t>
        </is>
      </c>
      <c r="G1748" t="b">
        <v>1</v>
      </c>
      <c r="H1748" t="inlineStr">
        <is>
          <t>7/2026</t>
        </is>
      </c>
    </row>
    <row r="1749">
      <c r="A1749" t="inlineStr">
        <is>
          <t>Nuv Gastrobar</t>
        </is>
      </c>
      <c r="B1749" t="inlineStr">
        <is>
          <t>Utilidades</t>
        </is>
      </c>
      <c r="C1749" t="inlineStr">
        <is>
          <t>Gas de Cozinha</t>
        </is>
      </c>
      <c r="D1749" t="inlineStr">
        <is>
          <t>01/08/2026</t>
        </is>
      </c>
      <c r="E1749" t="n">
        <v>0</v>
      </c>
      <c r="F1749" t="inlineStr">
        <is>
          <t>Fabrica de Bares (2025)</t>
        </is>
      </c>
      <c r="G1749" t="b">
        <v>1</v>
      </c>
      <c r="H1749" t="inlineStr">
        <is>
          <t>8/2026</t>
        </is>
      </c>
    </row>
    <row r="1750">
      <c r="A1750" t="inlineStr">
        <is>
          <t>Nuv Gastrobar</t>
        </is>
      </c>
      <c r="B1750" t="inlineStr">
        <is>
          <t>Utilidades</t>
        </is>
      </c>
      <c r="C1750" t="inlineStr">
        <is>
          <t>Gas de Cozinha</t>
        </is>
      </c>
      <c r="D1750" t="inlineStr">
        <is>
          <t>01/09/2026</t>
        </is>
      </c>
      <c r="E1750" t="n">
        <v>0</v>
      </c>
      <c r="F1750" t="inlineStr">
        <is>
          <t>Fabrica de Bares (2025)</t>
        </is>
      </c>
      <c r="G1750" t="b">
        <v>1</v>
      </c>
      <c r="H1750" t="inlineStr">
        <is>
          <t>9/2026</t>
        </is>
      </c>
    </row>
    <row r="1751">
      <c r="A1751" t="inlineStr">
        <is>
          <t>Nuv Gastrobar</t>
        </is>
      </c>
      <c r="B1751" t="inlineStr">
        <is>
          <t>Utilidades</t>
        </is>
      </c>
      <c r="C1751" t="inlineStr">
        <is>
          <t>Gas de Cozinha</t>
        </is>
      </c>
      <c r="D1751" t="inlineStr">
        <is>
          <t>01/10/2026</t>
        </is>
      </c>
      <c r="E1751" t="n">
        <v>0</v>
      </c>
      <c r="F1751" t="inlineStr">
        <is>
          <t>Fabrica de Bares (2025)</t>
        </is>
      </c>
      <c r="G1751" t="b">
        <v>1</v>
      </c>
      <c r="H1751" t="inlineStr">
        <is>
          <t>10/2026</t>
        </is>
      </c>
    </row>
    <row r="1752">
      <c r="A1752" t="inlineStr">
        <is>
          <t>Nuv Gastrobar</t>
        </is>
      </c>
      <c r="B1752" t="inlineStr">
        <is>
          <t>Utilidades</t>
        </is>
      </c>
      <c r="C1752" t="inlineStr">
        <is>
          <t>Gas de Cozinha</t>
        </is>
      </c>
      <c r="D1752" t="inlineStr">
        <is>
          <t>01/11/2026</t>
        </is>
      </c>
      <c r="E1752" t="n">
        <v>0</v>
      </c>
      <c r="F1752" t="inlineStr">
        <is>
          <t>Fabrica de Bares (2025)</t>
        </is>
      </c>
      <c r="G1752" t="b">
        <v>1</v>
      </c>
      <c r="H1752" t="inlineStr">
        <is>
          <t>11/2026</t>
        </is>
      </c>
    </row>
    <row r="1753">
      <c r="A1753" t="inlineStr">
        <is>
          <t>Nuv Gastrobar</t>
        </is>
      </c>
      <c r="B1753" t="inlineStr">
        <is>
          <t>Utilidades</t>
        </is>
      </c>
      <c r="C1753" t="inlineStr">
        <is>
          <t>Gas de Cozinha</t>
        </is>
      </c>
      <c r="D1753" t="inlineStr">
        <is>
          <t>01/12/2026</t>
        </is>
      </c>
      <c r="E1753" t="n">
        <v>0</v>
      </c>
      <c r="F1753" t="inlineStr">
        <is>
          <t>Fabrica de Bares (2025)</t>
        </is>
      </c>
      <c r="G1753" t="b">
        <v>1</v>
      </c>
      <c r="H1753" t="inlineStr">
        <is>
          <t>12/2026</t>
        </is>
      </c>
    </row>
    <row r="1754">
      <c r="A1754" t="inlineStr">
        <is>
          <t>Nuv Gastrobar</t>
        </is>
      </c>
      <c r="B1754" t="inlineStr">
        <is>
          <t>Utilidades</t>
        </is>
      </c>
      <c r="C1754" t="inlineStr">
        <is>
          <t>Higiene e Limpeza</t>
        </is>
      </c>
      <c r="D1754" t="inlineStr">
        <is>
          <t>01/01/2026</t>
        </is>
      </c>
      <c r="E1754" t="n">
        <v>0</v>
      </c>
      <c r="F1754" t="inlineStr">
        <is>
          <t>Fabrica de Bares (2025)</t>
        </is>
      </c>
      <c r="G1754" t="b">
        <v>1</v>
      </c>
      <c r="H1754" t="inlineStr">
        <is>
          <t>1/2026</t>
        </is>
      </c>
    </row>
    <row r="1755">
      <c r="A1755" t="inlineStr">
        <is>
          <t>Nuv Gastrobar</t>
        </is>
      </c>
      <c r="B1755" t="inlineStr">
        <is>
          <t>Utilidades</t>
        </is>
      </c>
      <c r="C1755" t="inlineStr">
        <is>
          <t>Higiene e Limpeza</t>
        </is>
      </c>
      <c r="D1755" t="inlineStr">
        <is>
          <t>01/02/2026</t>
        </is>
      </c>
      <c r="E1755" t="n">
        <v>0</v>
      </c>
      <c r="F1755" t="inlineStr">
        <is>
          <t>Fabrica de Bares (2025)</t>
        </is>
      </c>
      <c r="G1755" t="b">
        <v>1</v>
      </c>
      <c r="H1755" t="inlineStr">
        <is>
          <t>2/2026</t>
        </is>
      </c>
    </row>
    <row r="1756">
      <c r="A1756" t="inlineStr">
        <is>
          <t>Nuv Gastrobar</t>
        </is>
      </c>
      <c r="B1756" t="inlineStr">
        <is>
          <t>Utilidades</t>
        </is>
      </c>
      <c r="C1756" t="inlineStr">
        <is>
          <t>Higiene e Limpeza</t>
        </is>
      </c>
      <c r="D1756" t="inlineStr">
        <is>
          <t>01/03/2026</t>
        </is>
      </c>
      <c r="E1756" t="n">
        <v>0</v>
      </c>
      <c r="F1756" t="inlineStr">
        <is>
          <t>Fabrica de Bares (2025)</t>
        </is>
      </c>
      <c r="G1756" t="b">
        <v>1</v>
      </c>
      <c r="H1756" t="inlineStr">
        <is>
          <t>3/2026</t>
        </is>
      </c>
    </row>
    <row r="1757">
      <c r="A1757" t="inlineStr">
        <is>
          <t>Nuv Gastrobar</t>
        </is>
      </c>
      <c r="B1757" t="inlineStr">
        <is>
          <t>Utilidades</t>
        </is>
      </c>
      <c r="C1757" t="inlineStr">
        <is>
          <t>Higiene e Limpeza</t>
        </is>
      </c>
      <c r="D1757" t="inlineStr">
        <is>
          <t>01/04/2026</t>
        </is>
      </c>
      <c r="E1757" t="n">
        <v>0</v>
      </c>
      <c r="F1757" t="inlineStr">
        <is>
          <t>Fabrica de Bares (2025)</t>
        </is>
      </c>
      <c r="G1757" t="b">
        <v>1</v>
      </c>
      <c r="H1757" t="inlineStr">
        <is>
          <t>4/2026</t>
        </is>
      </c>
    </row>
    <row r="1758">
      <c r="A1758" t="inlineStr">
        <is>
          <t>Nuv Gastrobar</t>
        </is>
      </c>
      <c r="B1758" t="inlineStr">
        <is>
          <t>Utilidades</t>
        </is>
      </c>
      <c r="C1758" t="inlineStr">
        <is>
          <t>Higiene e Limpeza</t>
        </is>
      </c>
      <c r="D1758" t="inlineStr">
        <is>
          <t>01/05/2026</t>
        </is>
      </c>
      <c r="E1758" t="n">
        <v>0</v>
      </c>
      <c r="F1758" t="inlineStr">
        <is>
          <t>Fabrica de Bares (2025)</t>
        </is>
      </c>
      <c r="G1758" t="b">
        <v>1</v>
      </c>
      <c r="H1758" t="inlineStr">
        <is>
          <t>5/2026</t>
        </is>
      </c>
    </row>
    <row r="1759">
      <c r="A1759" t="inlineStr">
        <is>
          <t>Nuv Gastrobar</t>
        </is>
      </c>
      <c r="B1759" t="inlineStr">
        <is>
          <t>Utilidades</t>
        </is>
      </c>
      <c r="C1759" t="inlineStr">
        <is>
          <t>Higiene e Limpeza</t>
        </is>
      </c>
      <c r="D1759" t="inlineStr">
        <is>
          <t>01/06/2026</t>
        </is>
      </c>
      <c r="E1759" t="n">
        <v>0</v>
      </c>
      <c r="F1759" t="inlineStr">
        <is>
          <t>Fabrica de Bares (2025)</t>
        </is>
      </c>
      <c r="G1759" t="b">
        <v>1</v>
      </c>
      <c r="H1759" t="inlineStr">
        <is>
          <t>6/2026</t>
        </is>
      </c>
    </row>
    <row r="1760">
      <c r="A1760" t="inlineStr">
        <is>
          <t>Nuv Gastrobar</t>
        </is>
      </c>
      <c r="B1760" t="inlineStr">
        <is>
          <t>Utilidades</t>
        </is>
      </c>
      <c r="C1760" t="inlineStr">
        <is>
          <t>Higiene e Limpeza</t>
        </is>
      </c>
      <c r="D1760" t="inlineStr">
        <is>
          <t>01/07/2026</t>
        </is>
      </c>
      <c r="E1760" t="n">
        <v>0</v>
      </c>
      <c r="F1760" t="inlineStr">
        <is>
          <t>Fabrica de Bares (2025)</t>
        </is>
      </c>
      <c r="G1760" t="b">
        <v>1</v>
      </c>
      <c r="H1760" t="inlineStr">
        <is>
          <t>7/2026</t>
        </is>
      </c>
    </row>
    <row r="1761">
      <c r="A1761" t="inlineStr">
        <is>
          <t>Nuv Gastrobar</t>
        </is>
      </c>
      <c r="B1761" t="inlineStr">
        <is>
          <t>Utilidades</t>
        </is>
      </c>
      <c r="C1761" t="inlineStr">
        <is>
          <t>Higiene e Limpeza</t>
        </is>
      </c>
      <c r="D1761" t="inlineStr">
        <is>
          <t>01/08/2026</t>
        </is>
      </c>
      <c r="E1761" t="n">
        <v>6518.78</v>
      </c>
      <c r="F1761" t="inlineStr">
        <is>
          <t>Fabrica de Bares (2025)</t>
        </is>
      </c>
      <c r="G1761" t="b">
        <v>1</v>
      </c>
      <c r="H1761" t="inlineStr">
        <is>
          <t>8/2026</t>
        </is>
      </c>
    </row>
    <row r="1762">
      <c r="A1762" t="inlineStr">
        <is>
          <t>Nuv Gastrobar</t>
        </is>
      </c>
      <c r="B1762" t="inlineStr">
        <is>
          <t>Utilidades</t>
        </is>
      </c>
      <c r="C1762" t="inlineStr">
        <is>
          <t>Higiene e Limpeza</t>
        </is>
      </c>
      <c r="D1762" t="inlineStr">
        <is>
          <t>01/09/2026</t>
        </is>
      </c>
      <c r="E1762" t="n">
        <v>10146.66</v>
      </c>
      <c r="F1762" t="inlineStr">
        <is>
          <t>Fabrica de Bares (2025)</t>
        </is>
      </c>
      <c r="G1762" t="b">
        <v>1</v>
      </c>
      <c r="H1762" t="inlineStr">
        <is>
          <t>9/2026</t>
        </is>
      </c>
    </row>
    <row r="1763">
      <c r="A1763" t="inlineStr">
        <is>
          <t>Nuv Gastrobar</t>
        </is>
      </c>
      <c r="B1763" t="inlineStr">
        <is>
          <t>Utilidades</t>
        </is>
      </c>
      <c r="C1763" t="inlineStr">
        <is>
          <t>Higiene e Limpeza</t>
        </is>
      </c>
      <c r="D1763" t="inlineStr">
        <is>
          <t>01/10/2026</t>
        </is>
      </c>
      <c r="E1763" t="n">
        <v>11818.86</v>
      </c>
      <c r="F1763" t="inlineStr">
        <is>
          <t>Fabrica de Bares (2025)</t>
        </is>
      </c>
      <c r="G1763" t="b">
        <v>1</v>
      </c>
      <c r="H1763" t="inlineStr">
        <is>
          <t>10/2026</t>
        </is>
      </c>
    </row>
    <row r="1764">
      <c r="A1764" t="inlineStr">
        <is>
          <t>Nuv Gastrobar</t>
        </is>
      </c>
      <c r="B1764" t="inlineStr">
        <is>
          <t>Utilidades</t>
        </is>
      </c>
      <c r="C1764" t="inlineStr">
        <is>
          <t>Higiene e Limpeza</t>
        </is>
      </c>
      <c r="D1764" t="inlineStr">
        <is>
          <t>01/11/2026</t>
        </is>
      </c>
      <c r="E1764" t="n">
        <v>17115.84</v>
      </c>
      <c r="F1764" t="inlineStr">
        <is>
          <t>Fabrica de Bares (2025)</t>
        </is>
      </c>
      <c r="G1764" t="b">
        <v>1</v>
      </c>
      <c r="H1764" t="inlineStr">
        <is>
          <t>11/2026</t>
        </is>
      </c>
    </row>
    <row r="1765">
      <c r="A1765" t="inlineStr">
        <is>
          <t>Nuv Gastrobar</t>
        </is>
      </c>
      <c r="B1765" t="inlineStr">
        <is>
          <t>Utilidades</t>
        </is>
      </c>
      <c r="C1765" t="inlineStr">
        <is>
          <t>Higiene e Limpeza</t>
        </is>
      </c>
      <c r="D1765" t="inlineStr">
        <is>
          <t>01/12/2026</t>
        </is>
      </c>
      <c r="E1765" t="n">
        <v>16932.54</v>
      </c>
      <c r="F1765" t="inlineStr">
        <is>
          <t>Fabrica de Bares (2025)</t>
        </is>
      </c>
      <c r="G1765" t="b">
        <v>1</v>
      </c>
      <c r="H1765" t="inlineStr">
        <is>
          <t>12/2026</t>
        </is>
      </c>
    </row>
    <row r="1766">
      <c r="A1766" t="inlineStr">
        <is>
          <t>Nuv Gastrobar</t>
        </is>
      </c>
      <c r="B1766" t="inlineStr">
        <is>
          <t>Utilidades</t>
        </is>
      </c>
      <c r="C1766" t="inlineStr">
        <is>
          <t>Material de Consumo - Gelo/ Gas CO2/ Carvao /Velas</t>
        </is>
      </c>
      <c r="D1766" t="inlineStr">
        <is>
          <t>01/01/2026</t>
        </is>
      </c>
      <c r="E1766" t="n">
        <v>0</v>
      </c>
      <c r="F1766" t="inlineStr">
        <is>
          <t>Fabrica de Bares (2025)</t>
        </is>
      </c>
      <c r="G1766" t="b">
        <v>1</v>
      </c>
      <c r="H1766" t="inlineStr">
        <is>
          <t>1/2026</t>
        </is>
      </c>
    </row>
    <row r="1767">
      <c r="A1767" t="inlineStr">
        <is>
          <t>Nuv Gastrobar</t>
        </is>
      </c>
      <c r="B1767" t="inlineStr">
        <is>
          <t>Utilidades</t>
        </is>
      </c>
      <c r="C1767" t="inlineStr">
        <is>
          <t>Material de Consumo - Gelo/ Gas CO2/ Carvao /Velas</t>
        </is>
      </c>
      <c r="D1767" t="inlineStr">
        <is>
          <t>01/02/2026</t>
        </is>
      </c>
      <c r="E1767" t="n">
        <v>0</v>
      </c>
      <c r="F1767" t="inlineStr">
        <is>
          <t>Fabrica de Bares (2025)</t>
        </is>
      </c>
      <c r="G1767" t="b">
        <v>1</v>
      </c>
      <c r="H1767" t="inlineStr">
        <is>
          <t>2/2026</t>
        </is>
      </c>
    </row>
    <row r="1768">
      <c r="A1768" t="inlineStr">
        <is>
          <t>Nuv Gastrobar</t>
        </is>
      </c>
      <c r="B1768" t="inlineStr">
        <is>
          <t>Utilidades</t>
        </is>
      </c>
      <c r="C1768" t="inlineStr">
        <is>
          <t>Material de Consumo - Gelo/ Gas CO2/ Carvao /Velas</t>
        </is>
      </c>
      <c r="D1768" t="inlineStr">
        <is>
          <t>01/03/2026</t>
        </is>
      </c>
      <c r="E1768" t="n">
        <v>0</v>
      </c>
      <c r="F1768" t="inlineStr">
        <is>
          <t>Fabrica de Bares (2025)</t>
        </is>
      </c>
      <c r="G1768" t="b">
        <v>1</v>
      </c>
      <c r="H1768" t="inlineStr">
        <is>
          <t>3/2026</t>
        </is>
      </c>
    </row>
    <row r="1769">
      <c r="A1769" t="inlineStr">
        <is>
          <t>Nuv Gastrobar</t>
        </is>
      </c>
      <c r="B1769" t="inlineStr">
        <is>
          <t>Utilidades</t>
        </is>
      </c>
      <c r="C1769" t="inlineStr">
        <is>
          <t>Material de Consumo - Gelo/ Gas CO2/ Carvao /Velas</t>
        </is>
      </c>
      <c r="D1769" t="inlineStr">
        <is>
          <t>01/04/2026</t>
        </is>
      </c>
      <c r="E1769" t="n">
        <v>0</v>
      </c>
      <c r="F1769" t="inlineStr">
        <is>
          <t>Fabrica de Bares (2025)</t>
        </is>
      </c>
      <c r="G1769" t="b">
        <v>1</v>
      </c>
      <c r="H1769" t="inlineStr">
        <is>
          <t>4/2026</t>
        </is>
      </c>
    </row>
    <row r="1770">
      <c r="A1770" t="inlineStr">
        <is>
          <t>Nuv Gastrobar</t>
        </is>
      </c>
      <c r="B1770" t="inlineStr">
        <is>
          <t>Utilidades</t>
        </is>
      </c>
      <c r="C1770" t="inlineStr">
        <is>
          <t>Material de Consumo - Gelo/ Gas CO2/ Carvao /Velas</t>
        </is>
      </c>
      <c r="D1770" t="inlineStr">
        <is>
          <t>01/05/2026</t>
        </is>
      </c>
      <c r="E1770" t="n">
        <v>0</v>
      </c>
      <c r="F1770" t="inlineStr">
        <is>
          <t>Fabrica de Bares (2025)</t>
        </is>
      </c>
      <c r="G1770" t="b">
        <v>1</v>
      </c>
      <c r="H1770" t="inlineStr">
        <is>
          <t>5/2026</t>
        </is>
      </c>
    </row>
    <row r="1771">
      <c r="A1771" t="inlineStr">
        <is>
          <t>Nuv Gastrobar</t>
        </is>
      </c>
      <c r="B1771" t="inlineStr">
        <is>
          <t>Utilidades</t>
        </is>
      </c>
      <c r="C1771" t="inlineStr">
        <is>
          <t>Material de Consumo - Gelo/ Gas CO2/ Carvao /Velas</t>
        </is>
      </c>
      <c r="D1771" t="inlineStr">
        <is>
          <t>01/06/2026</t>
        </is>
      </c>
      <c r="E1771" t="n">
        <v>0</v>
      </c>
      <c r="F1771" t="inlineStr">
        <is>
          <t>Fabrica de Bares (2025)</t>
        </is>
      </c>
      <c r="G1771" t="b">
        <v>1</v>
      </c>
      <c r="H1771" t="inlineStr">
        <is>
          <t>6/2026</t>
        </is>
      </c>
    </row>
    <row r="1772">
      <c r="A1772" t="inlineStr">
        <is>
          <t>Nuv Gastrobar</t>
        </is>
      </c>
      <c r="B1772" t="inlineStr">
        <is>
          <t>Utilidades</t>
        </is>
      </c>
      <c r="C1772" t="inlineStr">
        <is>
          <t>Material de Consumo - Gelo/ Gas CO2/ Carvao /Velas</t>
        </is>
      </c>
      <c r="D1772" t="inlineStr">
        <is>
          <t>01/07/2026</t>
        </is>
      </c>
      <c r="E1772" t="n">
        <v>0</v>
      </c>
      <c r="F1772" t="inlineStr">
        <is>
          <t>Fabrica de Bares (2025)</t>
        </is>
      </c>
      <c r="G1772" t="b">
        <v>1</v>
      </c>
      <c r="H1772" t="inlineStr">
        <is>
          <t>7/2026</t>
        </is>
      </c>
    </row>
    <row r="1773">
      <c r="A1773" t="inlineStr">
        <is>
          <t>Nuv Gastrobar</t>
        </is>
      </c>
      <c r="B1773" t="inlineStr">
        <is>
          <t>Utilidades</t>
        </is>
      </c>
      <c r="C1773" t="inlineStr">
        <is>
          <t>Material de Consumo - Gelo/ Gas CO2/ Carvao /Velas</t>
        </is>
      </c>
      <c r="D1773" t="inlineStr">
        <is>
          <t>01/08/2026</t>
        </is>
      </c>
      <c r="E1773" t="n">
        <v>1189.34</v>
      </c>
      <c r="F1773" t="inlineStr">
        <is>
          <t>Fabrica de Bares (2025)</t>
        </is>
      </c>
      <c r="G1773" t="b">
        <v>1</v>
      </c>
      <c r="H1773" t="inlineStr">
        <is>
          <t>8/2026</t>
        </is>
      </c>
    </row>
    <row r="1774">
      <c r="A1774" t="inlineStr">
        <is>
          <t>Nuv Gastrobar</t>
        </is>
      </c>
      <c r="B1774" t="inlineStr">
        <is>
          <t>Utilidades</t>
        </is>
      </c>
      <c r="C1774" t="inlineStr">
        <is>
          <t>Material de Consumo - Gelo/ Gas CO2/ Carvao /Velas</t>
        </is>
      </c>
      <c r="D1774" t="inlineStr">
        <is>
          <t>01/09/2026</t>
        </is>
      </c>
      <c r="E1774" t="n">
        <v>1294.72</v>
      </c>
      <c r="F1774" t="inlineStr">
        <is>
          <t>Fabrica de Bares (2025)</t>
        </is>
      </c>
      <c r="G1774" t="b">
        <v>1</v>
      </c>
      <c r="H1774" t="inlineStr">
        <is>
          <t>9/2026</t>
        </is>
      </c>
    </row>
    <row r="1775">
      <c r="A1775" t="inlineStr">
        <is>
          <t>Nuv Gastrobar</t>
        </is>
      </c>
      <c r="B1775" t="inlineStr">
        <is>
          <t>Utilidades</t>
        </is>
      </c>
      <c r="C1775" t="inlineStr">
        <is>
          <t>Material de Consumo - Gelo/ Gas CO2/ Carvao /Velas</t>
        </is>
      </c>
      <c r="D1775" t="inlineStr">
        <is>
          <t>01/10/2026</t>
        </is>
      </c>
      <c r="E1775" t="n">
        <v>1343.29</v>
      </c>
      <c r="F1775" t="inlineStr">
        <is>
          <t>Fabrica de Bares (2025)</t>
        </is>
      </c>
      <c r="G1775" t="b">
        <v>1</v>
      </c>
      <c r="H1775" t="inlineStr">
        <is>
          <t>10/2026</t>
        </is>
      </c>
    </row>
    <row r="1776">
      <c r="A1776" t="inlineStr">
        <is>
          <t>Nuv Gastrobar</t>
        </is>
      </c>
      <c r="B1776" t="inlineStr">
        <is>
          <t>Utilidades</t>
        </is>
      </c>
      <c r="C1776" t="inlineStr">
        <is>
          <t>Material de Consumo - Gelo/ Gas CO2/ Carvao /Velas</t>
        </is>
      </c>
      <c r="D1776" t="inlineStr">
        <is>
          <t>01/11/2026</t>
        </is>
      </c>
      <c r="E1776" t="n">
        <v>1497.14</v>
      </c>
      <c r="F1776" t="inlineStr">
        <is>
          <t>Fabrica de Bares (2025)</t>
        </is>
      </c>
      <c r="G1776" t="b">
        <v>1</v>
      </c>
      <c r="H1776" t="inlineStr">
        <is>
          <t>11/2026</t>
        </is>
      </c>
    </row>
    <row r="1777">
      <c r="A1777" t="inlineStr">
        <is>
          <t>Nuv Gastrobar</t>
        </is>
      </c>
      <c r="B1777" t="inlineStr">
        <is>
          <t>Utilidades</t>
        </is>
      </c>
      <c r="C1777" t="inlineStr">
        <is>
          <t>Material de Consumo - Gelo/ Gas CO2/ Carvao /Velas</t>
        </is>
      </c>
      <c r="D1777" t="inlineStr">
        <is>
          <t>01/12/2026</t>
        </is>
      </c>
      <c r="E1777" t="n">
        <v>1491.82</v>
      </c>
      <c r="F1777" t="inlineStr">
        <is>
          <t>Fabrica de Bares (2025)</t>
        </is>
      </c>
      <c r="G1777" t="b">
        <v>1</v>
      </c>
      <c r="H1777" t="inlineStr">
        <is>
          <t>12/2026</t>
        </is>
      </c>
    </row>
    <row r="1778">
      <c r="A1778" t="inlineStr">
        <is>
          <t>Nuv Gastrobar</t>
        </is>
      </c>
      <c r="B1778" t="inlineStr">
        <is>
          <t>Utilidades</t>
        </is>
      </c>
      <c r="C1778" t="inlineStr">
        <is>
          <t>Material de Escritorio</t>
        </is>
      </c>
      <c r="D1778" t="inlineStr">
        <is>
          <t>01/01/2026</t>
        </is>
      </c>
      <c r="E1778" t="n">
        <v>0</v>
      </c>
      <c r="F1778" t="inlineStr">
        <is>
          <t>Fabrica de Bares (2025)</t>
        </is>
      </c>
      <c r="G1778" t="b">
        <v>1</v>
      </c>
      <c r="H1778" t="inlineStr">
        <is>
          <t>1/2026</t>
        </is>
      </c>
    </row>
    <row r="1779">
      <c r="A1779" t="inlineStr">
        <is>
          <t>Nuv Gastrobar</t>
        </is>
      </c>
      <c r="B1779" t="inlineStr">
        <is>
          <t>Utilidades</t>
        </is>
      </c>
      <c r="C1779" t="inlineStr">
        <is>
          <t>Material de Escritorio</t>
        </is>
      </c>
      <c r="D1779" t="inlineStr">
        <is>
          <t>01/02/2026</t>
        </is>
      </c>
      <c r="E1779" t="n">
        <v>0</v>
      </c>
      <c r="F1779" t="inlineStr">
        <is>
          <t>Fabrica de Bares (2025)</t>
        </is>
      </c>
      <c r="G1779" t="b">
        <v>1</v>
      </c>
      <c r="H1779" t="inlineStr">
        <is>
          <t>2/2026</t>
        </is>
      </c>
    </row>
    <row r="1780">
      <c r="A1780" t="inlineStr">
        <is>
          <t>Nuv Gastrobar</t>
        </is>
      </c>
      <c r="B1780" t="inlineStr">
        <is>
          <t>Utilidades</t>
        </is>
      </c>
      <c r="C1780" t="inlineStr">
        <is>
          <t>Material de Escritorio</t>
        </is>
      </c>
      <c r="D1780" t="inlineStr">
        <is>
          <t>01/03/2026</t>
        </is>
      </c>
      <c r="E1780" t="n">
        <v>0</v>
      </c>
      <c r="F1780" t="inlineStr">
        <is>
          <t>Fabrica de Bares (2025)</t>
        </is>
      </c>
      <c r="G1780" t="b">
        <v>1</v>
      </c>
      <c r="H1780" t="inlineStr">
        <is>
          <t>3/2026</t>
        </is>
      </c>
    </row>
    <row r="1781">
      <c r="A1781" t="inlineStr">
        <is>
          <t>Nuv Gastrobar</t>
        </is>
      </c>
      <c r="B1781" t="inlineStr">
        <is>
          <t>Utilidades</t>
        </is>
      </c>
      <c r="C1781" t="inlineStr">
        <is>
          <t>Material de Escritorio</t>
        </is>
      </c>
      <c r="D1781" t="inlineStr">
        <is>
          <t>01/04/2026</t>
        </is>
      </c>
      <c r="E1781" t="n">
        <v>0</v>
      </c>
      <c r="F1781" t="inlineStr">
        <is>
          <t>Fabrica de Bares (2025)</t>
        </is>
      </c>
      <c r="G1781" t="b">
        <v>1</v>
      </c>
      <c r="H1781" t="inlineStr">
        <is>
          <t>4/2026</t>
        </is>
      </c>
    </row>
    <row r="1782">
      <c r="A1782" t="inlineStr">
        <is>
          <t>Nuv Gastrobar</t>
        </is>
      </c>
      <c r="B1782" t="inlineStr">
        <is>
          <t>Utilidades</t>
        </is>
      </c>
      <c r="C1782" t="inlineStr">
        <is>
          <t>Material de Escritorio</t>
        </is>
      </c>
      <c r="D1782" t="inlineStr">
        <is>
          <t>01/05/2026</t>
        </is>
      </c>
      <c r="E1782" t="n">
        <v>0</v>
      </c>
      <c r="F1782" t="inlineStr">
        <is>
          <t>Fabrica de Bares (2025)</t>
        </is>
      </c>
      <c r="G1782" t="b">
        <v>1</v>
      </c>
      <c r="H1782" t="inlineStr">
        <is>
          <t>5/2026</t>
        </is>
      </c>
    </row>
    <row r="1783">
      <c r="A1783" t="inlineStr">
        <is>
          <t>Nuv Gastrobar</t>
        </is>
      </c>
      <c r="B1783" t="inlineStr">
        <is>
          <t>Utilidades</t>
        </is>
      </c>
      <c r="C1783" t="inlineStr">
        <is>
          <t>Material de Escritorio</t>
        </is>
      </c>
      <c r="D1783" t="inlineStr">
        <is>
          <t>01/06/2026</t>
        </is>
      </c>
      <c r="E1783" t="n">
        <v>0</v>
      </c>
      <c r="F1783" t="inlineStr">
        <is>
          <t>Fabrica de Bares (2025)</t>
        </is>
      </c>
      <c r="G1783" t="b">
        <v>1</v>
      </c>
      <c r="H1783" t="inlineStr">
        <is>
          <t>6/2026</t>
        </is>
      </c>
    </row>
    <row r="1784">
      <c r="A1784" t="inlineStr">
        <is>
          <t>Nuv Gastrobar</t>
        </is>
      </c>
      <c r="B1784" t="inlineStr">
        <is>
          <t>Utilidades</t>
        </is>
      </c>
      <c r="C1784" t="inlineStr">
        <is>
          <t>Material de Escritorio</t>
        </is>
      </c>
      <c r="D1784" t="inlineStr">
        <is>
          <t>01/07/2026</t>
        </is>
      </c>
      <c r="E1784" t="n">
        <v>0</v>
      </c>
      <c r="F1784" t="inlineStr">
        <is>
          <t>Fabrica de Bares (2025)</t>
        </is>
      </c>
      <c r="G1784" t="b">
        <v>1</v>
      </c>
      <c r="H1784" t="inlineStr">
        <is>
          <t>7/2026</t>
        </is>
      </c>
    </row>
    <row r="1785">
      <c r="A1785" t="inlineStr">
        <is>
          <t>Nuv Gastrobar</t>
        </is>
      </c>
      <c r="B1785" t="inlineStr">
        <is>
          <t>Utilidades</t>
        </is>
      </c>
      <c r="C1785" t="inlineStr">
        <is>
          <t>Material de Escritorio</t>
        </is>
      </c>
      <c r="D1785" t="inlineStr">
        <is>
          <t>01/08/2026</t>
        </is>
      </c>
      <c r="E1785" t="n">
        <v>189.34</v>
      </c>
      <c r="F1785" t="inlineStr">
        <is>
          <t>Fabrica de Bares (2025)</t>
        </is>
      </c>
      <c r="G1785" t="b">
        <v>1</v>
      </c>
      <c r="H1785" t="inlineStr">
        <is>
          <t>8/2026</t>
        </is>
      </c>
    </row>
    <row r="1786">
      <c r="A1786" t="inlineStr">
        <is>
          <t>Nuv Gastrobar</t>
        </is>
      </c>
      <c r="B1786" t="inlineStr">
        <is>
          <t>Utilidades</t>
        </is>
      </c>
      <c r="C1786" t="inlineStr">
        <is>
          <t>Material de Escritorio</t>
        </is>
      </c>
      <c r="D1786" t="inlineStr">
        <is>
          <t>01/09/2026</t>
        </is>
      </c>
      <c r="E1786" t="n">
        <v>294.72</v>
      </c>
      <c r="F1786" t="inlineStr">
        <is>
          <t>Fabrica de Bares (2025)</t>
        </is>
      </c>
      <c r="G1786" t="b">
        <v>1</v>
      </c>
      <c r="H1786" t="inlineStr">
        <is>
          <t>9/2026</t>
        </is>
      </c>
    </row>
    <row r="1787">
      <c r="A1787" t="inlineStr">
        <is>
          <t>Nuv Gastrobar</t>
        </is>
      </c>
      <c r="B1787" t="inlineStr">
        <is>
          <t>Utilidades</t>
        </is>
      </c>
      <c r="C1787" t="inlineStr">
        <is>
          <t>Material de Escritorio</t>
        </is>
      </c>
      <c r="D1787" t="inlineStr">
        <is>
          <t>01/10/2026</t>
        </is>
      </c>
      <c r="E1787" t="n">
        <v>343.29</v>
      </c>
      <c r="F1787" t="inlineStr">
        <is>
          <t>Fabrica de Bares (2025)</t>
        </is>
      </c>
      <c r="G1787" t="b">
        <v>1</v>
      </c>
      <c r="H1787" t="inlineStr">
        <is>
          <t>10/2026</t>
        </is>
      </c>
    </row>
    <row r="1788">
      <c r="A1788" t="inlineStr">
        <is>
          <t>Nuv Gastrobar</t>
        </is>
      </c>
      <c r="B1788" t="inlineStr">
        <is>
          <t>Utilidades</t>
        </is>
      </c>
      <c r="C1788" t="inlineStr">
        <is>
          <t>Material de Escritorio</t>
        </is>
      </c>
      <c r="D1788" t="inlineStr">
        <is>
          <t>01/11/2026</t>
        </is>
      </c>
      <c r="E1788" t="n">
        <v>497.14</v>
      </c>
      <c r="F1788" t="inlineStr">
        <is>
          <t>Fabrica de Bares (2025)</t>
        </is>
      </c>
      <c r="G1788" t="b">
        <v>1</v>
      </c>
      <c r="H1788" t="inlineStr">
        <is>
          <t>11/2026</t>
        </is>
      </c>
    </row>
    <row r="1789">
      <c r="A1789" t="inlineStr">
        <is>
          <t>Nuv Gastrobar</t>
        </is>
      </c>
      <c r="B1789" t="inlineStr">
        <is>
          <t>Utilidades</t>
        </is>
      </c>
      <c r="C1789" t="inlineStr">
        <is>
          <t>Material de Escritorio</t>
        </is>
      </c>
      <c r="D1789" t="inlineStr">
        <is>
          <t>01/12/2026</t>
        </is>
      </c>
      <c r="E1789" t="n">
        <v>491.82</v>
      </c>
      <c r="F1789" t="inlineStr">
        <is>
          <t>Fabrica de Bares (2025)</t>
        </is>
      </c>
      <c r="G1789" t="b">
        <v>1</v>
      </c>
      <c r="H1789" t="inlineStr">
        <is>
          <t>12/2026</t>
        </is>
      </c>
    </row>
    <row r="1790">
      <c r="A1790" t="inlineStr">
        <is>
          <t>Nuv Gastrobar</t>
        </is>
      </c>
      <c r="B1790" t="inlineStr">
        <is>
          <t>Utilidades</t>
        </is>
      </c>
      <c r="C1790" t="inlineStr">
        <is>
          <t>Serviço de Lavanderia</t>
        </is>
      </c>
      <c r="D1790" t="inlineStr">
        <is>
          <t>01/01/2026</t>
        </is>
      </c>
      <c r="E1790" t="n">
        <v>0</v>
      </c>
      <c r="F1790" t="inlineStr">
        <is>
          <t>Fabrica de Bares (2025)</t>
        </is>
      </c>
      <c r="G1790" t="b">
        <v>1</v>
      </c>
      <c r="H1790" t="inlineStr">
        <is>
          <t>1/2026</t>
        </is>
      </c>
    </row>
    <row r="1791">
      <c r="A1791" t="inlineStr">
        <is>
          <t>Nuv Gastrobar</t>
        </is>
      </c>
      <c r="B1791" t="inlineStr">
        <is>
          <t>Utilidades</t>
        </is>
      </c>
      <c r="C1791" t="inlineStr">
        <is>
          <t>Serviço de Lavanderia</t>
        </is>
      </c>
      <c r="D1791" t="inlineStr">
        <is>
          <t>01/02/2026</t>
        </is>
      </c>
      <c r="E1791" t="n">
        <v>0</v>
      </c>
      <c r="F1791" t="inlineStr">
        <is>
          <t>Fabrica de Bares (2025)</t>
        </is>
      </c>
      <c r="G1791" t="b">
        <v>1</v>
      </c>
      <c r="H1791" t="inlineStr">
        <is>
          <t>2/2026</t>
        </is>
      </c>
    </row>
    <row r="1792">
      <c r="A1792" t="inlineStr">
        <is>
          <t>Nuv Gastrobar</t>
        </is>
      </c>
      <c r="B1792" t="inlineStr">
        <is>
          <t>Utilidades</t>
        </is>
      </c>
      <c r="C1792" t="inlineStr">
        <is>
          <t>Serviço de Lavanderia</t>
        </is>
      </c>
      <c r="D1792" t="inlineStr">
        <is>
          <t>01/03/2026</t>
        </is>
      </c>
      <c r="E1792" t="n">
        <v>0</v>
      </c>
      <c r="F1792" t="inlineStr">
        <is>
          <t>Fabrica de Bares (2025)</t>
        </is>
      </c>
      <c r="G1792" t="b">
        <v>1</v>
      </c>
      <c r="H1792" t="inlineStr">
        <is>
          <t>3/2026</t>
        </is>
      </c>
    </row>
    <row r="1793">
      <c r="A1793" t="inlineStr">
        <is>
          <t>Nuv Gastrobar</t>
        </is>
      </c>
      <c r="B1793" t="inlineStr">
        <is>
          <t>Utilidades</t>
        </is>
      </c>
      <c r="C1793" t="inlineStr">
        <is>
          <t>Serviço de Lavanderia</t>
        </is>
      </c>
      <c r="D1793" t="inlineStr">
        <is>
          <t>01/04/2026</t>
        </is>
      </c>
      <c r="E1793" t="n">
        <v>0</v>
      </c>
      <c r="F1793" t="inlineStr">
        <is>
          <t>Fabrica de Bares (2025)</t>
        </is>
      </c>
      <c r="G1793" t="b">
        <v>1</v>
      </c>
      <c r="H1793" t="inlineStr">
        <is>
          <t>4/2026</t>
        </is>
      </c>
    </row>
    <row r="1794">
      <c r="A1794" t="inlineStr">
        <is>
          <t>Nuv Gastrobar</t>
        </is>
      </c>
      <c r="B1794" t="inlineStr">
        <is>
          <t>Utilidades</t>
        </is>
      </c>
      <c r="C1794" t="inlineStr">
        <is>
          <t>Serviço de Lavanderia</t>
        </is>
      </c>
      <c r="D1794" t="inlineStr">
        <is>
          <t>01/05/2026</t>
        </is>
      </c>
      <c r="E1794" t="n">
        <v>0</v>
      </c>
      <c r="F1794" t="inlineStr">
        <is>
          <t>Fabrica de Bares (2025)</t>
        </is>
      </c>
      <c r="G1794" t="b">
        <v>1</v>
      </c>
      <c r="H1794" t="inlineStr">
        <is>
          <t>5/2026</t>
        </is>
      </c>
    </row>
    <row r="1795">
      <c r="A1795" t="inlineStr">
        <is>
          <t>Nuv Gastrobar</t>
        </is>
      </c>
      <c r="B1795" t="inlineStr">
        <is>
          <t>Utilidades</t>
        </is>
      </c>
      <c r="C1795" t="inlineStr">
        <is>
          <t>Serviço de Lavanderia</t>
        </is>
      </c>
      <c r="D1795" t="inlineStr">
        <is>
          <t>01/06/2026</t>
        </is>
      </c>
      <c r="E1795" t="n">
        <v>0</v>
      </c>
      <c r="F1795" t="inlineStr">
        <is>
          <t>Fabrica de Bares (2025)</t>
        </is>
      </c>
      <c r="G1795" t="b">
        <v>1</v>
      </c>
      <c r="H1795" t="inlineStr">
        <is>
          <t>6/2026</t>
        </is>
      </c>
    </row>
    <row r="1796">
      <c r="A1796" t="inlineStr">
        <is>
          <t>Nuv Gastrobar</t>
        </is>
      </c>
      <c r="B1796" t="inlineStr">
        <is>
          <t>Utilidades</t>
        </is>
      </c>
      <c r="C1796" t="inlineStr">
        <is>
          <t>Serviço de Lavanderia</t>
        </is>
      </c>
      <c r="D1796" t="inlineStr">
        <is>
          <t>01/07/2026</t>
        </is>
      </c>
      <c r="E1796" t="n">
        <v>0</v>
      </c>
      <c r="F1796" t="inlineStr">
        <is>
          <t>Fabrica de Bares (2025)</t>
        </is>
      </c>
      <c r="G1796" t="b">
        <v>1</v>
      </c>
      <c r="H1796" t="inlineStr">
        <is>
          <t>7/2026</t>
        </is>
      </c>
    </row>
    <row r="1797">
      <c r="A1797" t="inlineStr">
        <is>
          <t>Nuv Gastrobar</t>
        </is>
      </c>
      <c r="B1797" t="inlineStr">
        <is>
          <t>Utilidades</t>
        </is>
      </c>
      <c r="C1797" t="inlineStr">
        <is>
          <t>Serviço de Lavanderia</t>
        </is>
      </c>
      <c r="D1797" t="inlineStr">
        <is>
          <t>01/08/2026</t>
        </is>
      </c>
      <c r="E1797" t="n">
        <v>189.34</v>
      </c>
      <c r="F1797" t="inlineStr">
        <is>
          <t>Fabrica de Bares (2025)</t>
        </is>
      </c>
      <c r="G1797" t="b">
        <v>1</v>
      </c>
      <c r="H1797" t="inlineStr">
        <is>
          <t>8/2026</t>
        </is>
      </c>
    </row>
    <row r="1798">
      <c r="A1798" t="inlineStr">
        <is>
          <t>Nuv Gastrobar</t>
        </is>
      </c>
      <c r="B1798" t="inlineStr">
        <is>
          <t>Utilidades</t>
        </is>
      </c>
      <c r="C1798" t="inlineStr">
        <is>
          <t>Serviço de Lavanderia</t>
        </is>
      </c>
      <c r="D1798" t="inlineStr">
        <is>
          <t>01/09/2026</t>
        </is>
      </c>
      <c r="E1798" t="n">
        <v>294.72</v>
      </c>
      <c r="F1798" t="inlineStr">
        <is>
          <t>Fabrica de Bares (2025)</t>
        </is>
      </c>
      <c r="G1798" t="b">
        <v>1</v>
      </c>
      <c r="H1798" t="inlineStr">
        <is>
          <t>9/2026</t>
        </is>
      </c>
    </row>
    <row r="1799">
      <c r="A1799" t="inlineStr">
        <is>
          <t>Nuv Gastrobar</t>
        </is>
      </c>
      <c r="B1799" t="inlineStr">
        <is>
          <t>Utilidades</t>
        </is>
      </c>
      <c r="C1799" t="inlineStr">
        <is>
          <t>Serviço de Lavanderia</t>
        </is>
      </c>
      <c r="D1799" t="inlineStr">
        <is>
          <t>01/10/2026</t>
        </is>
      </c>
      <c r="E1799" t="n">
        <v>343.29</v>
      </c>
      <c r="F1799" t="inlineStr">
        <is>
          <t>Fabrica de Bares (2025)</t>
        </is>
      </c>
      <c r="G1799" t="b">
        <v>1</v>
      </c>
      <c r="H1799" t="inlineStr">
        <is>
          <t>10/2026</t>
        </is>
      </c>
    </row>
    <row r="1800">
      <c r="A1800" t="inlineStr">
        <is>
          <t>Nuv Gastrobar</t>
        </is>
      </c>
      <c r="B1800" t="inlineStr">
        <is>
          <t>Utilidades</t>
        </is>
      </c>
      <c r="C1800" t="inlineStr">
        <is>
          <t>Serviço de Lavanderia</t>
        </is>
      </c>
      <c r="D1800" t="inlineStr">
        <is>
          <t>01/11/2026</t>
        </is>
      </c>
      <c r="E1800" t="n">
        <v>497.14</v>
      </c>
      <c r="F1800" t="inlineStr">
        <is>
          <t>Fabrica de Bares (2025)</t>
        </is>
      </c>
      <c r="G1800" t="b">
        <v>1</v>
      </c>
      <c r="H1800" t="inlineStr">
        <is>
          <t>11/2026</t>
        </is>
      </c>
    </row>
    <row r="1801">
      <c r="A1801" t="inlineStr">
        <is>
          <t>Nuv Gastrobar</t>
        </is>
      </c>
      <c r="B1801" t="inlineStr">
        <is>
          <t>Utilidades</t>
        </is>
      </c>
      <c r="C1801" t="inlineStr">
        <is>
          <t>Serviço de Lavanderia</t>
        </is>
      </c>
      <c r="D1801" t="inlineStr">
        <is>
          <t>01/12/2026</t>
        </is>
      </c>
      <c r="E1801" t="n">
        <v>491.82</v>
      </c>
      <c r="F1801" t="inlineStr">
        <is>
          <t>Fabrica de Bares (2025)</t>
        </is>
      </c>
      <c r="G1801" t="b">
        <v>1</v>
      </c>
      <c r="H1801" t="inlineStr">
        <is>
          <t>12/2026</t>
        </is>
      </c>
    </row>
    <row r="1802">
      <c r="A1802" t="inlineStr">
        <is>
          <t>Nuv Gastrobar</t>
        </is>
      </c>
      <c r="B1802" t="inlineStr">
        <is>
          <t>Utilidades</t>
        </is>
      </c>
      <c r="C1802" t="inlineStr">
        <is>
          <t>Serviços de Limpeza</t>
        </is>
      </c>
      <c r="D1802" t="inlineStr">
        <is>
          <t>01/01/2026</t>
        </is>
      </c>
      <c r="E1802" t="n">
        <v>0</v>
      </c>
      <c r="F1802" t="inlineStr">
        <is>
          <t>Fabrica de Bares (2025)</t>
        </is>
      </c>
      <c r="G1802" t="b">
        <v>1</v>
      </c>
      <c r="H1802" t="inlineStr">
        <is>
          <t>1/2026</t>
        </is>
      </c>
    </row>
    <row r="1803">
      <c r="A1803" t="inlineStr">
        <is>
          <t>Nuv Gastrobar</t>
        </is>
      </c>
      <c r="B1803" t="inlineStr">
        <is>
          <t>Utilidades</t>
        </is>
      </c>
      <c r="C1803" t="inlineStr">
        <is>
          <t>Serviços de Limpeza</t>
        </is>
      </c>
      <c r="D1803" t="inlineStr">
        <is>
          <t>01/02/2026</t>
        </is>
      </c>
      <c r="E1803" t="n">
        <v>0</v>
      </c>
      <c r="F1803" t="inlineStr">
        <is>
          <t>Fabrica de Bares (2025)</t>
        </is>
      </c>
      <c r="G1803" t="b">
        <v>1</v>
      </c>
      <c r="H1803" t="inlineStr">
        <is>
          <t>2/2026</t>
        </is>
      </c>
    </row>
    <row r="1804">
      <c r="A1804" t="inlineStr">
        <is>
          <t>Nuv Gastrobar</t>
        </is>
      </c>
      <c r="B1804" t="inlineStr">
        <is>
          <t>Utilidades</t>
        </is>
      </c>
      <c r="C1804" t="inlineStr">
        <is>
          <t>Serviços de Limpeza</t>
        </is>
      </c>
      <c r="D1804" t="inlineStr">
        <is>
          <t>01/03/2026</t>
        </is>
      </c>
      <c r="E1804" t="n">
        <v>0</v>
      </c>
      <c r="F1804" t="inlineStr">
        <is>
          <t>Fabrica de Bares (2025)</t>
        </is>
      </c>
      <c r="G1804" t="b">
        <v>1</v>
      </c>
      <c r="H1804" t="inlineStr">
        <is>
          <t>3/2026</t>
        </is>
      </c>
    </row>
    <row r="1805">
      <c r="A1805" t="inlineStr">
        <is>
          <t>Nuv Gastrobar</t>
        </is>
      </c>
      <c r="B1805" t="inlineStr">
        <is>
          <t>Utilidades</t>
        </is>
      </c>
      <c r="C1805" t="inlineStr">
        <is>
          <t>Serviços de Limpeza</t>
        </is>
      </c>
      <c r="D1805" t="inlineStr">
        <is>
          <t>01/04/2026</t>
        </is>
      </c>
      <c r="E1805" t="n">
        <v>0</v>
      </c>
      <c r="F1805" t="inlineStr">
        <is>
          <t>Fabrica de Bares (2025)</t>
        </is>
      </c>
      <c r="G1805" t="b">
        <v>1</v>
      </c>
      <c r="H1805" t="inlineStr">
        <is>
          <t>4/2026</t>
        </is>
      </c>
    </row>
    <row r="1806">
      <c r="A1806" t="inlineStr">
        <is>
          <t>Nuv Gastrobar</t>
        </is>
      </c>
      <c r="B1806" t="inlineStr">
        <is>
          <t>Utilidades</t>
        </is>
      </c>
      <c r="C1806" t="inlineStr">
        <is>
          <t>Serviços de Limpeza</t>
        </is>
      </c>
      <c r="D1806" t="inlineStr">
        <is>
          <t>01/05/2026</t>
        </is>
      </c>
      <c r="E1806" t="n">
        <v>0</v>
      </c>
      <c r="F1806" t="inlineStr">
        <is>
          <t>Fabrica de Bares (2025)</t>
        </is>
      </c>
      <c r="G1806" t="b">
        <v>1</v>
      </c>
      <c r="H1806" t="inlineStr">
        <is>
          <t>5/2026</t>
        </is>
      </c>
    </row>
    <row r="1807">
      <c r="A1807" t="inlineStr">
        <is>
          <t>Nuv Gastrobar</t>
        </is>
      </c>
      <c r="B1807" t="inlineStr">
        <is>
          <t>Utilidades</t>
        </is>
      </c>
      <c r="C1807" t="inlineStr">
        <is>
          <t>Serviços de Limpeza</t>
        </is>
      </c>
      <c r="D1807" t="inlineStr">
        <is>
          <t>01/06/2026</t>
        </is>
      </c>
      <c r="E1807" t="n">
        <v>0</v>
      </c>
      <c r="F1807" t="inlineStr">
        <is>
          <t>Fabrica de Bares (2025)</t>
        </is>
      </c>
      <c r="G1807" t="b">
        <v>1</v>
      </c>
      <c r="H1807" t="inlineStr">
        <is>
          <t>6/2026</t>
        </is>
      </c>
    </row>
    <row r="1808">
      <c r="A1808" t="inlineStr">
        <is>
          <t>Nuv Gastrobar</t>
        </is>
      </c>
      <c r="B1808" t="inlineStr">
        <is>
          <t>Utilidades</t>
        </is>
      </c>
      <c r="C1808" t="inlineStr">
        <is>
          <t>Serviços de Limpeza</t>
        </is>
      </c>
      <c r="D1808" t="inlineStr">
        <is>
          <t>01/07/2026</t>
        </is>
      </c>
      <c r="E1808" t="n">
        <v>0</v>
      </c>
      <c r="F1808" t="inlineStr">
        <is>
          <t>Fabrica de Bares (2025)</t>
        </is>
      </c>
      <c r="G1808" t="b">
        <v>1</v>
      </c>
      <c r="H1808" t="inlineStr">
        <is>
          <t>7/2026</t>
        </is>
      </c>
    </row>
    <row r="1809">
      <c r="A1809" t="inlineStr">
        <is>
          <t>Nuv Gastrobar</t>
        </is>
      </c>
      <c r="B1809" t="inlineStr">
        <is>
          <t>Utilidades</t>
        </is>
      </c>
      <c r="C1809" t="inlineStr">
        <is>
          <t>Serviços de Limpeza</t>
        </is>
      </c>
      <c r="D1809" t="inlineStr">
        <is>
          <t>01/08/2026</t>
        </is>
      </c>
      <c r="E1809" t="n">
        <v>0</v>
      </c>
      <c r="F1809" t="inlineStr">
        <is>
          <t>Fabrica de Bares (2025)</t>
        </is>
      </c>
      <c r="G1809" t="b">
        <v>1</v>
      </c>
      <c r="H1809" t="inlineStr">
        <is>
          <t>8/2026</t>
        </is>
      </c>
    </row>
    <row r="1810">
      <c r="A1810" t="inlineStr">
        <is>
          <t>Nuv Gastrobar</t>
        </is>
      </c>
      <c r="B1810" t="inlineStr">
        <is>
          <t>Utilidades</t>
        </is>
      </c>
      <c r="C1810" t="inlineStr">
        <is>
          <t>Serviços de Limpeza</t>
        </is>
      </c>
      <c r="D1810" t="inlineStr">
        <is>
          <t>01/09/2026</t>
        </is>
      </c>
      <c r="E1810" t="n">
        <v>0</v>
      </c>
      <c r="F1810" t="inlineStr">
        <is>
          <t>Fabrica de Bares (2025)</t>
        </is>
      </c>
      <c r="G1810" t="b">
        <v>1</v>
      </c>
      <c r="H1810" t="inlineStr">
        <is>
          <t>9/2026</t>
        </is>
      </c>
    </row>
    <row r="1811">
      <c r="A1811" t="inlineStr">
        <is>
          <t>Nuv Gastrobar</t>
        </is>
      </c>
      <c r="B1811" t="inlineStr">
        <is>
          <t>Utilidades</t>
        </is>
      </c>
      <c r="C1811" t="inlineStr">
        <is>
          <t>Serviços de Limpeza</t>
        </is>
      </c>
      <c r="D1811" t="inlineStr">
        <is>
          <t>01/10/2026</t>
        </is>
      </c>
      <c r="E1811" t="n">
        <v>0</v>
      </c>
      <c r="F1811" t="inlineStr">
        <is>
          <t>Fabrica de Bares (2025)</t>
        </is>
      </c>
      <c r="G1811" t="b">
        <v>1</v>
      </c>
      <c r="H1811" t="inlineStr">
        <is>
          <t>10/2026</t>
        </is>
      </c>
    </row>
    <row r="1812">
      <c r="A1812" t="inlineStr">
        <is>
          <t>Nuv Gastrobar</t>
        </is>
      </c>
      <c r="B1812" t="inlineStr">
        <is>
          <t>Utilidades</t>
        </is>
      </c>
      <c r="C1812" t="inlineStr">
        <is>
          <t>Serviços de Limpeza</t>
        </is>
      </c>
      <c r="D1812" t="inlineStr">
        <is>
          <t>01/11/2026</t>
        </is>
      </c>
      <c r="E1812" t="n">
        <v>0</v>
      </c>
      <c r="F1812" t="inlineStr">
        <is>
          <t>Fabrica de Bares (2025)</t>
        </is>
      </c>
      <c r="G1812" t="b">
        <v>1</v>
      </c>
      <c r="H1812" t="inlineStr">
        <is>
          <t>11/2026</t>
        </is>
      </c>
    </row>
    <row r="1813">
      <c r="A1813" t="inlineStr">
        <is>
          <t>Nuv Gastrobar</t>
        </is>
      </c>
      <c r="B1813" t="inlineStr">
        <is>
          <t>Utilidades</t>
        </is>
      </c>
      <c r="C1813" t="inlineStr">
        <is>
          <t>Serviços de Limpeza</t>
        </is>
      </c>
      <c r="D1813" t="inlineStr">
        <is>
          <t>01/12/2026</t>
        </is>
      </c>
      <c r="E1813" t="n">
        <v>0</v>
      </c>
      <c r="F1813" t="inlineStr">
        <is>
          <t>Fabrica de Bares (2025)</t>
        </is>
      </c>
      <c r="G1813" t="b">
        <v>1</v>
      </c>
      <c r="H1813" t="inlineStr">
        <is>
          <t>12/2026</t>
        </is>
      </c>
    </row>
    <row r="1814">
      <c r="A1814" t="inlineStr">
        <is>
          <t>Nuv Gastrobar</t>
        </is>
      </c>
      <c r="B1814" t="inlineStr">
        <is>
          <t>Utilidades</t>
        </is>
      </c>
      <c r="C1814" t="inlineStr">
        <is>
          <t>Serviços Graficos</t>
        </is>
      </c>
      <c r="D1814" t="inlineStr">
        <is>
          <t>01/01/2026</t>
        </is>
      </c>
      <c r="E1814" t="n">
        <v>0</v>
      </c>
      <c r="F1814" t="inlineStr">
        <is>
          <t>Fabrica de Bares (2025)</t>
        </is>
      </c>
      <c r="G1814" t="b">
        <v>1</v>
      </c>
      <c r="H1814" t="inlineStr">
        <is>
          <t>1/2026</t>
        </is>
      </c>
    </row>
    <row r="1815">
      <c r="A1815" t="inlineStr">
        <is>
          <t>Nuv Gastrobar</t>
        </is>
      </c>
      <c r="B1815" t="inlineStr">
        <is>
          <t>Utilidades</t>
        </is>
      </c>
      <c r="C1815" t="inlineStr">
        <is>
          <t>Serviços Graficos</t>
        </is>
      </c>
      <c r="D1815" t="inlineStr">
        <is>
          <t>01/02/2026</t>
        </is>
      </c>
      <c r="E1815" t="n">
        <v>0</v>
      </c>
      <c r="F1815" t="inlineStr">
        <is>
          <t>Fabrica de Bares (2025)</t>
        </is>
      </c>
      <c r="G1815" t="b">
        <v>1</v>
      </c>
      <c r="H1815" t="inlineStr">
        <is>
          <t>2/2026</t>
        </is>
      </c>
    </row>
    <row r="1816">
      <c r="A1816" t="inlineStr">
        <is>
          <t>Nuv Gastrobar</t>
        </is>
      </c>
      <c r="B1816" t="inlineStr">
        <is>
          <t>Utilidades</t>
        </is>
      </c>
      <c r="C1816" t="inlineStr">
        <is>
          <t>Serviços Graficos</t>
        </is>
      </c>
      <c r="D1816" t="inlineStr">
        <is>
          <t>01/03/2026</t>
        </is>
      </c>
      <c r="E1816" t="n">
        <v>0</v>
      </c>
      <c r="F1816" t="inlineStr">
        <is>
          <t>Fabrica de Bares (2025)</t>
        </is>
      </c>
      <c r="G1816" t="b">
        <v>1</v>
      </c>
      <c r="H1816" t="inlineStr">
        <is>
          <t>3/2026</t>
        </is>
      </c>
    </row>
    <row r="1817">
      <c r="A1817" t="inlineStr">
        <is>
          <t>Nuv Gastrobar</t>
        </is>
      </c>
      <c r="B1817" t="inlineStr">
        <is>
          <t>Utilidades</t>
        </is>
      </c>
      <c r="C1817" t="inlineStr">
        <is>
          <t>Serviços Graficos</t>
        </is>
      </c>
      <c r="D1817" t="inlineStr">
        <is>
          <t>01/04/2026</t>
        </is>
      </c>
      <c r="E1817" t="n">
        <v>0</v>
      </c>
      <c r="F1817" t="inlineStr">
        <is>
          <t>Fabrica de Bares (2025)</t>
        </is>
      </c>
      <c r="G1817" t="b">
        <v>1</v>
      </c>
      <c r="H1817" t="inlineStr">
        <is>
          <t>4/2026</t>
        </is>
      </c>
    </row>
    <row r="1818">
      <c r="A1818" t="inlineStr">
        <is>
          <t>Nuv Gastrobar</t>
        </is>
      </c>
      <c r="B1818" t="inlineStr">
        <is>
          <t>Utilidades</t>
        </is>
      </c>
      <c r="C1818" t="inlineStr">
        <is>
          <t>Serviços Graficos</t>
        </is>
      </c>
      <c r="D1818" t="inlineStr">
        <is>
          <t>01/05/2026</t>
        </is>
      </c>
      <c r="E1818" t="n">
        <v>0</v>
      </c>
      <c r="F1818" t="inlineStr">
        <is>
          <t>Fabrica de Bares (2025)</t>
        </is>
      </c>
      <c r="G1818" t="b">
        <v>1</v>
      </c>
      <c r="H1818" t="inlineStr">
        <is>
          <t>5/2026</t>
        </is>
      </c>
    </row>
    <row r="1819">
      <c r="A1819" t="inlineStr">
        <is>
          <t>Nuv Gastrobar</t>
        </is>
      </c>
      <c r="B1819" t="inlineStr">
        <is>
          <t>Utilidades</t>
        </is>
      </c>
      <c r="C1819" t="inlineStr">
        <is>
          <t>Serviços Graficos</t>
        </is>
      </c>
      <c r="D1819" t="inlineStr">
        <is>
          <t>01/06/2026</t>
        </is>
      </c>
      <c r="E1819" t="n">
        <v>0</v>
      </c>
      <c r="F1819" t="inlineStr">
        <is>
          <t>Fabrica de Bares (2025)</t>
        </is>
      </c>
      <c r="G1819" t="b">
        <v>1</v>
      </c>
      <c r="H1819" t="inlineStr">
        <is>
          <t>6/2026</t>
        </is>
      </c>
    </row>
    <row r="1820">
      <c r="A1820" t="inlineStr">
        <is>
          <t>Nuv Gastrobar</t>
        </is>
      </c>
      <c r="B1820" t="inlineStr">
        <is>
          <t>Utilidades</t>
        </is>
      </c>
      <c r="C1820" t="inlineStr">
        <is>
          <t>Serviços Graficos</t>
        </is>
      </c>
      <c r="D1820" t="inlineStr">
        <is>
          <t>01/07/2026</t>
        </is>
      </c>
      <c r="E1820" t="n">
        <v>0</v>
      </c>
      <c r="F1820" t="inlineStr">
        <is>
          <t>Fabrica de Bares (2025)</t>
        </is>
      </c>
      <c r="G1820" t="b">
        <v>1</v>
      </c>
      <c r="H1820" t="inlineStr">
        <is>
          <t>7/2026</t>
        </is>
      </c>
    </row>
    <row r="1821">
      <c r="A1821" t="inlineStr">
        <is>
          <t>Nuv Gastrobar</t>
        </is>
      </c>
      <c r="B1821" t="inlineStr">
        <is>
          <t>Utilidades</t>
        </is>
      </c>
      <c r="C1821" t="inlineStr">
        <is>
          <t>Serviços Graficos</t>
        </is>
      </c>
      <c r="D1821" t="inlineStr">
        <is>
          <t>01/08/2026</t>
        </is>
      </c>
      <c r="E1821" t="n">
        <v>0</v>
      </c>
      <c r="F1821" t="inlineStr">
        <is>
          <t>Fabrica de Bares (2025)</t>
        </is>
      </c>
      <c r="G1821" t="b">
        <v>1</v>
      </c>
      <c r="H1821" t="inlineStr">
        <is>
          <t>8/2026</t>
        </is>
      </c>
    </row>
    <row r="1822">
      <c r="A1822" t="inlineStr">
        <is>
          <t>Nuv Gastrobar</t>
        </is>
      </c>
      <c r="B1822" t="inlineStr">
        <is>
          <t>Utilidades</t>
        </is>
      </c>
      <c r="C1822" t="inlineStr">
        <is>
          <t>Serviços Graficos</t>
        </is>
      </c>
      <c r="D1822" t="inlineStr">
        <is>
          <t>01/09/2026</t>
        </is>
      </c>
      <c r="E1822" t="n">
        <v>0</v>
      </c>
      <c r="F1822" t="inlineStr">
        <is>
          <t>Fabrica de Bares (2025)</t>
        </is>
      </c>
      <c r="G1822" t="b">
        <v>1</v>
      </c>
      <c r="H1822" t="inlineStr">
        <is>
          <t>9/2026</t>
        </is>
      </c>
    </row>
    <row r="1823">
      <c r="A1823" t="inlineStr">
        <is>
          <t>Nuv Gastrobar</t>
        </is>
      </c>
      <c r="B1823" t="inlineStr">
        <is>
          <t>Utilidades</t>
        </is>
      </c>
      <c r="C1823" t="inlineStr">
        <is>
          <t>Serviços Graficos</t>
        </is>
      </c>
      <c r="D1823" t="inlineStr">
        <is>
          <t>01/10/2026</t>
        </is>
      </c>
      <c r="E1823" t="n">
        <v>0</v>
      </c>
      <c r="F1823" t="inlineStr">
        <is>
          <t>Fabrica de Bares (2025)</t>
        </is>
      </c>
      <c r="G1823" t="b">
        <v>1</v>
      </c>
      <c r="H1823" t="inlineStr">
        <is>
          <t>10/2026</t>
        </is>
      </c>
    </row>
    <row r="1824">
      <c r="A1824" t="inlineStr">
        <is>
          <t>Nuv Gastrobar</t>
        </is>
      </c>
      <c r="B1824" t="inlineStr">
        <is>
          <t>Utilidades</t>
        </is>
      </c>
      <c r="C1824" t="inlineStr">
        <is>
          <t>Serviços Graficos</t>
        </is>
      </c>
      <c r="D1824" t="inlineStr">
        <is>
          <t>01/11/2026</t>
        </is>
      </c>
      <c r="E1824" t="n">
        <v>0</v>
      </c>
      <c r="F1824" t="inlineStr">
        <is>
          <t>Fabrica de Bares (2025)</t>
        </is>
      </c>
      <c r="G1824" t="b">
        <v>1</v>
      </c>
      <c r="H1824" t="inlineStr">
        <is>
          <t>11/2026</t>
        </is>
      </c>
    </row>
    <row r="1825">
      <c r="A1825" t="inlineStr">
        <is>
          <t>Nuv Gastrobar</t>
        </is>
      </c>
      <c r="B1825" t="inlineStr">
        <is>
          <t>Utilidades</t>
        </is>
      </c>
      <c r="C1825" t="inlineStr">
        <is>
          <t>Serviços Graficos</t>
        </is>
      </c>
      <c r="D1825" t="inlineStr">
        <is>
          <t>01/12/2026</t>
        </is>
      </c>
      <c r="E1825" t="n">
        <v>0</v>
      </c>
      <c r="F1825" t="inlineStr">
        <is>
          <t>Fabrica de Bares (2025)</t>
        </is>
      </c>
      <c r="G1825" t="b">
        <v>1</v>
      </c>
      <c r="H1825" t="inlineStr">
        <is>
          <t>12/2026</t>
        </is>
      </c>
    </row>
    <row r="1826">
      <c r="A1826" t="inlineStr">
        <is>
          <t>Nuv Gastrobar</t>
        </is>
      </c>
      <c r="B1826" t="inlineStr">
        <is>
          <t>Utilidades</t>
        </is>
      </c>
      <c r="C1826" t="inlineStr">
        <is>
          <t>Utensilios</t>
        </is>
      </c>
      <c r="D1826" t="inlineStr">
        <is>
          <t>01/01/2026</t>
        </is>
      </c>
      <c r="E1826" t="n">
        <v>0</v>
      </c>
      <c r="F1826" t="inlineStr">
        <is>
          <t>Fabrica de Bares (2025)</t>
        </is>
      </c>
      <c r="G1826" t="b">
        <v>1</v>
      </c>
      <c r="H1826" t="inlineStr">
        <is>
          <t>1/2026</t>
        </is>
      </c>
    </row>
    <row r="1827">
      <c r="A1827" t="inlineStr">
        <is>
          <t>Nuv Gastrobar</t>
        </is>
      </c>
      <c r="B1827" t="inlineStr">
        <is>
          <t>Utilidades</t>
        </is>
      </c>
      <c r="C1827" t="inlineStr">
        <is>
          <t>Utensilios</t>
        </is>
      </c>
      <c r="D1827" t="inlineStr">
        <is>
          <t>01/02/2026</t>
        </is>
      </c>
      <c r="E1827" t="n">
        <v>0</v>
      </c>
      <c r="F1827" t="inlineStr">
        <is>
          <t>Fabrica de Bares (2025)</t>
        </is>
      </c>
      <c r="G1827" t="b">
        <v>1</v>
      </c>
      <c r="H1827" t="inlineStr">
        <is>
          <t>2/2026</t>
        </is>
      </c>
    </row>
    <row r="1828">
      <c r="A1828" t="inlineStr">
        <is>
          <t>Nuv Gastrobar</t>
        </is>
      </c>
      <c r="B1828" t="inlineStr">
        <is>
          <t>Utilidades</t>
        </is>
      </c>
      <c r="C1828" t="inlineStr">
        <is>
          <t>Utensilios</t>
        </is>
      </c>
      <c r="D1828" t="inlineStr">
        <is>
          <t>01/03/2026</t>
        </is>
      </c>
      <c r="E1828" t="n">
        <v>0</v>
      </c>
      <c r="F1828" t="inlineStr">
        <is>
          <t>Fabrica de Bares (2025)</t>
        </is>
      </c>
      <c r="G1828" t="b">
        <v>1</v>
      </c>
      <c r="H1828" t="inlineStr">
        <is>
          <t>3/2026</t>
        </is>
      </c>
    </row>
    <row r="1829">
      <c r="A1829" t="inlineStr">
        <is>
          <t>Nuv Gastrobar</t>
        </is>
      </c>
      <c r="B1829" t="inlineStr">
        <is>
          <t>Utilidades</t>
        </is>
      </c>
      <c r="C1829" t="inlineStr">
        <is>
          <t>Utensilios</t>
        </is>
      </c>
      <c r="D1829" t="inlineStr">
        <is>
          <t>01/04/2026</t>
        </is>
      </c>
      <c r="E1829" t="n">
        <v>0</v>
      </c>
      <c r="F1829" t="inlineStr">
        <is>
          <t>Fabrica de Bares (2025)</t>
        </is>
      </c>
      <c r="G1829" t="b">
        <v>1</v>
      </c>
      <c r="H1829" t="inlineStr">
        <is>
          <t>4/2026</t>
        </is>
      </c>
    </row>
    <row r="1830">
      <c r="A1830" t="inlineStr">
        <is>
          <t>Nuv Gastrobar</t>
        </is>
      </c>
      <c r="B1830" t="inlineStr">
        <is>
          <t>Utilidades</t>
        </is>
      </c>
      <c r="C1830" t="inlineStr">
        <is>
          <t>Utensilios</t>
        </is>
      </c>
      <c r="D1830" t="inlineStr">
        <is>
          <t>01/05/2026</t>
        </is>
      </c>
      <c r="E1830" t="n">
        <v>0</v>
      </c>
      <c r="F1830" t="inlineStr">
        <is>
          <t>Fabrica de Bares (2025)</t>
        </is>
      </c>
      <c r="G1830" t="b">
        <v>1</v>
      </c>
      <c r="H1830" t="inlineStr">
        <is>
          <t>5/2026</t>
        </is>
      </c>
    </row>
    <row r="1831">
      <c r="A1831" t="inlineStr">
        <is>
          <t>Nuv Gastrobar</t>
        </is>
      </c>
      <c r="B1831" t="inlineStr">
        <is>
          <t>Utilidades</t>
        </is>
      </c>
      <c r="C1831" t="inlineStr">
        <is>
          <t>Utensilios</t>
        </is>
      </c>
      <c r="D1831" t="inlineStr">
        <is>
          <t>01/06/2026</t>
        </is>
      </c>
      <c r="E1831" t="n">
        <v>0</v>
      </c>
      <c r="F1831" t="inlineStr">
        <is>
          <t>Fabrica de Bares (2025)</t>
        </is>
      </c>
      <c r="G1831" t="b">
        <v>1</v>
      </c>
      <c r="H1831" t="inlineStr">
        <is>
          <t>6/2026</t>
        </is>
      </c>
    </row>
    <row r="1832">
      <c r="A1832" t="inlineStr">
        <is>
          <t>Nuv Gastrobar</t>
        </is>
      </c>
      <c r="B1832" t="inlineStr">
        <is>
          <t>Utilidades</t>
        </is>
      </c>
      <c r="C1832" t="inlineStr">
        <is>
          <t>Utensilios</t>
        </is>
      </c>
      <c r="D1832" t="inlineStr">
        <is>
          <t>01/07/2026</t>
        </is>
      </c>
      <c r="E1832" t="n">
        <v>0</v>
      </c>
      <c r="F1832" t="inlineStr">
        <is>
          <t>Fabrica de Bares (2025)</t>
        </is>
      </c>
      <c r="G1832" t="b">
        <v>1</v>
      </c>
      <c r="H1832" t="inlineStr">
        <is>
          <t>7/2026</t>
        </is>
      </c>
    </row>
    <row r="1833">
      <c r="A1833" t="inlineStr">
        <is>
          <t>Nuv Gastrobar</t>
        </is>
      </c>
      <c r="B1833" t="inlineStr">
        <is>
          <t>Utilidades</t>
        </is>
      </c>
      <c r="C1833" t="inlineStr">
        <is>
          <t>Utensilios</t>
        </is>
      </c>
      <c r="D1833" t="inlineStr">
        <is>
          <t>01/08/2026</t>
        </is>
      </c>
      <c r="E1833" t="n">
        <v>1052.95</v>
      </c>
      <c r="F1833" t="inlineStr">
        <is>
          <t>Fabrica de Bares (2025)</t>
        </is>
      </c>
      <c r="G1833" t="b">
        <v>1</v>
      </c>
      <c r="H1833" t="inlineStr">
        <is>
          <t>8/2026</t>
        </is>
      </c>
    </row>
    <row r="1834">
      <c r="A1834" t="inlineStr">
        <is>
          <t>Nuv Gastrobar</t>
        </is>
      </c>
      <c r="B1834" t="inlineStr">
        <is>
          <t>Utilidades</t>
        </is>
      </c>
      <c r="C1834" t="inlineStr">
        <is>
          <t>Utensilios</t>
        </is>
      </c>
      <c r="D1834" t="inlineStr">
        <is>
          <t>01/09/2026</t>
        </is>
      </c>
      <c r="E1834" t="n">
        <v>1221.55</v>
      </c>
      <c r="F1834" t="inlineStr">
        <is>
          <t>Fabrica de Bares (2025)</t>
        </is>
      </c>
      <c r="G1834" t="b">
        <v>1</v>
      </c>
      <c r="H1834" t="inlineStr">
        <is>
          <t>9/2026</t>
        </is>
      </c>
    </row>
    <row r="1835">
      <c r="A1835" t="inlineStr">
        <is>
          <t>Nuv Gastrobar</t>
        </is>
      </c>
      <c r="B1835" t="inlineStr">
        <is>
          <t>Utilidades</t>
        </is>
      </c>
      <c r="C1835" t="inlineStr">
        <is>
          <t>Utensilios</t>
        </is>
      </c>
      <c r="D1835" t="inlineStr">
        <is>
          <t>01/10/2026</t>
        </is>
      </c>
      <c r="E1835" t="n">
        <v>1299.26</v>
      </c>
      <c r="F1835" t="inlineStr">
        <is>
          <t>Fabrica de Bares (2025)</t>
        </is>
      </c>
      <c r="G1835" t="b">
        <v>1</v>
      </c>
      <c r="H1835" t="inlineStr">
        <is>
          <t>10/2026</t>
        </is>
      </c>
    </row>
    <row r="1836">
      <c r="A1836" t="inlineStr">
        <is>
          <t>Nuv Gastrobar</t>
        </is>
      </c>
      <c r="B1836" t="inlineStr">
        <is>
          <t>Utilidades</t>
        </is>
      </c>
      <c r="C1836" t="inlineStr">
        <is>
          <t>Utensilios</t>
        </is>
      </c>
      <c r="D1836" t="inlineStr">
        <is>
          <t>01/11/2026</t>
        </is>
      </c>
      <c r="E1836" t="n">
        <v>1545.42</v>
      </c>
      <c r="F1836" t="inlineStr">
        <is>
          <t>Fabrica de Bares (2025)</t>
        </is>
      </c>
      <c r="G1836" t="b">
        <v>1</v>
      </c>
      <c r="H1836" t="inlineStr">
        <is>
          <t>11/2026</t>
        </is>
      </c>
    </row>
    <row r="1837">
      <c r="A1837" t="inlineStr">
        <is>
          <t>Nuv Gastrobar</t>
        </is>
      </c>
      <c r="B1837" t="inlineStr">
        <is>
          <t>Utilidades</t>
        </is>
      </c>
      <c r="C1837" t="inlineStr">
        <is>
          <t>Utensilios</t>
        </is>
      </c>
      <c r="D1837" t="inlineStr">
        <is>
          <t>01/12/2026</t>
        </is>
      </c>
      <c r="E1837" t="n">
        <v>1536.91</v>
      </c>
      <c r="F1837" t="inlineStr">
        <is>
          <t>Fabrica de Bares (2025)</t>
        </is>
      </c>
      <c r="G1837" t="b">
        <v>1</v>
      </c>
      <c r="H1837" t="inlineStr">
        <is>
          <t>12/2026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Casa</t>
        </is>
      </c>
      <c r="B1" t="inlineStr">
        <is>
          <t>Modelo</t>
        </is>
      </c>
      <c r="C1" t="inlineStr">
        <is>
          <t>Cargo</t>
        </is>
      </c>
      <c r="D1" t="inlineStr">
        <is>
          <t>Mes_Texto</t>
        </is>
      </c>
      <c r="E1" t="inlineStr">
        <is>
          <t>Valor</t>
        </is>
      </c>
    </row>
    <row r="2">
      <c r="A2" t="inlineStr">
        <is>
          <t>Nuv Gastrobar</t>
        </is>
      </c>
      <c r="B2" t="inlineStr">
        <is>
          <t>CLT</t>
        </is>
      </c>
      <c r="C2" t="inlineStr">
        <is>
          <t>-  Ajud cozinha</t>
        </is>
      </c>
      <c r="D2" t="inlineStr">
        <is>
          <t>8/2026</t>
        </is>
      </c>
      <c r="E2" t="n">
        <v>9440</v>
      </c>
    </row>
    <row r="3">
      <c r="A3" t="inlineStr">
        <is>
          <t>Nuv Gastrobar</t>
        </is>
      </c>
      <c r="B3" t="inlineStr">
        <is>
          <t>CLT</t>
        </is>
      </c>
      <c r="C3" t="inlineStr">
        <is>
          <t>-  Ajud cozinha</t>
        </is>
      </c>
      <c r="D3" t="inlineStr">
        <is>
          <t>9/2026</t>
        </is>
      </c>
      <c r="E3" t="n">
        <v>9440</v>
      </c>
    </row>
    <row r="4">
      <c r="A4" t="inlineStr">
        <is>
          <t>Nuv Gastrobar</t>
        </is>
      </c>
      <c r="B4" t="inlineStr">
        <is>
          <t>CLT</t>
        </is>
      </c>
      <c r="C4" t="inlineStr">
        <is>
          <t>-  Ajud cozinha</t>
        </is>
      </c>
      <c r="D4" t="inlineStr">
        <is>
          <t>10/2026</t>
        </is>
      </c>
      <c r="E4" t="n">
        <v>9440</v>
      </c>
    </row>
    <row r="5">
      <c r="A5" t="inlineStr">
        <is>
          <t>Nuv Gastrobar</t>
        </is>
      </c>
      <c r="B5" t="inlineStr">
        <is>
          <t>CLT</t>
        </is>
      </c>
      <c r="C5" t="inlineStr">
        <is>
          <t>-  Ajud cozinha</t>
        </is>
      </c>
      <c r="D5" t="inlineStr">
        <is>
          <t>11/2026</t>
        </is>
      </c>
      <c r="E5" t="n">
        <v>9440</v>
      </c>
    </row>
    <row r="6">
      <c r="A6" t="inlineStr">
        <is>
          <t>Nuv Gastrobar</t>
        </is>
      </c>
      <c r="B6" t="inlineStr">
        <is>
          <t>CLT</t>
        </is>
      </c>
      <c r="C6" t="inlineStr">
        <is>
          <t>-  Ajud cozinha</t>
        </is>
      </c>
      <c r="D6" t="inlineStr">
        <is>
          <t>12/2026</t>
        </is>
      </c>
      <c r="E6" t="n">
        <v>9440</v>
      </c>
    </row>
    <row r="7">
      <c r="A7" t="inlineStr">
        <is>
          <t>Nuv Gastrobar</t>
        </is>
      </c>
      <c r="B7" t="inlineStr">
        <is>
          <t>CLT</t>
        </is>
      </c>
      <c r="C7" t="inlineStr">
        <is>
          <t>-  Barista II</t>
        </is>
      </c>
      <c r="D7" t="inlineStr">
        <is>
          <t>8/2026</t>
        </is>
      </c>
      <c r="E7" t="n">
        <v>4884.96</v>
      </c>
    </row>
    <row r="8">
      <c r="A8" t="inlineStr">
        <is>
          <t>Nuv Gastrobar</t>
        </is>
      </c>
      <c r="B8" t="inlineStr">
        <is>
          <t>CLT</t>
        </is>
      </c>
      <c r="C8" t="inlineStr">
        <is>
          <t>-  Barista II</t>
        </is>
      </c>
      <c r="D8" t="inlineStr">
        <is>
          <t>9/2026</t>
        </is>
      </c>
      <c r="E8" t="n">
        <v>4884.96</v>
      </c>
    </row>
    <row r="9">
      <c r="A9" t="inlineStr">
        <is>
          <t>Nuv Gastrobar</t>
        </is>
      </c>
      <c r="B9" t="inlineStr">
        <is>
          <t>CLT</t>
        </is>
      </c>
      <c r="C9" t="inlineStr">
        <is>
          <t>-  Barista II</t>
        </is>
      </c>
      <c r="D9" t="inlineStr">
        <is>
          <t>10/2026</t>
        </is>
      </c>
      <c r="E9" t="n">
        <v>4884.96</v>
      </c>
    </row>
    <row r="10">
      <c r="A10" t="inlineStr">
        <is>
          <t>Nuv Gastrobar</t>
        </is>
      </c>
      <c r="B10" t="inlineStr">
        <is>
          <t>CLT</t>
        </is>
      </c>
      <c r="C10" t="inlineStr">
        <is>
          <t>-  Barista II</t>
        </is>
      </c>
      <c r="D10" t="inlineStr">
        <is>
          <t>11/2026</t>
        </is>
      </c>
      <c r="E10" t="n">
        <v>4884.96</v>
      </c>
    </row>
    <row r="11">
      <c r="A11" t="inlineStr">
        <is>
          <t>Nuv Gastrobar</t>
        </is>
      </c>
      <c r="B11" t="inlineStr">
        <is>
          <t>CLT</t>
        </is>
      </c>
      <c r="C11" t="inlineStr">
        <is>
          <t>-  Barista II</t>
        </is>
      </c>
      <c r="D11" t="inlineStr">
        <is>
          <t>12/2026</t>
        </is>
      </c>
      <c r="E11" t="n">
        <v>4884.96</v>
      </c>
    </row>
    <row r="12">
      <c r="A12" t="inlineStr">
        <is>
          <t>Nuv Gastrobar</t>
        </is>
      </c>
      <c r="B12" t="inlineStr">
        <is>
          <t>CLT</t>
        </is>
      </c>
      <c r="C12" t="inlineStr">
        <is>
          <t>-  Bartender II</t>
        </is>
      </c>
      <c r="D12" t="inlineStr">
        <is>
          <t>8/2026</t>
        </is>
      </c>
      <c r="E12" t="n">
        <v>5316</v>
      </c>
    </row>
    <row r="13">
      <c r="A13" t="inlineStr">
        <is>
          <t>Nuv Gastrobar</t>
        </is>
      </c>
      <c r="B13" t="inlineStr">
        <is>
          <t>CLT</t>
        </is>
      </c>
      <c r="C13" t="inlineStr">
        <is>
          <t>-  Bartender II</t>
        </is>
      </c>
      <c r="D13" t="inlineStr">
        <is>
          <t>9/2026</t>
        </is>
      </c>
      <c r="E13" t="n">
        <v>5316</v>
      </c>
    </row>
    <row r="14">
      <c r="A14" t="inlineStr">
        <is>
          <t>Nuv Gastrobar</t>
        </is>
      </c>
      <c r="B14" t="inlineStr">
        <is>
          <t>CLT</t>
        </is>
      </c>
      <c r="C14" t="inlineStr">
        <is>
          <t>-  Bartender II</t>
        </is>
      </c>
      <c r="D14" t="inlineStr">
        <is>
          <t>10/2026</t>
        </is>
      </c>
      <c r="E14" t="n">
        <v>5316</v>
      </c>
    </row>
    <row r="15">
      <c r="A15" t="inlineStr">
        <is>
          <t>Nuv Gastrobar</t>
        </is>
      </c>
      <c r="B15" t="inlineStr">
        <is>
          <t>CLT</t>
        </is>
      </c>
      <c r="C15" t="inlineStr">
        <is>
          <t>-  Bartender II</t>
        </is>
      </c>
      <c r="D15" t="inlineStr">
        <is>
          <t>11/2026</t>
        </is>
      </c>
      <c r="E15" t="n">
        <v>5316</v>
      </c>
    </row>
    <row r="16">
      <c r="A16" t="inlineStr">
        <is>
          <t>Nuv Gastrobar</t>
        </is>
      </c>
      <c r="B16" t="inlineStr">
        <is>
          <t>CLT</t>
        </is>
      </c>
      <c r="C16" t="inlineStr">
        <is>
          <t>-  Bartender II</t>
        </is>
      </c>
      <c r="D16" t="inlineStr">
        <is>
          <t>12/2026</t>
        </is>
      </c>
      <c r="E16" t="n">
        <v>5316</v>
      </c>
    </row>
    <row r="17">
      <c r="A17" t="inlineStr">
        <is>
          <t>Nuv Gastrobar</t>
        </is>
      </c>
      <c r="B17" t="inlineStr">
        <is>
          <t>CLT</t>
        </is>
      </c>
      <c r="C17" t="inlineStr">
        <is>
          <t>-  Caixa</t>
        </is>
      </c>
      <c r="D17" t="inlineStr">
        <is>
          <t>8/2026</t>
        </is>
      </c>
      <c r="E17" t="n">
        <v>7080</v>
      </c>
    </row>
    <row r="18">
      <c r="A18" t="inlineStr">
        <is>
          <t>Nuv Gastrobar</t>
        </is>
      </c>
      <c r="B18" t="inlineStr">
        <is>
          <t>CLT</t>
        </is>
      </c>
      <c r="C18" t="inlineStr">
        <is>
          <t>-  Caixa</t>
        </is>
      </c>
      <c r="D18" t="inlineStr">
        <is>
          <t>9/2026</t>
        </is>
      </c>
      <c r="E18" t="n">
        <v>7080</v>
      </c>
    </row>
    <row r="19">
      <c r="A19" t="inlineStr">
        <is>
          <t>Nuv Gastrobar</t>
        </is>
      </c>
      <c r="B19" t="inlineStr">
        <is>
          <t>CLT</t>
        </is>
      </c>
      <c r="C19" t="inlineStr">
        <is>
          <t>-  Caixa</t>
        </is>
      </c>
      <c r="D19" t="inlineStr">
        <is>
          <t>10/2026</t>
        </is>
      </c>
      <c r="E19" t="n">
        <v>7080</v>
      </c>
    </row>
    <row r="20">
      <c r="A20" t="inlineStr">
        <is>
          <t>Nuv Gastrobar</t>
        </is>
      </c>
      <c r="B20" t="inlineStr">
        <is>
          <t>CLT</t>
        </is>
      </c>
      <c r="C20" t="inlineStr">
        <is>
          <t>-  Caixa</t>
        </is>
      </c>
      <c r="D20" t="inlineStr">
        <is>
          <t>11/2026</t>
        </is>
      </c>
      <c r="E20" t="n">
        <v>7080</v>
      </c>
    </row>
    <row r="21">
      <c r="A21" t="inlineStr">
        <is>
          <t>Nuv Gastrobar</t>
        </is>
      </c>
      <c r="B21" t="inlineStr">
        <is>
          <t>CLT</t>
        </is>
      </c>
      <c r="C21" t="inlineStr">
        <is>
          <t>-  Caixa</t>
        </is>
      </c>
      <c r="D21" t="inlineStr">
        <is>
          <t>12/2026</t>
        </is>
      </c>
      <c r="E21" t="n">
        <v>7080</v>
      </c>
    </row>
    <row r="22">
      <c r="A22" t="inlineStr">
        <is>
          <t>Nuv Gastrobar</t>
        </is>
      </c>
      <c r="B22" t="inlineStr">
        <is>
          <t>CLT</t>
        </is>
      </c>
      <c r="C22" t="inlineStr">
        <is>
          <t>-  Cozinheiro I</t>
        </is>
      </c>
      <c r="D22" t="inlineStr">
        <is>
          <t>8/2026</t>
        </is>
      </c>
      <c r="E22" t="n">
        <v>5138</v>
      </c>
    </row>
    <row r="23">
      <c r="A23" t="inlineStr">
        <is>
          <t>Nuv Gastrobar</t>
        </is>
      </c>
      <c r="B23" t="inlineStr">
        <is>
          <t>CLT</t>
        </is>
      </c>
      <c r="C23" t="inlineStr">
        <is>
          <t>-  Cozinheiro I</t>
        </is>
      </c>
      <c r="D23" t="inlineStr">
        <is>
          <t>9/2026</t>
        </is>
      </c>
      <c r="E23" t="n">
        <v>5138</v>
      </c>
    </row>
    <row r="24">
      <c r="A24" t="inlineStr">
        <is>
          <t>Nuv Gastrobar</t>
        </is>
      </c>
      <c r="B24" t="inlineStr">
        <is>
          <t>CLT</t>
        </is>
      </c>
      <c r="C24" t="inlineStr">
        <is>
          <t>-  Cozinheiro I</t>
        </is>
      </c>
      <c r="D24" t="inlineStr">
        <is>
          <t>10/2026</t>
        </is>
      </c>
      <c r="E24" t="n">
        <v>5138</v>
      </c>
    </row>
    <row r="25">
      <c r="A25" t="inlineStr">
        <is>
          <t>Nuv Gastrobar</t>
        </is>
      </c>
      <c r="B25" t="inlineStr">
        <is>
          <t>CLT</t>
        </is>
      </c>
      <c r="C25" t="inlineStr">
        <is>
          <t>-  Cozinheiro I</t>
        </is>
      </c>
      <c r="D25" t="inlineStr">
        <is>
          <t>11/2026</t>
        </is>
      </c>
      <c r="E25" t="n">
        <v>5138</v>
      </c>
    </row>
    <row r="26">
      <c r="A26" t="inlineStr">
        <is>
          <t>Nuv Gastrobar</t>
        </is>
      </c>
      <c r="B26" t="inlineStr">
        <is>
          <t>CLT</t>
        </is>
      </c>
      <c r="C26" t="inlineStr">
        <is>
          <t>-  Cozinheiro I</t>
        </is>
      </c>
      <c r="D26" t="inlineStr">
        <is>
          <t>12/2026</t>
        </is>
      </c>
      <c r="E26" t="n">
        <v>5138</v>
      </c>
    </row>
    <row r="27">
      <c r="A27" t="inlineStr">
        <is>
          <t>Nuv Gastrobar</t>
        </is>
      </c>
      <c r="B27" t="inlineStr">
        <is>
          <t>CLT</t>
        </is>
      </c>
      <c r="C27" t="inlineStr">
        <is>
          <t>-  Cozinheiro Líder</t>
        </is>
      </c>
      <c r="D27" t="inlineStr">
        <is>
          <t>8/2026</t>
        </is>
      </c>
      <c r="E27" t="n">
        <v>3715</v>
      </c>
    </row>
    <row r="28">
      <c r="A28" t="inlineStr">
        <is>
          <t>Nuv Gastrobar</t>
        </is>
      </c>
      <c r="B28" t="inlineStr">
        <is>
          <t>CLT</t>
        </is>
      </c>
      <c r="C28" t="inlineStr">
        <is>
          <t>-  Cozinheiro Líder</t>
        </is>
      </c>
      <c r="D28" t="inlineStr">
        <is>
          <t>9/2026</t>
        </is>
      </c>
      <c r="E28" t="n">
        <v>3715</v>
      </c>
    </row>
    <row r="29">
      <c r="A29" t="inlineStr">
        <is>
          <t>Nuv Gastrobar</t>
        </is>
      </c>
      <c r="B29" t="inlineStr">
        <is>
          <t>CLT</t>
        </is>
      </c>
      <c r="C29" t="inlineStr">
        <is>
          <t>-  Cozinheiro Líder</t>
        </is>
      </c>
      <c r="D29" t="inlineStr">
        <is>
          <t>10/2026</t>
        </is>
      </c>
      <c r="E29" t="n">
        <v>3715</v>
      </c>
    </row>
    <row r="30">
      <c r="A30" t="inlineStr">
        <is>
          <t>Nuv Gastrobar</t>
        </is>
      </c>
      <c r="B30" t="inlineStr">
        <is>
          <t>CLT</t>
        </is>
      </c>
      <c r="C30" t="inlineStr">
        <is>
          <t>-  Cozinheiro Líder</t>
        </is>
      </c>
      <c r="D30" t="inlineStr">
        <is>
          <t>11/2026</t>
        </is>
      </c>
      <c r="E30" t="n">
        <v>3715</v>
      </c>
    </row>
    <row r="31">
      <c r="A31" t="inlineStr">
        <is>
          <t>Nuv Gastrobar</t>
        </is>
      </c>
      <c r="B31" t="inlineStr">
        <is>
          <t>CLT</t>
        </is>
      </c>
      <c r="C31" t="inlineStr">
        <is>
          <t>-  Cozinheiro Líder</t>
        </is>
      </c>
      <c r="D31" t="inlineStr">
        <is>
          <t>12/2026</t>
        </is>
      </c>
      <c r="E31" t="n">
        <v>3715</v>
      </c>
    </row>
    <row r="32">
      <c r="A32" t="inlineStr">
        <is>
          <t>Nuv Gastrobar</t>
        </is>
      </c>
      <c r="B32" t="inlineStr">
        <is>
          <t>CLT</t>
        </is>
      </c>
      <c r="C32" t="inlineStr">
        <is>
          <t>-  Cumin</t>
        </is>
      </c>
      <c r="D32" t="inlineStr">
        <is>
          <t>8/2026</t>
        </is>
      </c>
      <c r="E32" t="n">
        <v>7080</v>
      </c>
    </row>
    <row r="33">
      <c r="A33" t="inlineStr">
        <is>
          <t>Nuv Gastrobar</t>
        </is>
      </c>
      <c r="B33" t="inlineStr">
        <is>
          <t>CLT</t>
        </is>
      </c>
      <c r="C33" t="inlineStr">
        <is>
          <t>-  Cumin</t>
        </is>
      </c>
      <c r="D33" t="inlineStr">
        <is>
          <t>9/2026</t>
        </is>
      </c>
      <c r="E33" t="n">
        <v>7080</v>
      </c>
    </row>
    <row r="34">
      <c r="A34" t="inlineStr">
        <is>
          <t>Nuv Gastrobar</t>
        </is>
      </c>
      <c r="B34" t="inlineStr">
        <is>
          <t>CLT</t>
        </is>
      </c>
      <c r="C34" t="inlineStr">
        <is>
          <t>-  Cumin</t>
        </is>
      </c>
      <c r="D34" t="inlineStr">
        <is>
          <t>10/2026</t>
        </is>
      </c>
      <c r="E34" t="n">
        <v>7080</v>
      </c>
    </row>
    <row r="35">
      <c r="A35" t="inlineStr">
        <is>
          <t>Nuv Gastrobar</t>
        </is>
      </c>
      <c r="B35" t="inlineStr">
        <is>
          <t>CLT</t>
        </is>
      </c>
      <c r="C35" t="inlineStr">
        <is>
          <t>-  Cumin</t>
        </is>
      </c>
      <c r="D35" t="inlineStr">
        <is>
          <t>11/2026</t>
        </is>
      </c>
      <c r="E35" t="n">
        <v>7080</v>
      </c>
    </row>
    <row r="36">
      <c r="A36" t="inlineStr">
        <is>
          <t>Nuv Gastrobar</t>
        </is>
      </c>
      <c r="B36" t="inlineStr">
        <is>
          <t>CLT</t>
        </is>
      </c>
      <c r="C36" t="inlineStr">
        <is>
          <t>-  Cumin</t>
        </is>
      </c>
      <c r="D36" t="inlineStr">
        <is>
          <t>12/2026</t>
        </is>
      </c>
      <c r="E36" t="n">
        <v>7080</v>
      </c>
    </row>
    <row r="37">
      <c r="A37" t="inlineStr">
        <is>
          <t>Nuv Gastrobar</t>
        </is>
      </c>
      <c r="B37" t="inlineStr">
        <is>
          <t>CLT</t>
        </is>
      </c>
      <c r="C37" t="inlineStr">
        <is>
          <t>-  Estoquista I</t>
        </is>
      </c>
      <c r="D37" t="inlineStr">
        <is>
          <t>8/2026</t>
        </is>
      </c>
      <c r="E37" t="n">
        <v>2900</v>
      </c>
    </row>
    <row r="38">
      <c r="A38" t="inlineStr">
        <is>
          <t>Nuv Gastrobar</t>
        </is>
      </c>
      <c r="B38" t="inlineStr">
        <is>
          <t>CLT</t>
        </is>
      </c>
      <c r="C38" t="inlineStr">
        <is>
          <t>-  Estoquista I</t>
        </is>
      </c>
      <c r="D38" t="inlineStr">
        <is>
          <t>9/2026</t>
        </is>
      </c>
      <c r="E38" t="n">
        <v>2900</v>
      </c>
    </row>
    <row r="39">
      <c r="A39" t="inlineStr">
        <is>
          <t>Nuv Gastrobar</t>
        </is>
      </c>
      <c r="B39" t="inlineStr">
        <is>
          <t>CLT</t>
        </is>
      </c>
      <c r="C39" t="inlineStr">
        <is>
          <t>-  Estoquista I</t>
        </is>
      </c>
      <c r="D39" t="inlineStr">
        <is>
          <t>10/2026</t>
        </is>
      </c>
      <c r="E39" t="n">
        <v>2900</v>
      </c>
    </row>
    <row r="40">
      <c r="A40" t="inlineStr">
        <is>
          <t>Nuv Gastrobar</t>
        </is>
      </c>
      <c r="B40" t="inlineStr">
        <is>
          <t>CLT</t>
        </is>
      </c>
      <c r="C40" t="inlineStr">
        <is>
          <t>-  Estoquista I</t>
        </is>
      </c>
      <c r="D40" t="inlineStr">
        <is>
          <t>11/2026</t>
        </is>
      </c>
      <c r="E40" t="n">
        <v>2900</v>
      </c>
    </row>
    <row r="41">
      <c r="A41" t="inlineStr">
        <is>
          <t>Nuv Gastrobar</t>
        </is>
      </c>
      <c r="B41" t="inlineStr">
        <is>
          <t>CLT</t>
        </is>
      </c>
      <c r="C41" t="inlineStr">
        <is>
          <t>-  Estoquista I</t>
        </is>
      </c>
      <c r="D41" t="inlineStr">
        <is>
          <t>12/2026</t>
        </is>
      </c>
      <c r="E41" t="n">
        <v>2900</v>
      </c>
    </row>
    <row r="42">
      <c r="A42" t="inlineStr">
        <is>
          <t>Nuv Gastrobar</t>
        </is>
      </c>
      <c r="B42" t="inlineStr">
        <is>
          <t>CLT</t>
        </is>
      </c>
      <c r="C42" t="inlineStr">
        <is>
          <t>-  Passador de Chopp</t>
        </is>
      </c>
      <c r="D42" t="inlineStr">
        <is>
          <t>8/2026</t>
        </is>
      </c>
      <c r="E42" t="n">
        <v>6000</v>
      </c>
    </row>
    <row r="43">
      <c r="A43" t="inlineStr">
        <is>
          <t>Nuv Gastrobar</t>
        </is>
      </c>
      <c r="B43" t="inlineStr">
        <is>
          <t>CLT</t>
        </is>
      </c>
      <c r="C43" t="inlineStr">
        <is>
          <t>-  Passador de Chopp</t>
        </is>
      </c>
      <c r="D43" t="inlineStr">
        <is>
          <t>9/2026</t>
        </is>
      </c>
      <c r="E43" t="n">
        <v>6000</v>
      </c>
    </row>
    <row r="44">
      <c r="A44" t="inlineStr">
        <is>
          <t>Nuv Gastrobar</t>
        </is>
      </c>
      <c r="B44" t="inlineStr">
        <is>
          <t>CLT</t>
        </is>
      </c>
      <c r="C44" t="inlineStr">
        <is>
          <t>-  Passador de Chopp</t>
        </is>
      </c>
      <c r="D44" t="inlineStr">
        <is>
          <t>10/2026</t>
        </is>
      </c>
      <c r="E44" t="n">
        <v>6000</v>
      </c>
    </row>
    <row r="45">
      <c r="A45" t="inlineStr">
        <is>
          <t>Nuv Gastrobar</t>
        </is>
      </c>
      <c r="B45" t="inlineStr">
        <is>
          <t>CLT</t>
        </is>
      </c>
      <c r="C45" t="inlineStr">
        <is>
          <t>-  Passador de Chopp</t>
        </is>
      </c>
      <c r="D45" t="inlineStr">
        <is>
          <t>11/2026</t>
        </is>
      </c>
      <c r="E45" t="n">
        <v>6000</v>
      </c>
    </row>
    <row r="46">
      <c r="A46" t="inlineStr">
        <is>
          <t>Nuv Gastrobar</t>
        </is>
      </c>
      <c r="B46" t="inlineStr">
        <is>
          <t>CLT</t>
        </is>
      </c>
      <c r="C46" t="inlineStr">
        <is>
          <t>-  Passador de Chopp</t>
        </is>
      </c>
      <c r="D46" t="inlineStr">
        <is>
          <t>12/2026</t>
        </is>
      </c>
      <c r="E46" t="n">
        <v>6000</v>
      </c>
    </row>
    <row r="47">
      <c r="A47" t="inlineStr">
        <is>
          <t>Nuv Gastrobar</t>
        </is>
      </c>
      <c r="B47" t="inlineStr">
        <is>
          <t>CLT</t>
        </is>
      </c>
      <c r="C47" t="inlineStr">
        <is>
          <t>-  Pia</t>
        </is>
      </c>
      <c r="D47" t="inlineStr">
        <is>
          <t>8/2026</t>
        </is>
      </c>
      <c r="E47" t="n">
        <v>4720</v>
      </c>
    </row>
    <row r="48">
      <c r="A48" t="inlineStr">
        <is>
          <t>Nuv Gastrobar</t>
        </is>
      </c>
      <c r="B48" t="inlineStr">
        <is>
          <t>CLT</t>
        </is>
      </c>
      <c r="C48" t="inlineStr">
        <is>
          <t>-  Pia</t>
        </is>
      </c>
      <c r="D48" t="inlineStr">
        <is>
          <t>9/2026</t>
        </is>
      </c>
      <c r="E48" t="n">
        <v>4720</v>
      </c>
    </row>
    <row r="49">
      <c r="A49" t="inlineStr">
        <is>
          <t>Nuv Gastrobar</t>
        </is>
      </c>
      <c r="B49" t="inlineStr">
        <is>
          <t>CLT</t>
        </is>
      </c>
      <c r="C49" t="inlineStr">
        <is>
          <t>-  Pia</t>
        </is>
      </c>
      <c r="D49" t="inlineStr">
        <is>
          <t>10/2026</t>
        </is>
      </c>
      <c r="E49" t="n">
        <v>4720</v>
      </c>
    </row>
    <row r="50">
      <c r="A50" t="inlineStr">
        <is>
          <t>Nuv Gastrobar</t>
        </is>
      </c>
      <c r="B50" t="inlineStr">
        <is>
          <t>CLT</t>
        </is>
      </c>
      <c r="C50" t="inlineStr">
        <is>
          <t>-  Pia</t>
        </is>
      </c>
      <c r="D50" t="inlineStr">
        <is>
          <t>11/2026</t>
        </is>
      </c>
      <c r="E50" t="n">
        <v>4720</v>
      </c>
    </row>
    <row r="51">
      <c r="A51" t="inlineStr">
        <is>
          <t>Nuv Gastrobar</t>
        </is>
      </c>
      <c r="B51" t="inlineStr">
        <is>
          <t>CLT</t>
        </is>
      </c>
      <c r="C51" t="inlineStr">
        <is>
          <t>-  Pia</t>
        </is>
      </c>
      <c r="D51" t="inlineStr">
        <is>
          <t>12/2026</t>
        </is>
      </c>
      <c r="E51" t="n">
        <v>4720</v>
      </c>
    </row>
    <row r="52">
      <c r="A52" t="inlineStr">
        <is>
          <t>Nuv Gastrobar</t>
        </is>
      </c>
      <c r="B52" t="inlineStr">
        <is>
          <t>CLT</t>
        </is>
      </c>
      <c r="C52" t="inlineStr">
        <is>
          <t>- Administrativa</t>
        </is>
      </c>
      <c r="D52" t="inlineStr">
        <is>
          <t>8/2026</t>
        </is>
      </c>
      <c r="E52" t="n">
        <v>3000</v>
      </c>
    </row>
    <row r="53">
      <c r="A53" t="inlineStr">
        <is>
          <t>Nuv Gastrobar</t>
        </is>
      </c>
      <c r="B53" t="inlineStr">
        <is>
          <t>CLT</t>
        </is>
      </c>
      <c r="C53" t="inlineStr">
        <is>
          <t>- Administrativa</t>
        </is>
      </c>
      <c r="D53" t="inlineStr">
        <is>
          <t>9/2026</t>
        </is>
      </c>
      <c r="E53" t="n">
        <v>3000</v>
      </c>
    </row>
    <row r="54">
      <c r="A54" t="inlineStr">
        <is>
          <t>Nuv Gastrobar</t>
        </is>
      </c>
      <c r="B54" t="inlineStr">
        <is>
          <t>CLT</t>
        </is>
      </c>
      <c r="C54" t="inlineStr">
        <is>
          <t>- Administrativa</t>
        </is>
      </c>
      <c r="D54" t="inlineStr">
        <is>
          <t>10/2026</t>
        </is>
      </c>
      <c r="E54" t="n">
        <v>3000</v>
      </c>
    </row>
    <row r="55">
      <c r="A55" t="inlineStr">
        <is>
          <t>Nuv Gastrobar</t>
        </is>
      </c>
      <c r="B55" t="inlineStr">
        <is>
          <t>CLT</t>
        </is>
      </c>
      <c r="C55" t="inlineStr">
        <is>
          <t>- Administrativa</t>
        </is>
      </c>
      <c r="D55" t="inlineStr">
        <is>
          <t>11/2026</t>
        </is>
      </c>
      <c r="E55" t="n">
        <v>3000</v>
      </c>
    </row>
    <row r="56">
      <c r="A56" t="inlineStr">
        <is>
          <t>Nuv Gastrobar</t>
        </is>
      </c>
      <c r="B56" t="inlineStr">
        <is>
          <t>CLT</t>
        </is>
      </c>
      <c r="C56" t="inlineStr">
        <is>
          <t>- Administrativa</t>
        </is>
      </c>
      <c r="D56" t="inlineStr">
        <is>
          <t>12/2026</t>
        </is>
      </c>
      <c r="E56" t="n">
        <v>3000</v>
      </c>
    </row>
    <row r="57">
      <c r="A57" t="inlineStr">
        <is>
          <t>Nuv Gastrobar</t>
        </is>
      </c>
      <c r="B57" t="inlineStr">
        <is>
          <t>CLT</t>
        </is>
      </c>
      <c r="C57" t="inlineStr">
        <is>
          <t>- Chefe de Bar</t>
        </is>
      </c>
      <c r="D57" t="inlineStr">
        <is>
          <t>8/2026</t>
        </is>
      </c>
      <c r="E57" t="n">
        <v>2600</v>
      </c>
    </row>
    <row r="58">
      <c r="A58" t="inlineStr">
        <is>
          <t>Nuv Gastrobar</t>
        </is>
      </c>
      <c r="B58" t="inlineStr">
        <is>
          <t>CLT</t>
        </is>
      </c>
      <c r="C58" t="inlineStr">
        <is>
          <t>- Chefe de Bar</t>
        </is>
      </c>
      <c r="D58" t="inlineStr">
        <is>
          <t>9/2026</t>
        </is>
      </c>
      <c r="E58" t="n">
        <v>2600</v>
      </c>
    </row>
    <row r="59">
      <c r="A59" t="inlineStr">
        <is>
          <t>Nuv Gastrobar</t>
        </is>
      </c>
      <c r="B59" t="inlineStr">
        <is>
          <t>CLT</t>
        </is>
      </c>
      <c r="C59" t="inlineStr">
        <is>
          <t>- Chefe de Bar</t>
        </is>
      </c>
      <c r="D59" t="inlineStr">
        <is>
          <t>10/2026</t>
        </is>
      </c>
      <c r="E59" t="n">
        <v>2600</v>
      </c>
    </row>
    <row r="60">
      <c r="A60" t="inlineStr">
        <is>
          <t>Nuv Gastrobar</t>
        </is>
      </c>
      <c r="B60" t="inlineStr">
        <is>
          <t>CLT</t>
        </is>
      </c>
      <c r="C60" t="inlineStr">
        <is>
          <t>- Chefe de Bar</t>
        </is>
      </c>
      <c r="D60" t="inlineStr">
        <is>
          <t>11/2026</t>
        </is>
      </c>
      <c r="E60" t="n">
        <v>2600</v>
      </c>
    </row>
    <row r="61">
      <c r="A61" t="inlineStr">
        <is>
          <t>Nuv Gastrobar</t>
        </is>
      </c>
      <c r="B61" t="inlineStr">
        <is>
          <t>CLT</t>
        </is>
      </c>
      <c r="C61" t="inlineStr">
        <is>
          <t>- Chefe de Bar</t>
        </is>
      </c>
      <c r="D61" t="inlineStr">
        <is>
          <t>12/2026</t>
        </is>
      </c>
      <c r="E61" t="n">
        <v>2600</v>
      </c>
    </row>
    <row r="62">
      <c r="A62" t="inlineStr">
        <is>
          <t>Nuv Gastrobar</t>
        </is>
      </c>
      <c r="B62" t="inlineStr">
        <is>
          <t>CLT</t>
        </is>
      </c>
      <c r="C62" t="inlineStr">
        <is>
          <t>- Chefe de Cozinha</t>
        </is>
      </c>
      <c r="D62" t="inlineStr">
        <is>
          <t>8/2026</t>
        </is>
      </c>
      <c r="E62" t="n">
        <v>3000</v>
      </c>
    </row>
    <row r="63">
      <c r="A63" t="inlineStr">
        <is>
          <t>Nuv Gastrobar</t>
        </is>
      </c>
      <c r="B63" t="inlineStr">
        <is>
          <t>CLT</t>
        </is>
      </c>
      <c r="C63" t="inlineStr">
        <is>
          <t>- Chefe de Cozinha</t>
        </is>
      </c>
      <c r="D63" t="inlineStr">
        <is>
          <t>9/2026</t>
        </is>
      </c>
      <c r="E63" t="n">
        <v>3000</v>
      </c>
    </row>
    <row r="64">
      <c r="A64" t="inlineStr">
        <is>
          <t>Nuv Gastrobar</t>
        </is>
      </c>
      <c r="B64" t="inlineStr">
        <is>
          <t>CLT</t>
        </is>
      </c>
      <c r="C64" t="inlineStr">
        <is>
          <t>- Chefe de Cozinha</t>
        </is>
      </c>
      <c r="D64" t="inlineStr">
        <is>
          <t>10/2026</t>
        </is>
      </c>
      <c r="E64" t="n">
        <v>3000</v>
      </c>
    </row>
    <row r="65">
      <c r="A65" t="inlineStr">
        <is>
          <t>Nuv Gastrobar</t>
        </is>
      </c>
      <c r="B65" t="inlineStr">
        <is>
          <t>CLT</t>
        </is>
      </c>
      <c r="C65" t="inlineStr">
        <is>
          <t>- Chefe de Cozinha</t>
        </is>
      </c>
      <c r="D65" t="inlineStr">
        <is>
          <t>11/2026</t>
        </is>
      </c>
      <c r="E65" t="n">
        <v>3000</v>
      </c>
    </row>
    <row r="66">
      <c r="A66" t="inlineStr">
        <is>
          <t>Nuv Gastrobar</t>
        </is>
      </c>
      <c r="B66" t="inlineStr">
        <is>
          <t>CLT</t>
        </is>
      </c>
      <c r="C66" t="inlineStr">
        <is>
          <t>- Chefe de Cozinha</t>
        </is>
      </c>
      <c r="D66" t="inlineStr">
        <is>
          <t>12/2026</t>
        </is>
      </c>
      <c r="E66" t="n">
        <v>3000</v>
      </c>
    </row>
    <row r="67">
      <c r="A67" t="inlineStr">
        <is>
          <t>Nuv Gastrobar</t>
        </is>
      </c>
      <c r="B67" t="inlineStr">
        <is>
          <t>CLT</t>
        </is>
      </c>
      <c r="C67" t="inlineStr">
        <is>
          <t>- Coordenador</t>
        </is>
      </c>
      <c r="D67" t="inlineStr">
        <is>
          <t>8/2026</t>
        </is>
      </c>
      <c r="E67" t="n">
        <v>4200</v>
      </c>
    </row>
    <row r="68">
      <c r="A68" t="inlineStr">
        <is>
          <t>Nuv Gastrobar</t>
        </is>
      </c>
      <c r="B68" t="inlineStr">
        <is>
          <t>CLT</t>
        </is>
      </c>
      <c r="C68" t="inlineStr">
        <is>
          <t>- Coordenador</t>
        </is>
      </c>
      <c r="D68" t="inlineStr">
        <is>
          <t>9/2026</t>
        </is>
      </c>
      <c r="E68" t="n">
        <v>4200</v>
      </c>
    </row>
    <row r="69">
      <c r="A69" t="inlineStr">
        <is>
          <t>Nuv Gastrobar</t>
        </is>
      </c>
      <c r="B69" t="inlineStr">
        <is>
          <t>CLT</t>
        </is>
      </c>
      <c r="C69" t="inlineStr">
        <is>
          <t>- Coordenador</t>
        </is>
      </c>
      <c r="D69" t="inlineStr">
        <is>
          <t>10/2026</t>
        </is>
      </c>
      <c r="E69" t="n">
        <v>4200</v>
      </c>
    </row>
    <row r="70">
      <c r="A70" t="inlineStr">
        <is>
          <t>Nuv Gastrobar</t>
        </is>
      </c>
      <c r="B70" t="inlineStr">
        <is>
          <t>CLT</t>
        </is>
      </c>
      <c r="C70" t="inlineStr">
        <is>
          <t>- Coordenador</t>
        </is>
      </c>
      <c r="D70" t="inlineStr">
        <is>
          <t>11/2026</t>
        </is>
      </c>
      <c r="E70" t="n">
        <v>4200</v>
      </c>
    </row>
    <row r="71">
      <c r="A71" t="inlineStr">
        <is>
          <t>Nuv Gastrobar</t>
        </is>
      </c>
      <c r="B71" t="inlineStr">
        <is>
          <t>CLT</t>
        </is>
      </c>
      <c r="C71" t="inlineStr">
        <is>
          <t>- Coordenador</t>
        </is>
      </c>
      <c r="D71" t="inlineStr">
        <is>
          <t>12/2026</t>
        </is>
      </c>
      <c r="E71" t="n">
        <v>4200</v>
      </c>
    </row>
    <row r="72">
      <c r="A72" t="inlineStr">
        <is>
          <t>Nuv Gastrobar</t>
        </is>
      </c>
      <c r="B72" t="inlineStr">
        <is>
          <t>CLT</t>
        </is>
      </c>
      <c r="C72" t="inlineStr">
        <is>
          <t>- Gerente</t>
        </is>
      </c>
      <c r="D72" t="inlineStr">
        <is>
          <t>8/2026</t>
        </is>
      </c>
      <c r="E72" t="n">
        <v>3960</v>
      </c>
    </row>
    <row r="73">
      <c r="A73" t="inlineStr">
        <is>
          <t>Nuv Gastrobar</t>
        </is>
      </c>
      <c r="B73" t="inlineStr">
        <is>
          <t>CLT</t>
        </is>
      </c>
      <c r="C73" t="inlineStr">
        <is>
          <t>- Gerente</t>
        </is>
      </c>
      <c r="D73" t="inlineStr">
        <is>
          <t>9/2026</t>
        </is>
      </c>
      <c r="E73" t="n">
        <v>3960</v>
      </c>
    </row>
    <row r="74">
      <c r="A74" t="inlineStr">
        <is>
          <t>Nuv Gastrobar</t>
        </is>
      </c>
      <c r="B74" t="inlineStr">
        <is>
          <t>CLT</t>
        </is>
      </c>
      <c r="C74" t="inlineStr">
        <is>
          <t>- Gerente</t>
        </is>
      </c>
      <c r="D74" t="inlineStr">
        <is>
          <t>10/2026</t>
        </is>
      </c>
      <c r="E74" t="n">
        <v>3960</v>
      </c>
    </row>
    <row r="75">
      <c r="A75" t="inlineStr">
        <is>
          <t>Nuv Gastrobar</t>
        </is>
      </c>
      <c r="B75" t="inlineStr">
        <is>
          <t>CLT</t>
        </is>
      </c>
      <c r="C75" t="inlineStr">
        <is>
          <t>- Gerente</t>
        </is>
      </c>
      <c r="D75" t="inlineStr">
        <is>
          <t>11/2026</t>
        </is>
      </c>
      <c r="E75" t="n">
        <v>3960</v>
      </c>
    </row>
    <row r="76">
      <c r="A76" t="inlineStr">
        <is>
          <t>Nuv Gastrobar</t>
        </is>
      </c>
      <c r="B76" t="inlineStr">
        <is>
          <t>CLT</t>
        </is>
      </c>
      <c r="C76" t="inlineStr">
        <is>
          <t>- Gerente</t>
        </is>
      </c>
      <c r="D76" t="inlineStr">
        <is>
          <t>12/2026</t>
        </is>
      </c>
      <c r="E76" t="n">
        <v>3960</v>
      </c>
    </row>
    <row r="77">
      <c r="A77" t="inlineStr">
        <is>
          <t>Nuv Gastrobar</t>
        </is>
      </c>
      <c r="B77" t="inlineStr">
        <is>
          <t>CLT</t>
        </is>
      </c>
      <c r="C77" t="inlineStr">
        <is>
          <t>- Sub Chefe De Bar</t>
        </is>
      </c>
      <c r="D77" t="inlineStr">
        <is>
          <t>8/2026</t>
        </is>
      </c>
      <c r="E77" t="n">
        <v>4200</v>
      </c>
    </row>
    <row r="78">
      <c r="A78" t="inlineStr">
        <is>
          <t>Nuv Gastrobar</t>
        </is>
      </c>
      <c r="B78" t="inlineStr">
        <is>
          <t>CLT</t>
        </is>
      </c>
      <c r="C78" t="inlineStr">
        <is>
          <t>- Sub Chefe De Bar</t>
        </is>
      </c>
      <c r="D78" t="inlineStr">
        <is>
          <t>9/2026</t>
        </is>
      </c>
      <c r="E78" t="n">
        <v>4200</v>
      </c>
    </row>
    <row r="79">
      <c r="A79" t="inlineStr">
        <is>
          <t>Nuv Gastrobar</t>
        </is>
      </c>
      <c r="B79" t="inlineStr">
        <is>
          <t>CLT</t>
        </is>
      </c>
      <c r="C79" t="inlineStr">
        <is>
          <t>- Sub Chefe De Bar</t>
        </is>
      </c>
      <c r="D79" t="inlineStr">
        <is>
          <t>10/2026</t>
        </is>
      </c>
      <c r="E79" t="n">
        <v>4200</v>
      </c>
    </row>
    <row r="80">
      <c r="A80" t="inlineStr">
        <is>
          <t>Nuv Gastrobar</t>
        </is>
      </c>
      <c r="B80" t="inlineStr">
        <is>
          <t>CLT</t>
        </is>
      </c>
      <c r="C80" t="inlineStr">
        <is>
          <t>- Sub Chefe De Bar</t>
        </is>
      </c>
      <c r="D80" t="inlineStr">
        <is>
          <t>11/2026</t>
        </is>
      </c>
      <c r="E80" t="n">
        <v>4200</v>
      </c>
    </row>
    <row r="81">
      <c r="A81" t="inlineStr">
        <is>
          <t>Nuv Gastrobar</t>
        </is>
      </c>
      <c r="B81" t="inlineStr">
        <is>
          <t>CLT</t>
        </is>
      </c>
      <c r="C81" t="inlineStr">
        <is>
          <t>- Sub Chefe De Bar</t>
        </is>
      </c>
      <c r="D81" t="inlineStr">
        <is>
          <t>12/2026</t>
        </is>
      </c>
      <c r="E81" t="n">
        <v>4200</v>
      </c>
    </row>
    <row r="82">
      <c r="A82" t="inlineStr">
        <is>
          <t>Nuv Gastrobar</t>
        </is>
      </c>
      <c r="B82" t="inlineStr">
        <is>
          <t>CLT</t>
        </is>
      </c>
      <c r="C82" t="inlineStr">
        <is>
          <t>- Sub Chefe de Cozinha</t>
        </is>
      </c>
      <c r="D82" t="inlineStr">
        <is>
          <t>8/2026</t>
        </is>
      </c>
      <c r="E82" t="n">
        <v>4200</v>
      </c>
    </row>
    <row r="83">
      <c r="A83" t="inlineStr">
        <is>
          <t>Nuv Gastrobar</t>
        </is>
      </c>
      <c r="B83" t="inlineStr">
        <is>
          <t>CLT</t>
        </is>
      </c>
      <c r="C83" t="inlineStr">
        <is>
          <t>- Sub Chefe de Cozinha</t>
        </is>
      </c>
      <c r="D83" t="inlineStr">
        <is>
          <t>9/2026</t>
        </is>
      </c>
      <c r="E83" t="n">
        <v>4200</v>
      </c>
    </row>
    <row r="84">
      <c r="A84" t="inlineStr">
        <is>
          <t>Nuv Gastrobar</t>
        </is>
      </c>
      <c r="B84" t="inlineStr">
        <is>
          <t>CLT</t>
        </is>
      </c>
      <c r="C84" t="inlineStr">
        <is>
          <t>- Sub Chefe de Cozinha</t>
        </is>
      </c>
      <c r="D84" t="inlineStr">
        <is>
          <t>10/2026</t>
        </is>
      </c>
      <c r="E84" t="n">
        <v>4200</v>
      </c>
    </row>
    <row r="85">
      <c r="A85" t="inlineStr">
        <is>
          <t>Nuv Gastrobar</t>
        </is>
      </c>
      <c r="B85" t="inlineStr">
        <is>
          <t>CLT</t>
        </is>
      </c>
      <c r="C85" t="inlineStr">
        <is>
          <t>- Sub Chefe de Cozinha</t>
        </is>
      </c>
      <c r="D85" t="inlineStr">
        <is>
          <t>11/2026</t>
        </is>
      </c>
      <c r="E85" t="n">
        <v>4200</v>
      </c>
    </row>
    <row r="86">
      <c r="A86" t="inlineStr">
        <is>
          <t>Nuv Gastrobar</t>
        </is>
      </c>
      <c r="B86" t="inlineStr">
        <is>
          <t>CLT</t>
        </is>
      </c>
      <c r="C86" t="inlineStr">
        <is>
          <t>- Sub Chefe de Cozinha</t>
        </is>
      </c>
      <c r="D86" t="inlineStr">
        <is>
          <t>12/2026</t>
        </is>
      </c>
      <c r="E86" t="n">
        <v>4200</v>
      </c>
    </row>
    <row r="87">
      <c r="A87" t="inlineStr">
        <is>
          <t>Nuv Gastrobar</t>
        </is>
      </c>
      <c r="B87" t="inlineStr">
        <is>
          <t>CLT</t>
        </is>
      </c>
      <c r="C87" t="inlineStr">
        <is>
          <t>- Subgerente</t>
        </is>
      </c>
      <c r="D87" t="inlineStr">
        <is>
          <t>8/2026</t>
        </is>
      </c>
      <c r="E87" t="n">
        <v>5100</v>
      </c>
    </row>
    <row r="88">
      <c r="A88" t="inlineStr">
        <is>
          <t>Nuv Gastrobar</t>
        </is>
      </c>
      <c r="B88" t="inlineStr">
        <is>
          <t>CLT</t>
        </is>
      </c>
      <c r="C88" t="inlineStr">
        <is>
          <t>- Subgerente</t>
        </is>
      </c>
      <c r="D88" t="inlineStr">
        <is>
          <t>9/2026</t>
        </is>
      </c>
      <c r="E88" t="n">
        <v>5100</v>
      </c>
    </row>
    <row r="89">
      <c r="A89" t="inlineStr">
        <is>
          <t>Nuv Gastrobar</t>
        </is>
      </c>
      <c r="B89" t="inlineStr">
        <is>
          <t>CLT</t>
        </is>
      </c>
      <c r="C89" t="inlineStr">
        <is>
          <t>- Subgerente</t>
        </is>
      </c>
      <c r="D89" t="inlineStr">
        <is>
          <t>10/2026</t>
        </is>
      </c>
      <c r="E89" t="n">
        <v>5100</v>
      </c>
    </row>
    <row r="90">
      <c r="A90" t="inlineStr">
        <is>
          <t>Nuv Gastrobar</t>
        </is>
      </c>
      <c r="B90" t="inlineStr">
        <is>
          <t>CLT</t>
        </is>
      </c>
      <c r="C90" t="inlineStr">
        <is>
          <t>- Subgerente</t>
        </is>
      </c>
      <c r="D90" t="inlineStr">
        <is>
          <t>11/2026</t>
        </is>
      </c>
      <c r="E90" t="n">
        <v>5100</v>
      </c>
    </row>
    <row r="91">
      <c r="A91" t="inlineStr">
        <is>
          <t>Nuv Gastrobar</t>
        </is>
      </c>
      <c r="B91" t="inlineStr">
        <is>
          <t>CLT</t>
        </is>
      </c>
      <c r="C91" t="inlineStr">
        <is>
          <t>- Subgerente</t>
        </is>
      </c>
      <c r="D91" t="inlineStr">
        <is>
          <t>12/2026</t>
        </is>
      </c>
      <c r="E91" t="n">
        <v>5100</v>
      </c>
    </row>
    <row r="92">
      <c r="A92" t="inlineStr">
        <is>
          <t>Nuv Gastrobar</t>
        </is>
      </c>
      <c r="B92" t="inlineStr">
        <is>
          <t>PJ</t>
        </is>
      </c>
      <c r="C92" t="inlineStr">
        <is>
          <t>Líder de Squad</t>
        </is>
      </c>
      <c r="D92" t="inlineStr">
        <is>
          <t>8/2026</t>
        </is>
      </c>
      <c r="E92" t="n">
        <v>1500</v>
      </c>
    </row>
    <row r="93">
      <c r="A93" t="inlineStr">
        <is>
          <t>Nuv Gastrobar</t>
        </is>
      </c>
      <c r="B93" t="inlineStr">
        <is>
          <t>PJ</t>
        </is>
      </c>
      <c r="C93" t="inlineStr">
        <is>
          <t>Líder de Squad</t>
        </is>
      </c>
      <c r="D93" t="inlineStr">
        <is>
          <t>9/2026</t>
        </is>
      </c>
      <c r="E93" t="n">
        <v>1500</v>
      </c>
    </row>
    <row r="94">
      <c r="A94" t="inlineStr">
        <is>
          <t>Nuv Gastrobar</t>
        </is>
      </c>
      <c r="B94" t="inlineStr">
        <is>
          <t>PJ</t>
        </is>
      </c>
      <c r="C94" t="inlineStr">
        <is>
          <t>Líder de Squad</t>
        </is>
      </c>
      <c r="D94" t="inlineStr">
        <is>
          <t>10/2026</t>
        </is>
      </c>
      <c r="E94" t="n">
        <v>1500</v>
      </c>
    </row>
    <row r="95">
      <c r="A95" t="inlineStr">
        <is>
          <t>Nuv Gastrobar</t>
        </is>
      </c>
      <c r="B95" t="inlineStr">
        <is>
          <t>PJ</t>
        </is>
      </c>
      <c r="C95" t="inlineStr">
        <is>
          <t>Líder de Squad</t>
        </is>
      </c>
      <c r="D95" t="inlineStr">
        <is>
          <t>11/2026</t>
        </is>
      </c>
      <c r="E95" t="n">
        <v>1500</v>
      </c>
    </row>
    <row r="96">
      <c r="A96" t="inlineStr">
        <is>
          <t>Nuv Gastrobar</t>
        </is>
      </c>
      <c r="B96" t="inlineStr">
        <is>
          <t>PJ</t>
        </is>
      </c>
      <c r="C96" t="inlineStr">
        <is>
          <t>Líder de Squad</t>
        </is>
      </c>
      <c r="D96" t="inlineStr">
        <is>
          <t>12/2026</t>
        </is>
      </c>
      <c r="E96" t="n">
        <v>1500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7030A0"/>
    <outlinePr summaryBelow="1" summaryRight="1"/>
    <pageSetUpPr/>
  </sheetPr>
  <dimension ref="A1:E1"/>
  <sheetViews>
    <sheetView topLeftCell="A9652" workbookViewId="0">
      <selection activeCell="D3" sqref="D3"/>
    </sheetView>
  </sheetViews>
  <sheetFormatPr baseColWidth="8" defaultRowHeight="14.4"/>
  <cols>
    <col width="18.88671875" bestFit="1" customWidth="1" min="1" max="1"/>
    <col width="10.33203125" bestFit="1" customWidth="1" min="2" max="2"/>
    <col width="46.88671875" bestFit="1" customWidth="1" min="3" max="3"/>
    <col width="16.5546875" bestFit="1" customWidth="1" style="529" min="4" max="4"/>
    <col width="12.44140625" bestFit="1" customWidth="1" style="529" min="5" max="5"/>
  </cols>
  <sheetData>
    <row r="1">
      <c r="A1" t="inlineStr">
        <is>
          <t>Casa</t>
        </is>
      </c>
      <c r="B1" t="inlineStr">
        <is>
          <t>Mês</t>
        </is>
      </c>
      <c r="C1" t="inlineStr">
        <is>
          <t>Categoria/Linha</t>
        </is>
      </c>
      <c r="D1" s="529" t="inlineStr">
        <is>
          <t>Valor</t>
        </is>
      </c>
      <c r="E1" t="inlineStr">
        <is>
          <t>Mes_Texto</t>
        </is>
      </c>
    </row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 hidden="1"/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 hidden="1"/>
    <row r="6105" hidden="1"/>
    <row r="6106" hidden="1"/>
    <row r="6107" hidden="1"/>
    <row r="6108" hidden="1"/>
    <row r="6109" hidden="1"/>
    <row r="6110" hidden="1"/>
    <row r="6111" hidden="1"/>
    <row r="6112" hidden="1"/>
    <row r="6113" hidden="1"/>
    <row r="6114" hidden="1"/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/>
    <row r="6147" hidden="1"/>
    <row r="6148" hidden="1"/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/>
    <row r="6168" hidden="1"/>
    <row r="6169" hidden="1"/>
    <row r="6170" hidden="1"/>
    <row r="6171" hidden="1"/>
    <row r="6172" hidden="1"/>
    <row r="6173" hidden="1"/>
    <row r="6174" hidden="1"/>
    <row r="6175" hidden="1"/>
    <row r="6176" hidden="1"/>
    <row r="6177" hidden="1"/>
    <row r="6178" hidden="1"/>
    <row r="6179" hidden="1"/>
    <row r="6180" hidden="1"/>
    <row r="6181" hidden="1"/>
    <row r="6182" hidden="1"/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/>
    <row r="6204" hidden="1"/>
    <row r="6205" hidden="1"/>
    <row r="6206" hidden="1"/>
    <row r="6207" hidden="1"/>
    <row r="6208" hidden="1"/>
    <row r="6209" hidden="1"/>
    <row r="6210" hidden="1"/>
    <row r="6211" hidden="1"/>
    <row r="6212" hidden="1"/>
    <row r="6213" hidden="1"/>
    <row r="6214" hidden="1"/>
    <row r="6215" hidden="1"/>
    <row r="6216" hidden="1"/>
    <row r="6217" hidden="1"/>
    <row r="6218" hidden="1"/>
    <row r="6219" hidden="1"/>
    <row r="6220" hidden="1"/>
    <row r="6221" hidden="1"/>
    <row r="6222" hidden="1"/>
    <row r="6223" hidden="1"/>
    <row r="6224" hidden="1"/>
    <row r="6225" hidden="1"/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/>
    <row r="6257" hidden="1"/>
    <row r="6258" hidden="1"/>
    <row r="6259" hidden="1"/>
    <row r="6260" hidden="1"/>
    <row r="6261" hidden="1"/>
    <row r="6262" hidden="1"/>
    <row r="6263" hidden="1"/>
    <row r="6264" hidden="1"/>
    <row r="6265" hidden="1"/>
    <row r="6266" hidden="1"/>
    <row r="6267" hidden="1"/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/>
    <row r="6313" hidden="1"/>
    <row r="6314" hidden="1"/>
    <row r="6315" hidden="1"/>
    <row r="6316" hidden="1"/>
    <row r="6317" hidden="1"/>
    <row r="6318" hidden="1"/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  <row r="6372" hidden="1"/>
    <row r="6373" hidden="1"/>
    <row r="6374" hidden="1"/>
    <row r="6375" hidden="1"/>
    <row r="6376" hidden="1"/>
    <row r="6377" hidden="1"/>
    <row r="6378" hidden="1"/>
    <row r="6379" hidden="1"/>
    <row r="6380" hidden="1"/>
    <row r="6381" hidden="1"/>
    <row r="6382" hidden="1"/>
    <row r="6383" hidden="1"/>
    <row r="6384" hidden="1"/>
    <row r="6385" hidden="1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/>
    <row r="6407" hidden="1"/>
    <row r="6408" hidden="1"/>
    <row r="6409" hidden="1"/>
    <row r="6410" hidden="1"/>
    <row r="6411" hidden="1"/>
    <row r="6412" hidden="1"/>
    <row r="6413" hidden="1"/>
    <row r="6414" hidden="1"/>
    <row r="6415" hidden="1"/>
    <row r="6416" hidden="1"/>
    <row r="6417" hidden="1"/>
    <row r="6418" hidden="1"/>
    <row r="6419" hidden="1"/>
    <row r="6420" hidden="1"/>
    <row r="6421" hidden="1"/>
    <row r="6422" hidden="1"/>
    <row r="6423" hidden="1"/>
    <row r="6424" hidden="1"/>
    <row r="6425" hidden="1"/>
    <row r="6426" hidden="1"/>
    <row r="6427" hidden="1"/>
    <row r="6428" hidden="1"/>
    <row r="6429" hidden="1"/>
    <row r="6430" hidden="1"/>
    <row r="6431" hidden="1"/>
    <row r="6432" hidden="1"/>
    <row r="6433" hidden="1"/>
    <row r="6434" hidden="1"/>
    <row r="6435" hidden="1"/>
    <row r="6436" hidden="1"/>
    <row r="6437" hidden="1"/>
    <row r="6438" hidden="1"/>
    <row r="6439" hidden="1"/>
    <row r="6440" hidden="1"/>
    <row r="6441" hidden="1"/>
    <row r="6442" hidden="1"/>
    <row r="6443" hidden="1"/>
    <row r="6444" hidden="1"/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/>
    <row r="6456" hidden="1"/>
    <row r="6457" hidden="1"/>
    <row r="6458" hidden="1"/>
    <row r="6459" hidden="1"/>
    <row r="6460" hidden="1"/>
    <row r="6461" hidden="1"/>
    <row r="6462" hidden="1"/>
    <row r="6463" hidden="1"/>
    <row r="6464" hidden="1"/>
    <row r="6465" hidden="1"/>
    <row r="6466" hidden="1"/>
    <row r="6467" hidden="1"/>
    <row r="6468" hidden="1"/>
    <row r="6469" hidden="1"/>
    <row r="6470" hidden="1"/>
    <row r="6471" hidden="1"/>
    <row r="6472" hidden="1"/>
    <row r="6473" hidden="1"/>
    <row r="6474" hidden="1"/>
    <row r="6475" hidden="1"/>
    <row r="6476" hidden="1"/>
    <row r="6477" hidden="1"/>
    <row r="6478" hidden="1"/>
    <row r="6479" hidden="1"/>
    <row r="6480" hidden="1"/>
    <row r="6481" hidden="1"/>
    <row r="6482" hidden="1"/>
    <row r="6483" hidden="1"/>
    <row r="6484" hidden="1"/>
    <row r="6485" hidden="1"/>
    <row r="6486" hidden="1"/>
    <row r="6487" hidden="1"/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/>
    <row r="6500" hidden="1"/>
    <row r="6501" hidden="1"/>
    <row r="6502" hidden="1"/>
    <row r="6503" hidden="1"/>
    <row r="6504" hidden="1"/>
    <row r="6505" hidden="1"/>
    <row r="6506" hidden="1"/>
    <row r="6507" hidden="1"/>
    <row r="6508" hidden="1"/>
    <row r="6509" hidden="1"/>
    <row r="6510" hidden="1"/>
    <row r="6511" hidden="1"/>
    <row r="6512" hidden="1"/>
    <row r="6513" hidden="1"/>
    <row r="6514" hidden="1"/>
    <row r="6515" hidden="1"/>
    <row r="6516" hidden="1"/>
    <row r="6517" hidden="1"/>
    <row r="6518" hidden="1"/>
    <row r="6519" hidden="1"/>
    <row r="6520" hidden="1"/>
    <row r="6521" hidden="1"/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/>
    <row r="6538" hidden="1"/>
    <row r="6539" hidden="1"/>
    <row r="6540" hidden="1"/>
    <row r="6541" hidden="1"/>
    <row r="6542" hidden="1"/>
    <row r="6543" hidden="1"/>
    <row r="6544" hidden="1"/>
    <row r="6545" hidden="1"/>
    <row r="6546" hidden="1"/>
    <row r="6547" hidden="1"/>
    <row r="6548" hidden="1"/>
    <row r="6549" hidden="1"/>
    <row r="6550" hidden="1"/>
    <row r="6551" hidden="1"/>
    <row r="6552" hidden="1"/>
    <row r="6553" hidden="1"/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 hidden="1"/>
    <row r="6566" hidden="1"/>
    <row r="6567" hidden="1"/>
    <row r="6568" hidden="1"/>
    <row r="6569" hidden="1"/>
    <row r="6570" hidden="1"/>
    <row r="6571" hidden="1"/>
    <row r="6572" hidden="1"/>
    <row r="6573" hidden="1"/>
    <row r="6574" hidden="1"/>
    <row r="6575" hidden="1"/>
    <row r="6576" hidden="1"/>
    <row r="6577" hidden="1"/>
    <row r="6578" hidden="1"/>
    <row r="6579" hidden="1"/>
    <row r="6580" hidden="1"/>
    <row r="6581" hidden="1"/>
    <row r="6582" hidden="1"/>
    <row r="6583" hidden="1"/>
    <row r="6584" hidden="1"/>
    <row r="6585" hidden="1"/>
    <row r="6586" hidden="1"/>
    <row r="6587" hidden="1"/>
    <row r="6588" hidden="1"/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/>
    <row r="6618" hidden="1"/>
    <row r="6619" hidden="1"/>
    <row r="6620" hidden="1"/>
    <row r="6621" hidden="1"/>
    <row r="6622" hidden="1"/>
    <row r="6623" hidden="1"/>
    <row r="6624" hidden="1"/>
    <row r="6625" hidden="1"/>
    <row r="6626" hidden="1"/>
    <row r="6627" hidden="1"/>
    <row r="6628" hidden="1"/>
    <row r="6629" hidden="1"/>
    <row r="6630" hidden="1"/>
    <row r="6631" hidden="1"/>
    <row r="6632" hidden="1"/>
    <row r="6633" hidden="1"/>
    <row r="6634" hidden="1"/>
    <row r="6635" hidden="1"/>
    <row r="6636" hidden="1"/>
    <row r="6637" hidden="1"/>
    <row r="6638" hidden="1"/>
    <row r="6639" hidden="1"/>
    <row r="6640" hidden="1"/>
    <row r="6641" hidden="1"/>
    <row r="6642" hidden="1"/>
    <row r="6643" hidden="1"/>
    <row r="6644" hidden="1"/>
    <row r="6645" hidden="1"/>
    <row r="6646" hidden="1"/>
    <row r="6647" hidden="1"/>
    <row r="6648" hidden="1"/>
    <row r="6649" hidden="1"/>
    <row r="6650" hidden="1"/>
    <row r="6651" hidden="1"/>
    <row r="6652" hidden="1"/>
    <row r="6653" hidden="1"/>
    <row r="6654" hidden="1"/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/>
    <row r="6667" hidden="1"/>
    <row r="6668" hidden="1"/>
    <row r="6669" hidden="1"/>
    <row r="6670" hidden="1"/>
    <row r="6671" hidden="1"/>
    <row r="6672" hidden="1"/>
    <row r="6673" hidden="1"/>
    <row r="6674" hidden="1"/>
    <row r="6675" hidden="1"/>
    <row r="6676" hidden="1"/>
    <row r="6677" hidden="1"/>
    <row r="6678" hidden="1"/>
    <row r="6679" hidden="1"/>
    <row r="6680" hidden="1"/>
    <row r="6681" hidden="1"/>
    <row r="6682" hidden="1"/>
    <row r="6683" hidden="1"/>
    <row r="6684" hidden="1"/>
    <row r="6685" hidden="1"/>
    <row r="6686" hidden="1"/>
    <row r="6687" hidden="1"/>
    <row r="6688" hidden="1"/>
    <row r="6689" hidden="1"/>
    <row r="6690" hidden="1"/>
    <row r="6691" hidden="1"/>
    <row r="6692" hidden="1"/>
    <row r="6693" hidden="1"/>
    <row r="6694" hidden="1"/>
    <row r="6695" hidden="1"/>
    <row r="6696" hidden="1"/>
    <row r="6697" hidden="1"/>
    <row r="6698" hidden="1"/>
    <row r="6699" hidden="1"/>
    <row r="6700" hidden="1"/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/>
    <row r="6715" hidden="1"/>
    <row r="6716" hidden="1"/>
    <row r="6717" hidden="1"/>
    <row r="6718" hidden="1"/>
    <row r="6719" hidden="1"/>
    <row r="6720" hidden="1"/>
    <row r="6721" hidden="1"/>
    <row r="6722" hidden="1"/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  <row r="6748" hidden="1"/>
    <row r="6749" hidden="1"/>
    <row r="6750" hidden="1"/>
    <row r="6751" hidden="1"/>
    <row r="6752" hidden="1"/>
    <row r="6753" hidden="1"/>
    <row r="6754" hidden="1"/>
    <row r="6755" hidden="1"/>
    <row r="6756" hidden="1"/>
    <row r="6757" hidden="1"/>
    <row r="6758" hidden="1"/>
    <row r="6759" hidden="1"/>
    <row r="6760" hidden="1"/>
    <row r="6761" hidden="1"/>
    <row r="6762" hidden="1"/>
    <row r="6763" hidden="1"/>
    <row r="6764" hidden="1"/>
    <row r="6765" hidden="1"/>
    <row r="6766" hidden="1"/>
    <row r="6767" hidden="1"/>
    <row r="6768" hidden="1"/>
    <row r="6769" hidden="1"/>
    <row r="6770" hidden="1"/>
    <row r="6771" hidden="1"/>
    <row r="6772" hidden="1"/>
    <row r="6773" hidden="1"/>
    <row r="6774" hidden="1"/>
    <row r="6775" hidden="1"/>
    <row r="6776" hidden="1"/>
    <row r="6777" hidden="1"/>
    <row r="6778" hidden="1"/>
    <row r="6779" hidden="1"/>
    <row r="6780" hidden="1"/>
    <row r="6781" hidden="1"/>
    <row r="6782" hidden="1"/>
    <row r="6783" hidden="1"/>
    <row r="6784" hidden="1"/>
    <row r="6785" hidden="1"/>
    <row r="6786" hidden="1"/>
    <row r="6787" hidden="1"/>
    <row r="6788" hidden="1"/>
    <row r="6789" hidden="1"/>
    <row r="6790" hidden="1"/>
    <row r="6791" hidden="1"/>
    <row r="6792" hidden="1"/>
    <row r="6793" hidden="1"/>
    <row r="6794" hidden="1"/>
    <row r="6795" hidden="1"/>
    <row r="6796" hidden="1"/>
    <row r="6797" hidden="1"/>
    <row r="6798" hidden="1"/>
    <row r="6799" hidden="1"/>
    <row r="6800" hidden="1"/>
    <row r="6801" hidden="1"/>
    <row r="6802" hidden="1"/>
    <row r="6803" hidden="1"/>
    <row r="6804" hidden="1"/>
    <row r="6805" hidden="1"/>
    <row r="6806" hidden="1"/>
    <row r="6807" hidden="1"/>
    <row r="6808" hidden="1"/>
    <row r="6809" hidden="1"/>
    <row r="6810" hidden="1"/>
    <row r="6811" hidden="1"/>
    <row r="6812" hidden="1"/>
    <row r="6813" hidden="1"/>
    <row r="6814" hidden="1"/>
    <row r="6815" hidden="1"/>
    <row r="6816" hidden="1"/>
    <row r="6817" hidden="1"/>
    <row r="6818" hidden="1"/>
    <row r="6819" hidden="1"/>
    <row r="6820" hidden="1"/>
    <row r="6821" hidden="1"/>
    <row r="6822" hidden="1"/>
    <row r="6823" hidden="1"/>
    <row r="6824" hidden="1"/>
    <row r="6825" hidden="1"/>
    <row r="6826" hidden="1"/>
    <row r="6827" hidden="1"/>
    <row r="6828" hidden="1"/>
    <row r="6829" hidden="1"/>
    <row r="6830" hidden="1"/>
    <row r="6831" hidden="1"/>
    <row r="6832" hidden="1"/>
    <row r="6833" hidden="1"/>
    <row r="6834" hidden="1"/>
    <row r="6835" hidden="1"/>
    <row r="6836" hidden="1"/>
    <row r="6837" hidden="1"/>
    <row r="6838" hidden="1"/>
    <row r="6839" hidden="1"/>
    <row r="6840" hidden="1"/>
    <row r="6841" hidden="1"/>
    <row r="6842" hidden="1"/>
    <row r="6843" hidden="1"/>
    <row r="6844" hidden="1"/>
    <row r="6845" hidden="1"/>
    <row r="6846" hidden="1"/>
    <row r="6847" hidden="1"/>
    <row r="6848" hidden="1"/>
    <row r="6849" hidden="1"/>
    <row r="6850" hidden="1"/>
    <row r="6851" hidden="1"/>
    <row r="6852" hidden="1"/>
    <row r="6853" hidden="1"/>
    <row r="6854" hidden="1"/>
    <row r="6855" hidden="1"/>
    <row r="6856" hidden="1"/>
    <row r="6857" hidden="1"/>
    <row r="6858" hidden="1"/>
    <row r="6859" hidden="1"/>
    <row r="6860" hidden="1"/>
    <row r="6861" hidden="1"/>
    <row r="6862" hidden="1"/>
    <row r="6863" hidden="1"/>
    <row r="6864" hidden="1"/>
    <row r="6865" hidden="1"/>
    <row r="6866" hidden="1"/>
    <row r="6867" hidden="1"/>
    <row r="6868" hidden="1"/>
    <row r="6869" hidden="1"/>
    <row r="6870" hidden="1"/>
    <row r="6871" hidden="1"/>
    <row r="6872" hidden="1"/>
    <row r="6873" hidden="1"/>
    <row r="6874" hidden="1"/>
    <row r="6875" hidden="1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/>
    <row r="6886" hidden="1"/>
    <row r="6887" hidden="1"/>
    <row r="6888" hidden="1"/>
    <row r="6889" hidden="1"/>
    <row r="6890" hidden="1"/>
    <row r="6891" hidden="1"/>
    <row r="6892" hidden="1"/>
    <row r="6893" hidden="1"/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/>
    <row r="6915" hidden="1"/>
    <row r="6916" hidden="1"/>
    <row r="6917" hidden="1"/>
    <row r="6918" hidden="1"/>
    <row r="6919" hidden="1"/>
    <row r="6920" hidden="1"/>
    <row r="6921" hidden="1"/>
    <row r="6922" hidden="1"/>
    <row r="6923" hidden="1"/>
    <row r="6924" hidden="1"/>
    <row r="6925" hidden="1"/>
    <row r="6926" hidden="1"/>
    <row r="6927" hidden="1"/>
    <row r="6928" hidden="1"/>
    <row r="6929" hidden="1"/>
    <row r="6930" hidden="1"/>
    <row r="6931" hidden="1"/>
    <row r="6932" hidden="1"/>
    <row r="6933" hidden="1"/>
    <row r="6934" hidden="1"/>
    <row r="6935" hidden="1"/>
    <row r="6936" hidden="1"/>
    <row r="6937" hidden="1"/>
    <row r="6938" hidden="1"/>
    <row r="6939" hidden="1"/>
    <row r="6940" hidden="1"/>
    <row r="6941" hidden="1"/>
    <row r="6942" hidden="1"/>
    <row r="6943" hidden="1"/>
    <row r="6944" hidden="1"/>
    <row r="6945" hidden="1"/>
    <row r="6946" hidden="1"/>
    <row r="6947" hidden="1"/>
    <row r="6948" hidden="1"/>
    <row r="6949" hidden="1"/>
    <row r="6950" hidden="1"/>
    <row r="6951" hidden="1"/>
    <row r="6952" hidden="1"/>
    <row r="6953" hidden="1"/>
    <row r="6954" hidden="1"/>
    <row r="6955" hidden="1"/>
    <row r="6956" hidden="1"/>
    <row r="6957" hidden="1"/>
    <row r="6958" hidden="1"/>
    <row r="6959" hidden="1"/>
    <row r="6960" hidden="1"/>
    <row r="6961" hidden="1"/>
    <row r="6962" hidden="1"/>
    <row r="6963" hidden="1"/>
    <row r="6964" hidden="1"/>
    <row r="6965" hidden="1"/>
    <row r="6966" hidden="1"/>
    <row r="6967" hidden="1"/>
    <row r="6968" hidden="1"/>
    <row r="6969" hidden="1"/>
    <row r="6970" hidden="1"/>
    <row r="6971" hidden="1"/>
    <row r="6972" hidden="1"/>
    <row r="6973" hidden="1"/>
    <row r="6974" hidden="1"/>
    <row r="6975" hidden="1"/>
    <row r="6976" hidden="1"/>
    <row r="6977" hidden="1"/>
    <row r="6978" hidden="1"/>
    <row r="6979" hidden="1"/>
    <row r="6980" hidden="1"/>
    <row r="6981" hidden="1"/>
    <row r="6982" hidden="1"/>
    <row r="6983" hidden="1"/>
    <row r="6984" hidden="1"/>
    <row r="6985" hidden="1"/>
    <row r="6986" hidden="1"/>
    <row r="6987" hidden="1"/>
    <row r="6988" hidden="1"/>
    <row r="6989" hidden="1"/>
    <row r="6990" hidden="1"/>
    <row r="6991" hidden="1"/>
    <row r="6992" hidden="1"/>
    <row r="6993" hidden="1"/>
    <row r="6994" hidden="1"/>
    <row r="6995" hidden="1"/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/>
    <row r="7008" hidden="1"/>
    <row r="7009" hidden="1"/>
    <row r="7010" hidden="1"/>
    <row r="7011" hidden="1"/>
    <row r="7012" hidden="1"/>
    <row r="7013" hidden="1"/>
    <row r="7014" hidden="1"/>
    <row r="7015" hidden="1"/>
    <row r="7016" hidden="1"/>
    <row r="7017" hidden="1"/>
    <row r="7018" hidden="1"/>
    <row r="7019" hidden="1"/>
    <row r="7020" hidden="1"/>
    <row r="7021" hidden="1"/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/>
    <row r="7033" hidden="1"/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/>
    <row r="7045" hidden="1"/>
    <row r="7046" hidden="1"/>
    <row r="7047" hidden="1"/>
    <row r="7048" hidden="1"/>
    <row r="7049" hidden="1"/>
    <row r="7050" hidden="1"/>
    <row r="7051" hidden="1"/>
    <row r="7052" hidden="1"/>
    <row r="7053" hidden="1"/>
    <row r="7054" hidden="1"/>
    <row r="7055" hidden="1"/>
    <row r="7056" hidden="1"/>
    <row r="7057" hidden="1"/>
    <row r="7058" hidden="1"/>
    <row r="7059" hidden="1"/>
    <row r="7060" hidden="1"/>
    <row r="7061" hidden="1"/>
    <row r="7062" hidden="1"/>
    <row r="7063" hidden="1"/>
    <row r="7064" hidden="1"/>
    <row r="7065" hidden="1"/>
    <row r="7066" hidden="1"/>
    <row r="7067" hidden="1"/>
    <row r="7068" hidden="1"/>
    <row r="7069" hidden="1"/>
    <row r="7070" hidden="1"/>
    <row r="7071" hidden="1"/>
    <row r="7072" hidden="1"/>
    <row r="7073" hidden="1"/>
    <row r="7074" hidden="1"/>
    <row r="7075" hidden="1"/>
    <row r="7076" hidden="1"/>
    <row r="7077" hidden="1"/>
    <row r="7078" hidden="1"/>
    <row r="7079" hidden="1"/>
    <row r="7080" hidden="1"/>
    <row r="7081" hidden="1"/>
    <row r="7082" hidden="1"/>
    <row r="7083" hidden="1"/>
    <row r="7084" hidden="1"/>
    <row r="7085" hidden="1"/>
    <row r="7086" hidden="1"/>
    <row r="7087" hidden="1"/>
    <row r="7088" hidden="1"/>
    <row r="7089" hidden="1"/>
    <row r="7090" hidden="1"/>
    <row r="7091" hidden="1"/>
    <row r="7092" hidden="1"/>
    <row r="7093" hidden="1"/>
    <row r="7094" hidden="1"/>
    <row r="7095" hidden="1"/>
    <row r="7096" hidden="1"/>
    <row r="7097" hidden="1"/>
    <row r="7098" hidden="1"/>
    <row r="7099" hidden="1"/>
    <row r="7100" hidden="1"/>
    <row r="7101" hidden="1"/>
    <row r="7102" hidden="1"/>
    <row r="7103" hidden="1"/>
    <row r="7104" hidden="1"/>
    <row r="7105" hidden="1"/>
    <row r="7106" hidden="1"/>
    <row r="7107" hidden="1"/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/>
    <row r="7120" hidden="1"/>
    <row r="7121" hidden="1"/>
    <row r="7122" hidden="1"/>
    <row r="7123" hidden="1"/>
    <row r="7124" hidden="1"/>
    <row r="7125" hidden="1"/>
    <row r="7126" hidden="1"/>
    <row r="7127" hidden="1"/>
    <row r="7128" hidden="1"/>
    <row r="7129" hidden="1"/>
    <row r="7130" hidden="1"/>
    <row r="7131" hidden="1"/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/>
    <row r="7142" hidden="1"/>
    <row r="7143" hidden="1"/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/>
    <row r="7172" hidden="1"/>
    <row r="7173" hidden="1"/>
    <row r="7174" hidden="1"/>
    <row r="7175" hidden="1"/>
    <row r="7176" hidden="1"/>
    <row r="7177" hidden="1"/>
    <row r="7178" hidden="1"/>
    <row r="7179" hidden="1"/>
    <row r="7180" hidden="1"/>
    <row r="7181" hidden="1"/>
    <row r="7182" hidden="1"/>
    <row r="7183" hidden="1"/>
    <row r="7184" hidden="1"/>
    <row r="7185" hidden="1"/>
    <row r="7186" hidden="1"/>
    <row r="7187" hidden="1"/>
    <row r="7188" hidden="1"/>
    <row r="7189" hidden="1"/>
    <row r="7190" hidden="1"/>
    <row r="7191" hidden="1"/>
    <row r="7192" hidden="1"/>
    <row r="7193" hidden="1"/>
    <row r="7194" hidden="1"/>
    <row r="7195" hidden="1"/>
    <row r="7196" hidden="1"/>
    <row r="7197" hidden="1"/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/>
    <row r="7210" hidden="1"/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/>
    <row r="7221" hidden="1"/>
    <row r="7222" hidden="1"/>
    <row r="7223" hidden="1"/>
    <row r="7224" hidden="1"/>
    <row r="7225" hidden="1"/>
    <row r="7226" hidden="1"/>
    <row r="7227" hidden="1"/>
    <row r="7228" hidden="1"/>
    <row r="7229" hidden="1"/>
    <row r="7230" hidden="1"/>
    <row r="7231" hidden="1"/>
    <row r="7232" hidden="1"/>
    <row r="7233" hidden="1"/>
    <row r="7234" hidden="1"/>
    <row r="7235" hidden="1"/>
    <row r="7236" hidden="1"/>
    <row r="7237" hidden="1"/>
    <row r="7238" hidden="1"/>
    <row r="7239" hidden="1"/>
    <row r="7240" hidden="1"/>
    <row r="7241" hidden="1"/>
    <row r="7242" hidden="1"/>
    <row r="7243" hidden="1"/>
    <row r="7244" hidden="1"/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/>
    <row r="7255" hidden="1"/>
    <row r="7256" hidden="1"/>
    <row r="7257" hidden="1"/>
    <row r="7258" hidden="1"/>
    <row r="7259" hidden="1"/>
    <row r="7260" hidden="1"/>
    <row r="7261" hidden="1"/>
    <row r="7262" hidden="1"/>
    <row r="7263" hidden="1"/>
    <row r="7264" hidden="1"/>
    <row r="7265" hidden="1"/>
    <row r="7266" hidden="1"/>
    <row r="7267" hidden="1"/>
    <row r="7268" hidden="1"/>
    <row r="7269" hidden="1"/>
    <row r="7270" hidden="1"/>
    <row r="7271" hidden="1"/>
    <row r="7272" hidden="1"/>
    <row r="7273" hidden="1"/>
    <row r="7274" hidden="1"/>
    <row r="7275" hidden="1"/>
    <row r="7276" hidden="1"/>
    <row r="7277" hidden="1"/>
    <row r="7278" hidden="1"/>
    <row r="7279" hidden="1"/>
    <row r="7280" hidden="1"/>
    <row r="7281" hidden="1"/>
    <row r="7282" hidden="1"/>
    <row r="7283" hidden="1"/>
    <row r="7284" hidden="1"/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/>
    <row r="7295" hidden="1"/>
    <row r="7296" hidden="1"/>
    <row r="7297" hidden="1"/>
    <row r="7298" hidden="1"/>
    <row r="7299" hidden="1"/>
    <row r="7300" hidden="1"/>
    <row r="7301" hidden="1"/>
    <row r="7302" hidden="1"/>
    <row r="7303" hidden="1"/>
    <row r="7304" hidden="1"/>
    <row r="7305" hidden="1"/>
    <row r="7306" hidden="1"/>
    <row r="7307" hidden="1"/>
    <row r="7308" hidden="1"/>
    <row r="7309" hidden="1"/>
    <row r="7310" hidden="1"/>
    <row r="7311" hidden="1"/>
    <row r="7312" hidden="1"/>
    <row r="7313" hidden="1"/>
    <row r="7314" hidden="1"/>
    <row r="7315" hidden="1"/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/>
    <row r="7326" hidden="1"/>
    <row r="7327" hidden="1"/>
    <row r="7328" hidden="1"/>
    <row r="7329" hidden="1"/>
    <row r="7330" hidden="1"/>
    <row r="7331" hidden="1"/>
    <row r="7332" hidden="1"/>
    <row r="7333" hidden="1"/>
    <row r="7334" hidden="1"/>
    <row r="7335" hidden="1"/>
    <row r="7336" hidden="1"/>
    <row r="7337" hidden="1"/>
    <row r="7338" hidden="1"/>
    <row r="7339" hidden="1"/>
    <row r="7340" hidden="1"/>
    <row r="7341" hidden="1"/>
    <row r="7342" hidden="1"/>
    <row r="7343" hidden="1"/>
    <row r="7344" hidden="1"/>
    <row r="7345" hidden="1"/>
    <row r="7346" hidden="1"/>
    <row r="7347" hidden="1"/>
    <row r="7348" hidden="1"/>
    <row r="7349" hidden="1"/>
    <row r="7350" hidden="1"/>
    <row r="7351" hidden="1"/>
    <row r="7352" hidden="1"/>
    <row r="7353" hidden="1"/>
    <row r="7354" hidden="1"/>
    <row r="7355" hidden="1"/>
    <row r="7356" hidden="1"/>
    <row r="7357" hidden="1"/>
    <row r="7358" hidden="1"/>
    <row r="7359" hidden="1"/>
    <row r="7360" hidden="1"/>
    <row r="7361" hidden="1"/>
    <row r="7362" hidden="1"/>
    <row r="7363" hidden="1"/>
    <row r="7364" hidden="1"/>
    <row r="7365" hidden="1"/>
    <row r="7366" hidden="1"/>
    <row r="7367" hidden="1"/>
    <row r="7368" hidden="1"/>
    <row r="7369" hidden="1"/>
    <row r="7370" hidden="1"/>
    <row r="7371" hidden="1"/>
    <row r="7372" hidden="1"/>
    <row r="7373" hidden="1"/>
    <row r="7374" hidden="1"/>
    <row r="7375" hidden="1"/>
    <row r="7376" hidden="1"/>
    <row r="7377" hidden="1"/>
    <row r="7378" hidden="1"/>
    <row r="7379" hidden="1"/>
    <row r="7380" hidden="1"/>
    <row r="7381" hidden="1"/>
    <row r="7382" hidden="1"/>
    <row r="7383" hidden="1"/>
    <row r="7384" hidden="1"/>
    <row r="7385" hidden="1"/>
    <row r="7386" hidden="1"/>
    <row r="7387" hidden="1"/>
    <row r="7388" hidden="1"/>
    <row r="7389" hidden="1"/>
    <row r="7390" hidden="1"/>
    <row r="7391" hidden="1"/>
    <row r="7392" hidden="1"/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hidden="1"/>
    <row r="7406" hidden="1"/>
    <row r="7407" hidden="1"/>
    <row r="7408" hidden="1"/>
    <row r="7409" hidden="1"/>
    <row r="7410" hidden="1"/>
    <row r="7411" hidden="1"/>
    <row r="7412" hidden="1"/>
    <row r="7413" hidden="1"/>
    <row r="7414" hidden="1"/>
    <row r="7415" hidden="1"/>
    <row r="7416" hidden="1"/>
    <row r="7417" hidden="1"/>
    <row r="7418" hidden="1"/>
    <row r="7419" hidden="1"/>
    <row r="7420" hidden="1"/>
    <row r="7421" hidden="1"/>
    <row r="7422" hidden="1"/>
    <row r="7423" hidden="1"/>
    <row r="7424" hidden="1"/>
    <row r="7425" hidden="1"/>
    <row r="7426" hidden="1"/>
    <row r="7427" hidden="1"/>
    <row r="7428" hidden="1"/>
    <row r="7429" hidden="1"/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/>
    <row r="7440" hidden="1"/>
    <row r="7441" hidden="1"/>
    <row r="7442" hidden="1"/>
    <row r="7443" hidden="1"/>
    <row r="7444" hidden="1"/>
    <row r="7445" hidden="1"/>
    <row r="7446" hidden="1"/>
    <row r="7447" hidden="1"/>
    <row r="7448" hidden="1"/>
    <row r="7449" hidden="1"/>
    <row r="7450" hidden="1"/>
    <row r="7451" hidden="1"/>
    <row r="7452" hidden="1"/>
    <row r="7453" hidden="1"/>
    <row r="7454" hidden="1"/>
    <row r="7455" hidden="1"/>
    <row r="7456" hidden="1"/>
    <row r="7457" hidden="1"/>
    <row r="7458" hidden="1"/>
    <row r="7459" hidden="1"/>
    <row r="7460" hidden="1"/>
    <row r="7461" hidden="1"/>
    <row r="7462" hidden="1"/>
    <row r="7463" hidden="1"/>
    <row r="7464" hidden="1"/>
    <row r="7465" hidden="1"/>
    <row r="7466" hidden="1"/>
    <row r="7467" hidden="1"/>
    <row r="7468" hidden="1"/>
    <row r="7469" hidden="1"/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/>
    <row r="7481" hidden="1"/>
    <row r="7482" hidden="1"/>
    <row r="7483" hidden="1"/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/>
    <row r="7494" hidden="1"/>
    <row r="7495" hidden="1"/>
    <row r="7496" hidden="1"/>
    <row r="7497" hidden="1"/>
    <row r="7498" hidden="1"/>
    <row r="7499" hidden="1"/>
    <row r="7500" hidden="1"/>
    <row r="7501" hidden="1"/>
    <row r="7502" hidden="1"/>
    <row r="7503" hidden="1"/>
    <row r="7504" hidden="1"/>
    <row r="7505" hidden="1"/>
    <row r="7506" hidden="1"/>
    <row r="7507" hidden="1"/>
    <row r="7508" hidden="1"/>
    <row r="7509" hidden="1"/>
    <row r="7510" hidden="1"/>
    <row r="7511" hidden="1"/>
    <row r="7512" hidden="1"/>
    <row r="7513" hidden="1"/>
    <row r="7514" hidden="1"/>
    <row r="7515" hidden="1"/>
    <row r="7516" hidden="1"/>
    <row r="7517" hidden="1"/>
    <row r="7518" hidden="1"/>
    <row r="7519" hidden="1"/>
    <row r="7520" hidden="1"/>
    <row r="7521" hidden="1"/>
    <row r="7522" hidden="1"/>
    <row r="7523" hidden="1"/>
    <row r="7524" hidden="1"/>
    <row r="7525" hidden="1"/>
    <row r="7526" hidden="1"/>
    <row r="7527" hidden="1"/>
    <row r="7528" hidden="1"/>
    <row r="7529" hidden="1"/>
    <row r="7530" hidden="1"/>
    <row r="7531" hidden="1"/>
    <row r="7532" hidden="1"/>
    <row r="7533" hidden="1"/>
    <row r="7534" hidden="1"/>
    <row r="7535" hidden="1"/>
    <row r="7536" hidden="1"/>
    <row r="7537" hidden="1"/>
    <row r="7538" hidden="1"/>
    <row r="7539" hidden="1"/>
    <row r="7540" hidden="1"/>
    <row r="7541" hidden="1"/>
    <row r="7542" hidden="1"/>
    <row r="7543" hidden="1"/>
    <row r="7544" hidden="1"/>
    <row r="7545" hidden="1"/>
    <row r="7546" hidden="1"/>
    <row r="7547" hidden="1"/>
    <row r="7548" hidden="1"/>
    <row r="7549" hidden="1"/>
    <row r="7550" hidden="1"/>
    <row r="7551" hidden="1"/>
    <row r="7552" hidden="1"/>
    <row r="7553" hidden="1"/>
    <row r="7554" hidden="1"/>
    <row r="7555" hidden="1"/>
    <row r="7556" hidden="1"/>
    <row r="7557" hidden="1"/>
    <row r="7558" hidden="1"/>
    <row r="7559" hidden="1"/>
    <row r="7560" hidden="1"/>
    <row r="7561" hidden="1"/>
    <row r="7562" hidden="1"/>
    <row r="7563" hidden="1"/>
    <row r="7564" hidden="1"/>
    <row r="7565" hidden="1"/>
    <row r="7566" hidden="1"/>
    <row r="7567" hidden="1"/>
    <row r="7568" hidden="1"/>
    <row r="7569" hidden="1"/>
    <row r="7570" hidden="1"/>
    <row r="7571" hidden="1"/>
    <row r="7572" hidden="1"/>
    <row r="7573" hidden="1"/>
    <row r="7574" hidden="1"/>
    <row r="7575" hidden="1"/>
    <row r="7576" hidden="1"/>
    <row r="7577" hidden="1"/>
    <row r="7578" hidden="1"/>
    <row r="7579" hidden="1"/>
    <row r="7580" hidden="1"/>
    <row r="7581" hidden="1"/>
    <row r="7582" hidden="1"/>
    <row r="7583" hidden="1"/>
    <row r="7584" hidden="1"/>
    <row r="7585" hidden="1"/>
    <row r="7586" hidden="1"/>
    <row r="7587" hidden="1"/>
    <row r="7588" hidden="1"/>
    <row r="7589" hidden="1"/>
    <row r="7590" hidden="1"/>
    <row r="7591" hidden="1"/>
    <row r="7592" hidden="1"/>
    <row r="7593" hidden="1"/>
    <row r="7594" hidden="1"/>
    <row r="7595" hidden="1"/>
    <row r="7596" hidden="1"/>
    <row r="7597" hidden="1"/>
    <row r="7598" hidden="1"/>
    <row r="7599" hidden="1"/>
    <row r="7600" hidden="1"/>
    <row r="7601" hidden="1"/>
    <row r="7602" hidden="1"/>
    <row r="7603" hidden="1"/>
    <row r="7604" hidden="1"/>
    <row r="7605" hidden="1"/>
    <row r="7606" hidden="1"/>
    <row r="7607" hidden="1"/>
    <row r="7608" hidden="1"/>
    <row r="7609" hidden="1"/>
    <row r="7610" hidden="1"/>
    <row r="7611" hidden="1"/>
    <row r="7612" hidden="1"/>
    <row r="7613" hidden="1"/>
    <row r="7614" hidden="1"/>
    <row r="7615" hidden="1"/>
    <row r="7616" hidden="1"/>
    <row r="7617" hidden="1"/>
    <row r="7618" hidden="1"/>
    <row r="7619" hidden="1"/>
    <row r="7620" hidden="1"/>
    <row r="7621" hidden="1"/>
    <row r="7622" hidden="1"/>
    <row r="7623" hidden="1"/>
    <row r="7624" hidden="1"/>
    <row r="7625" hidden="1"/>
    <row r="7626" hidden="1"/>
    <row r="7627" hidden="1"/>
    <row r="7628" hidden="1"/>
    <row r="7629" hidden="1"/>
    <row r="7630" hidden="1"/>
    <row r="7631" hidden="1"/>
    <row r="7632" hidden="1"/>
    <row r="7633" hidden="1"/>
    <row r="7634" hidden="1"/>
    <row r="7635" hidden="1"/>
    <row r="7636" hidden="1"/>
    <row r="7637" hidden="1"/>
    <row r="7638" hidden="1"/>
    <row r="7639" hidden="1"/>
    <row r="7640" hidden="1"/>
    <row r="7641" hidden="1"/>
    <row r="7642" hidden="1"/>
    <row r="7643" hidden="1"/>
    <row r="7644" hidden="1"/>
    <row r="7645" hidden="1"/>
    <row r="7646" hidden="1"/>
    <row r="7647" hidden="1"/>
    <row r="7648" hidden="1"/>
    <row r="7649" hidden="1"/>
    <row r="7650" hidden="1"/>
    <row r="7651" hidden="1"/>
    <row r="7652" hidden="1"/>
    <row r="7653" hidden="1"/>
    <row r="7654" hidden="1"/>
    <row r="7655" hidden="1"/>
    <row r="7656" hidden="1"/>
    <row r="7657" hidden="1"/>
    <row r="7658" hidden="1"/>
    <row r="7659" hidden="1"/>
    <row r="7660" hidden="1"/>
    <row r="7661" hidden="1"/>
    <row r="7662" hidden="1"/>
    <row r="7663" hidden="1"/>
    <row r="7664" hidden="1"/>
    <row r="7665" hidden="1"/>
    <row r="7666" hidden="1"/>
    <row r="7667" hidden="1"/>
    <row r="7668" hidden="1"/>
    <row r="7669" hidden="1"/>
    <row r="7670" hidden="1"/>
    <row r="7671" hidden="1"/>
    <row r="7672" hidden="1"/>
    <row r="7673" hidden="1"/>
    <row r="7674" hidden="1"/>
    <row r="7675" hidden="1"/>
    <row r="7676" hidden="1"/>
    <row r="7677" hidden="1"/>
    <row r="7678" hidden="1"/>
    <row r="7679" hidden="1"/>
    <row r="7680" hidden="1"/>
    <row r="7681" hidden="1"/>
    <row r="7682" hidden="1"/>
    <row r="7683" hidden="1"/>
    <row r="7684" hidden="1"/>
    <row r="7685" hidden="1"/>
    <row r="7686" hidden="1"/>
    <row r="7687" hidden="1"/>
    <row r="7688" hidden="1"/>
    <row r="7689" hidden="1"/>
    <row r="7690" hidden="1"/>
    <row r="7691" hidden="1"/>
    <row r="7692" hidden="1"/>
    <row r="7693" hidden="1"/>
    <row r="7694" hidden="1"/>
    <row r="7695" hidden="1"/>
    <row r="7696" hidden="1"/>
    <row r="7697" hidden="1"/>
    <row r="7698" hidden="1"/>
    <row r="7699" hidden="1"/>
    <row r="7700" hidden="1"/>
    <row r="7701" hidden="1"/>
    <row r="7702" hidden="1"/>
    <row r="7703" hidden="1"/>
    <row r="7704" hidden="1"/>
    <row r="7705" hidden="1"/>
    <row r="7706" hidden="1"/>
    <row r="7707" hidden="1"/>
    <row r="7708" hidden="1"/>
    <row r="7709" hidden="1"/>
    <row r="7710" hidden="1"/>
    <row r="7711" hidden="1"/>
    <row r="7712" hidden="1"/>
    <row r="7713" hidden="1"/>
    <row r="7714" hidden="1"/>
    <row r="7715" hidden="1"/>
    <row r="7716" hidden="1"/>
    <row r="7717" hidden="1"/>
    <row r="7718" hidden="1"/>
    <row r="7719" hidden="1"/>
    <row r="7720" hidden="1"/>
    <row r="7721" hidden="1"/>
    <row r="7722" hidden="1"/>
    <row r="7723" hidden="1"/>
    <row r="7724" hidden="1"/>
    <row r="7725" hidden="1"/>
    <row r="7726" hidden="1"/>
    <row r="7727" hidden="1"/>
    <row r="7728" hidden="1"/>
    <row r="7729" hidden="1"/>
    <row r="7730" hidden="1"/>
    <row r="7731" hidden="1"/>
    <row r="7732" hidden="1"/>
    <row r="7733" hidden="1"/>
    <row r="7734" hidden="1"/>
    <row r="7735" hidden="1"/>
    <row r="7736" hidden="1"/>
    <row r="7737" hidden="1"/>
    <row r="7738" hidden="1"/>
    <row r="7739" hidden="1"/>
    <row r="7740" hidden="1"/>
    <row r="7741" hidden="1"/>
    <row r="7742" hidden="1"/>
    <row r="7743" hidden="1"/>
    <row r="7744" hidden="1"/>
    <row r="7745" hidden="1"/>
    <row r="7746" hidden="1"/>
    <row r="7747" hidden="1"/>
    <row r="7748" hidden="1"/>
    <row r="7749" hidden="1"/>
    <row r="7750" hidden="1"/>
    <row r="7751" hidden="1"/>
    <row r="7752" hidden="1"/>
    <row r="7753" hidden="1"/>
    <row r="7754" hidden="1"/>
    <row r="7755" hidden="1"/>
    <row r="7756" hidden="1"/>
    <row r="7757" hidden="1"/>
    <row r="7758" hidden="1"/>
    <row r="7759" hidden="1"/>
    <row r="7760" hidden="1"/>
    <row r="7761" hidden="1"/>
    <row r="7762" hidden="1"/>
    <row r="7763" hidden="1"/>
    <row r="7764" hidden="1"/>
    <row r="7765" hidden="1"/>
    <row r="7766" hidden="1"/>
    <row r="7767" hidden="1"/>
    <row r="7768" hidden="1"/>
    <row r="7769" hidden="1"/>
    <row r="7770" hidden="1"/>
    <row r="7771" hidden="1"/>
    <row r="7772" hidden="1"/>
    <row r="7773" hidden="1"/>
    <row r="7774" hidden="1"/>
    <row r="7775" hidden="1"/>
    <row r="7776" hidden="1"/>
    <row r="7777" hidden="1"/>
    <row r="7778" hidden="1"/>
    <row r="7779" hidden="1"/>
    <row r="7780" hidden="1"/>
    <row r="7781" hidden="1"/>
    <row r="7782" hidden="1"/>
    <row r="7783" hidden="1"/>
    <row r="7784" hidden="1"/>
    <row r="7785" hidden="1"/>
    <row r="7786" hidden="1"/>
    <row r="7787" hidden="1"/>
    <row r="7788" hidden="1"/>
    <row r="7789" hidden="1"/>
    <row r="7790" hidden="1"/>
    <row r="7791" hidden="1"/>
    <row r="7792" hidden="1"/>
    <row r="7793" hidden="1"/>
    <row r="7794" hidden="1"/>
    <row r="7795" hidden="1"/>
    <row r="7796" hidden="1"/>
    <row r="7797" hidden="1"/>
    <row r="7798" hidden="1"/>
    <row r="7799" hidden="1"/>
    <row r="7800" hidden="1"/>
    <row r="7801" hidden="1"/>
    <row r="7802" hidden="1"/>
    <row r="7803" hidden="1"/>
    <row r="7804" hidden="1"/>
    <row r="7805" hidden="1"/>
    <row r="7806" hidden="1"/>
    <row r="7807" hidden="1"/>
    <row r="7808" hidden="1"/>
    <row r="7809" hidden="1"/>
    <row r="7810" hidden="1"/>
    <row r="7811" hidden="1"/>
    <row r="7812" hidden="1"/>
    <row r="7813" hidden="1"/>
    <row r="7814" hidden="1"/>
    <row r="7815" hidden="1"/>
    <row r="7816" hidden="1"/>
    <row r="7817" hidden="1"/>
    <row r="7818" hidden="1"/>
    <row r="7819" hidden="1"/>
    <row r="7820" hidden="1"/>
    <row r="7821" hidden="1"/>
    <row r="7822" hidden="1"/>
    <row r="7823" hidden="1"/>
    <row r="7824" hidden="1"/>
    <row r="7825" hidden="1"/>
    <row r="7826" hidden="1"/>
    <row r="7827" hidden="1"/>
    <row r="7828" hidden="1"/>
    <row r="7829" hidden="1"/>
    <row r="7830" hidden="1"/>
    <row r="7831" hidden="1"/>
    <row r="7832" hidden="1"/>
    <row r="7833" hidden="1"/>
    <row r="7834" hidden="1"/>
    <row r="7835" hidden="1"/>
    <row r="7836" hidden="1"/>
    <row r="7837" hidden="1"/>
    <row r="7838" hidden="1"/>
    <row r="7839" hidden="1"/>
    <row r="7840" hidden="1"/>
    <row r="7841" hidden="1"/>
    <row r="7842" hidden="1"/>
    <row r="7843" hidden="1"/>
    <row r="7844" hidden="1"/>
    <row r="7845" hidden="1"/>
    <row r="7846" hidden="1"/>
    <row r="7847" hidden="1"/>
    <row r="7848" hidden="1"/>
    <row r="7849" hidden="1"/>
    <row r="7850" hidden="1"/>
    <row r="7851" hidden="1"/>
    <row r="7852" hidden="1"/>
    <row r="7853" hidden="1"/>
    <row r="7854" hidden="1"/>
    <row r="7855" hidden="1"/>
    <row r="7856" hidden="1"/>
    <row r="7857" hidden="1"/>
    <row r="7858" hidden="1"/>
    <row r="7859" hidden="1"/>
    <row r="7860" hidden="1"/>
    <row r="7861" hidden="1"/>
    <row r="7862" hidden="1"/>
    <row r="7863" hidden="1"/>
    <row r="7864" hidden="1"/>
    <row r="7865" hidden="1"/>
    <row r="7866" hidden="1"/>
    <row r="7867" hidden="1"/>
    <row r="7868" hidden="1"/>
    <row r="7869" hidden="1"/>
    <row r="7870" hidden="1"/>
    <row r="7871" hidden="1"/>
    <row r="7872" hidden="1"/>
    <row r="7873" hidden="1"/>
    <row r="7874" hidden="1"/>
    <row r="7875" hidden="1"/>
    <row r="7876" hidden="1"/>
    <row r="7877" hidden="1"/>
    <row r="7878" hidden="1"/>
    <row r="7879" hidden="1"/>
    <row r="7880" hidden="1"/>
    <row r="7881" hidden="1"/>
    <row r="7882" hidden="1"/>
    <row r="7883" hidden="1"/>
    <row r="7884" hidden="1"/>
    <row r="7885" hidden="1"/>
    <row r="7886" hidden="1"/>
    <row r="7887" hidden="1"/>
    <row r="7888" hidden="1"/>
    <row r="7889" hidden="1"/>
    <row r="7890" hidden="1"/>
    <row r="7891" hidden="1"/>
    <row r="7892" hidden="1"/>
    <row r="7893" hidden="1"/>
    <row r="7894" hidden="1"/>
    <row r="7895" hidden="1"/>
    <row r="7896" hidden="1"/>
    <row r="7897" hidden="1"/>
    <row r="7898" hidden="1"/>
    <row r="7899" hidden="1"/>
    <row r="7900" hidden="1"/>
    <row r="7901" hidden="1"/>
    <row r="7902" hidden="1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/>
    <row r="7912" hidden="1"/>
    <row r="7913" hidden="1"/>
    <row r="7914" hidden="1"/>
    <row r="7915" hidden="1"/>
    <row r="7916" hidden="1"/>
    <row r="7917" hidden="1"/>
    <row r="7918" hidden="1"/>
    <row r="7919" hidden="1"/>
    <row r="7920" hidden="1"/>
    <row r="7921" hidden="1"/>
    <row r="7922" hidden="1"/>
    <row r="7923" hidden="1"/>
    <row r="7924" hidden="1"/>
    <row r="7925" hidden="1"/>
    <row r="7926" hidden="1"/>
    <row r="7927" hidden="1"/>
    <row r="7928" hidden="1"/>
    <row r="7929" hidden="1"/>
    <row r="7930" hidden="1"/>
    <row r="7931" hidden="1"/>
    <row r="7932" hidden="1"/>
    <row r="7933" hidden="1"/>
    <row r="7934" hidden="1"/>
    <row r="7935" hidden="1"/>
    <row r="7936" hidden="1"/>
    <row r="7937" hidden="1"/>
    <row r="7938" hidden="1"/>
    <row r="7939" hidden="1"/>
    <row r="7940" hidden="1"/>
    <row r="7941" hidden="1"/>
    <row r="7942" hidden="1"/>
    <row r="7943" hidden="1"/>
    <row r="7944" hidden="1"/>
    <row r="7945" hidden="1"/>
    <row r="7946" hidden="1"/>
    <row r="7947" hidden="1"/>
    <row r="7948" hidden="1"/>
    <row r="7949" hidden="1"/>
    <row r="7950" hidden="1"/>
    <row r="7951" hidden="1"/>
    <row r="7952" hidden="1"/>
    <row r="7953" hidden="1"/>
    <row r="7954" hidden="1"/>
    <row r="7955" hidden="1"/>
    <row r="7956" hidden="1"/>
    <row r="7957" hidden="1"/>
    <row r="7958" hidden="1"/>
    <row r="7959" hidden="1"/>
    <row r="7960" hidden="1"/>
    <row r="7961" hidden="1"/>
    <row r="7962" hidden="1"/>
    <row r="7963" hidden="1"/>
    <row r="7964" hidden="1"/>
    <row r="7965" hidden="1"/>
    <row r="7966" hidden="1"/>
    <row r="7967" hidden="1"/>
    <row r="7968" hidden="1"/>
    <row r="7969" hidden="1"/>
    <row r="7970" hidden="1"/>
    <row r="7971" hidden="1"/>
    <row r="7972" hidden="1"/>
    <row r="7973" hidden="1"/>
    <row r="7974" hidden="1"/>
    <row r="7975" hidden="1"/>
    <row r="7976" hidden="1"/>
    <row r="7977" hidden="1"/>
    <row r="7978" hidden="1"/>
    <row r="7979" hidden="1"/>
    <row r="7980" hidden="1"/>
    <row r="7981" hidden="1"/>
    <row r="7982" hidden="1"/>
    <row r="7983" hidden="1"/>
    <row r="7984" hidden="1"/>
    <row r="7985" hidden="1"/>
    <row r="7986" hidden="1"/>
    <row r="7987" hidden="1"/>
    <row r="7988" hidden="1"/>
    <row r="7989" hidden="1"/>
    <row r="7990" hidden="1"/>
    <row r="7991" hidden="1"/>
    <row r="7992" hidden="1"/>
    <row r="7993" hidden="1"/>
    <row r="7994" hidden="1"/>
    <row r="7995" hidden="1"/>
    <row r="7996" hidden="1"/>
    <row r="7997" hidden="1"/>
    <row r="7998" hidden="1"/>
    <row r="7999" hidden="1"/>
    <row r="8000" hidden="1"/>
    <row r="8001" hidden="1"/>
    <row r="8002" hidden="1"/>
    <row r="8003" hidden="1"/>
    <row r="8004" hidden="1"/>
    <row r="8005" hidden="1"/>
    <row r="8006" hidden="1"/>
    <row r="8007" hidden="1"/>
    <row r="8008" hidden="1"/>
    <row r="8009" hidden="1"/>
    <row r="8010" hidden="1"/>
    <row r="8011" hidden="1"/>
    <row r="8012" hidden="1"/>
    <row r="8013" hidden="1"/>
    <row r="8014" hidden="1"/>
    <row r="8015" hidden="1"/>
    <row r="8016" hidden="1"/>
    <row r="8017" hidden="1"/>
    <row r="8018" hidden="1"/>
    <row r="8019" hidden="1"/>
    <row r="8020" hidden="1"/>
    <row r="8021" hidden="1"/>
    <row r="8022" hidden="1"/>
    <row r="8023" hidden="1"/>
    <row r="8024" hidden="1"/>
    <row r="8025" hidden="1"/>
    <row r="8026" hidden="1"/>
    <row r="8027" hidden="1"/>
    <row r="8028" hidden="1"/>
    <row r="8029" hidden="1"/>
    <row r="8030" hidden="1"/>
    <row r="8031" hidden="1"/>
    <row r="8032" hidden="1"/>
    <row r="8033" hidden="1"/>
    <row r="8034" hidden="1"/>
    <row r="8035" hidden="1"/>
    <row r="8036" hidden="1"/>
    <row r="8037" hidden="1"/>
    <row r="8038" hidden="1"/>
    <row r="8039" hidden="1"/>
    <row r="8040" hidden="1"/>
    <row r="8041" hidden="1"/>
    <row r="8042" hidden="1"/>
    <row r="8043" hidden="1"/>
    <row r="8044" hidden="1"/>
    <row r="8045" hidden="1"/>
    <row r="8046" hidden="1"/>
    <row r="8047" hidden="1"/>
    <row r="8048" hidden="1"/>
    <row r="8049" hidden="1"/>
    <row r="8050" hidden="1"/>
    <row r="8051" hidden="1"/>
    <row r="8052" hidden="1"/>
    <row r="8053" hidden="1"/>
    <row r="8054" hidden="1"/>
    <row r="8055" hidden="1"/>
    <row r="8056" hidden="1"/>
    <row r="8057" hidden="1"/>
    <row r="8058" hidden="1"/>
    <row r="8059" hidden="1"/>
    <row r="8060" hidden="1"/>
    <row r="8061" hidden="1"/>
    <row r="8062" hidden="1"/>
    <row r="8063" hidden="1"/>
    <row r="8064" hidden="1"/>
    <row r="8065" hidden="1"/>
    <row r="8066" hidden="1"/>
    <row r="8067" hidden="1"/>
    <row r="8068" hidden="1"/>
    <row r="8069" hidden="1"/>
    <row r="8070" hidden="1"/>
    <row r="8071" hidden="1"/>
    <row r="8072" hidden="1"/>
    <row r="8073" hidden="1"/>
    <row r="8074" hidden="1"/>
    <row r="8075" hidden="1"/>
    <row r="8076" hidden="1"/>
    <row r="8077" hidden="1"/>
    <row r="8078" hidden="1"/>
    <row r="8079" hidden="1"/>
    <row r="8080" hidden="1"/>
    <row r="8081" hidden="1"/>
    <row r="8082" hidden="1"/>
    <row r="8083" hidden="1"/>
    <row r="8084" hidden="1"/>
    <row r="8085" hidden="1"/>
    <row r="8086" hidden="1"/>
    <row r="8087" hidden="1"/>
    <row r="8088" hidden="1"/>
    <row r="8089" hidden="1"/>
    <row r="8090" hidden="1"/>
    <row r="8091" hidden="1"/>
    <row r="8092" hidden="1"/>
    <row r="8093" hidden="1"/>
    <row r="8094" hidden="1"/>
    <row r="8095" hidden="1"/>
    <row r="8096" hidden="1"/>
    <row r="8097" hidden="1"/>
    <row r="8098" hidden="1"/>
    <row r="8099" hidden="1"/>
    <row r="8100" hidden="1"/>
    <row r="8101" hidden="1"/>
    <row r="8102" hidden="1"/>
    <row r="8103" hidden="1"/>
    <row r="8104" hidden="1"/>
    <row r="8105" hidden="1"/>
    <row r="8106" hidden="1"/>
    <row r="8107" hidden="1"/>
    <row r="8108" hidden="1"/>
    <row r="8109" hidden="1"/>
    <row r="8110" hidden="1"/>
    <row r="8111" hidden="1"/>
    <row r="8112" hidden="1"/>
    <row r="8113" hidden="1"/>
    <row r="8114" hidden="1"/>
    <row r="8115" hidden="1"/>
    <row r="8116" hidden="1"/>
    <row r="8117" hidden="1"/>
    <row r="8118" hidden="1"/>
    <row r="8119" hidden="1"/>
    <row r="8120" hidden="1"/>
    <row r="8121" hidden="1"/>
    <row r="8122" hidden="1"/>
    <row r="8123" hidden="1"/>
    <row r="8124" hidden="1"/>
    <row r="8125" hidden="1"/>
    <row r="8126" hidden="1"/>
    <row r="8127" hidden="1"/>
    <row r="8128" hidden="1"/>
    <row r="8129" hidden="1"/>
    <row r="8130" hidden="1"/>
    <row r="8131" hidden="1"/>
    <row r="8132" hidden="1"/>
    <row r="8133" hidden="1"/>
    <row r="8134" hidden="1"/>
    <row r="8135" hidden="1"/>
    <row r="8136" hidden="1"/>
    <row r="8137" hidden="1"/>
    <row r="8138" hidden="1"/>
    <row r="8139" hidden="1"/>
    <row r="8140" hidden="1"/>
    <row r="8141" hidden="1"/>
    <row r="8142" hidden="1"/>
    <row r="8143" hidden="1"/>
    <row r="8144" hidden="1"/>
    <row r="8145" hidden="1"/>
    <row r="8146" hidden="1"/>
    <row r="8147" hidden="1"/>
    <row r="8148" hidden="1"/>
    <row r="8149" hidden="1"/>
    <row r="8150" hidden="1"/>
    <row r="8151" hidden="1"/>
    <row r="8152" hidden="1"/>
    <row r="8153" hidden="1"/>
    <row r="8154" hidden="1"/>
    <row r="8155" hidden="1"/>
    <row r="8156" hidden="1"/>
    <row r="8157" hidden="1"/>
    <row r="8158" hidden="1"/>
    <row r="8159" hidden="1"/>
    <row r="8160" hidden="1"/>
    <row r="8161" hidden="1"/>
    <row r="8162" hidden="1"/>
    <row r="8163" hidden="1"/>
    <row r="8164" hidden="1"/>
    <row r="8165" hidden="1"/>
    <row r="8166" hidden="1"/>
    <row r="8167" hidden="1"/>
    <row r="8168" hidden="1"/>
    <row r="8169" hidden="1"/>
    <row r="8170" hidden="1"/>
    <row r="8171" hidden="1"/>
    <row r="8172" hidden="1"/>
    <row r="8173" hidden="1"/>
    <row r="8174" hidden="1"/>
    <row r="8175" hidden="1"/>
    <row r="8176" hidden="1"/>
    <row r="8177" hidden="1"/>
    <row r="8178" hidden="1"/>
    <row r="8179" hidden="1"/>
    <row r="8180" hidden="1"/>
    <row r="8181" hidden="1"/>
    <row r="8182" hidden="1"/>
    <row r="8183" hidden="1"/>
    <row r="8184" hidden="1"/>
    <row r="8185" hidden="1"/>
    <row r="8186" hidden="1"/>
    <row r="8187" hidden="1"/>
    <row r="8188" hidden="1"/>
    <row r="8189" hidden="1"/>
    <row r="8190" hidden="1"/>
    <row r="8191" hidden="1"/>
    <row r="8192" hidden="1"/>
    <row r="8193" hidden="1"/>
    <row r="8194" hidden="1"/>
    <row r="8195" hidden="1"/>
    <row r="8196" hidden="1"/>
    <row r="8197" hidden="1"/>
    <row r="8198" hidden="1"/>
    <row r="8199" hidden="1"/>
    <row r="8200" hidden="1"/>
    <row r="8201" hidden="1"/>
    <row r="8202" hidden="1"/>
    <row r="8203" hidden="1"/>
    <row r="8204" hidden="1"/>
    <row r="8205" hidden="1"/>
    <row r="8206" hidden="1"/>
    <row r="8207" hidden="1"/>
    <row r="8208" hidden="1"/>
    <row r="8209" hidden="1"/>
    <row r="8210" hidden="1"/>
    <row r="8211" hidden="1"/>
    <row r="8212" hidden="1"/>
    <row r="8213" hidden="1"/>
    <row r="8214" hidden="1"/>
    <row r="8215" hidden="1"/>
    <row r="8216" hidden="1"/>
    <row r="8217" hidden="1"/>
    <row r="8218" hidden="1"/>
    <row r="8219" hidden="1"/>
    <row r="8220" hidden="1"/>
    <row r="8221" hidden="1"/>
    <row r="8222" hidden="1"/>
    <row r="8223" hidden="1"/>
    <row r="8224" hidden="1"/>
    <row r="8225" hidden="1"/>
    <row r="8226" hidden="1"/>
    <row r="8227" hidden="1"/>
    <row r="8228" hidden="1"/>
    <row r="8229" hidden="1"/>
    <row r="8230" hidden="1"/>
    <row r="8231" hidden="1"/>
    <row r="8232" hidden="1"/>
    <row r="8233" hidden="1"/>
    <row r="8234" hidden="1"/>
    <row r="8235" hidden="1"/>
    <row r="8236" hidden="1"/>
    <row r="8237" hidden="1"/>
    <row r="8238" hidden="1"/>
    <row r="8239" hidden="1"/>
    <row r="8240" hidden="1"/>
    <row r="8241" hidden="1"/>
    <row r="8242" hidden="1"/>
    <row r="8243" hidden="1"/>
    <row r="8244" hidden="1"/>
    <row r="8245" hidden="1"/>
    <row r="8246" hidden="1"/>
    <row r="8247" hidden="1"/>
    <row r="8248" hidden="1"/>
    <row r="8249" hidden="1"/>
    <row r="8250" hidden="1"/>
    <row r="8251" hidden="1"/>
    <row r="8252" hidden="1"/>
    <row r="8253" hidden="1"/>
    <row r="8254" hidden="1"/>
    <row r="8255" hidden="1"/>
    <row r="8256" hidden="1"/>
    <row r="8257" hidden="1"/>
    <row r="8258" hidden="1"/>
    <row r="8259" hidden="1"/>
    <row r="8260" hidden="1"/>
    <row r="8261" hidden="1"/>
    <row r="8262" hidden="1"/>
    <row r="8263" hidden="1"/>
    <row r="8264" hidden="1"/>
    <row r="8265" hidden="1"/>
    <row r="8266" hidden="1"/>
    <row r="8267" hidden="1"/>
    <row r="8268" hidden="1"/>
    <row r="8269" hidden="1"/>
    <row r="8270" hidden="1"/>
    <row r="8271" hidden="1"/>
    <row r="8272" hidden="1"/>
    <row r="8273" hidden="1"/>
    <row r="8274" hidden="1"/>
    <row r="8275" hidden="1"/>
    <row r="8276" hidden="1"/>
    <row r="8277" hidden="1"/>
    <row r="8278" hidden="1"/>
    <row r="8279" hidden="1"/>
    <row r="8280" hidden="1"/>
    <row r="8281" hidden="1"/>
    <row r="8282" hidden="1"/>
    <row r="8283" hidden="1"/>
    <row r="8284" hidden="1"/>
    <row r="8285" hidden="1"/>
    <row r="8286" hidden="1"/>
    <row r="8287" hidden="1"/>
    <row r="8288" hidden="1"/>
    <row r="8289" hidden="1"/>
    <row r="8290" hidden="1"/>
    <row r="8291" hidden="1"/>
    <row r="8292" hidden="1"/>
    <row r="8293" hidden="1"/>
    <row r="8294" hidden="1"/>
    <row r="8295" hidden="1"/>
    <row r="8296" hidden="1"/>
    <row r="8297" hidden="1"/>
    <row r="8298" hidden="1"/>
    <row r="8299" hidden="1"/>
    <row r="8300" hidden="1"/>
    <row r="8301" hidden="1"/>
    <row r="8302" hidden="1"/>
    <row r="8303" hidden="1"/>
    <row r="8304" hidden="1"/>
    <row r="8305" hidden="1"/>
    <row r="8306" hidden="1"/>
    <row r="8307" hidden="1"/>
    <row r="8308" hidden="1"/>
    <row r="8309" hidden="1"/>
    <row r="8310" hidden="1"/>
    <row r="8311" hidden="1"/>
    <row r="8312" hidden="1"/>
    <row r="8313" hidden="1"/>
    <row r="8314" hidden="1"/>
    <row r="8315" hidden="1"/>
    <row r="8316" hidden="1"/>
    <row r="8317" hidden="1"/>
    <row r="8318" hidden="1"/>
    <row r="8319" hidden="1"/>
    <row r="8320" hidden="1"/>
    <row r="8321" hidden="1"/>
    <row r="8322" hidden="1"/>
    <row r="8323" hidden="1"/>
    <row r="8324" hidden="1"/>
    <row r="8325" hidden="1"/>
    <row r="8326" hidden="1"/>
    <row r="8327" hidden="1"/>
    <row r="8328" hidden="1"/>
    <row r="8329" hidden="1"/>
    <row r="8330" hidden="1"/>
    <row r="8331" hidden="1"/>
    <row r="8332" hidden="1"/>
    <row r="8333" hidden="1"/>
    <row r="8334" hidden="1"/>
    <row r="8335" hidden="1"/>
    <row r="8336" hidden="1"/>
    <row r="8337" hidden="1"/>
    <row r="8338" hidden="1"/>
    <row r="8339" hidden="1"/>
    <row r="8340" hidden="1"/>
    <row r="8341" hidden="1"/>
    <row r="8342" hidden="1"/>
    <row r="8343" hidden="1"/>
    <row r="8344" hidden="1"/>
    <row r="8345" hidden="1"/>
    <row r="8346" hidden="1"/>
    <row r="8347" hidden="1"/>
    <row r="8348" hidden="1"/>
    <row r="8349" hidden="1"/>
    <row r="8350" hidden="1"/>
    <row r="8351" hidden="1"/>
    <row r="8352" hidden="1"/>
    <row r="8353" hidden="1"/>
    <row r="8354" hidden="1"/>
    <row r="8355" hidden="1"/>
    <row r="8356" hidden="1"/>
    <row r="8357" hidden="1"/>
    <row r="8358" hidden="1"/>
    <row r="8359" hidden="1"/>
    <row r="8360" hidden="1"/>
    <row r="8361" hidden="1"/>
    <row r="8362" hidden="1"/>
    <row r="8363" hidden="1"/>
    <row r="8364" hidden="1"/>
    <row r="8365" hidden="1"/>
    <row r="8366" hidden="1"/>
    <row r="8367" hidden="1"/>
    <row r="8368" hidden="1"/>
    <row r="8369" hidden="1"/>
    <row r="8370" hidden="1"/>
    <row r="8371" hidden="1"/>
    <row r="8372" hidden="1"/>
    <row r="8373" hidden="1"/>
    <row r="8374" hidden="1"/>
    <row r="8375" hidden="1"/>
    <row r="8376" hidden="1"/>
    <row r="8377" hidden="1"/>
    <row r="8378" hidden="1"/>
    <row r="8379" hidden="1"/>
    <row r="8380" hidden="1"/>
    <row r="8381" hidden="1"/>
    <row r="8382" hidden="1"/>
    <row r="8383" hidden="1"/>
    <row r="8384" hidden="1"/>
    <row r="8385" hidden="1"/>
    <row r="8386" hidden="1"/>
    <row r="8387" hidden="1"/>
    <row r="8388" hidden="1"/>
    <row r="8389" hidden="1"/>
    <row r="8390" hidden="1"/>
    <row r="8391" hidden="1"/>
    <row r="8392" hidden="1"/>
    <row r="8393" hidden="1"/>
    <row r="8394" hidden="1"/>
    <row r="8395" hidden="1"/>
    <row r="8396" hidden="1"/>
    <row r="8397" hidden="1"/>
    <row r="8398" hidden="1"/>
    <row r="8399" hidden="1"/>
    <row r="8400" hidden="1"/>
    <row r="8401" hidden="1"/>
    <row r="8402" hidden="1"/>
    <row r="8403" hidden="1"/>
    <row r="8404" hidden="1"/>
    <row r="8405" hidden="1"/>
    <row r="8406" hidden="1"/>
    <row r="8407" hidden="1"/>
    <row r="8408" hidden="1"/>
    <row r="8409" hidden="1"/>
    <row r="8410" hidden="1"/>
    <row r="8411" hidden="1"/>
    <row r="8412" hidden="1"/>
    <row r="8413" hidden="1"/>
    <row r="8414" hidden="1"/>
    <row r="8415" hidden="1"/>
    <row r="8416" hidden="1"/>
    <row r="8417" hidden="1"/>
    <row r="8418" hidden="1"/>
    <row r="8419" hidden="1"/>
    <row r="8420" hidden="1"/>
    <row r="8421" hidden="1"/>
    <row r="8422" hidden="1"/>
    <row r="8423" hidden="1"/>
    <row r="8424" hidden="1"/>
    <row r="8425" hidden="1"/>
    <row r="8426" hidden="1"/>
    <row r="8427" hidden="1"/>
    <row r="8428" hidden="1"/>
    <row r="8429" hidden="1"/>
    <row r="8430" hidden="1"/>
    <row r="8431" hidden="1"/>
    <row r="8432" hidden="1"/>
    <row r="8433" hidden="1"/>
    <row r="8434" hidden="1"/>
    <row r="8435" hidden="1"/>
    <row r="8436" hidden="1"/>
    <row r="8437" hidden="1"/>
    <row r="8438" hidden="1"/>
    <row r="8439" hidden="1"/>
    <row r="8440" hidden="1"/>
    <row r="8441" hidden="1"/>
    <row r="8442" hidden="1"/>
    <row r="8443" hidden="1"/>
    <row r="8444" hidden="1"/>
    <row r="8445" hidden="1"/>
    <row r="8446" hidden="1"/>
    <row r="8447" hidden="1"/>
    <row r="8448" hidden="1"/>
    <row r="8449" hidden="1"/>
    <row r="8450" hidden="1"/>
    <row r="8451" hidden="1"/>
    <row r="8452" hidden="1"/>
    <row r="8453" hidden="1"/>
    <row r="8454" hidden="1"/>
    <row r="8455" hidden="1"/>
    <row r="8456" hidden="1"/>
    <row r="8457" hidden="1"/>
    <row r="8458" hidden="1"/>
    <row r="8459" hidden="1"/>
    <row r="8460" hidden="1"/>
    <row r="8461" hidden="1"/>
    <row r="8462" hidden="1"/>
    <row r="8463" hidden="1"/>
    <row r="8464" hidden="1"/>
    <row r="8465" hidden="1"/>
    <row r="8466" hidden="1"/>
    <row r="8467" hidden="1"/>
    <row r="8468" hidden="1"/>
    <row r="8469" hidden="1"/>
    <row r="8470" hidden="1"/>
    <row r="8471" hidden="1"/>
    <row r="8472" hidden="1"/>
    <row r="8473" hidden="1"/>
    <row r="8474" hidden="1"/>
    <row r="8475" hidden="1"/>
    <row r="8476" hidden="1"/>
    <row r="8477" hidden="1"/>
    <row r="8478" hidden="1"/>
    <row r="8479" hidden="1"/>
    <row r="8480" hidden="1"/>
    <row r="8481" hidden="1"/>
    <row r="8482" hidden="1"/>
    <row r="8483" hidden="1"/>
    <row r="8484" hidden="1"/>
    <row r="8485" hidden="1"/>
    <row r="8486" hidden="1"/>
    <row r="8487" hidden="1"/>
    <row r="8488" hidden="1"/>
    <row r="8489" hidden="1"/>
    <row r="8490" hidden="1"/>
    <row r="8491" hidden="1"/>
    <row r="8492" hidden="1"/>
    <row r="8493" hidden="1"/>
    <row r="8494" hidden="1"/>
    <row r="8495" hidden="1"/>
    <row r="8496" hidden="1"/>
    <row r="8497" hidden="1"/>
    <row r="8498" hidden="1"/>
    <row r="8499" hidden="1"/>
    <row r="8500" hidden="1"/>
    <row r="8501" hidden="1"/>
    <row r="8502" hidden="1"/>
    <row r="8503" hidden="1"/>
    <row r="8504" hidden="1"/>
    <row r="8505" hidden="1"/>
    <row r="8506" hidden="1"/>
    <row r="8507" hidden="1"/>
    <row r="8508" hidden="1"/>
    <row r="8509" hidden="1"/>
    <row r="8510" hidden="1"/>
    <row r="8511" hidden="1"/>
    <row r="8512" hidden="1"/>
    <row r="8513" hidden="1"/>
    <row r="8514" hidden="1"/>
    <row r="8515" hidden="1"/>
    <row r="8516" hidden="1"/>
    <row r="8517" hidden="1"/>
    <row r="8518" hidden="1"/>
    <row r="8519" hidden="1"/>
    <row r="8520" hidden="1"/>
    <row r="8521" hidden="1"/>
    <row r="8522" hidden="1"/>
    <row r="8523" hidden="1"/>
    <row r="8524" hidden="1"/>
    <row r="8525" hidden="1"/>
    <row r="8526" hidden="1"/>
    <row r="8527" hidden="1"/>
    <row r="8528" hidden="1"/>
    <row r="8529" hidden="1"/>
    <row r="8530" hidden="1"/>
    <row r="8531" hidden="1"/>
    <row r="8532" hidden="1"/>
    <row r="8533" hidden="1"/>
    <row r="8534" hidden="1"/>
    <row r="8535" hidden="1"/>
    <row r="8536" hidden="1"/>
    <row r="8537" hidden="1"/>
    <row r="8538" hidden="1"/>
    <row r="8539" hidden="1"/>
    <row r="8540" hidden="1"/>
    <row r="8541" hidden="1"/>
    <row r="8542" hidden="1"/>
    <row r="8543" hidden="1"/>
    <row r="8544" hidden="1"/>
    <row r="8545" hidden="1"/>
    <row r="8546" hidden="1"/>
    <row r="8547" hidden="1"/>
    <row r="8548" hidden="1"/>
    <row r="8549" hidden="1"/>
    <row r="8550" hidden="1"/>
    <row r="8551" hidden="1"/>
    <row r="8552" hidden="1"/>
    <row r="8553" hidden="1"/>
    <row r="8554" hidden="1"/>
    <row r="8555" hidden="1"/>
    <row r="8556" hidden="1"/>
    <row r="8557" hidden="1"/>
    <row r="8558" hidden="1"/>
    <row r="8559" hidden="1"/>
    <row r="8560" hidden="1"/>
    <row r="8561" hidden="1"/>
    <row r="8562" hidden="1"/>
    <row r="8563" hidden="1"/>
    <row r="8564" hidden="1"/>
    <row r="8565" hidden="1"/>
    <row r="8566" hidden="1"/>
    <row r="8567" hidden="1"/>
    <row r="8568" hidden="1"/>
    <row r="8569" hidden="1"/>
    <row r="8570" hidden="1"/>
    <row r="8571" hidden="1"/>
    <row r="8572" hidden="1"/>
    <row r="8573" hidden="1"/>
    <row r="8574" hidden="1"/>
    <row r="8575" hidden="1"/>
    <row r="8576" hidden="1"/>
    <row r="8577" hidden="1"/>
    <row r="8578" hidden="1"/>
    <row r="8579" hidden="1"/>
    <row r="8580" hidden="1"/>
    <row r="8581" hidden="1"/>
    <row r="8582" hidden="1"/>
    <row r="8583" hidden="1"/>
    <row r="8584" hidden="1"/>
    <row r="8585" hidden="1"/>
    <row r="8586" hidden="1"/>
    <row r="8587" hidden="1"/>
    <row r="8588" hidden="1"/>
    <row r="8589" hidden="1"/>
    <row r="8590" hidden="1"/>
    <row r="8591" hidden="1"/>
    <row r="8592" hidden="1"/>
    <row r="8593" hidden="1"/>
    <row r="8594" hidden="1"/>
    <row r="8595" hidden="1"/>
    <row r="8596" hidden="1"/>
    <row r="8597" hidden="1"/>
    <row r="8598" hidden="1"/>
    <row r="8599" hidden="1"/>
    <row r="8600" hidden="1"/>
    <row r="8601" hidden="1"/>
    <row r="8602" hidden="1"/>
    <row r="8603" hidden="1"/>
    <row r="8604" hidden="1"/>
    <row r="8605" hidden="1"/>
    <row r="8606" hidden="1"/>
    <row r="8607" hidden="1"/>
    <row r="8608" hidden="1"/>
    <row r="8609" hidden="1"/>
    <row r="8610" hidden="1"/>
    <row r="8611" hidden="1"/>
    <row r="8612" hidden="1"/>
    <row r="8613" hidden="1"/>
    <row r="8614" hidden="1"/>
    <row r="8615" hidden="1"/>
    <row r="8616" hidden="1"/>
    <row r="8617" hidden="1"/>
    <row r="8618" hidden="1"/>
    <row r="8619" hidden="1"/>
    <row r="8620" hidden="1"/>
    <row r="8621" hidden="1"/>
    <row r="8622" hidden="1"/>
    <row r="8623" hidden="1"/>
    <row r="8624" hidden="1"/>
    <row r="8625" hidden="1"/>
    <row r="8626" hidden="1"/>
    <row r="8627" hidden="1"/>
    <row r="8628" hidden="1"/>
    <row r="8629" hidden="1"/>
    <row r="8630" hidden="1"/>
    <row r="8631" hidden="1"/>
    <row r="8632" hidden="1"/>
    <row r="8633" hidden="1"/>
    <row r="8634" hidden="1"/>
    <row r="8635" hidden="1"/>
    <row r="8636" hidden="1"/>
    <row r="8637" hidden="1"/>
    <row r="8638" hidden="1"/>
    <row r="8639" hidden="1"/>
    <row r="8640" hidden="1"/>
    <row r="8641" hidden="1"/>
    <row r="8642" hidden="1"/>
    <row r="8643" hidden="1"/>
    <row r="8644" hidden="1"/>
    <row r="8645" hidden="1"/>
    <row r="8646" hidden="1"/>
    <row r="8647" hidden="1"/>
    <row r="8648" hidden="1"/>
    <row r="8649" hidden="1"/>
    <row r="8650" hidden="1"/>
    <row r="8651" hidden="1"/>
    <row r="8652" hidden="1"/>
    <row r="8653" hidden="1"/>
    <row r="8654" hidden="1"/>
    <row r="8655" hidden="1"/>
    <row r="8656" hidden="1"/>
    <row r="8657" hidden="1"/>
    <row r="8658" hidden="1"/>
    <row r="8659" hidden="1"/>
    <row r="8660" hidden="1"/>
    <row r="8661" hidden="1"/>
    <row r="8662" hidden="1"/>
    <row r="8663" hidden="1"/>
    <row r="8664" hidden="1"/>
    <row r="8665" hidden="1"/>
    <row r="8666" hidden="1"/>
    <row r="8667" hidden="1"/>
    <row r="8668" hidden="1"/>
    <row r="8669" hidden="1"/>
    <row r="8670" hidden="1"/>
    <row r="8671" hidden="1"/>
    <row r="8672" hidden="1"/>
    <row r="8673" hidden="1"/>
    <row r="8674" hidden="1"/>
    <row r="8675" hidden="1"/>
    <row r="8676" hidden="1"/>
    <row r="8677" hidden="1"/>
    <row r="8678" hidden="1"/>
    <row r="8679" hidden="1"/>
    <row r="8680" hidden="1"/>
    <row r="8681" hidden="1"/>
    <row r="8682" hidden="1"/>
    <row r="8683" hidden="1"/>
    <row r="8684" hidden="1"/>
    <row r="8685" hidden="1"/>
    <row r="8686" hidden="1"/>
    <row r="8687" hidden="1"/>
    <row r="8688" hidden="1"/>
    <row r="8689" hidden="1"/>
    <row r="8690" hidden="1"/>
    <row r="8691" hidden="1"/>
    <row r="8692" hidden="1"/>
    <row r="8693" hidden="1"/>
    <row r="8694" hidden="1"/>
    <row r="8695" hidden="1"/>
    <row r="8696" hidden="1"/>
    <row r="8697" hidden="1"/>
    <row r="8698" hidden="1"/>
    <row r="8699" hidden="1"/>
    <row r="8700" hidden="1"/>
    <row r="8701" hidden="1"/>
    <row r="8702" hidden="1"/>
    <row r="8703" hidden="1"/>
    <row r="8704" hidden="1"/>
    <row r="8705" hidden="1"/>
    <row r="8706" hidden="1"/>
    <row r="8707" hidden="1"/>
    <row r="8708" hidden="1"/>
    <row r="8709" hidden="1"/>
    <row r="8710" hidden="1"/>
    <row r="8711" hidden="1"/>
    <row r="8712" hidden="1"/>
    <row r="8713" hidden="1"/>
    <row r="8714" hidden="1"/>
    <row r="8715" hidden="1"/>
    <row r="8716" hidden="1"/>
    <row r="8717" hidden="1"/>
    <row r="8718" hidden="1"/>
    <row r="8719" hidden="1"/>
    <row r="8720" hidden="1"/>
    <row r="8721" hidden="1"/>
    <row r="8722" hidden="1"/>
    <row r="8723" hidden="1"/>
    <row r="8724" hidden="1"/>
    <row r="8725" hidden="1"/>
    <row r="8726" hidden="1"/>
    <row r="8727" hidden="1"/>
    <row r="8728" hidden="1"/>
    <row r="8729" hidden="1"/>
    <row r="8730" hidden="1"/>
    <row r="8731" hidden="1"/>
    <row r="8732" hidden="1"/>
    <row r="8733" hidden="1"/>
    <row r="8734" hidden="1"/>
    <row r="8735" hidden="1"/>
    <row r="8736" hidden="1"/>
    <row r="8737" hidden="1"/>
    <row r="8738" hidden="1"/>
    <row r="8739" hidden="1"/>
    <row r="8740" hidden="1"/>
    <row r="8741" hidden="1"/>
    <row r="8742" hidden="1"/>
    <row r="8743" hidden="1"/>
    <row r="8744" hidden="1"/>
    <row r="8745" hidden="1"/>
    <row r="8746" hidden="1"/>
    <row r="8747" hidden="1"/>
    <row r="8748" hidden="1"/>
    <row r="8749" hidden="1"/>
    <row r="8750" hidden="1"/>
    <row r="8751" hidden="1"/>
    <row r="8752" hidden="1"/>
    <row r="8753" hidden="1"/>
    <row r="8754" hidden="1"/>
    <row r="8755" hidden="1"/>
    <row r="8756" hidden="1"/>
    <row r="8757" hidden="1"/>
    <row r="8758" hidden="1"/>
    <row r="8759" hidden="1"/>
    <row r="8760" hidden="1"/>
    <row r="8761" hidden="1"/>
    <row r="8762" hidden="1"/>
    <row r="8763" hidden="1"/>
    <row r="8764" hidden="1"/>
    <row r="8765" hidden="1"/>
    <row r="8766" hidden="1"/>
    <row r="8767" hidden="1"/>
    <row r="8768" hidden="1"/>
    <row r="8769" hidden="1"/>
    <row r="8770" hidden="1"/>
    <row r="8771" hidden="1"/>
    <row r="8772" hidden="1"/>
    <row r="8773" hidden="1"/>
    <row r="8774" hidden="1"/>
    <row r="8775" hidden="1"/>
    <row r="8776" hidden="1"/>
    <row r="8777" hidden="1"/>
    <row r="8778" hidden="1"/>
    <row r="8779" hidden="1"/>
    <row r="8780" hidden="1"/>
    <row r="8781" hidden="1"/>
    <row r="8782" hidden="1"/>
    <row r="8783" hidden="1"/>
    <row r="8784" hidden="1"/>
    <row r="8785" hidden="1"/>
    <row r="8786" hidden="1"/>
    <row r="8787" hidden="1"/>
    <row r="8788" hidden="1"/>
    <row r="8789" hidden="1"/>
    <row r="8790" hidden="1"/>
    <row r="8791" hidden="1"/>
    <row r="8792" hidden="1"/>
    <row r="8793" hidden="1"/>
    <row r="8794" hidden="1"/>
    <row r="8795" hidden="1"/>
    <row r="8796" hidden="1"/>
    <row r="8797" hidden="1"/>
    <row r="8798" hidden="1"/>
    <row r="8799" hidden="1"/>
    <row r="8800" hidden="1"/>
    <row r="8801" hidden="1"/>
    <row r="8802" hidden="1"/>
    <row r="8803" hidden="1"/>
    <row r="8804" hidden="1"/>
    <row r="8805" hidden="1"/>
    <row r="8806" hidden="1"/>
    <row r="8807" hidden="1"/>
    <row r="8808" hidden="1"/>
    <row r="8809" hidden="1"/>
    <row r="8810" hidden="1"/>
    <row r="8811" hidden="1"/>
    <row r="8812" hidden="1"/>
    <row r="8813" hidden="1"/>
    <row r="8814" hidden="1"/>
    <row r="8815" hidden="1"/>
    <row r="8816" hidden="1"/>
    <row r="8817" hidden="1"/>
    <row r="8818" hidden="1"/>
    <row r="8819" hidden="1"/>
    <row r="8820" hidden="1"/>
    <row r="8821" hidden="1"/>
    <row r="8822" hidden="1"/>
    <row r="8823" hidden="1"/>
    <row r="8824" hidden="1"/>
    <row r="8825" hidden="1"/>
    <row r="8826" hidden="1"/>
    <row r="8827" hidden="1"/>
    <row r="8828" hidden="1"/>
    <row r="8829" hidden="1"/>
    <row r="8830" hidden="1"/>
    <row r="8831" hidden="1"/>
    <row r="8832" hidden="1"/>
    <row r="8833" hidden="1"/>
    <row r="8834" hidden="1"/>
    <row r="8835" hidden="1"/>
    <row r="8836" hidden="1"/>
    <row r="8837" hidden="1"/>
    <row r="8838" hidden="1"/>
    <row r="8839" hidden="1"/>
    <row r="8840" hidden="1"/>
    <row r="8841" hidden="1"/>
    <row r="8842" hidden="1"/>
    <row r="8843" hidden="1"/>
    <row r="8844" hidden="1"/>
    <row r="8845" hidden="1"/>
    <row r="8846" hidden="1"/>
    <row r="8847" hidden="1"/>
    <row r="8848" hidden="1"/>
    <row r="8849" hidden="1"/>
    <row r="8850" hidden="1"/>
    <row r="8851" hidden="1"/>
    <row r="8852" hidden="1"/>
    <row r="8853" hidden="1"/>
    <row r="8854" hidden="1"/>
    <row r="8855" hidden="1"/>
    <row r="8856" hidden="1"/>
    <row r="8857" hidden="1"/>
    <row r="8858" hidden="1"/>
    <row r="8859" hidden="1"/>
    <row r="8860" hidden="1"/>
    <row r="8861" hidden="1"/>
    <row r="8862" hidden="1"/>
    <row r="8863" hidden="1"/>
    <row r="8864" hidden="1"/>
    <row r="8865" hidden="1"/>
    <row r="8866" hidden="1"/>
    <row r="8867" hidden="1"/>
    <row r="8868" hidden="1"/>
    <row r="8869" hidden="1"/>
    <row r="8870" hidden="1"/>
    <row r="8871" hidden="1"/>
    <row r="8872" hidden="1"/>
    <row r="8873" hidden="1"/>
    <row r="8874" hidden="1"/>
    <row r="8875" hidden="1"/>
    <row r="8876" hidden="1"/>
    <row r="8877" hidden="1"/>
    <row r="8878" hidden="1"/>
    <row r="8879" hidden="1"/>
    <row r="8880" hidden="1"/>
    <row r="8881" hidden="1"/>
    <row r="8882" hidden="1"/>
    <row r="8883" hidden="1"/>
    <row r="8884" hidden="1"/>
    <row r="8885" hidden="1"/>
    <row r="8886" hidden="1"/>
    <row r="8887" hidden="1"/>
    <row r="8888" hidden="1"/>
    <row r="8889" hidden="1"/>
    <row r="8890" hidden="1"/>
    <row r="8891" hidden="1"/>
    <row r="8892" hidden="1"/>
    <row r="8893" hidden="1"/>
    <row r="8894" hidden="1"/>
    <row r="8895" hidden="1"/>
    <row r="8896" hidden="1"/>
    <row r="8897" hidden="1"/>
    <row r="8898" hidden="1"/>
    <row r="8899" hidden="1"/>
    <row r="8900" hidden="1"/>
    <row r="8901" hidden="1"/>
    <row r="8902" hidden="1"/>
    <row r="8903" hidden="1"/>
    <row r="8904" hidden="1"/>
    <row r="8905" hidden="1"/>
    <row r="8906" hidden="1"/>
    <row r="8907" hidden="1"/>
    <row r="8908" hidden="1"/>
    <row r="8909" hidden="1"/>
    <row r="8910" hidden="1"/>
    <row r="8911" hidden="1"/>
    <row r="8912" hidden="1"/>
    <row r="8913" hidden="1"/>
    <row r="8914" hidden="1"/>
    <row r="8915" hidden="1"/>
    <row r="8916" hidden="1"/>
    <row r="8917" hidden="1"/>
    <row r="8918" hidden="1"/>
    <row r="8919" hidden="1"/>
    <row r="8920" hidden="1"/>
    <row r="8921" hidden="1"/>
    <row r="8922" hidden="1"/>
    <row r="8923" hidden="1"/>
    <row r="8924" hidden="1"/>
    <row r="8925" hidden="1"/>
    <row r="8926" hidden="1"/>
    <row r="8927" hidden="1"/>
    <row r="8928" hidden="1"/>
    <row r="8929" hidden="1"/>
    <row r="8930" hidden="1"/>
    <row r="8931" hidden="1"/>
    <row r="8932" hidden="1"/>
    <row r="8933" hidden="1"/>
    <row r="8934" hidden="1"/>
    <row r="8935" hidden="1"/>
    <row r="8936" hidden="1"/>
    <row r="8937" hidden="1"/>
    <row r="8938" hidden="1"/>
    <row r="8939" hidden="1"/>
    <row r="8940" hidden="1"/>
    <row r="8941" hidden="1"/>
    <row r="8942" hidden="1"/>
    <row r="8943" hidden="1"/>
    <row r="8944" hidden="1"/>
    <row r="8945" hidden="1"/>
    <row r="8946" hidden="1"/>
    <row r="8947" hidden="1"/>
    <row r="8948" hidden="1"/>
    <row r="8949" hidden="1"/>
    <row r="8950" hidden="1"/>
    <row r="8951" hidden="1"/>
    <row r="8952" hidden="1"/>
    <row r="8953" hidden="1"/>
    <row r="8954" hidden="1"/>
    <row r="8955" hidden="1"/>
    <row r="8956" hidden="1"/>
    <row r="8957" hidden="1"/>
    <row r="8958" hidden="1"/>
    <row r="8959" hidden="1"/>
    <row r="8960" hidden="1"/>
    <row r="8961" hidden="1"/>
    <row r="8962" hidden="1"/>
    <row r="8963" hidden="1"/>
    <row r="8964" hidden="1"/>
    <row r="8965" hidden="1"/>
    <row r="8966" hidden="1"/>
    <row r="8967" hidden="1"/>
    <row r="8968" hidden="1"/>
    <row r="8969" hidden="1"/>
    <row r="8970" hidden="1"/>
    <row r="8971" hidden="1"/>
    <row r="8972" hidden="1"/>
    <row r="8973" hidden="1"/>
    <row r="8974" hidden="1"/>
    <row r="8975" hidden="1"/>
    <row r="8976" hidden="1"/>
    <row r="8977" hidden="1"/>
    <row r="8978" hidden="1"/>
    <row r="8979" hidden="1"/>
    <row r="8980" hidden="1"/>
    <row r="8981" hidden="1"/>
    <row r="8982" hidden="1"/>
    <row r="8983" hidden="1"/>
    <row r="8984" hidden="1"/>
    <row r="8985" hidden="1"/>
    <row r="8986" hidden="1"/>
    <row r="8987" hidden="1"/>
    <row r="8988" hidden="1"/>
    <row r="8989" hidden="1"/>
    <row r="8990" hidden="1"/>
    <row r="8991" hidden="1"/>
    <row r="8992" hidden="1"/>
    <row r="8993" hidden="1"/>
    <row r="8994" hidden="1"/>
    <row r="8995" hidden="1"/>
    <row r="8996" hidden="1"/>
    <row r="8997" hidden="1"/>
    <row r="8998" hidden="1"/>
    <row r="8999" hidden="1"/>
    <row r="9000" hidden="1"/>
    <row r="9001" hidden="1"/>
    <row r="9002" hidden="1"/>
    <row r="9003" hidden="1"/>
    <row r="9004" hidden="1"/>
    <row r="9005" hidden="1"/>
    <row r="9006" hidden="1"/>
    <row r="9007" hidden="1"/>
    <row r="9008" hidden="1"/>
    <row r="9009" hidden="1"/>
    <row r="9010" hidden="1"/>
    <row r="9011" hidden="1"/>
    <row r="9012" hidden="1"/>
    <row r="9013" hidden="1"/>
    <row r="9014" hidden="1"/>
    <row r="9015" hidden="1"/>
    <row r="9016" hidden="1"/>
    <row r="9017" hidden="1"/>
    <row r="9018" hidden="1"/>
    <row r="9019" hidden="1"/>
    <row r="9020" hidden="1"/>
    <row r="9021" hidden="1"/>
    <row r="9022" hidden="1"/>
    <row r="9023" hidden="1"/>
    <row r="9024" hidden="1"/>
    <row r="9025" hidden="1"/>
    <row r="9026" hidden="1"/>
    <row r="9027" hidden="1"/>
    <row r="9028" hidden="1"/>
    <row r="9029" hidden="1"/>
    <row r="9030" hidden="1"/>
    <row r="9031" hidden="1"/>
    <row r="9032" hidden="1"/>
    <row r="9033" hidden="1"/>
    <row r="9034" hidden="1"/>
    <row r="9035" hidden="1"/>
    <row r="9036" hidden="1"/>
    <row r="9037" hidden="1"/>
    <row r="9038" hidden="1"/>
    <row r="9039" hidden="1"/>
    <row r="9040" hidden="1"/>
    <row r="9041" hidden="1"/>
    <row r="9042" hidden="1"/>
    <row r="9043" hidden="1"/>
    <row r="9044" hidden="1"/>
    <row r="9045" hidden="1"/>
    <row r="9046" hidden="1"/>
    <row r="9047" hidden="1"/>
    <row r="9048" hidden="1"/>
    <row r="9049" hidden="1"/>
    <row r="9050" hidden="1"/>
    <row r="9051" hidden="1"/>
    <row r="9052" hidden="1"/>
    <row r="9053" hidden="1"/>
    <row r="9054" hidden="1"/>
    <row r="9055" hidden="1"/>
    <row r="9056" hidden="1"/>
    <row r="9057" hidden="1"/>
    <row r="9058" hidden="1"/>
    <row r="9059" hidden="1"/>
    <row r="9060" hidden="1"/>
    <row r="9061" hidden="1"/>
    <row r="9062" hidden="1"/>
    <row r="9063" hidden="1"/>
    <row r="9064" hidden="1"/>
    <row r="9065" hidden="1"/>
    <row r="9066" hidden="1"/>
    <row r="9067" hidden="1"/>
    <row r="9068" hidden="1"/>
    <row r="9069" hidden="1"/>
    <row r="9070" hidden="1"/>
    <row r="9071" hidden="1"/>
    <row r="9072" hidden="1"/>
    <row r="9073" hidden="1"/>
    <row r="9074" hidden="1"/>
    <row r="9075" hidden="1"/>
    <row r="9076" hidden="1"/>
    <row r="9077" hidden="1"/>
    <row r="9078" hidden="1"/>
    <row r="9079" hidden="1"/>
    <row r="9080" hidden="1"/>
    <row r="9081" hidden="1"/>
    <row r="9082" hidden="1"/>
    <row r="9083" hidden="1"/>
    <row r="9084" hidden="1"/>
    <row r="9085" hidden="1"/>
    <row r="9086" hidden="1"/>
    <row r="9087" hidden="1"/>
    <row r="9088" hidden="1"/>
    <row r="9089" hidden="1"/>
    <row r="9090" hidden="1"/>
    <row r="9091" hidden="1"/>
    <row r="9092" hidden="1"/>
    <row r="9093" hidden="1"/>
    <row r="9094" hidden="1"/>
    <row r="9095" hidden="1"/>
    <row r="9096" hidden="1"/>
    <row r="9097" hidden="1"/>
    <row r="9098" hidden="1"/>
    <row r="9099" hidden="1"/>
    <row r="9100" hidden="1"/>
    <row r="9101" hidden="1"/>
    <row r="9102" hidden="1"/>
    <row r="9103" hidden="1"/>
    <row r="9104" hidden="1"/>
    <row r="9105" hidden="1"/>
    <row r="9106" hidden="1"/>
    <row r="9107" hidden="1"/>
    <row r="9108" hidden="1"/>
    <row r="9109" hidden="1"/>
    <row r="9110" hidden="1"/>
    <row r="9111" hidden="1"/>
    <row r="9112" hidden="1"/>
    <row r="9113" hidden="1"/>
    <row r="9114" hidden="1"/>
    <row r="9115" hidden="1"/>
    <row r="9116" hidden="1"/>
    <row r="9117" hidden="1"/>
    <row r="9118" hidden="1"/>
    <row r="9119" hidden="1"/>
    <row r="9120" hidden="1"/>
    <row r="9121" hidden="1"/>
    <row r="9122" hidden="1"/>
    <row r="9123" hidden="1"/>
    <row r="9124" hidden="1"/>
    <row r="9125" hidden="1"/>
    <row r="9126" hidden="1"/>
    <row r="9127" hidden="1"/>
    <row r="9128" hidden="1"/>
    <row r="9129" hidden="1"/>
    <row r="9130" hidden="1"/>
    <row r="9131" hidden="1"/>
    <row r="9132" hidden="1"/>
    <row r="9133" hidden="1"/>
    <row r="9134" hidden="1"/>
    <row r="9135" hidden="1"/>
    <row r="9136" hidden="1"/>
    <row r="9137" hidden="1"/>
    <row r="9138" hidden="1"/>
    <row r="9139" hidden="1"/>
    <row r="9140" hidden="1"/>
    <row r="9141" hidden="1"/>
    <row r="9142" hidden="1"/>
    <row r="9143" hidden="1"/>
    <row r="9144" hidden="1"/>
    <row r="9145" hidden="1"/>
    <row r="9146" hidden="1"/>
    <row r="9147" hidden="1"/>
    <row r="9148" hidden="1"/>
    <row r="9149" hidden="1"/>
    <row r="9150" hidden="1"/>
    <row r="9151" hidden="1"/>
    <row r="9152" hidden="1"/>
    <row r="9153" hidden="1"/>
    <row r="9154" hidden="1"/>
    <row r="9155" hidden="1"/>
    <row r="9156" hidden="1"/>
    <row r="9157" hidden="1"/>
    <row r="9158" hidden="1"/>
    <row r="9159" hidden="1"/>
    <row r="9160" hidden="1"/>
    <row r="9161" hidden="1"/>
    <row r="9162" hidden="1"/>
    <row r="9163" hidden="1"/>
    <row r="9164" hidden="1"/>
    <row r="9165" hidden="1"/>
    <row r="9166" hidden="1"/>
    <row r="9167" hidden="1"/>
    <row r="9168" hidden="1"/>
    <row r="9169" hidden="1"/>
    <row r="9170" hidden="1"/>
    <row r="9171" hidden="1"/>
    <row r="9172" hidden="1"/>
    <row r="9173" hidden="1"/>
    <row r="9174" hidden="1"/>
    <row r="9175" hidden="1"/>
    <row r="9176" hidden="1"/>
    <row r="9177" hidden="1"/>
    <row r="9178" hidden="1"/>
    <row r="9179" hidden="1"/>
    <row r="9180" hidden="1"/>
    <row r="9181" hidden="1"/>
    <row r="9182" hidden="1"/>
    <row r="9183" hidden="1"/>
    <row r="9184" hidden="1"/>
    <row r="9185" hidden="1"/>
    <row r="9186" hidden="1"/>
    <row r="9187" hidden="1"/>
    <row r="9188" hidden="1"/>
    <row r="9189" hidden="1"/>
    <row r="9190" hidden="1"/>
    <row r="9191" hidden="1"/>
    <row r="9192" hidden="1"/>
    <row r="9193" hidden="1"/>
    <row r="9194" hidden="1"/>
    <row r="9195" hidden="1"/>
    <row r="9196" hidden="1"/>
    <row r="9197" hidden="1"/>
    <row r="9198" hidden="1"/>
    <row r="9199" hidden="1"/>
    <row r="9200" hidden="1"/>
    <row r="9201" hidden="1"/>
    <row r="9202" hidden="1"/>
    <row r="9203" hidden="1"/>
    <row r="9204" hidden="1"/>
    <row r="9205" hidden="1"/>
    <row r="9206" hidden="1"/>
    <row r="9207" hidden="1"/>
    <row r="9208" hidden="1"/>
    <row r="9209" hidden="1"/>
    <row r="9210" hidden="1"/>
    <row r="9211" hidden="1"/>
    <row r="9212" hidden="1"/>
    <row r="9213" hidden="1"/>
    <row r="9214" hidden="1"/>
    <row r="9215" hidden="1"/>
    <row r="9216" hidden="1"/>
    <row r="9217" hidden="1"/>
    <row r="9218" hidden="1"/>
    <row r="9219" hidden="1"/>
    <row r="9220" hidden="1"/>
    <row r="9221" hidden="1"/>
    <row r="9222" hidden="1"/>
    <row r="9223" hidden="1"/>
    <row r="9224" hidden="1"/>
    <row r="9225" hidden="1"/>
    <row r="9226" hidden="1"/>
    <row r="9227" hidden="1"/>
    <row r="9228" hidden="1"/>
    <row r="9229" hidden="1"/>
    <row r="9230" hidden="1"/>
    <row r="9231" hidden="1"/>
    <row r="9232" hidden="1"/>
    <row r="9233" hidden="1"/>
    <row r="9234" hidden="1"/>
    <row r="9235" hidden="1"/>
    <row r="9236" hidden="1"/>
    <row r="9237" hidden="1"/>
    <row r="9238" hidden="1"/>
    <row r="9239" hidden="1"/>
    <row r="9240" hidden="1"/>
    <row r="9241" hidden="1"/>
    <row r="9242" hidden="1"/>
    <row r="9243" hidden="1"/>
    <row r="9244" hidden="1"/>
    <row r="9245" hidden="1"/>
    <row r="9246" hidden="1"/>
    <row r="9247" hidden="1"/>
    <row r="9248" hidden="1"/>
    <row r="9249" hidden="1"/>
    <row r="9250" hidden="1"/>
    <row r="9251" hidden="1"/>
    <row r="9252" hidden="1"/>
    <row r="9253" hidden="1"/>
    <row r="9254" hidden="1"/>
    <row r="9255" hidden="1"/>
    <row r="9256" hidden="1"/>
    <row r="9257" hidden="1"/>
    <row r="9258" hidden="1"/>
    <row r="9259" hidden="1"/>
    <row r="9260" hidden="1"/>
    <row r="9261" hidden="1"/>
    <row r="9262" hidden="1"/>
    <row r="9263" hidden="1"/>
    <row r="9264" hidden="1"/>
    <row r="9265" hidden="1"/>
    <row r="9266" hidden="1"/>
    <row r="9267" hidden="1"/>
    <row r="9268" hidden="1"/>
    <row r="9269" hidden="1"/>
    <row r="9270" hidden="1"/>
    <row r="9271" hidden="1"/>
    <row r="9272" hidden="1"/>
    <row r="9273" hidden="1"/>
    <row r="9274" hidden="1"/>
    <row r="9275" hidden="1"/>
    <row r="9276" hidden="1"/>
    <row r="9277" hidden="1"/>
    <row r="9278" hidden="1"/>
    <row r="9279" hidden="1"/>
    <row r="9280" hidden="1"/>
    <row r="9281" hidden="1"/>
    <row r="9282" hidden="1"/>
    <row r="9283" hidden="1"/>
    <row r="9284" hidden="1"/>
    <row r="9285" hidden="1"/>
    <row r="9286" hidden="1"/>
    <row r="9287" hidden="1"/>
    <row r="9288" hidden="1"/>
    <row r="9289" hidden="1"/>
    <row r="9290" hidden="1"/>
    <row r="9291" hidden="1"/>
    <row r="9292" hidden="1"/>
    <row r="9293" hidden="1"/>
    <row r="9294" hidden="1"/>
    <row r="9295" hidden="1"/>
    <row r="9296" hidden="1"/>
    <row r="9297" hidden="1"/>
    <row r="9298" hidden="1"/>
    <row r="9299" hidden="1"/>
    <row r="9300" hidden="1"/>
    <row r="9301" hidden="1"/>
    <row r="9302" hidden="1"/>
    <row r="9303" hidden="1"/>
    <row r="9304" hidden="1"/>
    <row r="9305" hidden="1"/>
    <row r="9306" hidden="1"/>
    <row r="9307" hidden="1"/>
    <row r="9308" hidden="1"/>
    <row r="9309" hidden="1"/>
    <row r="9310" hidden="1"/>
    <row r="9311" hidden="1"/>
    <row r="9312" hidden="1"/>
    <row r="9313" hidden="1"/>
    <row r="9314" hidden="1"/>
    <row r="9315" hidden="1"/>
    <row r="9316" hidden="1"/>
    <row r="9317" hidden="1"/>
    <row r="9318" hidden="1"/>
    <row r="9319" hidden="1"/>
    <row r="9320" hidden="1"/>
    <row r="9321" hidden="1"/>
    <row r="9322" hidden="1"/>
    <row r="9323" hidden="1"/>
    <row r="9324" hidden="1"/>
    <row r="9325" hidden="1"/>
    <row r="9326" hidden="1"/>
    <row r="9327" hidden="1"/>
    <row r="9328" hidden="1"/>
    <row r="9329" hidden="1"/>
    <row r="9330" hidden="1"/>
    <row r="9331" hidden="1"/>
    <row r="9332" hidden="1"/>
    <row r="9333" hidden="1"/>
    <row r="9334" hidden="1"/>
    <row r="9335" hidden="1"/>
    <row r="9336" hidden="1"/>
    <row r="9337" hidden="1"/>
    <row r="9338" hidden="1"/>
    <row r="9339" hidden="1"/>
    <row r="9340" hidden="1"/>
    <row r="9341" hidden="1"/>
    <row r="9342" hidden="1"/>
    <row r="9343" hidden="1"/>
    <row r="9344" hidden="1"/>
    <row r="9345" hidden="1"/>
    <row r="9346" hidden="1"/>
    <row r="9347" hidden="1"/>
    <row r="9348" hidden="1"/>
    <row r="9349" hidden="1"/>
    <row r="9350" hidden="1"/>
    <row r="9351" hidden="1"/>
    <row r="9352" hidden="1"/>
    <row r="9353" hidden="1"/>
    <row r="9354" hidden="1"/>
    <row r="9355" hidden="1"/>
    <row r="9356" hidden="1"/>
    <row r="9357" hidden="1"/>
    <row r="9358" hidden="1"/>
    <row r="9359" hidden="1"/>
    <row r="9360" hidden="1"/>
    <row r="9361" hidden="1"/>
    <row r="9362" hidden="1"/>
    <row r="9363" hidden="1"/>
    <row r="9364" hidden="1"/>
    <row r="9365" hidden="1"/>
    <row r="9366" hidden="1"/>
    <row r="9367" hidden="1"/>
    <row r="9368" hidden="1"/>
    <row r="9369" hidden="1"/>
    <row r="9370" hidden="1"/>
    <row r="9371" hidden="1"/>
    <row r="9372" hidden="1"/>
    <row r="9373" hidden="1"/>
    <row r="9374" hidden="1"/>
    <row r="9375" hidden="1"/>
    <row r="9376" hidden="1"/>
    <row r="9377" hidden="1"/>
    <row r="9378" hidden="1"/>
    <row r="9379" hidden="1"/>
    <row r="9380" hidden="1"/>
    <row r="9381" hidden="1"/>
    <row r="9382" hidden="1"/>
    <row r="9383" hidden="1"/>
    <row r="9384" hidden="1"/>
    <row r="9385" hidden="1"/>
    <row r="9386" hidden="1"/>
    <row r="9387" hidden="1"/>
    <row r="9388" hidden="1"/>
    <row r="9389" hidden="1"/>
    <row r="9390" hidden="1"/>
    <row r="9391" hidden="1"/>
    <row r="9392" hidden="1"/>
    <row r="9393" hidden="1"/>
    <row r="9394" hidden="1"/>
    <row r="9395" hidden="1"/>
    <row r="9396" hidden="1"/>
    <row r="9397" hidden="1"/>
    <row r="9398" hidden="1"/>
    <row r="9399" hidden="1"/>
    <row r="9400" hidden="1"/>
    <row r="9401" hidden="1"/>
    <row r="9402" hidden="1"/>
    <row r="9403" hidden="1"/>
    <row r="9404" hidden="1"/>
    <row r="9405" hidden="1"/>
    <row r="9406" hidden="1"/>
    <row r="9407" hidden="1"/>
    <row r="9408" hidden="1"/>
    <row r="9409" hidden="1"/>
    <row r="9410" hidden="1"/>
    <row r="9411" hidden="1"/>
    <row r="9412" hidden="1"/>
    <row r="9413" hidden="1"/>
    <row r="9414" hidden="1"/>
    <row r="9415" hidden="1"/>
    <row r="9416" hidden="1"/>
    <row r="9417" hidden="1"/>
    <row r="9418" hidden="1"/>
    <row r="9419" hidden="1"/>
    <row r="9420" hidden="1"/>
    <row r="9421" hidden="1"/>
    <row r="9422" hidden="1"/>
    <row r="9423" hidden="1"/>
    <row r="9424" hidden="1"/>
    <row r="9425" hidden="1"/>
    <row r="9426" hidden="1"/>
    <row r="9427" hidden="1"/>
    <row r="9428" hidden="1"/>
    <row r="9429" hidden="1"/>
    <row r="9430" hidden="1"/>
    <row r="9431" hidden="1"/>
    <row r="9432" hidden="1"/>
    <row r="9433" hidden="1"/>
    <row r="9434" hidden="1"/>
    <row r="9435" hidden="1"/>
    <row r="9436" hidden="1"/>
    <row r="9437" hidden="1"/>
    <row r="9438" hidden="1"/>
    <row r="9439" hidden="1"/>
    <row r="9440" hidden="1"/>
    <row r="9441" hidden="1"/>
    <row r="9442" hidden="1"/>
    <row r="9443" hidden="1"/>
    <row r="9444" hidden="1"/>
    <row r="9445" hidden="1"/>
    <row r="9446" hidden="1"/>
    <row r="9447" hidden="1"/>
    <row r="9448" hidden="1"/>
    <row r="9449" hidden="1"/>
    <row r="9450" hidden="1"/>
    <row r="9451" hidden="1"/>
    <row r="9452" hidden="1"/>
    <row r="9453" hidden="1"/>
    <row r="9454" hidden="1"/>
    <row r="9455" hidden="1"/>
    <row r="9456" hidden="1"/>
    <row r="9457" hidden="1"/>
    <row r="9458" hidden="1"/>
    <row r="9459" hidden="1"/>
    <row r="9460" hidden="1"/>
    <row r="9461" hidden="1"/>
    <row r="9462" hidden="1"/>
    <row r="9463" hidden="1"/>
    <row r="9464" hidden="1"/>
    <row r="9465" hidden="1"/>
    <row r="9466" hidden="1"/>
    <row r="9467" hidden="1"/>
    <row r="9468" hidden="1"/>
    <row r="9469" hidden="1"/>
    <row r="9470" hidden="1"/>
    <row r="9471" hidden="1"/>
    <row r="9472" hidden="1"/>
    <row r="9473" hidden="1"/>
    <row r="9474" hidden="1"/>
    <row r="9475" hidden="1"/>
    <row r="9476" hidden="1"/>
    <row r="9477" hidden="1"/>
    <row r="9478" hidden="1"/>
    <row r="9479" hidden="1"/>
    <row r="9480" hidden="1"/>
    <row r="9481" hidden="1"/>
    <row r="9482" hidden="1"/>
    <row r="9483" hidden="1"/>
    <row r="9484" hidden="1"/>
    <row r="9485" hidden="1"/>
    <row r="9486" hidden="1"/>
    <row r="9487" hidden="1"/>
    <row r="9488" hidden="1"/>
    <row r="9489" hidden="1"/>
    <row r="9490" hidden="1"/>
    <row r="9491" hidden="1"/>
    <row r="9492" hidden="1"/>
    <row r="9493" hidden="1"/>
    <row r="9494" hidden="1"/>
    <row r="9495" hidden="1"/>
    <row r="9496" hidden="1"/>
    <row r="9497" hidden="1"/>
    <row r="9498" hidden="1"/>
    <row r="9499" hidden="1"/>
    <row r="9500" hidden="1"/>
    <row r="9501" hidden="1"/>
    <row r="9502" hidden="1"/>
    <row r="9503" hidden="1"/>
    <row r="9504" hidden="1"/>
    <row r="9505" hidden="1"/>
    <row r="9506" hidden="1"/>
    <row r="9507" hidden="1"/>
    <row r="9508" hidden="1"/>
    <row r="9509" hidden="1"/>
    <row r="9510" hidden="1"/>
    <row r="9511" hidden="1"/>
    <row r="9512" hidden="1"/>
    <row r="9513" hidden="1"/>
    <row r="9514" hidden="1"/>
    <row r="9515" hidden="1"/>
    <row r="9516" hidden="1"/>
    <row r="9517" hidden="1"/>
    <row r="9518" hidden="1"/>
    <row r="9519" hidden="1"/>
    <row r="9520" hidden="1"/>
    <row r="9521" hidden="1"/>
    <row r="9522" hidden="1"/>
    <row r="9523" hidden="1"/>
    <row r="9524" hidden="1"/>
    <row r="9525" hidden="1"/>
    <row r="9526" hidden="1"/>
    <row r="9527" hidden="1"/>
    <row r="9528" hidden="1"/>
    <row r="9529" hidden="1"/>
    <row r="9530" hidden="1"/>
    <row r="9531" hidden="1"/>
    <row r="9532" hidden="1"/>
    <row r="9533" hidden="1"/>
    <row r="9534" hidden="1"/>
    <row r="9535" hidden="1"/>
    <row r="9536" hidden="1"/>
    <row r="9537" hidden="1"/>
    <row r="9538" hidden="1"/>
    <row r="9539" hidden="1"/>
    <row r="9540" hidden="1"/>
    <row r="9541" hidden="1"/>
    <row r="9542" hidden="1"/>
    <row r="9543" hidden="1"/>
    <row r="9544" hidden="1"/>
    <row r="9545" hidden="1"/>
    <row r="9546" hidden="1"/>
    <row r="9547" hidden="1"/>
    <row r="9548" hidden="1"/>
    <row r="9549" hidden="1"/>
    <row r="9550" hidden="1"/>
    <row r="9551" hidden="1"/>
    <row r="9552" hidden="1"/>
    <row r="9553" hidden="1"/>
    <row r="9554" hidden="1"/>
    <row r="9555" hidden="1"/>
    <row r="9556" hidden="1"/>
    <row r="9557" hidden="1"/>
    <row r="9558" hidden="1"/>
    <row r="9559" hidden="1"/>
    <row r="9560" hidden="1"/>
    <row r="9561" hidden="1"/>
    <row r="9562" hidden="1"/>
    <row r="9563" hidden="1"/>
    <row r="9564" hidden="1"/>
    <row r="9565" hidden="1"/>
    <row r="9566" hidden="1"/>
    <row r="9567" hidden="1"/>
    <row r="9568" hidden="1"/>
    <row r="9569" hidden="1"/>
    <row r="9570" hidden="1"/>
    <row r="9571" hidden="1"/>
    <row r="9572" hidden="1"/>
    <row r="9573" hidden="1"/>
    <row r="9574" hidden="1"/>
    <row r="9575" hidden="1"/>
    <row r="9576" hidden="1"/>
    <row r="9577" hidden="1"/>
    <row r="9578" hidden="1"/>
    <row r="9579" hidden="1"/>
    <row r="9580" hidden="1"/>
    <row r="9581" hidden="1"/>
    <row r="9582" hidden="1"/>
    <row r="9583" hidden="1"/>
    <row r="9584" hidden="1"/>
    <row r="9585" hidden="1"/>
    <row r="9586" hidden="1"/>
    <row r="9587" hidden="1"/>
    <row r="9588" hidden="1"/>
    <row r="9589" hidden="1"/>
    <row r="9590" hidden="1"/>
    <row r="9591" hidden="1"/>
    <row r="9592" hidden="1"/>
    <row r="9593" hidden="1"/>
    <row r="9594" hidden="1"/>
    <row r="9595" hidden="1"/>
    <row r="9596" hidden="1"/>
    <row r="9597" hidden="1"/>
    <row r="9598" hidden="1"/>
    <row r="9599" hidden="1"/>
    <row r="9600" hidden="1"/>
    <row r="9601" hidden="1"/>
    <row r="9602" hidden="1"/>
    <row r="9603" hidden="1"/>
    <row r="9604" hidden="1"/>
    <row r="9605" hidden="1"/>
    <row r="9606" hidden="1"/>
    <row r="9607" hidden="1"/>
    <row r="9608" hidden="1"/>
    <row r="9609" hidden="1"/>
    <row r="9610" hidden="1"/>
    <row r="9611" hidden="1"/>
    <row r="9612" hidden="1"/>
    <row r="9613" hidden="1"/>
    <row r="9614" hidden="1"/>
    <row r="9615" hidden="1"/>
    <row r="9616" hidden="1"/>
    <row r="9617" hidden="1"/>
    <row r="9618" hidden="1"/>
    <row r="9619" hidden="1"/>
    <row r="9620" hidden="1"/>
    <row r="9621" hidden="1"/>
    <row r="9622" hidden="1"/>
    <row r="9623" hidden="1"/>
    <row r="9624" hidden="1"/>
    <row r="9625" hidden="1"/>
    <row r="9626" hidden="1"/>
    <row r="9627" hidden="1"/>
    <row r="9628" hidden="1"/>
    <row r="9629" hidden="1"/>
    <row r="9630" hidden="1"/>
    <row r="9631" hidden="1"/>
    <row r="9632" hidden="1"/>
    <row r="9633" hidden="1"/>
    <row r="9634" hidden="1"/>
    <row r="9635" hidden="1"/>
    <row r="9636" hidden="1"/>
    <row r="9637" hidden="1"/>
    <row r="9638" hidden="1"/>
    <row r="9639" hidden="1"/>
    <row r="9640" hidden="1"/>
    <row r="9641" hidden="1"/>
    <row r="9642" hidden="1"/>
    <row r="9643" hidden="1"/>
    <row r="9644" hidden="1"/>
    <row r="9645" hidden="1"/>
    <row r="9646" hidden="1"/>
    <row r="9647" hidden="1"/>
    <row r="9648" hidden="1"/>
    <row r="9649" hidden="1"/>
    <row r="9650" hidden="1"/>
    <row r="9651" hidden="1"/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Beatriz Lima</dc:creator>
  <dcterms:created xsi:type="dcterms:W3CDTF">2015-06-05T18:19:34Z</dcterms:created>
  <dcterms:modified xsi:type="dcterms:W3CDTF">2026-09-10T14:09:13Z</dcterms:modified>
  <cp:lastModifiedBy>Thais Fujissaka</cp:lastModifiedBy>
  <cp:lastPrinted>2026-05-19T12:57:20Z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0x010100AA4EE3D2339629438C37E99AB24C7BEE</vt:lpwstr>
  </property>
  <property name="MediaServiceImageTags" fmtid="{D5CDD505-2E9C-101B-9397-08002B2CF9AE}" pid="3">
    <vt:lpwstr/>
  </property>
</Properties>
</file>